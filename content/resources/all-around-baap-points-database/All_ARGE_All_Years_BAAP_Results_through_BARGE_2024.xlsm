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4 Poker\Events and Tournaments\ARGE BAAP Award\All Years\"/>
    </mc:Choice>
  </mc:AlternateContent>
  <xr:revisionPtr revIDLastSave="0" documentId="13_ncr:1_{1836B577-D907-420D-B031-4E792E987541}" xr6:coauthVersionLast="47" xr6:coauthVersionMax="47" xr10:uidLastSave="{00000000-0000-0000-0000-000000000000}"/>
  <bookViews>
    <workbookView xWindow="-103" yWindow="497" windowWidth="22149" windowHeight="11949" activeTab="4" xr2:uid="{00000000-000D-0000-FFFF-FFFF00000000}"/>
  </bookViews>
  <sheets>
    <sheet name="Attendees" sheetId="4" r:id="rId1"/>
    <sheet name="Names" sheetId="9" r:id="rId2"/>
    <sheet name="Data" sheetId="1" r:id="rId3"/>
    <sheet name="Name Check" sheetId="8" r:id="rId4"/>
    <sheet name="LIsts" sheetId="3" r:id="rId5"/>
    <sheet name="Single Year" sheetId="5" r:id="rId6"/>
    <sheet name="Player" sheetId="7" r:id="rId7"/>
  </sheets>
  <definedNames>
    <definedName name="_xlnm._FilterDatabase" localSheetId="2" hidden="1">Data!$B$1:$K$3968</definedName>
    <definedName name="_xlnm._FilterDatabase" localSheetId="4" hidden="1">LIsts!$A$7:$A$1167</definedName>
    <definedName name="_xlnm.Database">Data!$B$1:$K$5001</definedName>
    <definedName name="Games">Data!#REF!</definedName>
  </definedNames>
  <calcPr calcId="191029" iterateDelta="1E-10"/>
  <pivotCaches>
    <pivotCache cacheId="89" r:id="rId8"/>
  </pivotCaches>
</workbook>
</file>

<file path=xl/calcChain.xml><?xml version="1.0" encoding="utf-8"?>
<calcChain xmlns="http://schemas.openxmlformats.org/spreadsheetml/2006/main">
  <c r="AD27" i="3" l="1"/>
  <c r="AE27" i="3"/>
  <c r="F13" i="8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F39" i="8" s="1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F105" i="8" s="1"/>
  <c r="F106" i="8" s="1"/>
  <c r="F107" i="8" s="1"/>
  <c r="F108" i="8" s="1"/>
  <c r="F109" i="8" s="1"/>
  <c r="F110" i="8" s="1"/>
  <c r="F111" i="8" s="1"/>
  <c r="F112" i="8" s="1"/>
  <c r="F113" i="8" s="1"/>
  <c r="F114" i="8" s="1"/>
  <c r="F115" i="8" s="1"/>
  <c r="F116" i="8" s="1"/>
  <c r="F117" i="8" s="1"/>
  <c r="F118" i="8" s="1"/>
  <c r="F119" i="8" s="1"/>
  <c r="F120" i="8" s="1"/>
  <c r="F121" i="8" s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F141" i="8" s="1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F152" i="8" s="1"/>
  <c r="F153" i="8" s="1"/>
  <c r="F154" i="8" s="1"/>
  <c r="F155" i="8" s="1"/>
  <c r="F156" i="8" s="1"/>
  <c r="F157" i="8" s="1"/>
  <c r="F158" i="8" s="1"/>
  <c r="F159" i="8" s="1"/>
  <c r="F160" i="8" s="1"/>
  <c r="F161" i="8" s="1"/>
  <c r="F162" i="8" s="1"/>
  <c r="F163" i="8" s="1"/>
  <c r="F164" i="8" s="1"/>
  <c r="F165" i="8" s="1"/>
  <c r="F166" i="8" s="1"/>
  <c r="F167" i="8" s="1"/>
  <c r="F168" i="8" s="1"/>
  <c r="F169" i="8" s="1"/>
  <c r="F170" i="8" s="1"/>
  <c r="F171" i="8" s="1"/>
  <c r="F172" i="8" s="1"/>
  <c r="F173" i="8" s="1"/>
  <c r="F174" i="8" s="1"/>
  <c r="F175" i="8" s="1"/>
  <c r="F176" i="8" s="1"/>
  <c r="F177" i="8" s="1"/>
  <c r="F178" i="8" s="1"/>
  <c r="F179" i="8" s="1"/>
  <c r="F180" i="8" s="1"/>
  <c r="F181" i="8" s="1"/>
  <c r="F182" i="8" s="1"/>
  <c r="F183" i="8" s="1"/>
  <c r="F184" i="8" s="1"/>
  <c r="F185" i="8" s="1"/>
  <c r="F186" i="8" s="1"/>
  <c r="F187" i="8" s="1"/>
  <c r="F188" i="8" s="1"/>
  <c r="F189" i="8" s="1"/>
  <c r="F190" i="8" s="1"/>
  <c r="F191" i="8" s="1"/>
  <c r="F192" i="8" s="1"/>
  <c r="F193" i="8" s="1"/>
  <c r="F194" i="8" s="1"/>
  <c r="F195" i="8" s="1"/>
  <c r="F196" i="8" s="1"/>
  <c r="F197" i="8" s="1"/>
  <c r="F198" i="8" s="1"/>
  <c r="F199" i="8" s="1"/>
  <c r="F200" i="8" s="1"/>
  <c r="F201" i="8" s="1"/>
  <c r="F202" i="8" s="1"/>
  <c r="F203" i="8" s="1"/>
  <c r="F204" i="8" s="1"/>
  <c r="F205" i="8" s="1"/>
  <c r="F206" i="8" s="1"/>
  <c r="F207" i="8" s="1"/>
  <c r="F208" i="8" s="1"/>
  <c r="F209" i="8" s="1"/>
  <c r="F210" i="8" s="1"/>
  <c r="F211" i="8" s="1"/>
  <c r="F212" i="8" s="1"/>
  <c r="F213" i="8" s="1"/>
  <c r="F214" i="8" s="1"/>
  <c r="F215" i="8" s="1"/>
  <c r="F216" i="8" s="1"/>
  <c r="F217" i="8" s="1"/>
  <c r="F218" i="8" s="1"/>
  <c r="F219" i="8" s="1"/>
  <c r="F220" i="8" s="1"/>
  <c r="F221" i="8" s="1"/>
  <c r="F222" i="8" s="1"/>
  <c r="F223" i="8" s="1"/>
  <c r="F224" i="8" s="1"/>
  <c r="F225" i="8" s="1"/>
  <c r="F226" i="8" s="1"/>
  <c r="F227" i="8" s="1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F245" i="8" s="1"/>
  <c r="F246" i="8" s="1"/>
  <c r="F247" i="8" s="1"/>
  <c r="F248" i="8" s="1"/>
  <c r="F249" i="8" s="1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F291" i="8" s="1"/>
  <c r="F292" i="8" s="1"/>
  <c r="F293" i="8" s="1"/>
  <c r="F294" i="8" s="1"/>
  <c r="F295" i="8" s="1"/>
  <c r="F296" i="8" s="1"/>
  <c r="F297" i="8" s="1"/>
  <c r="F298" i="8" s="1"/>
  <c r="F299" i="8" s="1"/>
  <c r="F300" i="8" s="1"/>
  <c r="F301" i="8" s="1"/>
  <c r="F302" i="8" s="1"/>
  <c r="F303" i="8" s="1"/>
  <c r="F304" i="8" s="1"/>
  <c r="F305" i="8" s="1"/>
  <c r="F306" i="8" s="1"/>
  <c r="F307" i="8" s="1"/>
  <c r="F308" i="8" s="1"/>
  <c r="F309" i="8" s="1"/>
  <c r="F310" i="8" s="1"/>
  <c r="F311" i="8" s="1"/>
  <c r="F312" i="8" s="1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F324" i="8" s="1"/>
  <c r="F325" i="8" s="1"/>
  <c r="F326" i="8" s="1"/>
  <c r="F327" i="8" s="1"/>
  <c r="F328" i="8" s="1"/>
  <c r="F329" i="8" s="1"/>
  <c r="F330" i="8" s="1"/>
  <c r="F331" i="8" s="1"/>
  <c r="F332" i="8" s="1"/>
  <c r="F333" i="8" s="1"/>
  <c r="F334" i="8" s="1"/>
  <c r="F335" i="8" s="1"/>
  <c r="F336" i="8" s="1"/>
  <c r="F337" i="8" s="1"/>
  <c r="F338" i="8" s="1"/>
  <c r="F339" i="8" s="1"/>
  <c r="F340" i="8" s="1"/>
  <c r="F341" i="8" s="1"/>
  <c r="F342" i="8" s="1"/>
  <c r="F343" i="8" s="1"/>
  <c r="F344" i="8" s="1"/>
  <c r="F345" i="8" s="1"/>
  <c r="F346" i="8" s="1"/>
  <c r="F347" i="8" s="1"/>
  <c r="F348" i="8" s="1"/>
  <c r="F349" i="8" s="1"/>
  <c r="F350" i="8" s="1"/>
  <c r="F351" i="8" s="1"/>
  <c r="F352" i="8" s="1"/>
  <c r="F353" i="8" s="1"/>
  <c r="F354" i="8" s="1"/>
  <c r="F355" i="8" s="1"/>
  <c r="F356" i="8" s="1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F370" i="8" s="1"/>
  <c r="F371" i="8" s="1"/>
  <c r="F372" i="8" s="1"/>
  <c r="F373" i="8" s="1"/>
  <c r="F374" i="8" s="1"/>
  <c r="F375" i="8" s="1"/>
  <c r="F376" i="8" s="1"/>
  <c r="F377" i="8" s="1"/>
  <c r="F378" i="8" s="1"/>
  <c r="F379" i="8" s="1"/>
  <c r="F380" i="8" s="1"/>
  <c r="F381" i="8" s="1"/>
  <c r="F382" i="8" s="1"/>
  <c r="F383" i="8" s="1"/>
  <c r="F384" i="8" s="1"/>
  <c r="F385" i="8" s="1"/>
  <c r="F386" i="8" s="1"/>
  <c r="F387" i="8" s="1"/>
  <c r="F388" i="8" s="1"/>
  <c r="F389" i="8" s="1"/>
  <c r="F390" i="8" s="1"/>
  <c r="F391" i="8" s="1"/>
  <c r="F392" i="8" s="1"/>
  <c r="F393" i="8" s="1"/>
  <c r="F394" i="8" s="1"/>
  <c r="F395" i="8" s="1"/>
  <c r="F396" i="8" s="1"/>
  <c r="F397" i="8" s="1"/>
  <c r="F398" i="8" s="1"/>
  <c r="F399" i="8" s="1"/>
  <c r="F400" i="8" s="1"/>
  <c r="F401" i="8" s="1"/>
  <c r="F402" i="8" s="1"/>
  <c r="F403" i="8" s="1"/>
  <c r="F404" i="8" s="1"/>
  <c r="F405" i="8" s="1"/>
  <c r="F406" i="8" s="1"/>
  <c r="F407" i="8" s="1"/>
  <c r="F408" i="8" s="1"/>
  <c r="F409" i="8" s="1"/>
  <c r="F410" i="8" s="1"/>
  <c r="F411" i="8" s="1"/>
  <c r="F412" i="8" s="1"/>
  <c r="F413" i="8" s="1"/>
  <c r="F414" i="8" s="1"/>
  <c r="F415" i="8" s="1"/>
  <c r="F416" i="8" s="1"/>
  <c r="F417" i="8" s="1"/>
  <c r="F418" i="8" s="1"/>
  <c r="F419" i="8" s="1"/>
  <c r="F420" i="8" s="1"/>
  <c r="F421" i="8" s="1"/>
  <c r="F422" i="8" s="1"/>
  <c r="F423" i="8" s="1"/>
  <c r="F424" i="8" s="1"/>
  <c r="F425" i="8" s="1"/>
  <c r="F426" i="8" s="1"/>
  <c r="F427" i="8" s="1"/>
  <c r="F428" i="8" s="1"/>
  <c r="F429" i="8" s="1"/>
  <c r="F430" i="8" s="1"/>
  <c r="F431" i="8" s="1"/>
  <c r="F432" i="8" s="1"/>
  <c r="F433" i="8" s="1"/>
  <c r="F434" i="8" s="1"/>
  <c r="F435" i="8" s="1"/>
  <c r="F436" i="8" s="1"/>
  <c r="F437" i="8" s="1"/>
  <c r="F438" i="8" s="1"/>
  <c r="F439" i="8" s="1"/>
  <c r="F440" i="8" s="1"/>
  <c r="F441" i="8" s="1"/>
  <c r="F442" i="8" s="1"/>
  <c r="F443" i="8" s="1"/>
  <c r="F444" i="8" s="1"/>
  <c r="F445" i="8" s="1"/>
  <c r="F446" i="8" s="1"/>
  <c r="F447" i="8" s="1"/>
  <c r="F448" i="8" s="1"/>
  <c r="F449" i="8" s="1"/>
  <c r="F450" i="8" s="1"/>
  <c r="F451" i="8" s="1"/>
  <c r="F452" i="8" s="1"/>
  <c r="F453" i="8" s="1"/>
  <c r="F454" i="8" s="1"/>
  <c r="F455" i="8" s="1"/>
  <c r="F456" i="8" s="1"/>
  <c r="F457" i="8" s="1"/>
  <c r="F458" i="8" s="1"/>
  <c r="F459" i="8" s="1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F476" i="8" s="1"/>
  <c r="F477" i="8" s="1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F494" i="8" s="1"/>
  <c r="F495" i="8" s="1"/>
  <c r="F496" i="8" s="1"/>
  <c r="F497" i="8" s="1"/>
  <c r="F498" i="8" s="1"/>
  <c r="F499" i="8" s="1"/>
  <c r="F500" i="8" s="1"/>
  <c r="F501" i="8" s="1"/>
  <c r="F502" i="8" s="1"/>
  <c r="F503" i="8" s="1"/>
  <c r="F504" i="8" s="1"/>
  <c r="F505" i="8" s="1"/>
  <c r="F506" i="8" s="1"/>
  <c r="F507" i="8" s="1"/>
  <c r="F508" i="8" s="1"/>
  <c r="F509" i="8" s="1"/>
  <c r="F510" i="8" s="1"/>
  <c r="F511" i="8" s="1"/>
  <c r="F512" i="8" s="1"/>
  <c r="F513" i="8" s="1"/>
  <c r="F514" i="8" s="1"/>
  <c r="F515" i="8" s="1"/>
  <c r="F516" i="8" s="1"/>
  <c r="F517" i="8" s="1"/>
  <c r="F518" i="8" s="1"/>
  <c r="F519" i="8" s="1"/>
  <c r="F520" i="8" s="1"/>
  <c r="F521" i="8" s="1"/>
  <c r="F522" i="8" s="1"/>
  <c r="F523" i="8" s="1"/>
  <c r="F524" i="8" s="1"/>
  <c r="F525" i="8" s="1"/>
  <c r="F526" i="8" s="1"/>
  <c r="F527" i="8" s="1"/>
  <c r="F528" i="8" s="1"/>
  <c r="F529" i="8" s="1"/>
  <c r="F530" i="8" s="1"/>
  <c r="F531" i="8" s="1"/>
  <c r="F532" i="8" s="1"/>
  <c r="F533" i="8" s="1"/>
  <c r="F534" i="8" s="1"/>
  <c r="F535" i="8" s="1"/>
  <c r="F536" i="8" s="1"/>
  <c r="F537" i="8" s="1"/>
  <c r="F538" i="8" s="1"/>
  <c r="F539" i="8" s="1"/>
  <c r="F540" i="8" s="1"/>
  <c r="F541" i="8" s="1"/>
  <c r="F542" i="8" s="1"/>
  <c r="F543" i="8" s="1"/>
  <c r="F544" i="8" s="1"/>
  <c r="F545" i="8" s="1"/>
  <c r="F546" i="8" s="1"/>
  <c r="F547" i="8" s="1"/>
  <c r="F548" i="8" s="1"/>
  <c r="F549" i="8" s="1"/>
  <c r="F550" i="8" s="1"/>
  <c r="F551" i="8" s="1"/>
  <c r="F552" i="8" s="1"/>
  <c r="F553" i="8" s="1"/>
  <c r="F554" i="8" s="1"/>
  <c r="F555" i="8" s="1"/>
  <c r="F556" i="8" s="1"/>
  <c r="F557" i="8" s="1"/>
  <c r="F558" i="8" s="1"/>
  <c r="F559" i="8" s="1"/>
  <c r="F560" i="8" s="1"/>
  <c r="F561" i="8" s="1"/>
  <c r="F562" i="8" s="1"/>
  <c r="F563" i="8" s="1"/>
  <c r="F564" i="8" s="1"/>
  <c r="F565" i="8" s="1"/>
  <c r="F566" i="8" s="1"/>
  <c r="F567" i="8" s="1"/>
  <c r="F568" i="8" s="1"/>
  <c r="F569" i="8" s="1"/>
  <c r="F570" i="8" s="1"/>
  <c r="F571" i="8" s="1"/>
  <c r="F572" i="8" s="1"/>
  <c r="F573" i="8" s="1"/>
  <c r="F574" i="8" s="1"/>
  <c r="F575" i="8" s="1"/>
  <c r="F576" i="8" s="1"/>
  <c r="F577" i="8" s="1"/>
  <c r="F578" i="8" s="1"/>
  <c r="F579" i="8" s="1"/>
  <c r="F580" i="8" s="1"/>
  <c r="F581" i="8" s="1"/>
  <c r="F582" i="8" s="1"/>
  <c r="F583" i="8" s="1"/>
  <c r="F584" i="8" s="1"/>
  <c r="F585" i="8" s="1"/>
  <c r="F586" i="8" s="1"/>
  <c r="F587" i="8" s="1"/>
  <c r="F588" i="8" s="1"/>
  <c r="F589" i="8" s="1"/>
  <c r="F590" i="8" s="1"/>
  <c r="F591" i="8" s="1"/>
  <c r="F592" i="8" s="1"/>
  <c r="F593" i="8" s="1"/>
  <c r="F594" i="8" s="1"/>
  <c r="F595" i="8" s="1"/>
  <c r="F596" i="8" s="1"/>
  <c r="F597" i="8" s="1"/>
  <c r="F598" i="8" s="1"/>
  <c r="F599" i="8" s="1"/>
  <c r="F600" i="8" s="1"/>
  <c r="F601" i="8" s="1"/>
  <c r="F602" i="8" s="1"/>
  <c r="F603" i="8" s="1"/>
  <c r="F604" i="8" s="1"/>
  <c r="F605" i="8" s="1"/>
  <c r="F606" i="8" s="1"/>
  <c r="F607" i="8" s="1"/>
  <c r="F608" i="8" s="1"/>
  <c r="F609" i="8" s="1"/>
  <c r="F610" i="8" s="1"/>
  <c r="F611" i="8" s="1"/>
  <c r="F612" i="8" s="1"/>
  <c r="F613" i="8" s="1"/>
  <c r="F614" i="8" s="1"/>
  <c r="F615" i="8" s="1"/>
  <c r="F616" i="8" s="1"/>
  <c r="F617" i="8" s="1"/>
  <c r="F618" i="8" s="1"/>
  <c r="F619" i="8" s="1"/>
  <c r="F620" i="8" s="1"/>
  <c r="F621" i="8" s="1"/>
  <c r="F622" i="8" s="1"/>
  <c r="F623" i="8" s="1"/>
  <c r="F624" i="8" s="1"/>
  <c r="F625" i="8" s="1"/>
  <c r="F626" i="8" s="1"/>
  <c r="F627" i="8" s="1"/>
  <c r="F628" i="8" s="1"/>
  <c r="F629" i="8" s="1"/>
  <c r="F630" i="8" s="1"/>
  <c r="F631" i="8" s="1"/>
  <c r="F632" i="8" s="1"/>
  <c r="F633" i="8" s="1"/>
  <c r="F634" i="8" s="1"/>
  <c r="F635" i="8" s="1"/>
  <c r="F636" i="8" s="1"/>
  <c r="F637" i="8" s="1"/>
  <c r="F638" i="8" s="1"/>
  <c r="F639" i="8" s="1"/>
  <c r="F640" i="8" s="1"/>
  <c r="F641" i="8" s="1"/>
  <c r="F642" i="8" s="1"/>
  <c r="F643" i="8" s="1"/>
  <c r="F644" i="8" s="1"/>
  <c r="F645" i="8" s="1"/>
  <c r="F646" i="8" s="1"/>
  <c r="F647" i="8" s="1"/>
  <c r="F648" i="8" s="1"/>
  <c r="F649" i="8" s="1"/>
  <c r="F650" i="8" s="1"/>
  <c r="F651" i="8" s="1"/>
  <c r="F652" i="8" s="1"/>
  <c r="F653" i="8" s="1"/>
  <c r="F654" i="8" s="1"/>
  <c r="F655" i="8" s="1"/>
  <c r="F656" i="8" s="1"/>
  <c r="F657" i="8" s="1"/>
  <c r="F658" i="8" s="1"/>
  <c r="F659" i="8" s="1"/>
  <c r="F660" i="8" s="1"/>
  <c r="F661" i="8" s="1"/>
  <c r="F662" i="8" s="1"/>
  <c r="F663" i="8" s="1"/>
  <c r="F664" i="8" s="1"/>
  <c r="F665" i="8" s="1"/>
  <c r="F666" i="8" s="1"/>
  <c r="F667" i="8" s="1"/>
  <c r="F668" i="8" s="1"/>
  <c r="F669" i="8" s="1"/>
  <c r="F670" i="8" s="1"/>
  <c r="F671" i="8" s="1"/>
  <c r="F672" i="8" s="1"/>
  <c r="F673" i="8" s="1"/>
  <c r="F674" i="8" s="1"/>
  <c r="F675" i="8" s="1"/>
  <c r="F676" i="8" s="1"/>
  <c r="F677" i="8" s="1"/>
  <c r="F678" i="8" s="1"/>
  <c r="F679" i="8" s="1"/>
  <c r="F680" i="8" s="1"/>
  <c r="F681" i="8" s="1"/>
  <c r="F682" i="8" s="1"/>
  <c r="F683" i="8" s="1"/>
  <c r="F684" i="8" s="1"/>
  <c r="F685" i="8" s="1"/>
  <c r="F686" i="8" s="1"/>
  <c r="F687" i="8" s="1"/>
  <c r="F688" i="8" s="1"/>
  <c r="F689" i="8" s="1"/>
  <c r="F690" i="8" s="1"/>
  <c r="F691" i="8" s="1"/>
  <c r="F692" i="8" s="1"/>
  <c r="F693" i="8" s="1"/>
  <c r="F694" i="8" s="1"/>
  <c r="F695" i="8" s="1"/>
  <c r="F696" i="8" s="1"/>
  <c r="F697" i="8" s="1"/>
  <c r="F698" i="8" s="1"/>
  <c r="F699" i="8" s="1"/>
  <c r="F700" i="8" s="1"/>
  <c r="F701" i="8" s="1"/>
  <c r="F702" i="8" s="1"/>
  <c r="F703" i="8" s="1"/>
  <c r="F704" i="8" s="1"/>
  <c r="F705" i="8" s="1"/>
  <c r="F706" i="8" s="1"/>
  <c r="F707" i="8" s="1"/>
  <c r="F708" i="8" s="1"/>
  <c r="F709" i="8" s="1"/>
  <c r="F710" i="8" s="1"/>
  <c r="F711" i="8" s="1"/>
  <c r="F712" i="8" s="1"/>
  <c r="F713" i="8" s="1"/>
  <c r="F714" i="8" s="1"/>
  <c r="F715" i="8" s="1"/>
  <c r="F716" i="8" s="1"/>
  <c r="F717" i="8" s="1"/>
  <c r="F718" i="8" s="1"/>
  <c r="F719" i="8" s="1"/>
  <c r="F720" i="8" s="1"/>
  <c r="F721" i="8" s="1"/>
  <c r="F722" i="8" s="1"/>
  <c r="F723" i="8" s="1"/>
  <c r="F724" i="8" s="1"/>
  <c r="F725" i="8" s="1"/>
  <c r="F726" i="8" s="1"/>
  <c r="F727" i="8" s="1"/>
  <c r="F728" i="8" s="1"/>
  <c r="F729" i="8" s="1"/>
  <c r="F730" i="8" s="1"/>
  <c r="F731" i="8" s="1"/>
  <c r="F732" i="8" s="1"/>
  <c r="F733" i="8" s="1"/>
  <c r="F734" i="8" s="1"/>
  <c r="F735" i="8" s="1"/>
  <c r="F736" i="8" s="1"/>
  <c r="F737" i="8" s="1"/>
  <c r="F738" i="8" s="1"/>
  <c r="F739" i="8" s="1"/>
  <c r="F740" i="8" s="1"/>
  <c r="F741" i="8" s="1"/>
  <c r="F742" i="8" s="1"/>
  <c r="F743" i="8" s="1"/>
  <c r="F744" i="8" s="1"/>
  <c r="F745" i="8" s="1"/>
  <c r="F746" i="8" s="1"/>
  <c r="F747" i="8" s="1"/>
  <c r="F748" i="8" s="1"/>
  <c r="F749" i="8" s="1"/>
  <c r="F750" i="8" s="1"/>
  <c r="F751" i="8" s="1"/>
  <c r="F752" i="8" s="1"/>
  <c r="F753" i="8" s="1"/>
  <c r="F754" i="8" s="1"/>
  <c r="F755" i="8" s="1"/>
  <c r="F756" i="8" s="1"/>
  <c r="F757" i="8" s="1"/>
  <c r="F758" i="8" s="1"/>
  <c r="F759" i="8" s="1"/>
  <c r="F760" i="8" s="1"/>
  <c r="F761" i="8" s="1"/>
  <c r="F762" i="8" s="1"/>
  <c r="F763" i="8" s="1"/>
  <c r="F764" i="8" s="1"/>
  <c r="F765" i="8" s="1"/>
  <c r="F766" i="8" s="1"/>
  <c r="F767" i="8" s="1"/>
  <c r="F768" i="8" s="1"/>
  <c r="F769" i="8" s="1"/>
  <c r="F770" i="8" s="1"/>
  <c r="F771" i="8" s="1"/>
  <c r="F772" i="8" s="1"/>
  <c r="F773" i="8" s="1"/>
  <c r="F774" i="8" s="1"/>
  <c r="F775" i="8" s="1"/>
  <c r="F776" i="8" s="1"/>
  <c r="F777" i="8" s="1"/>
  <c r="F778" i="8" s="1"/>
  <c r="F779" i="8" s="1"/>
  <c r="F780" i="8" s="1"/>
  <c r="F781" i="8" s="1"/>
  <c r="F782" i="8" s="1"/>
  <c r="F783" i="8" s="1"/>
  <c r="F784" i="8" s="1"/>
  <c r="F785" i="8" s="1"/>
  <c r="F786" i="8" s="1"/>
  <c r="F787" i="8" s="1"/>
  <c r="F788" i="8" s="1"/>
  <c r="F789" i="8" s="1"/>
  <c r="F790" i="8" s="1"/>
  <c r="F791" i="8" s="1"/>
  <c r="F792" i="8" s="1"/>
  <c r="F793" i="8" s="1"/>
  <c r="F794" i="8" s="1"/>
  <c r="F795" i="8" s="1"/>
  <c r="F796" i="8" s="1"/>
  <c r="F797" i="8" s="1"/>
  <c r="F798" i="8" s="1"/>
  <c r="F799" i="8" s="1"/>
  <c r="F800" i="8" s="1"/>
  <c r="F801" i="8" s="1"/>
  <c r="F802" i="8" s="1"/>
  <c r="F803" i="8" s="1"/>
  <c r="F804" i="8" s="1"/>
  <c r="F805" i="8" s="1"/>
  <c r="F806" i="8" s="1"/>
  <c r="F807" i="8" s="1"/>
  <c r="F808" i="8" s="1"/>
  <c r="F809" i="8" s="1"/>
  <c r="F810" i="8" s="1"/>
  <c r="F811" i="8" s="1"/>
  <c r="F812" i="8" s="1"/>
  <c r="F813" i="8" s="1"/>
  <c r="F814" i="8" s="1"/>
  <c r="F815" i="8" s="1"/>
  <c r="F816" i="8" s="1"/>
  <c r="F817" i="8" s="1"/>
  <c r="F818" i="8" s="1"/>
  <c r="F819" i="8" s="1"/>
  <c r="F820" i="8" s="1"/>
  <c r="F821" i="8" s="1"/>
  <c r="F822" i="8" s="1"/>
  <c r="F823" i="8" s="1"/>
  <c r="F824" i="8" s="1"/>
  <c r="F825" i="8" s="1"/>
  <c r="F826" i="8" s="1"/>
  <c r="F827" i="8" s="1"/>
  <c r="F828" i="8" s="1"/>
  <c r="F829" i="8" s="1"/>
  <c r="F830" i="8" s="1"/>
  <c r="F831" i="8" s="1"/>
  <c r="F832" i="8" s="1"/>
  <c r="F833" i="8" s="1"/>
  <c r="F834" i="8" s="1"/>
  <c r="F835" i="8" s="1"/>
  <c r="F836" i="8" s="1"/>
  <c r="F837" i="8" s="1"/>
  <c r="F838" i="8" s="1"/>
  <c r="F839" i="8" s="1"/>
  <c r="F840" i="8" s="1"/>
  <c r="F841" i="8" s="1"/>
  <c r="F842" i="8" s="1"/>
  <c r="F843" i="8" s="1"/>
  <c r="F844" i="8" s="1"/>
  <c r="F845" i="8" s="1"/>
  <c r="F846" i="8" s="1"/>
  <c r="F847" i="8" s="1"/>
  <c r="F848" i="8" s="1"/>
  <c r="F849" i="8" s="1"/>
  <c r="F850" i="8" s="1"/>
  <c r="F851" i="8" s="1"/>
  <c r="F852" i="8" s="1"/>
  <c r="F853" i="8" s="1"/>
  <c r="F854" i="8" s="1"/>
  <c r="F855" i="8" s="1"/>
  <c r="F856" i="8" s="1"/>
  <c r="F857" i="8" s="1"/>
  <c r="F858" i="8" s="1"/>
  <c r="F8" i="8"/>
  <c r="F9" i="8" s="1"/>
  <c r="F10" i="8" s="1"/>
  <c r="F11" i="8" s="1"/>
  <c r="F12" i="8" s="1"/>
  <c r="H4" i="8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Y5" i="3" l="1"/>
  <c r="K2626" i="1"/>
  <c r="K2602" i="1"/>
  <c r="K763" i="1"/>
  <c r="K596" i="1"/>
  <c r="K3055" i="1"/>
  <c r="K2966" i="1"/>
  <c r="K2958" i="1"/>
  <c r="K2570" i="1"/>
  <c r="K2556" i="1"/>
  <c r="K2442" i="1"/>
  <c r="K2289" i="1"/>
  <c r="K2250" i="1"/>
  <c r="K2166" i="1"/>
  <c r="K770" i="1"/>
  <c r="K2677" i="1"/>
  <c r="K2527" i="1"/>
  <c r="K899" i="1"/>
  <c r="K690" i="1"/>
  <c r="K678" i="1"/>
  <c r="K687" i="1"/>
  <c r="K231" i="1"/>
  <c r="K3322" i="1"/>
  <c r="K2608" i="1"/>
  <c r="K568" i="1"/>
  <c r="K413" i="1"/>
  <c r="K323" i="1"/>
  <c r="K155" i="1"/>
  <c r="K39" i="1"/>
  <c r="K939" i="1"/>
  <c r="K269" i="1"/>
  <c r="K2703" i="1"/>
  <c r="K1934" i="1"/>
  <c r="K3817" i="1"/>
  <c r="K3654" i="1"/>
  <c r="K2204" i="1"/>
  <c r="K2081" i="1"/>
  <c r="K2227" i="1"/>
  <c r="K643" i="1"/>
  <c r="K2317" i="1"/>
  <c r="K2310" i="1"/>
  <c r="K719" i="1"/>
  <c r="K1600" i="1"/>
  <c r="K1359" i="1"/>
  <c r="K964" i="1"/>
  <c r="K197" i="1"/>
  <c r="K77" i="1"/>
  <c r="K42" i="1"/>
  <c r="K1230" i="1"/>
  <c r="K1222" i="1"/>
  <c r="K1076" i="1"/>
  <c r="K1061" i="1"/>
  <c r="K857" i="1"/>
  <c r="K658" i="1"/>
  <c r="K445" i="1"/>
  <c r="K316" i="1"/>
  <c r="K3464" i="1"/>
  <c r="K3438" i="1"/>
  <c r="K3446" i="1"/>
  <c r="K3204" i="1"/>
  <c r="K3285" i="1"/>
  <c r="K3264" i="1"/>
  <c r="K3328" i="1"/>
  <c r="K2258" i="1"/>
  <c r="K1282" i="1"/>
  <c r="K1689" i="1"/>
  <c r="K1654" i="1"/>
  <c r="K2231" i="1"/>
  <c r="K911" i="1"/>
  <c r="K177" i="1"/>
  <c r="K98" i="1"/>
  <c r="K1775" i="1"/>
  <c r="K1462" i="1"/>
  <c r="K1443" i="1"/>
  <c r="K1440" i="1"/>
  <c r="K2366" i="1"/>
  <c r="K1938" i="1"/>
  <c r="K2720" i="1"/>
  <c r="K2555" i="1"/>
  <c r="K492" i="1"/>
  <c r="K3860" i="1"/>
  <c r="K3815" i="1"/>
  <c r="K3645" i="1"/>
  <c r="K3767" i="1"/>
  <c r="K2993" i="1"/>
  <c r="K2329" i="1"/>
  <c r="K2177" i="1"/>
  <c r="K2120" i="1"/>
  <c r="K2051" i="1"/>
  <c r="K1915" i="1"/>
  <c r="K1815" i="1"/>
  <c r="K1743" i="1"/>
  <c r="K1737" i="1"/>
  <c r="K1591" i="1"/>
  <c r="K1559" i="1"/>
  <c r="K1269" i="1"/>
  <c r="K1266" i="1"/>
  <c r="K889" i="1"/>
  <c r="K720" i="1"/>
  <c r="K704" i="1"/>
  <c r="K700" i="1"/>
  <c r="K533" i="1"/>
  <c r="K512" i="1"/>
  <c r="K225" i="1"/>
  <c r="K1291" i="1"/>
  <c r="K558" i="1"/>
  <c r="K493" i="1"/>
  <c r="K3727" i="1"/>
  <c r="K3191" i="1"/>
  <c r="K3220" i="1"/>
  <c r="K2900" i="1"/>
  <c r="K1661" i="1"/>
  <c r="K1366" i="1"/>
  <c r="K1164" i="1"/>
  <c r="K912" i="1"/>
  <c r="K201" i="1"/>
  <c r="K858" i="1"/>
  <c r="K180" i="1"/>
  <c r="K99" i="1"/>
  <c r="K50" i="1"/>
  <c r="K3819" i="1"/>
  <c r="K3403" i="1"/>
  <c r="K3299" i="1"/>
  <c r="K2765" i="1"/>
  <c r="K2449" i="1"/>
  <c r="K1939" i="1"/>
  <c r="K588" i="1"/>
  <c r="K224" i="1"/>
  <c r="K3298" i="1"/>
  <c r="K2744" i="1"/>
  <c r="K2155" i="1"/>
  <c r="K2134" i="1"/>
  <c r="K1533" i="1"/>
  <c r="K237" i="1"/>
  <c r="K3820" i="1"/>
  <c r="K3728" i="1"/>
  <c r="K3635" i="1"/>
  <c r="K3775" i="1"/>
  <c r="K3189" i="1"/>
  <c r="K3171" i="1"/>
  <c r="K2858" i="1"/>
  <c r="K2069" i="1"/>
  <c r="K2045" i="1"/>
  <c r="K2025" i="1"/>
  <c r="K1875" i="1"/>
  <c r="K1526" i="1"/>
  <c r="K1406" i="1"/>
  <c r="K1540" i="1"/>
  <c r="K1246" i="1"/>
  <c r="K1232" i="1"/>
  <c r="K1007" i="1"/>
  <c r="K374" i="1"/>
  <c r="K181" i="1"/>
  <c r="K1858" i="1"/>
  <c r="K1691" i="1"/>
  <c r="K713" i="1"/>
  <c r="K3866" i="1"/>
  <c r="K3766" i="1"/>
  <c r="K3458" i="1"/>
  <c r="K3500" i="1"/>
  <c r="K2285" i="1"/>
  <c r="K2257" i="1"/>
  <c r="K2128" i="1"/>
  <c r="K2981" i="1"/>
  <c r="K2218" i="1"/>
  <c r="K1927" i="1"/>
  <c r="K1772" i="1"/>
  <c r="K1095" i="1"/>
  <c r="K3667" i="1"/>
  <c r="K3465" i="1"/>
  <c r="K3193" i="1"/>
  <c r="K3287" i="1"/>
  <c r="K1220" i="1"/>
  <c r="K1592" i="1"/>
  <c r="K1272" i="1"/>
  <c r="K885" i="1"/>
  <c r="K682" i="1"/>
  <c r="K1390" i="1"/>
  <c r="K3890" i="1"/>
  <c r="K1625" i="1"/>
  <c r="K3692" i="1"/>
  <c r="K297" i="1"/>
  <c r="K188" i="1"/>
  <c r="K3641" i="1"/>
  <c r="K1756" i="1"/>
  <c r="K1646" i="1"/>
  <c r="K1629" i="1"/>
  <c r="K1144" i="1"/>
  <c r="K1132" i="1"/>
  <c r="K771" i="1"/>
  <c r="K2645" i="1"/>
  <c r="K2484" i="1"/>
  <c r="K2386" i="1"/>
  <c r="K2144" i="1"/>
  <c r="K1954" i="1"/>
  <c r="K1634" i="1"/>
  <c r="K3406" i="1"/>
  <c r="K3437" i="1"/>
  <c r="K3480" i="1"/>
  <c r="K3498" i="1"/>
  <c r="K3137" i="1"/>
  <c r="K2107" i="1"/>
  <c r="K2013" i="1"/>
  <c r="K1978" i="1"/>
  <c r="K1593" i="1"/>
  <c r="K1583" i="1"/>
  <c r="K1528" i="1"/>
  <c r="K965" i="1"/>
  <c r="K2901" i="1"/>
  <c r="K1663" i="1"/>
  <c r="K1286" i="1"/>
  <c r="K1143" i="1"/>
  <c r="K1083" i="1"/>
  <c r="K665" i="1"/>
  <c r="K553" i="1"/>
  <c r="K366" i="1"/>
  <c r="K321" i="1"/>
  <c r="K166" i="1"/>
  <c r="K67" i="1"/>
  <c r="K33" i="1"/>
  <c r="K1113" i="1"/>
  <c r="K3359" i="1"/>
  <c r="K2196" i="1"/>
  <c r="K749" i="1"/>
  <c r="K448" i="1"/>
  <c r="K341" i="1"/>
  <c r="K182" i="1"/>
  <c r="K54" i="1"/>
  <c r="K2748" i="1"/>
  <c r="K2066" i="1"/>
  <c r="K1454" i="1"/>
  <c r="K530" i="1"/>
  <c r="K577" i="1"/>
  <c r="K207" i="1"/>
  <c r="K92" i="1"/>
  <c r="K26" i="1"/>
  <c r="K1550" i="1"/>
  <c r="K2830" i="1"/>
  <c r="K3599" i="1"/>
  <c r="K3592" i="1"/>
  <c r="K3404" i="1"/>
  <c r="K2113" i="1"/>
  <c r="K1098" i="1"/>
  <c r="K2911" i="1"/>
  <c r="K414" i="1"/>
  <c r="K3527" i="1"/>
  <c r="K3523" i="1"/>
  <c r="K1555" i="1"/>
  <c r="K838" i="1"/>
  <c r="K398" i="1"/>
  <c r="K322" i="1"/>
  <c r="K172" i="1"/>
  <c r="K108" i="1"/>
  <c r="K100" i="1"/>
  <c r="K51" i="1"/>
  <c r="K1192" i="1"/>
  <c r="K2567" i="1"/>
  <c r="K1671" i="1"/>
  <c r="K1484" i="1"/>
  <c r="K1364" i="1"/>
  <c r="K1315" i="1"/>
  <c r="K804" i="1"/>
  <c r="K772" i="1"/>
  <c r="K610" i="1"/>
  <c r="K285" i="1"/>
  <c r="K252" i="1"/>
  <c r="K229" i="1"/>
  <c r="K1245" i="1"/>
  <c r="K1504" i="1"/>
  <c r="K3781" i="1"/>
  <c r="K3793" i="1"/>
  <c r="K3610" i="1"/>
  <c r="K3356" i="1"/>
  <c r="K3347" i="1"/>
  <c r="K3005" i="1"/>
  <c r="K2989" i="1"/>
  <c r="K2817" i="1"/>
  <c r="K2805" i="1"/>
  <c r="K2679" i="1"/>
  <c r="K2661" i="1"/>
  <c r="K2167" i="1"/>
  <c r="K1965" i="1"/>
  <c r="K1808" i="1"/>
  <c r="K1699" i="1"/>
  <c r="K840" i="1"/>
  <c r="K603" i="1"/>
  <c r="K367" i="1"/>
  <c r="K350" i="1"/>
  <c r="K2030" i="1"/>
  <c r="K1877" i="1"/>
  <c r="K2000" i="1"/>
  <c r="K701" i="1"/>
  <c r="K1841" i="1"/>
  <c r="K1832" i="1"/>
  <c r="K1785" i="1"/>
  <c r="K3629" i="1"/>
  <c r="K2687" i="1"/>
  <c r="K732" i="1"/>
  <c r="K148" i="1"/>
  <c r="K66" i="1"/>
  <c r="K37" i="1"/>
  <c r="K3433" i="1"/>
  <c r="K3823" i="1"/>
  <c r="K3881" i="1"/>
  <c r="K3765" i="1"/>
  <c r="K3506" i="1"/>
  <c r="K3338" i="1"/>
  <c r="K3355" i="1"/>
  <c r="K3168" i="1"/>
  <c r="K2980" i="1"/>
  <c r="K2533" i="1"/>
  <c r="K2363" i="1"/>
  <c r="K2219" i="1"/>
  <c r="K2047" i="1"/>
  <c r="K1718" i="1"/>
  <c r="K1549" i="1"/>
  <c r="K671" i="1"/>
  <c r="K547" i="1"/>
  <c r="K432" i="1"/>
  <c r="K364" i="1"/>
  <c r="K190" i="1"/>
  <c r="K55" i="1"/>
  <c r="K3816" i="1"/>
  <c r="K3562" i="1"/>
  <c r="K3468" i="1"/>
  <c r="K2719" i="1"/>
  <c r="K2588" i="1"/>
  <c r="K2469" i="1"/>
  <c r="K2379" i="1"/>
  <c r="K2309" i="1"/>
  <c r="K2147" i="1"/>
  <c r="K2119" i="1"/>
  <c r="K1955" i="1"/>
  <c r="K1853" i="1"/>
  <c r="K1483" i="1"/>
  <c r="K1330" i="1"/>
  <c r="K332" i="1"/>
  <c r="K1630" i="1"/>
  <c r="K1161" i="1"/>
  <c r="K831" i="1"/>
  <c r="K606" i="1"/>
  <c r="K293" i="1"/>
  <c r="K273" i="1"/>
  <c r="K1967" i="1"/>
  <c r="K1503" i="1"/>
  <c r="K3717" i="1"/>
  <c r="K3700" i="1"/>
  <c r="K3578" i="1"/>
  <c r="K3595" i="1"/>
  <c r="K3416" i="1"/>
  <c r="K3119" i="1"/>
  <c r="K3063" i="1"/>
  <c r="K2909" i="1"/>
  <c r="K2390" i="1"/>
  <c r="K1827" i="1"/>
  <c r="K766" i="1"/>
  <c r="K680" i="1"/>
  <c r="K527" i="1"/>
  <c r="K517" i="1"/>
  <c r="K3705" i="1"/>
  <c r="K3677" i="1"/>
  <c r="K667" i="1"/>
  <c r="K648" i="1"/>
  <c r="K437" i="1"/>
  <c r="K363" i="1"/>
  <c r="K3418" i="1"/>
  <c r="K3367" i="1"/>
  <c r="K2083" i="1"/>
  <c r="K3025" i="1"/>
  <c r="K2642" i="1"/>
  <c r="K2035" i="1"/>
  <c r="K1811" i="1"/>
  <c r="K1214" i="1"/>
  <c r="K1131" i="1"/>
  <c r="K1008" i="1"/>
  <c r="K246" i="1"/>
  <c r="K2181" i="1"/>
  <c r="K2040" i="1"/>
  <c r="K1941" i="1"/>
  <c r="K1215" i="1"/>
  <c r="K3834" i="1"/>
  <c r="K3743" i="1"/>
  <c r="K3427" i="1"/>
  <c r="K3442" i="1"/>
  <c r="K818" i="1"/>
  <c r="K263" i="1"/>
  <c r="K3806" i="1"/>
  <c r="K3736" i="1"/>
  <c r="K3753" i="1"/>
  <c r="K3832" i="1"/>
  <c r="K3366" i="1"/>
  <c r="K3051" i="1"/>
  <c r="K2617" i="1"/>
  <c r="K1782" i="1"/>
  <c r="K488" i="1"/>
  <c r="K1351" i="1"/>
  <c r="K3798" i="1"/>
  <c r="K3007" i="1"/>
  <c r="K2841" i="1"/>
  <c r="K2836" i="1"/>
  <c r="K1208" i="1"/>
  <c r="K1594" i="1"/>
  <c r="K1586" i="1"/>
  <c r="K3099" i="1"/>
  <c r="K2878" i="1"/>
  <c r="K2088" i="1"/>
  <c r="K1824" i="1"/>
  <c r="K1496" i="1"/>
  <c r="K1381" i="1"/>
  <c r="K1103" i="1"/>
  <c r="K938" i="1"/>
  <c r="K921" i="1"/>
  <c r="K2055" i="1"/>
  <c r="K1732" i="1"/>
  <c r="K1260" i="1"/>
  <c r="K1065" i="1"/>
  <c r="K661" i="1"/>
  <c r="K409" i="1"/>
  <c r="K2530" i="1"/>
  <c r="K390" i="1"/>
  <c r="K340" i="1"/>
  <c r="K142" i="1"/>
  <c r="K78" i="1"/>
  <c r="K43" i="1"/>
  <c r="K1348" i="1"/>
  <c r="K1140" i="1"/>
  <c r="K1115" i="1"/>
  <c r="K951" i="1"/>
  <c r="K573" i="1"/>
  <c r="K521" i="1"/>
  <c r="K504" i="1"/>
  <c r="K423" i="1"/>
  <c r="K380" i="1"/>
  <c r="K309" i="1"/>
  <c r="K308" i="1"/>
  <c r="K233" i="1"/>
  <c r="K1541" i="1"/>
  <c r="K1523" i="1"/>
  <c r="K1486" i="1"/>
  <c r="K3678" i="1"/>
  <c r="K1309" i="1"/>
  <c r="K522" i="1"/>
  <c r="K503" i="1"/>
  <c r="K483" i="1"/>
  <c r="K3774" i="1"/>
  <c r="K2819" i="1"/>
  <c r="K1199" i="1"/>
  <c r="K1185" i="1"/>
  <c r="K1012" i="1"/>
  <c r="K2307" i="1"/>
  <c r="K1488" i="1"/>
  <c r="K1391" i="1"/>
  <c r="K1239" i="1"/>
  <c r="K853" i="1"/>
  <c r="K362" i="1"/>
  <c r="K3444" i="1"/>
  <c r="K3196" i="1"/>
  <c r="K3251" i="1"/>
  <c r="K3260" i="1"/>
  <c r="K2771" i="1"/>
  <c r="K1879" i="1"/>
  <c r="K1227" i="1"/>
  <c r="K881" i="1"/>
  <c r="K375" i="1"/>
  <c r="K311" i="1"/>
  <c r="K586" i="1"/>
  <c r="K1425" i="1"/>
  <c r="K1305" i="1"/>
  <c r="K1078" i="1"/>
  <c r="K849" i="1"/>
  <c r="K3541" i="1"/>
  <c r="K3394" i="1"/>
  <c r="K3284" i="1"/>
  <c r="K1537" i="1"/>
  <c r="K1160" i="1"/>
  <c r="K2271" i="1"/>
  <c r="K1809" i="1"/>
  <c r="K3797" i="1"/>
  <c r="K738" i="1"/>
  <c r="K3563" i="1"/>
  <c r="K3257" i="1"/>
  <c r="K3240" i="1"/>
  <c r="K3095" i="1"/>
  <c r="K3110" i="1"/>
  <c r="K3146" i="1"/>
  <c r="K3132" i="1"/>
  <c r="K2864" i="1"/>
  <c r="K2823" i="1"/>
  <c r="K2799" i="1"/>
  <c r="K2790" i="1"/>
  <c r="K2668" i="1"/>
  <c r="K2653" i="1"/>
  <c r="K2625" i="1"/>
  <c r="K2558" i="1"/>
  <c r="K2536" i="1"/>
  <c r="K2474" i="1"/>
  <c r="K2432" i="1"/>
  <c r="K2424" i="1"/>
  <c r="K1662" i="1"/>
  <c r="K1569" i="1"/>
  <c r="K1492" i="1"/>
  <c r="K1212" i="1"/>
  <c r="K1198" i="1"/>
  <c r="K1191" i="1"/>
  <c r="K1167" i="1"/>
  <c r="K1146" i="1"/>
  <c r="K1130" i="1"/>
  <c r="K1029" i="1"/>
  <c r="K1019" i="1"/>
  <c r="K974" i="1"/>
  <c r="K950" i="1"/>
  <c r="K918" i="1"/>
  <c r="K402" i="1"/>
  <c r="K3510" i="1"/>
  <c r="K3345" i="1"/>
  <c r="K2956" i="1"/>
  <c r="K869" i="1"/>
  <c r="K2398" i="1"/>
  <c r="K1912" i="1"/>
  <c r="K1753" i="1"/>
  <c r="K3862" i="1"/>
  <c r="K3353" i="1"/>
  <c r="K2660" i="1"/>
  <c r="K2352" i="1"/>
  <c r="K2343" i="1"/>
  <c r="K1869" i="1"/>
  <c r="K3807" i="1"/>
  <c r="K3873" i="1"/>
  <c r="K3879" i="1"/>
  <c r="K3518" i="1"/>
  <c r="K3360" i="1"/>
  <c r="K3116" i="1"/>
  <c r="K3166" i="1"/>
  <c r="K3179" i="1"/>
  <c r="K2849" i="1"/>
  <c r="K2699" i="1"/>
  <c r="K2683" i="1"/>
  <c r="K2665" i="1"/>
  <c r="K2582" i="1"/>
  <c r="K2454" i="1"/>
  <c r="K2373" i="1"/>
  <c r="K2336" i="1"/>
  <c r="K2272" i="1"/>
  <c r="K2228" i="1"/>
  <c r="K2082" i="1"/>
  <c r="K2061" i="1"/>
  <c r="K1994" i="1"/>
  <c r="K1964" i="1"/>
  <c r="K1916" i="1"/>
  <c r="K1774" i="1"/>
  <c r="K1730" i="1"/>
  <c r="K1619" i="1"/>
  <c r="K1596" i="1"/>
  <c r="K1577" i="1"/>
  <c r="K1418" i="1"/>
  <c r="K1241" i="1"/>
  <c r="K729" i="1"/>
  <c r="K659" i="1"/>
  <c r="K563" i="1"/>
  <c r="K161" i="1"/>
  <c r="K107" i="1"/>
  <c r="K30" i="1"/>
  <c r="K3449" i="1"/>
  <c r="K3084" i="1"/>
  <c r="K2929" i="1"/>
  <c r="K2910" i="1"/>
  <c r="K2943" i="1"/>
  <c r="K2758" i="1"/>
  <c r="K2742" i="1"/>
  <c r="K2578" i="1"/>
  <c r="K2091" i="1"/>
  <c r="K2017" i="1"/>
  <c r="K1773" i="1"/>
  <c r="K1762" i="1"/>
  <c r="K1183" i="1"/>
  <c r="K1129" i="1"/>
  <c r="K1024" i="1"/>
  <c r="K972" i="1"/>
  <c r="K468" i="1"/>
  <c r="K456" i="1"/>
  <c r="K290" i="1"/>
  <c r="K244" i="1"/>
  <c r="K240" i="1"/>
  <c r="K1341" i="1"/>
  <c r="K1102" i="1"/>
  <c r="K982" i="1"/>
  <c r="K759" i="1"/>
  <c r="K559" i="1"/>
  <c r="K170" i="1"/>
  <c r="K4" i="1"/>
  <c r="K1506" i="1"/>
  <c r="K1370" i="1"/>
  <c r="K3833" i="1"/>
  <c r="K3709" i="1"/>
  <c r="K3363" i="1"/>
  <c r="K3455" i="1"/>
  <c r="K3242" i="1"/>
  <c r="K3228" i="1"/>
  <c r="K3104" i="1"/>
  <c r="K731" i="1"/>
  <c r="K169" i="1"/>
  <c r="K32" i="1"/>
  <c r="K138" i="1"/>
  <c r="K3045" i="1"/>
  <c r="K1626" i="1"/>
  <c r="K1606" i="1"/>
  <c r="K855" i="1"/>
  <c r="K3848" i="1"/>
  <c r="K3827" i="1"/>
  <c r="K3684" i="1"/>
  <c r="K3421" i="1"/>
  <c r="K3203" i="1"/>
  <c r="K2852" i="1"/>
  <c r="K2772" i="1"/>
  <c r="K2437" i="1"/>
  <c r="K2365" i="1"/>
  <c r="K2229" i="1"/>
  <c r="K1818" i="1"/>
  <c r="K809" i="1"/>
  <c r="K1724" i="1"/>
  <c r="K569" i="1"/>
  <c r="K1217" i="1"/>
  <c r="K746" i="1"/>
  <c r="K1063" i="1"/>
  <c r="K584" i="1"/>
  <c r="K3587" i="1"/>
  <c r="K2866" i="1"/>
  <c r="K157" i="1"/>
  <c r="K80" i="1"/>
  <c r="K22" i="1"/>
  <c r="K3850" i="1"/>
  <c r="K3576" i="1"/>
  <c r="K3606" i="1"/>
  <c r="K2415" i="1"/>
  <c r="K2037" i="1"/>
  <c r="K1609" i="1"/>
  <c r="K1552" i="1"/>
  <c r="K1476" i="1"/>
  <c r="K1307" i="1"/>
  <c r="K1248" i="1"/>
  <c r="K1134" i="1"/>
  <c r="K1047" i="1"/>
  <c r="K981" i="1"/>
  <c r="K966" i="1"/>
  <c r="K877" i="1"/>
  <c r="K669" i="1"/>
  <c r="K609" i="1"/>
  <c r="K385" i="1"/>
  <c r="K331" i="1"/>
  <c r="K130" i="1"/>
  <c r="K102" i="1"/>
  <c r="K7" i="1"/>
  <c r="K3729" i="1"/>
  <c r="K3664" i="1"/>
  <c r="K3747" i="1"/>
  <c r="K3594" i="1"/>
  <c r="K3420" i="1"/>
  <c r="K3368" i="1"/>
  <c r="K3434" i="1"/>
  <c r="K3230" i="1"/>
  <c r="K3311" i="1"/>
  <c r="K3112" i="1"/>
  <c r="K2867" i="1"/>
  <c r="K2638" i="1"/>
  <c r="K2615" i="1"/>
  <c r="K2462" i="1"/>
  <c r="K2389" i="1"/>
  <c r="K2298" i="1"/>
  <c r="K2143" i="1"/>
  <c r="K1682" i="1"/>
  <c r="K1668" i="1"/>
  <c r="K836" i="1"/>
  <c r="K824" i="1"/>
  <c r="K865" i="1"/>
  <c r="K841" i="1"/>
  <c r="K875" i="1"/>
  <c r="K3844" i="1"/>
  <c r="K3181" i="1"/>
  <c r="K2803" i="1"/>
  <c r="K2517" i="1"/>
  <c r="K826" i="1"/>
  <c r="K2505" i="1"/>
  <c r="K2191" i="1"/>
  <c r="K873" i="1"/>
  <c r="K434" i="1"/>
  <c r="K313" i="1"/>
  <c r="K171" i="1"/>
  <c r="K3869" i="1"/>
  <c r="K2509" i="1"/>
  <c r="K2353" i="1"/>
  <c r="K1867" i="1"/>
  <c r="K1728" i="1"/>
  <c r="K1701" i="1"/>
  <c r="K1453" i="1"/>
  <c r="K1301" i="1"/>
  <c r="K2490" i="1"/>
  <c r="K2479" i="1"/>
  <c r="K2312" i="1"/>
  <c r="K2268" i="1"/>
  <c r="K2671" i="1"/>
  <c r="K2059" i="1"/>
  <c r="K1891" i="1"/>
  <c r="K677" i="1"/>
  <c r="K454" i="1"/>
  <c r="K3419" i="1"/>
  <c r="K3332" i="1"/>
  <c r="K3090" i="1"/>
  <c r="K3053" i="1"/>
  <c r="K2868" i="1"/>
  <c r="K2948" i="1"/>
  <c r="K2757" i="1"/>
  <c r="K3082" i="1"/>
  <c r="K2551" i="1"/>
  <c r="K2382" i="1"/>
  <c r="K3818" i="1"/>
  <c r="K3771" i="1"/>
  <c r="K2534" i="1"/>
  <c r="K2513" i="1"/>
  <c r="K2347" i="1"/>
  <c r="K2346" i="1"/>
  <c r="K2050" i="1"/>
  <c r="K2041" i="1"/>
  <c r="K1722" i="1"/>
  <c r="K1721" i="1"/>
  <c r="K1706" i="1"/>
  <c r="K1213" i="1"/>
  <c r="K863" i="1"/>
  <c r="K412" i="1"/>
  <c r="K399" i="1"/>
  <c r="K585" i="1"/>
  <c r="K2554" i="1"/>
  <c r="K1571" i="1"/>
  <c r="K1566" i="1"/>
  <c r="K3558" i="1"/>
  <c r="K3314" i="1"/>
  <c r="K3329" i="1"/>
  <c r="K3102" i="1"/>
  <c r="K3012" i="1"/>
  <c r="K2918" i="1"/>
  <c r="K2967" i="1"/>
  <c r="K3450" i="1"/>
  <c r="K2890" i="1"/>
  <c r="K2749" i="1"/>
  <c r="K2646" i="1"/>
  <c r="K2631" i="1"/>
  <c r="K2131" i="1"/>
  <c r="K1338" i="1"/>
  <c r="K1142" i="1"/>
  <c r="K984" i="1"/>
  <c r="K963" i="1"/>
  <c r="K762" i="1"/>
  <c r="K433" i="1"/>
  <c r="K320" i="1"/>
  <c r="K113" i="1"/>
  <c r="K38" i="1"/>
  <c r="K3519" i="1"/>
  <c r="K2813" i="1"/>
  <c r="K2807" i="1"/>
  <c r="K2531" i="1"/>
  <c r="K1281" i="1"/>
  <c r="K3875" i="1"/>
  <c r="K3609" i="1"/>
  <c r="K3616" i="1"/>
  <c r="K3626" i="1"/>
  <c r="K2656" i="1"/>
  <c r="K2516" i="1"/>
  <c r="K2183" i="1"/>
  <c r="K2169" i="1"/>
  <c r="K1897" i="1"/>
  <c r="K1623" i="1"/>
  <c r="K1573" i="1"/>
  <c r="K1468" i="1"/>
  <c r="K212" i="1"/>
  <c r="K993" i="1"/>
  <c r="K3666" i="1"/>
  <c r="K3681" i="1"/>
  <c r="K817" i="1"/>
  <c r="K616" i="1"/>
  <c r="K284" i="1"/>
  <c r="K251" i="1"/>
  <c r="K2842" i="1"/>
  <c r="K3454" i="1"/>
  <c r="K3474" i="1"/>
  <c r="K3484" i="1"/>
  <c r="K3194" i="1"/>
  <c r="K3211" i="1"/>
  <c r="K3263" i="1"/>
  <c r="K3265" i="1"/>
  <c r="K3324" i="1"/>
  <c r="K1826" i="1"/>
  <c r="K1485" i="1"/>
  <c r="K3497" i="1"/>
  <c r="K1945" i="1"/>
  <c r="K1931" i="1"/>
  <c r="K871" i="1"/>
  <c r="K646" i="1"/>
  <c r="K614" i="1"/>
  <c r="K443" i="1"/>
  <c r="K349" i="1"/>
  <c r="K3026" i="1"/>
  <c r="K2572" i="1"/>
  <c r="K2439" i="1"/>
  <c r="K2299" i="1"/>
  <c r="K2276" i="1"/>
  <c r="K1783" i="1"/>
  <c r="K1636" i="1"/>
  <c r="K1522" i="1"/>
  <c r="K935" i="1"/>
  <c r="K565" i="1"/>
  <c r="K154" i="1"/>
  <c r="K84" i="1"/>
  <c r="K9" i="1"/>
  <c r="K1327" i="1"/>
  <c r="K1250" i="1"/>
  <c r="K431" i="1"/>
  <c r="K3582" i="1"/>
  <c r="K2547" i="1"/>
  <c r="K3428" i="1"/>
  <c r="K418" i="1"/>
  <c r="K1306" i="1"/>
  <c r="K3831" i="1"/>
  <c r="K3737" i="1"/>
  <c r="K3396" i="1"/>
  <c r="K3411" i="1"/>
  <c r="K3115" i="1"/>
  <c r="K2110" i="1"/>
  <c r="K1998" i="1"/>
  <c r="K1943" i="1"/>
  <c r="K1680" i="1"/>
  <c r="K1637" i="1"/>
  <c r="K987" i="1"/>
  <c r="K645" i="1"/>
  <c r="K623" i="1"/>
  <c r="K3830" i="1"/>
  <c r="K3432" i="1"/>
  <c r="K3423" i="1"/>
  <c r="K3520" i="1"/>
  <c r="K1910" i="1"/>
  <c r="K557" i="1"/>
  <c r="K551" i="1"/>
  <c r="K438" i="1"/>
  <c r="K339" i="1"/>
  <c r="K159" i="1"/>
  <c r="K85" i="1"/>
  <c r="K570" i="1"/>
  <c r="K3315" i="1"/>
  <c r="K2135" i="1"/>
  <c r="K2063" i="1"/>
  <c r="K1918" i="1"/>
  <c r="K1829" i="1"/>
  <c r="K1685" i="1"/>
  <c r="K1616" i="1"/>
  <c r="K1404" i="1"/>
  <c r="K1297" i="1"/>
  <c r="K1207" i="1"/>
  <c r="K1156" i="1"/>
  <c r="K1056" i="1"/>
  <c r="K952" i="1"/>
  <c r="K924" i="1"/>
  <c r="K861" i="1"/>
  <c r="K839" i="1"/>
  <c r="K761" i="1"/>
  <c r="K734" i="1"/>
  <c r="K152" i="1"/>
  <c r="K83" i="1"/>
  <c r="K12" i="1"/>
  <c r="K277" i="1"/>
  <c r="K149" i="1"/>
  <c r="K1178" i="1"/>
  <c r="K1828" i="1"/>
  <c r="K145" i="1"/>
  <c r="K2230" i="1"/>
  <c r="K1768" i="1"/>
  <c r="K1758" i="1"/>
  <c r="K2938" i="1"/>
  <c r="K2132" i="1"/>
  <c r="K1971" i="1"/>
  <c r="K1431" i="1"/>
  <c r="K1430" i="1"/>
  <c r="K1416" i="1"/>
  <c r="K1014" i="1"/>
  <c r="K823" i="1"/>
  <c r="K813" i="1"/>
  <c r="K785" i="1"/>
  <c r="K629" i="1"/>
  <c r="K579" i="1"/>
  <c r="K266" i="1"/>
  <c r="K210" i="1"/>
  <c r="K3254" i="1"/>
  <c r="K2789" i="1"/>
  <c r="K2292" i="1"/>
  <c r="K2264" i="1"/>
  <c r="K1987" i="1"/>
  <c r="K1966" i="1"/>
  <c r="K1793" i="1"/>
  <c r="K1745" i="1"/>
  <c r="K1742" i="1"/>
  <c r="K1738" i="1"/>
  <c r="K1590" i="1"/>
  <c r="K1588" i="1"/>
  <c r="K1584" i="1"/>
  <c r="K1582" i="1"/>
  <c r="K1447" i="1"/>
  <c r="K1436" i="1"/>
  <c r="K1264" i="1"/>
  <c r="K1141" i="1"/>
  <c r="K815" i="1"/>
  <c r="K424" i="1"/>
  <c r="K348" i="1"/>
  <c r="K3555" i="1"/>
  <c r="K3566" i="1"/>
  <c r="K3387" i="1"/>
  <c r="K3275" i="1"/>
  <c r="K3092" i="1"/>
  <c r="K2651" i="1"/>
  <c r="K2549" i="1"/>
  <c r="K2105" i="1"/>
  <c r="K1823" i="1"/>
  <c r="K637" i="1"/>
  <c r="K1538" i="1"/>
  <c r="K632" i="1"/>
  <c r="K215" i="1"/>
  <c r="K1992" i="1"/>
  <c r="K1948" i="1"/>
  <c r="K867" i="1"/>
  <c r="K778" i="1"/>
  <c r="K453" i="1"/>
  <c r="K444" i="1"/>
  <c r="K185" i="1"/>
  <c r="K3016" i="1"/>
  <c r="K1252" i="1"/>
  <c r="K739" i="1"/>
  <c r="K2702" i="1"/>
  <c r="K2546" i="1"/>
  <c r="K3259" i="1"/>
  <c r="K3141" i="1"/>
  <c r="K2916" i="1"/>
  <c r="K2249" i="1"/>
  <c r="K1466" i="1"/>
  <c r="K1302" i="1"/>
  <c r="K1300" i="1"/>
  <c r="K1546" i="1"/>
  <c r="K3710" i="1"/>
  <c r="K3738" i="1"/>
  <c r="K3459" i="1"/>
  <c r="K3197" i="1"/>
  <c r="K3288" i="1"/>
  <c r="K3313" i="1"/>
  <c r="K2760" i="1"/>
  <c r="K2721" i="1"/>
  <c r="K2156" i="1"/>
  <c r="K2001" i="1"/>
  <c r="K1635" i="1"/>
  <c r="K1176" i="1"/>
  <c r="K296" i="1"/>
  <c r="K283" i="1"/>
  <c r="K250" i="1"/>
  <c r="K3342" i="1"/>
  <c r="K2515" i="1"/>
  <c r="K3065" i="1"/>
  <c r="K1346" i="1"/>
  <c r="K767" i="1"/>
  <c r="K1893" i="1"/>
  <c r="K1575" i="1"/>
  <c r="K1423" i="1"/>
  <c r="K1412" i="1"/>
  <c r="K1393" i="1"/>
  <c r="K1054" i="1"/>
  <c r="K365" i="1"/>
  <c r="K338" i="1"/>
  <c r="K422" i="1"/>
  <c r="K3871" i="1"/>
  <c r="K3188" i="1"/>
  <c r="K2334" i="1"/>
  <c r="K2930" i="1"/>
  <c r="K2008" i="1"/>
  <c r="K222" i="1"/>
  <c r="K1038" i="1"/>
  <c r="K1032" i="1"/>
  <c r="K3173" i="1"/>
  <c r="K1527" i="1"/>
  <c r="K995" i="1"/>
  <c r="K695" i="1"/>
  <c r="K686" i="1"/>
  <c r="K3840" i="1"/>
  <c r="K3310" i="1"/>
  <c r="K3147" i="1"/>
  <c r="K2458" i="1"/>
  <c r="K2158" i="1"/>
  <c r="K1202" i="1"/>
  <c r="K830" i="1"/>
  <c r="K1195" i="1"/>
  <c r="K805" i="1"/>
  <c r="K272" i="1"/>
  <c r="K256" i="1"/>
  <c r="K613" i="1"/>
  <c r="K3494" i="1"/>
  <c r="K2978" i="1"/>
  <c r="K870" i="1"/>
  <c r="K405" i="1"/>
  <c r="K1937" i="1"/>
  <c r="K3123" i="1"/>
  <c r="K3096" i="1"/>
  <c r="K2796" i="1"/>
  <c r="K2787" i="1"/>
  <c r="K2769" i="1"/>
  <c r="K2751" i="1"/>
  <c r="K2420" i="1"/>
  <c r="K2270" i="1"/>
  <c r="K2137" i="1"/>
  <c r="K2007" i="1"/>
  <c r="K1852" i="1"/>
  <c r="K1320" i="1"/>
  <c r="K1268" i="1"/>
  <c r="K1000" i="1"/>
  <c r="K901" i="1"/>
  <c r="K882" i="1"/>
  <c r="K466" i="1"/>
  <c r="K2287" i="1"/>
  <c r="K2236" i="1"/>
  <c r="K1810" i="1"/>
  <c r="K1521" i="1"/>
  <c r="K1169" i="1"/>
  <c r="K3398" i="1"/>
  <c r="K2873" i="1"/>
  <c r="K3282" i="1"/>
  <c r="K2979" i="1"/>
  <c r="K2752" i="1"/>
  <c r="K2745" i="1"/>
  <c r="K2672" i="1"/>
  <c r="K2659" i="1"/>
  <c r="K2610" i="1"/>
  <c r="K2529" i="1"/>
  <c r="K2512" i="1"/>
  <c r="K2369" i="1"/>
  <c r="K2331" i="1"/>
  <c r="K2174" i="1"/>
  <c r="K2136" i="1"/>
  <c r="K2023" i="1"/>
  <c r="K1936" i="1"/>
  <c r="K1716" i="1"/>
  <c r="K1621" i="1"/>
  <c r="K1617" i="1"/>
  <c r="K1563" i="1"/>
  <c r="K1463" i="1"/>
  <c r="K1046" i="1"/>
  <c r="K868" i="1"/>
  <c r="K146" i="1"/>
  <c r="K68" i="1"/>
  <c r="K1249" i="1"/>
  <c r="K862" i="1"/>
  <c r="K709" i="1"/>
  <c r="K662" i="1"/>
  <c r="K369" i="1"/>
  <c r="K361" i="1"/>
  <c r="K543" i="1"/>
  <c r="K3491" i="1"/>
  <c r="K2919" i="1"/>
  <c r="K2947" i="1"/>
  <c r="K2712" i="1"/>
  <c r="K2616" i="1"/>
  <c r="K2092" i="1"/>
  <c r="K1665" i="1"/>
  <c r="K1379" i="1"/>
  <c r="K243" i="1"/>
  <c r="K3835" i="1"/>
  <c r="K3856" i="1"/>
  <c r="K3887" i="1"/>
  <c r="K3864" i="1"/>
  <c r="K3870" i="1"/>
  <c r="K3067" i="1"/>
  <c r="K2941" i="1"/>
  <c r="K2609" i="1"/>
  <c r="K2451" i="1"/>
  <c r="K1830" i="1"/>
  <c r="K1321" i="1"/>
  <c r="K575" i="1"/>
  <c r="K1925" i="1"/>
  <c r="K1924" i="1"/>
  <c r="K1923" i="1"/>
  <c r="K1344" i="1"/>
  <c r="K1128" i="1"/>
  <c r="K1020" i="1"/>
  <c r="K999" i="1"/>
  <c r="K301" i="1"/>
  <c r="K3637" i="1"/>
  <c r="K1599" i="1"/>
  <c r="K176" i="1"/>
  <c r="K86" i="1"/>
  <c r="K8" i="1"/>
  <c r="K1339" i="1"/>
  <c r="K725" i="1"/>
  <c r="K703" i="1"/>
  <c r="K500" i="1"/>
  <c r="K457" i="1"/>
  <c r="K1109" i="1"/>
  <c r="K907" i="1"/>
  <c r="K265" i="1"/>
  <c r="K3812" i="1"/>
  <c r="K3889" i="1"/>
  <c r="K2970" i="1"/>
  <c r="K2954" i="1"/>
  <c r="K2953" i="1"/>
  <c r="K2284" i="1"/>
  <c r="K1909" i="1"/>
  <c r="K1702" i="1"/>
  <c r="K1513" i="1"/>
  <c r="K1427" i="1"/>
  <c r="K1415" i="1"/>
  <c r="K1354" i="1"/>
  <c r="K1206" i="1"/>
  <c r="K1204" i="1"/>
  <c r="K1111" i="1"/>
  <c r="K1094" i="1"/>
  <c r="K1085" i="1"/>
  <c r="K1031" i="1"/>
  <c r="K994" i="1"/>
  <c r="K953" i="1"/>
  <c r="K400" i="1"/>
  <c r="K337" i="1"/>
  <c r="K186" i="1"/>
  <c r="K91" i="1"/>
  <c r="K46" i="1"/>
  <c r="K2851" i="1"/>
  <c r="K2160" i="1"/>
  <c r="K1262" i="1"/>
  <c r="K3001" i="1"/>
  <c r="K2802" i="1"/>
  <c r="K3126" i="1"/>
  <c r="K2335" i="1"/>
  <c r="K2193" i="1"/>
  <c r="K2173" i="1"/>
  <c r="K1598" i="1"/>
  <c r="K1490" i="1"/>
  <c r="K1372" i="1"/>
  <c r="K1358" i="1"/>
  <c r="K1820" i="1"/>
  <c r="K1154" i="1"/>
  <c r="K2737" i="1"/>
  <c r="K2456" i="1"/>
  <c r="K3625" i="1"/>
  <c r="K2983" i="1"/>
  <c r="K2540" i="1"/>
  <c r="K2371" i="1"/>
  <c r="K2179" i="1"/>
  <c r="K1896" i="1"/>
  <c r="K1715" i="1"/>
  <c r="K1703" i="1"/>
  <c r="K1572" i="1"/>
  <c r="K1064" i="1"/>
  <c r="K1610" i="1"/>
  <c r="K1271" i="1"/>
  <c r="K888" i="1"/>
  <c r="K489" i="1"/>
  <c r="K1512" i="1"/>
  <c r="K3549" i="1"/>
  <c r="K3568" i="1"/>
  <c r="K3086" i="1"/>
  <c r="K2589" i="1"/>
  <c r="K2283" i="1"/>
  <c r="K2262" i="1"/>
  <c r="K2106" i="1"/>
  <c r="K1988" i="1"/>
  <c r="K1760" i="1"/>
  <c r="K1529" i="1"/>
  <c r="K1515" i="1"/>
  <c r="K1470" i="1"/>
  <c r="K1323" i="1"/>
  <c r="K808" i="1"/>
  <c r="K802" i="1"/>
  <c r="K977" i="1"/>
  <c r="K810" i="1"/>
  <c r="K1467" i="1"/>
  <c r="K1096" i="1"/>
  <c r="K1091" i="1"/>
  <c r="K110" i="1"/>
  <c r="K106" i="1"/>
  <c r="K52" i="1"/>
  <c r="K3857" i="1"/>
  <c r="K3573" i="1"/>
  <c r="K3537" i="1"/>
  <c r="K3589" i="1"/>
  <c r="K3375" i="1"/>
  <c r="K3405" i="1"/>
  <c r="K3136" i="1"/>
  <c r="K2739" i="1"/>
  <c r="K2715" i="1"/>
  <c r="K2711" i="1"/>
  <c r="K2475" i="1"/>
  <c r="K2313" i="1"/>
  <c r="K2139" i="1"/>
  <c r="K2126" i="1"/>
  <c r="K1957" i="1"/>
  <c r="K1797" i="1"/>
  <c r="K1539" i="1"/>
  <c r="K1376" i="1"/>
  <c r="K1127" i="1"/>
  <c r="K998" i="1"/>
  <c r="K833" i="1"/>
  <c r="K248" i="1"/>
  <c r="K3888" i="1"/>
  <c r="K3400" i="1"/>
  <c r="K3410" i="1"/>
  <c r="K3451" i="1"/>
  <c r="K3273" i="1"/>
  <c r="K3307" i="1"/>
  <c r="K3142" i="1"/>
  <c r="K2924" i="1"/>
  <c r="K2962" i="1"/>
  <c r="K2788" i="1"/>
  <c r="K2786" i="1"/>
  <c r="K2785" i="1"/>
  <c r="K2777" i="1"/>
  <c r="K2768" i="1"/>
  <c r="K2724" i="1"/>
  <c r="K2562" i="1"/>
  <c r="K2464" i="1"/>
  <c r="K2431" i="1"/>
  <c r="K2153" i="1"/>
  <c r="K2145" i="1"/>
  <c r="K1968" i="1"/>
  <c r="K1126" i="1"/>
  <c r="K973" i="1"/>
  <c r="K768" i="1"/>
  <c r="K416" i="1"/>
  <c r="K360" i="1"/>
  <c r="K115" i="1"/>
  <c r="K101" i="1"/>
  <c r="K19" i="1"/>
  <c r="K3842" i="1"/>
  <c r="K3721" i="1"/>
  <c r="K3301" i="1"/>
  <c r="K2613" i="1"/>
  <c r="K2387" i="1"/>
  <c r="K2018" i="1"/>
  <c r="K1692" i="1"/>
  <c r="K1110" i="1"/>
  <c r="K879" i="1"/>
  <c r="K860" i="1"/>
  <c r="K542" i="1"/>
  <c r="K122" i="1"/>
  <c r="K72" i="1"/>
  <c r="K5" i="1"/>
  <c r="K304" i="1"/>
  <c r="K556" i="1"/>
  <c r="K3078" i="1"/>
  <c r="K3143" i="1"/>
  <c r="K2793" i="1"/>
  <c r="K2629" i="1"/>
  <c r="K1107" i="1"/>
  <c r="K2667" i="1"/>
  <c r="K2657" i="1"/>
  <c r="K2178" i="1"/>
  <c r="K2067" i="1"/>
  <c r="K933" i="1"/>
  <c r="K922" i="1"/>
  <c r="K750" i="1"/>
  <c r="K415" i="1"/>
  <c r="K3436" i="1"/>
  <c r="K3248" i="1"/>
  <c r="K3256" i="1"/>
  <c r="K3268" i="1"/>
  <c r="K3103" i="1"/>
  <c r="K2883" i="1"/>
  <c r="K2735" i="1"/>
  <c r="K2718" i="1"/>
  <c r="K2630" i="1"/>
  <c r="K2620" i="1"/>
  <c r="K2593" i="1"/>
  <c r="K2557" i="1"/>
  <c r="K2448" i="1"/>
  <c r="K2374" i="1"/>
  <c r="K2265" i="1"/>
  <c r="K2097" i="1"/>
  <c r="K1990" i="1"/>
  <c r="K1880" i="1"/>
  <c r="K1821" i="1"/>
  <c r="K1798" i="1"/>
  <c r="K1741" i="1"/>
  <c r="K1739" i="1"/>
  <c r="K1638" i="1"/>
  <c r="K1311" i="1"/>
  <c r="K2225" i="1"/>
  <c r="K2084" i="1"/>
  <c r="K1507" i="1"/>
  <c r="K1380" i="1"/>
  <c r="K780" i="1"/>
  <c r="K3843" i="1"/>
  <c r="K3735" i="1"/>
  <c r="K3199" i="1"/>
  <c r="K3073" i="1"/>
  <c r="K2932" i="1"/>
  <c r="K2754" i="1"/>
  <c r="K2500" i="1"/>
  <c r="K2377" i="1"/>
  <c r="K2370" i="1"/>
  <c r="K2357" i="1"/>
  <c r="K2087" i="1"/>
  <c r="K2075" i="1"/>
  <c r="K1960" i="1"/>
  <c r="K1683" i="1"/>
  <c r="K1125" i="1"/>
  <c r="K1055" i="1"/>
  <c r="K916" i="1"/>
  <c r="K878" i="1"/>
  <c r="K859" i="1"/>
  <c r="K587" i="1"/>
  <c r="K183" i="1"/>
  <c r="K81" i="1"/>
  <c r="K3" i="1"/>
  <c r="K2108" i="1"/>
  <c r="K1985" i="1"/>
  <c r="K298" i="1"/>
  <c r="K255" i="1"/>
  <c r="K238" i="1"/>
  <c r="K2443" i="1"/>
  <c r="K1835" i="1"/>
  <c r="K1347" i="1"/>
  <c r="K516" i="1"/>
  <c r="K2127" i="1"/>
  <c r="K1446" i="1"/>
  <c r="K1433" i="1"/>
  <c r="K900" i="1"/>
  <c r="K463" i="1"/>
  <c r="K3060" i="1"/>
  <c r="K3154" i="1"/>
  <c r="K2895" i="1"/>
  <c r="K2884" i="1"/>
  <c r="K2376" i="1"/>
  <c r="K1375" i="1"/>
  <c r="K1037" i="1"/>
  <c r="K742" i="1"/>
  <c r="K1449" i="1"/>
  <c r="K3632" i="1"/>
  <c r="K3514" i="1"/>
  <c r="K2829" i="1"/>
  <c r="K3886" i="1"/>
  <c r="K3246" i="1"/>
  <c r="K230" i="1"/>
  <c r="K3611" i="1"/>
  <c r="K3339" i="1"/>
  <c r="K2202" i="1"/>
  <c r="K2176" i="1"/>
  <c r="K941" i="1"/>
  <c r="K124" i="1"/>
  <c r="K3233" i="1"/>
  <c r="K2939" i="1"/>
  <c r="K2261" i="1"/>
  <c r="K2254" i="1"/>
  <c r="K1534" i="1"/>
  <c r="K1361" i="1"/>
  <c r="K1153" i="1"/>
  <c r="K1114" i="1"/>
  <c r="K971" i="1"/>
  <c r="K208" i="1"/>
  <c r="K411" i="1"/>
  <c r="K336" i="1"/>
  <c r="K2650" i="1"/>
  <c r="K2428" i="1"/>
  <c r="K2101" i="1"/>
  <c r="K1814" i="1"/>
  <c r="K1675" i="1"/>
  <c r="K1667" i="1"/>
  <c r="K1524" i="1"/>
  <c r="K1510" i="1"/>
  <c r="K1181" i="1"/>
  <c r="K1139" i="1"/>
  <c r="K1118" i="1"/>
  <c r="K962" i="1"/>
  <c r="K608" i="1"/>
  <c r="K597" i="1"/>
  <c r="K198" i="1"/>
  <c r="K150" i="1"/>
  <c r="K29" i="1"/>
  <c r="K3425" i="1"/>
  <c r="K3216" i="1"/>
  <c r="K2603" i="1"/>
  <c r="K1949" i="1"/>
  <c r="K1838" i="1"/>
  <c r="K1649" i="1"/>
  <c r="K1509" i="1"/>
  <c r="K1324" i="1"/>
  <c r="K812" i="1"/>
  <c r="K1452" i="1"/>
  <c r="K1223" i="1"/>
  <c r="K1219" i="1"/>
  <c r="K571" i="1"/>
  <c r="K427" i="1"/>
  <c r="K419" i="1"/>
  <c r="K401" i="1"/>
  <c r="K359" i="1"/>
  <c r="K358" i="1"/>
  <c r="K192" i="1"/>
  <c r="K89" i="1"/>
  <c r="K47" i="1"/>
  <c r="K896" i="1"/>
  <c r="K2835" i="1"/>
  <c r="K3575" i="1"/>
  <c r="K3244" i="1"/>
  <c r="K2493" i="1"/>
  <c r="K2391" i="1"/>
  <c r="K2232" i="1"/>
  <c r="K1228" i="1"/>
  <c r="K2604" i="1"/>
  <c r="K1889" i="1"/>
  <c r="K1505" i="1"/>
  <c r="K1394" i="1"/>
  <c r="K721" i="1"/>
  <c r="K718" i="1"/>
  <c r="K368" i="1"/>
  <c r="K357" i="1"/>
  <c r="K288" i="1"/>
  <c r="K3079" i="1"/>
  <c r="K3048" i="1"/>
  <c r="K3056" i="1"/>
  <c r="K2934" i="1"/>
  <c r="K2732" i="1"/>
  <c r="K2637" i="1"/>
  <c r="K2133" i="1"/>
  <c r="K2118" i="1"/>
  <c r="K1951" i="1"/>
  <c r="K1819" i="1"/>
  <c r="K1802" i="1"/>
  <c r="K1794" i="1"/>
  <c r="K1520" i="1"/>
  <c r="K1495" i="1"/>
  <c r="K1475" i="1"/>
  <c r="K1172" i="1"/>
  <c r="K1145" i="1"/>
  <c r="K1025" i="1"/>
  <c r="K1017" i="1"/>
  <c r="K602" i="1"/>
  <c r="K3698" i="1"/>
  <c r="K1106" i="1"/>
  <c r="K1081" i="1"/>
  <c r="K886" i="1"/>
  <c r="K117" i="1"/>
  <c r="K94" i="1"/>
  <c r="K221" i="1"/>
  <c r="K3630" i="1"/>
  <c r="K135" i="1"/>
  <c r="K71" i="1"/>
  <c r="K2914" i="1"/>
  <c r="K2734" i="1"/>
  <c r="K2419" i="1"/>
  <c r="K2058" i="1"/>
  <c r="K1890" i="1"/>
  <c r="K1873" i="1"/>
  <c r="K446" i="1"/>
  <c r="K417" i="1"/>
  <c r="K136" i="1"/>
  <c r="K134" i="1"/>
  <c r="K3034" i="1"/>
  <c r="K2691" i="1"/>
  <c r="K2413" i="1"/>
  <c r="K1959" i="1"/>
  <c r="K1201" i="1"/>
  <c r="K292" i="1"/>
  <c r="K245" i="1"/>
  <c r="K2255" i="1"/>
  <c r="K1036" i="1"/>
  <c r="K260" i="1"/>
  <c r="K890" i="1"/>
  <c r="K698" i="1"/>
  <c r="K3796" i="1"/>
  <c r="K3810" i="1"/>
  <c r="K3772" i="1"/>
  <c r="K3622" i="1"/>
  <c r="K3483" i="1"/>
  <c r="K3017" i="1"/>
  <c r="K2686" i="1"/>
  <c r="K2539" i="1"/>
  <c r="K2223" i="1"/>
  <c r="K2172" i="1"/>
  <c r="K2068" i="1"/>
  <c r="K1903" i="1"/>
  <c r="K1705" i="1"/>
  <c r="K1597" i="1"/>
  <c r="K1450" i="1"/>
  <c r="K1086" i="1"/>
  <c r="K944" i="1"/>
  <c r="K1411" i="1"/>
  <c r="K1251" i="1"/>
  <c r="K1237" i="1"/>
  <c r="K741" i="1"/>
  <c r="K1010" i="1"/>
  <c r="K3049" i="1"/>
  <c r="K3100" i="1"/>
  <c r="K1157" i="1"/>
  <c r="K3757" i="1"/>
  <c r="K3739" i="1"/>
  <c r="K3787" i="1"/>
  <c r="K3574" i="1"/>
  <c r="K3471" i="1"/>
  <c r="K3482" i="1"/>
  <c r="K3236" i="1"/>
  <c r="K3297" i="1"/>
  <c r="K3109" i="1"/>
  <c r="K2995" i="1"/>
  <c r="K2974" i="1"/>
  <c r="K2946" i="1"/>
  <c r="K2767" i="1"/>
  <c r="K2756" i="1"/>
  <c r="K2725" i="1"/>
  <c r="K2647" i="1"/>
  <c r="K2561" i="1"/>
  <c r="K2559" i="1"/>
  <c r="K2552" i="1"/>
  <c r="K2434" i="1"/>
  <c r="K2305" i="1"/>
  <c r="K2288" i="1"/>
  <c r="K2245" i="1"/>
  <c r="K2124" i="1"/>
  <c r="K1980" i="1"/>
  <c r="K1786" i="1"/>
  <c r="K1519" i="1"/>
  <c r="K1317" i="1"/>
  <c r="K209" i="1"/>
  <c r="K2207" i="1"/>
  <c r="K1627" i="1"/>
  <c r="K1759" i="1"/>
  <c r="K3473" i="1"/>
  <c r="K3461" i="1"/>
  <c r="K2624" i="1"/>
  <c r="K2619" i="1"/>
  <c r="K2306" i="1"/>
  <c r="K2146" i="1"/>
  <c r="K2014" i="1"/>
  <c r="K1845" i="1"/>
  <c r="K1816" i="1"/>
  <c r="K1800" i="1"/>
  <c r="K1285" i="1"/>
  <c r="K1120" i="1"/>
  <c r="K822" i="1"/>
  <c r="K302" i="1"/>
  <c r="K254" i="1"/>
  <c r="K205" i="1"/>
  <c r="K2880" i="1"/>
  <c r="K2753" i="1"/>
  <c r="K1357" i="1"/>
  <c r="K961" i="1"/>
  <c r="K165" i="1"/>
  <c r="K70" i="1"/>
  <c r="K48" i="1"/>
  <c r="K3335" i="1"/>
  <c r="K2175" i="1"/>
  <c r="K1551" i="1"/>
  <c r="K3439" i="1"/>
  <c r="K3266" i="1"/>
  <c r="K2894" i="1"/>
  <c r="K2973" i="1"/>
  <c r="K1847" i="1"/>
  <c r="K792" i="1"/>
  <c r="K1298" i="1"/>
  <c r="K3811" i="1"/>
  <c r="K2240" i="1"/>
  <c r="K1970" i="1"/>
  <c r="K1656" i="1"/>
  <c r="K843" i="1"/>
  <c r="K555" i="1"/>
  <c r="K548" i="1"/>
  <c r="K1023" i="1"/>
  <c r="K784" i="1"/>
  <c r="K3177" i="1"/>
  <c r="K3647" i="1"/>
  <c r="K3614" i="1"/>
  <c r="K3469" i="1"/>
  <c r="K3487" i="1"/>
  <c r="K3486" i="1"/>
  <c r="K3281" i="1"/>
  <c r="K3221" i="1"/>
  <c r="K3219" i="1"/>
  <c r="K3296" i="1"/>
  <c r="K3316" i="1"/>
  <c r="K3069" i="1"/>
  <c r="K3183" i="1"/>
  <c r="K2988" i="1"/>
  <c r="K2850" i="1"/>
  <c r="K2764" i="1"/>
  <c r="K2727" i="1"/>
  <c r="K2696" i="1"/>
  <c r="K2689" i="1"/>
  <c r="K2663" i="1"/>
  <c r="K2643" i="1"/>
  <c r="K2635" i="1"/>
  <c r="K2618" i="1"/>
  <c r="K2584" i="1"/>
  <c r="K2422" i="1"/>
  <c r="K2338" i="1"/>
  <c r="K2243" i="1"/>
  <c r="K2065" i="1"/>
  <c r="K1933" i="1"/>
  <c r="K1921" i="1"/>
  <c r="K1888" i="1"/>
  <c r="K1601" i="1"/>
  <c r="K1402" i="1"/>
  <c r="K913" i="1"/>
  <c r="K864" i="1"/>
  <c r="K654" i="1"/>
  <c r="K420" i="1"/>
  <c r="K347" i="1"/>
  <c r="K140" i="1"/>
  <c r="K63" i="1"/>
  <c r="K44" i="1"/>
  <c r="K3783" i="1"/>
  <c r="K3349" i="1"/>
  <c r="K3094" i="1"/>
  <c r="K2923" i="1"/>
  <c r="K2982" i="1"/>
  <c r="K2972" i="1"/>
  <c r="K2804" i="1"/>
  <c r="K2666" i="1"/>
  <c r="K2404" i="1"/>
  <c r="K2356" i="1"/>
  <c r="K2349" i="1"/>
  <c r="K2325" i="1"/>
  <c r="K2053" i="1"/>
  <c r="K1986" i="1"/>
  <c r="K1865" i="1"/>
  <c r="K1825" i="1"/>
  <c r="K2201" i="1"/>
  <c r="K1408" i="1"/>
  <c r="K1048" i="1"/>
  <c r="K1771" i="1"/>
  <c r="K716" i="1"/>
  <c r="K3004" i="1"/>
  <c r="K2816" i="1"/>
  <c r="K2678" i="1"/>
  <c r="K2324" i="1"/>
  <c r="K1892" i="1"/>
  <c r="K1792" i="1"/>
  <c r="K1700" i="1"/>
  <c r="K1421" i="1"/>
  <c r="K1231" i="1"/>
  <c r="K696" i="1"/>
  <c r="K681" i="1"/>
  <c r="K655" i="1"/>
  <c r="K442" i="1"/>
  <c r="K330" i="1"/>
  <c r="K211" i="1"/>
  <c r="K1274" i="1"/>
  <c r="K528" i="1"/>
  <c r="K491" i="1"/>
  <c r="K788" i="1"/>
  <c r="K3543" i="1"/>
  <c r="K3550" i="1"/>
  <c r="K3583" i="1"/>
  <c r="K3601" i="1"/>
  <c r="K3431" i="1"/>
  <c r="K3383" i="1"/>
  <c r="K3247" i="1"/>
  <c r="K3290" i="1"/>
  <c r="K3321" i="1"/>
  <c r="K3075" i="1"/>
  <c r="K3134" i="1"/>
  <c r="K2933" i="1"/>
  <c r="K2798" i="1"/>
  <c r="K2784" i="1"/>
  <c r="K2778" i="1"/>
  <c r="K2730" i="1"/>
  <c r="K2726" i="1"/>
  <c r="K2649" i="1"/>
  <c r="K2639" i="1"/>
  <c r="K2581" i="1"/>
  <c r="K2416" i="1"/>
  <c r="K2378" i="1"/>
  <c r="K2301" i="1"/>
  <c r="K2282" i="1"/>
  <c r="K2216" i="1"/>
  <c r="K2197" i="1"/>
  <c r="K2103" i="1"/>
  <c r="K2085" i="1"/>
  <c r="K1331" i="1"/>
  <c r="K3847" i="1"/>
  <c r="K2497" i="1"/>
  <c r="K2318" i="1"/>
  <c r="K2259" i="1"/>
  <c r="K2233" i="1"/>
  <c r="K2104" i="1"/>
  <c r="K1874" i="1"/>
  <c r="K1851" i="1"/>
  <c r="K1767" i="1"/>
  <c r="K1747" i="1"/>
  <c r="K1736" i="1"/>
  <c r="K1711" i="1"/>
  <c r="K1570" i="1"/>
  <c r="K1564" i="1"/>
  <c r="K1548" i="1"/>
  <c r="K1429" i="1"/>
  <c r="K1349" i="1"/>
  <c r="K1303" i="1"/>
  <c r="K1254" i="1"/>
  <c r="K1224" i="1"/>
  <c r="K1084" i="1"/>
  <c r="K1080" i="1"/>
  <c r="K1072" i="1"/>
  <c r="K1066" i="1"/>
  <c r="K674" i="1"/>
  <c r="K474" i="1"/>
  <c r="K462" i="1"/>
  <c r="K3867" i="1"/>
  <c r="K1911" i="1"/>
  <c r="K1857" i="1"/>
  <c r="K1386" i="1"/>
  <c r="K1337" i="1"/>
  <c r="K1296" i="1"/>
  <c r="K1280" i="1"/>
  <c r="K2192" i="1"/>
  <c r="K2039" i="1"/>
  <c r="K3828" i="1"/>
  <c r="K3723" i="1"/>
  <c r="K3395" i="1"/>
  <c r="K3460" i="1"/>
  <c r="K3276" i="1"/>
  <c r="K3046" i="1"/>
  <c r="K2875" i="1"/>
  <c r="K2566" i="1"/>
  <c r="K2478" i="1"/>
  <c r="K2138" i="1"/>
  <c r="K1919" i="1"/>
  <c r="K1789" i="1"/>
  <c r="K1640" i="1"/>
  <c r="K1631" i="1"/>
  <c r="K1514" i="1"/>
  <c r="K1179" i="1"/>
  <c r="K1175" i="1"/>
  <c r="K1074" i="1"/>
  <c r="K1073" i="1"/>
  <c r="K1057" i="1"/>
  <c r="K1040" i="1"/>
  <c r="K1035" i="1"/>
  <c r="K988" i="1"/>
  <c r="K948" i="1"/>
  <c r="K906" i="1"/>
  <c r="K835" i="1"/>
  <c r="K807" i="1"/>
  <c r="K776" i="1"/>
  <c r="K760" i="1"/>
  <c r="K723" i="1"/>
  <c r="K657" i="1"/>
  <c r="K647" i="1"/>
  <c r="K636" i="1"/>
  <c r="K633" i="1"/>
  <c r="K631" i="1"/>
  <c r="K615" i="1"/>
  <c r="K592" i="1"/>
  <c r="K287" i="1"/>
  <c r="K127" i="1"/>
  <c r="K59" i="1"/>
  <c r="K35" i="1"/>
  <c r="K943" i="1"/>
  <c r="K2341" i="1"/>
  <c r="K2170" i="1"/>
  <c r="K1397" i="1"/>
  <c r="K1389" i="1"/>
  <c r="K1385" i="1"/>
  <c r="K3785" i="1"/>
  <c r="K3784" i="1"/>
  <c r="K3490" i="1"/>
  <c r="K3358" i="1"/>
  <c r="K3351" i="1"/>
  <c r="K3350" i="1"/>
  <c r="K2999" i="1"/>
  <c r="K2998" i="1"/>
  <c r="K2846" i="1"/>
  <c r="K2831" i="1"/>
  <c r="K2815" i="1"/>
  <c r="K2814" i="1"/>
  <c r="K2348" i="1"/>
  <c r="K2332" i="1"/>
  <c r="K2080" i="1"/>
  <c r="K2034" i="1"/>
  <c r="K1926" i="1"/>
  <c r="K1870" i="1"/>
  <c r="K1605" i="1"/>
  <c r="K1460" i="1"/>
  <c r="K1451" i="1"/>
  <c r="K1401" i="1"/>
  <c r="K1396" i="1"/>
  <c r="K1299" i="1"/>
  <c r="K1247" i="1"/>
  <c r="K1218" i="1"/>
  <c r="K1044" i="1"/>
  <c r="K923" i="1"/>
  <c r="K876" i="1"/>
  <c r="K851" i="1"/>
  <c r="K806" i="1"/>
  <c r="K789" i="1"/>
  <c r="K560" i="1"/>
  <c r="K539" i="1"/>
  <c r="K386" i="1"/>
  <c r="K371" i="1"/>
  <c r="K356" i="1"/>
  <c r="K329" i="1"/>
  <c r="K174" i="1"/>
  <c r="K129" i="1"/>
  <c r="K65" i="1"/>
  <c r="K62" i="1"/>
  <c r="K53" i="1"/>
  <c r="K960" i="1"/>
  <c r="K1026" i="1"/>
  <c r="K798" i="1"/>
  <c r="K3882" i="1"/>
  <c r="K3715" i="1"/>
  <c r="K3362" i="1"/>
  <c r="K3378" i="1"/>
  <c r="K1648" i="1"/>
  <c r="K1360" i="1"/>
  <c r="K3839" i="1"/>
  <c r="K3885" i="1"/>
  <c r="K3758" i="1"/>
  <c r="K3572" i="1"/>
  <c r="K3415" i="1"/>
  <c r="K3462" i="1"/>
  <c r="K3489" i="1"/>
  <c r="K3502" i="1"/>
  <c r="K3210" i="1"/>
  <c r="K3239" i="1"/>
  <c r="K3280" i="1"/>
  <c r="K3312" i="1"/>
  <c r="K3076" i="1"/>
  <c r="K3118" i="1"/>
  <c r="K3162" i="1"/>
  <c r="K2872" i="1"/>
  <c r="K2944" i="1"/>
  <c r="K2782" i="1"/>
  <c r="K2628" i="1"/>
  <c r="K2467" i="1"/>
  <c r="K2381" i="1"/>
  <c r="K2319" i="1"/>
  <c r="K2267" i="1"/>
  <c r="K2123" i="1"/>
  <c r="K1500" i="1"/>
  <c r="K1312" i="1"/>
  <c r="K777" i="1"/>
  <c r="K202" i="1"/>
  <c r="K1633" i="1"/>
  <c r="K1362" i="1"/>
  <c r="K1124" i="1"/>
  <c r="K829" i="1"/>
  <c r="K814" i="1"/>
  <c r="K641" i="1"/>
  <c r="K626" i="1"/>
  <c r="K471" i="1"/>
  <c r="K289" i="1"/>
  <c r="K268" i="1"/>
  <c r="K3708" i="1"/>
  <c r="K3652" i="1"/>
  <c r="K3751" i="1"/>
  <c r="K3392" i="1"/>
  <c r="K3501" i="1"/>
  <c r="K3235" i="1"/>
  <c r="K2893" i="1"/>
  <c r="K2865" i="1"/>
  <c r="K1913" i="1"/>
  <c r="K1491" i="1"/>
  <c r="K1409" i="1"/>
  <c r="K934" i="1"/>
  <c r="K554" i="1"/>
  <c r="K131" i="1"/>
  <c r="K128" i="1"/>
  <c r="K58" i="1"/>
  <c r="K31" i="1"/>
  <c r="K10" i="1"/>
  <c r="K2857" i="1"/>
  <c r="K2848" i="1"/>
  <c r="K2838" i="1"/>
  <c r="K2694" i="1"/>
  <c r="K2544" i="1"/>
  <c r="K2372" i="1"/>
  <c r="K2221" i="1"/>
  <c r="K2211" i="1"/>
  <c r="K2208" i="1"/>
  <c r="K2077" i="1"/>
  <c r="K1769" i="1"/>
  <c r="K1628" i="1"/>
  <c r="K702" i="1"/>
  <c r="K3809" i="1"/>
  <c r="K3782" i="1"/>
  <c r="K3556" i="1"/>
  <c r="K3522" i="1"/>
  <c r="K3478" i="1"/>
  <c r="K3495" i="1"/>
  <c r="K3262" i="1"/>
  <c r="K3272" i="1"/>
  <c r="K3023" i="1"/>
  <c r="K3165" i="1"/>
  <c r="K3182" i="1"/>
  <c r="K2927" i="1"/>
  <c r="K2688" i="1"/>
  <c r="K2675" i="1"/>
  <c r="K2504" i="1"/>
  <c r="K2421" i="1"/>
  <c r="K2212" i="1"/>
  <c r="K2070" i="1"/>
  <c r="K2060" i="1"/>
  <c r="K1928" i="1"/>
  <c r="K1720" i="1"/>
  <c r="K1576" i="1"/>
  <c r="K1473" i="1"/>
  <c r="K1420" i="1"/>
  <c r="K1342" i="1"/>
  <c r="K928" i="1"/>
  <c r="K387" i="1"/>
  <c r="K307" i="1"/>
  <c r="K184" i="1"/>
  <c r="K96" i="1"/>
  <c r="K36" i="1"/>
  <c r="K3318" i="1"/>
  <c r="K2876" i="1"/>
  <c r="K2707" i="1"/>
  <c r="K2217" i="1"/>
  <c r="K2102" i="1"/>
  <c r="K282" i="1"/>
  <c r="K220" i="1"/>
  <c r="K3513" i="1"/>
  <c r="K2029" i="1"/>
  <c r="K1707" i="1"/>
  <c r="K846" i="1"/>
  <c r="K3679" i="1"/>
  <c r="K3584" i="1"/>
  <c r="K3590" i="1"/>
  <c r="K3385" i="1"/>
  <c r="K2579" i="1"/>
  <c r="K2480" i="1"/>
  <c r="K2472" i="1"/>
  <c r="K2468" i="1"/>
  <c r="K2016" i="1"/>
  <c r="K3884" i="1"/>
  <c r="K3703" i="1"/>
  <c r="K3732" i="1"/>
  <c r="K3672" i="1"/>
  <c r="K3646" i="1"/>
  <c r="K3778" i="1"/>
  <c r="K3777" i="1"/>
  <c r="K3792" i="1"/>
  <c r="K3319" i="1"/>
  <c r="K3309" i="1"/>
  <c r="K3302" i="1"/>
  <c r="K3337" i="1"/>
  <c r="K3346" i="1"/>
  <c r="K3037" i="1"/>
  <c r="K3169" i="1"/>
  <c r="K2903" i="1"/>
  <c r="K2902" i="1"/>
  <c r="K2952" i="1"/>
  <c r="K2853" i="1"/>
  <c r="K2763" i="1"/>
  <c r="K2697" i="1"/>
  <c r="K2501" i="1"/>
  <c r="K2290" i="1"/>
  <c r="K2215" i="1"/>
  <c r="K2162" i="1"/>
  <c r="K2071" i="1"/>
  <c r="K1868" i="1"/>
  <c r="K1776" i="1"/>
  <c r="K1672" i="1"/>
  <c r="K1644" i="1"/>
  <c r="K1604" i="1"/>
  <c r="K1581" i="1"/>
  <c r="K1508" i="1"/>
  <c r="K1499" i="1"/>
  <c r="K1403" i="1"/>
  <c r="K2111" i="1"/>
  <c r="K1659" i="1"/>
  <c r="K1632" i="1"/>
  <c r="K3031" i="1"/>
  <c r="K3880" i="1"/>
  <c r="K3505" i="1"/>
  <c r="K3354" i="1"/>
  <c r="K3106" i="1"/>
  <c r="K2670" i="1"/>
  <c r="K2532" i="1"/>
  <c r="K2528" i="1"/>
  <c r="K2392" i="1"/>
  <c r="K2090" i="1"/>
  <c r="K2046" i="1"/>
  <c r="K1997" i="1"/>
  <c r="K1791" i="1"/>
  <c r="K1717" i="1"/>
  <c r="K1681" i="1"/>
  <c r="K1642" i="1"/>
  <c r="K1553" i="1"/>
  <c r="K1333" i="1"/>
  <c r="K670" i="1"/>
  <c r="K663" i="1"/>
  <c r="K449" i="1"/>
  <c r="K441" i="1"/>
  <c r="K355" i="1"/>
  <c r="K335" i="1"/>
  <c r="K125" i="1"/>
  <c r="K23" i="1"/>
  <c r="K168" i="1"/>
  <c r="K1388" i="1"/>
  <c r="K856" i="1"/>
  <c r="K1849" i="1"/>
  <c r="K1497" i="1"/>
  <c r="K3713" i="1"/>
  <c r="K3088" i="1"/>
  <c r="K2937" i="1"/>
  <c r="K1532" i="1"/>
  <c r="K1332" i="1"/>
  <c r="K1229" i="1"/>
  <c r="K612" i="1"/>
  <c r="K175" i="1"/>
  <c r="K173" i="1"/>
  <c r="K929" i="1"/>
  <c r="K3855" i="1"/>
  <c r="K756" i="1"/>
  <c r="K1723" i="1"/>
  <c r="K346" i="1"/>
  <c r="K3731" i="1"/>
  <c r="K3695" i="1"/>
  <c r="K3754" i="1"/>
  <c r="K3557" i="1"/>
  <c r="K3532" i="1"/>
  <c r="K3529" i="1"/>
  <c r="K3571" i="1"/>
  <c r="K3588" i="1"/>
  <c r="K3586" i="1"/>
  <c r="K3545" i="1"/>
  <c r="K3399" i="1"/>
  <c r="K3391" i="1"/>
  <c r="K3386" i="1"/>
  <c r="K3408" i="1"/>
  <c r="K3443" i="1"/>
  <c r="K3479" i="1"/>
  <c r="K3493" i="1"/>
  <c r="K3508" i="1"/>
  <c r="K3215" i="1"/>
  <c r="K3237" i="1"/>
  <c r="K3267" i="1"/>
  <c r="K3218" i="1"/>
  <c r="K3326" i="1"/>
  <c r="K3080" i="1"/>
  <c r="K3062" i="1"/>
  <c r="K3093" i="1"/>
  <c r="K3058" i="1"/>
  <c r="K3057" i="1"/>
  <c r="K3105" i="1"/>
  <c r="K2904" i="1"/>
  <c r="K2762" i="1"/>
  <c r="K2729" i="1"/>
  <c r="K2714" i="1"/>
  <c r="K2652" i="1"/>
  <c r="K2648" i="1"/>
  <c r="K2636" i="1"/>
  <c r="K2634" i="1"/>
  <c r="K2595" i="1"/>
  <c r="K2568" i="1"/>
  <c r="K2491" i="1"/>
  <c r="K2486" i="1"/>
  <c r="K2430" i="1"/>
  <c r="K2311" i="1"/>
  <c r="K2293" i="1"/>
  <c r="K2241" i="1"/>
  <c r="K1996" i="1"/>
  <c r="K1976" i="1"/>
  <c r="K3769" i="1"/>
  <c r="K3624" i="1"/>
  <c r="K2810" i="1"/>
  <c r="K2681" i="1"/>
  <c r="K2165" i="1"/>
  <c r="K1899" i="1"/>
  <c r="K755" i="1"/>
  <c r="K3621" i="1"/>
  <c r="K1258" i="1"/>
  <c r="K388" i="1"/>
  <c r="K328" i="1"/>
  <c r="K189" i="1"/>
  <c r="K13" i="1"/>
  <c r="K2114" i="1"/>
  <c r="K1839" i="1"/>
  <c r="K213" i="1"/>
  <c r="K1895" i="1"/>
  <c r="K1698" i="1"/>
  <c r="K1294" i="1"/>
  <c r="K1273" i="1"/>
  <c r="K3730" i="1"/>
  <c r="K3401" i="1"/>
  <c r="K3435" i="1"/>
  <c r="K3270" i="1"/>
  <c r="K3306" i="1"/>
  <c r="K2818" i="1"/>
  <c r="K2627" i="1"/>
  <c r="K2019" i="1"/>
  <c r="K1322" i="1"/>
  <c r="K1373" i="1"/>
  <c r="K2811" i="1"/>
  <c r="K2506" i="1"/>
  <c r="K2049" i="1"/>
  <c r="K3393" i="1"/>
  <c r="K3258" i="1"/>
  <c r="K3064" i="1"/>
  <c r="K2874" i="1"/>
  <c r="K2766" i="1"/>
  <c r="K2300" i="1"/>
  <c r="K2279" i="1"/>
  <c r="K1177" i="1"/>
  <c r="K795" i="1"/>
  <c r="K583" i="1"/>
  <c r="K3456" i="1"/>
  <c r="K3286" i="1"/>
  <c r="K3068" i="1"/>
  <c r="K2779" i="1"/>
  <c r="K2716" i="1"/>
  <c r="K2614" i="1"/>
  <c r="K2406" i="1"/>
  <c r="K2385" i="1"/>
  <c r="K821" i="1"/>
  <c r="K1905" i="1"/>
  <c r="K1196" i="1"/>
  <c r="K3802" i="1"/>
  <c r="K3644" i="1"/>
  <c r="K3745" i="1"/>
  <c r="K3539" i="1"/>
  <c r="K3524" i="1"/>
  <c r="K3600" i="1"/>
  <c r="K3364" i="1"/>
  <c r="K3357" i="1"/>
  <c r="K3128" i="1"/>
  <c r="K3122" i="1"/>
  <c r="K3014" i="1"/>
  <c r="K3032" i="1"/>
  <c r="K2920" i="1"/>
  <c r="K2889" i="1"/>
  <c r="K2987" i="1"/>
  <c r="K2833" i="1"/>
  <c r="K2832" i="1"/>
  <c r="K2226" i="1"/>
  <c r="K2200" i="1"/>
  <c r="K1876" i="1"/>
  <c r="K1502" i="1"/>
  <c r="K1200" i="1"/>
  <c r="K1171" i="1"/>
  <c r="K975" i="1"/>
  <c r="K3424" i="1"/>
  <c r="K3361" i="1"/>
  <c r="K1242" i="1"/>
  <c r="K714" i="1"/>
  <c r="K692" i="1"/>
  <c r="K529" i="1"/>
  <c r="K505" i="1"/>
  <c r="K394" i="1"/>
  <c r="K2641" i="1"/>
  <c r="K621" i="1"/>
  <c r="K3083" i="1"/>
  <c r="K2897" i="1"/>
  <c r="K2722" i="1"/>
  <c r="K2433" i="1"/>
  <c r="K2296" i="1"/>
  <c r="K1643" i="1"/>
  <c r="K1536" i="1"/>
  <c r="K1319" i="1"/>
  <c r="K3883" i="1"/>
  <c r="K693" i="1"/>
  <c r="K3613" i="1"/>
  <c r="K450" i="1"/>
  <c r="K3697" i="1"/>
  <c r="K3694" i="1"/>
  <c r="K1021" i="1"/>
  <c r="K1018" i="1"/>
  <c r="K3029" i="1"/>
  <c r="K2692" i="1"/>
  <c r="K2198" i="1"/>
  <c r="K1930" i="1"/>
  <c r="K1092" i="1"/>
  <c r="K920" i="1"/>
  <c r="K679" i="1"/>
  <c r="K525" i="1"/>
  <c r="K494" i="1"/>
  <c r="K126" i="1"/>
  <c r="K18" i="1"/>
  <c r="K3039" i="1"/>
  <c r="K3164" i="1"/>
  <c r="K3000" i="1"/>
  <c r="K2862" i="1"/>
  <c r="K2669" i="1"/>
  <c r="K2340" i="1"/>
  <c r="K2323" i="1"/>
  <c r="K2209" i="1"/>
  <c r="K2205" i="1"/>
  <c r="K1942" i="1"/>
  <c r="K1752" i="1"/>
  <c r="K3858" i="1"/>
  <c r="K3124" i="1"/>
  <c r="K3050" i="1"/>
  <c r="K2780" i="1"/>
  <c r="K2291" i="1"/>
  <c r="K2159" i="1"/>
  <c r="K1907" i="1"/>
  <c r="K1887" i="1"/>
  <c r="K1731" i="1"/>
  <c r="K1392" i="1"/>
  <c r="K1093" i="1"/>
  <c r="K905" i="1"/>
  <c r="K727" i="1"/>
  <c r="K1779" i="1"/>
  <c r="K990" i="1"/>
  <c r="K946" i="1"/>
  <c r="K793" i="1"/>
  <c r="K403" i="1"/>
  <c r="K345" i="1"/>
  <c r="K3711" i="1"/>
  <c r="K3744" i="1"/>
  <c r="K3540" i="1"/>
  <c r="K3597" i="1"/>
  <c r="K3417" i="1"/>
  <c r="K3414" i="1"/>
  <c r="K3277" i="1"/>
  <c r="K3320" i="1"/>
  <c r="K3129" i="1"/>
  <c r="K2740" i="1"/>
  <c r="K2605" i="1"/>
  <c r="K2477" i="1"/>
  <c r="K2470" i="1"/>
  <c r="K2412" i="1"/>
  <c r="K2383" i="1"/>
  <c r="K2304" i="1"/>
  <c r="K2295" i="1"/>
  <c r="K2122" i="1"/>
  <c r="K2012" i="1"/>
  <c r="K1844" i="1"/>
  <c r="K1805" i="1"/>
  <c r="K1493" i="1"/>
  <c r="K1203" i="1"/>
  <c r="K991" i="1"/>
  <c r="K683" i="1"/>
  <c r="K3756" i="1"/>
  <c r="K2535" i="1"/>
  <c r="K2362" i="1"/>
  <c r="K2064" i="1"/>
  <c r="K1448" i="1"/>
  <c r="K239" i="1"/>
  <c r="K116" i="1"/>
  <c r="K61" i="1"/>
  <c r="K25" i="1"/>
  <c r="K2898" i="1"/>
  <c r="K1152" i="1"/>
  <c r="K811" i="1"/>
  <c r="K214" i="1"/>
  <c r="K2006" i="1"/>
  <c r="K1981" i="1"/>
  <c r="K1804" i="1"/>
  <c r="K1676" i="1"/>
  <c r="K1653" i="1"/>
  <c r="K1187" i="1"/>
  <c r="K1173" i="1"/>
  <c r="K1162" i="1"/>
  <c r="K294" i="1"/>
  <c r="K3780" i="1"/>
  <c r="K3241" i="1"/>
  <c r="K3274" i="1"/>
  <c r="K3163" i="1"/>
  <c r="K3170" i="1"/>
  <c r="K2806" i="1"/>
  <c r="K2503" i="1"/>
  <c r="K2214" i="1"/>
  <c r="K1612" i="1"/>
  <c r="K204" i="1"/>
  <c r="K3153" i="1"/>
  <c r="K2746" i="1"/>
  <c r="K2438" i="1"/>
  <c r="K2280" i="1"/>
  <c r="K2096" i="1"/>
  <c r="K2095" i="1"/>
  <c r="K1744" i="1"/>
  <c r="K1740" i="1"/>
  <c r="K1434" i="1"/>
  <c r="K1336" i="1"/>
  <c r="K1275" i="1"/>
  <c r="K1263" i="1"/>
  <c r="K892" i="1"/>
  <c r="K532" i="1"/>
  <c r="K490" i="1"/>
  <c r="K469" i="1"/>
  <c r="K3133" i="1"/>
  <c r="K997" i="1"/>
  <c r="K656" i="1"/>
  <c r="K259" i="1"/>
  <c r="K235" i="1"/>
  <c r="K745" i="1"/>
  <c r="K582" i="1"/>
  <c r="K1660" i="1"/>
  <c r="K3822" i="1"/>
  <c r="K3648" i="1"/>
  <c r="K3341" i="1"/>
  <c r="K3028" i="1"/>
  <c r="K3167" i="1"/>
  <c r="K2706" i="1"/>
  <c r="K2523" i="1"/>
  <c r="K2358" i="1"/>
  <c r="K2322" i="1"/>
  <c r="K2210" i="1"/>
  <c r="K2168" i="1"/>
  <c r="K1929" i="1"/>
  <c r="K1687" i="1"/>
  <c r="K1652" i="1"/>
  <c r="K1458" i="1"/>
  <c r="K1292" i="1"/>
  <c r="K381" i="1"/>
  <c r="K3526" i="1"/>
  <c r="K2054" i="1"/>
  <c r="K666" i="1"/>
  <c r="K3148" i="1"/>
  <c r="K3131" i="1"/>
  <c r="K3331" i="1"/>
  <c r="K2945" i="1"/>
  <c r="K2821" i="1"/>
  <c r="K1784" i="1"/>
  <c r="K1407" i="1"/>
  <c r="K1151" i="1"/>
  <c r="K2820" i="1"/>
  <c r="K1101" i="1"/>
  <c r="K1105" i="1"/>
  <c r="K2827" i="1"/>
  <c r="K2809" i="1"/>
  <c r="K2673" i="1"/>
  <c r="K2355" i="1"/>
  <c r="K1886" i="1"/>
  <c r="K2436" i="1"/>
  <c r="K541" i="1"/>
  <c r="K2896" i="1"/>
  <c r="K2565" i="1"/>
  <c r="K2423" i="1"/>
  <c r="K2302" i="1"/>
  <c r="K2251" i="1"/>
  <c r="K1813" i="1"/>
  <c r="K1487" i="1"/>
  <c r="K1377" i="1"/>
  <c r="K689" i="1"/>
  <c r="K675" i="1"/>
  <c r="K599" i="1"/>
  <c r="K1560" i="1"/>
  <c r="K3202" i="1"/>
  <c r="K2693" i="1"/>
  <c r="K1608" i="1"/>
  <c r="K1962" i="1"/>
  <c r="K3661" i="1"/>
  <c r="K3683" i="1"/>
  <c r="K3249" i="1"/>
  <c r="K2597" i="1"/>
  <c r="K1734" i="1"/>
  <c r="K1053" i="1"/>
  <c r="K191" i="1"/>
  <c r="K2461" i="1"/>
  <c r="K1489" i="1"/>
  <c r="K983" i="1"/>
  <c r="K3853" i="1"/>
  <c r="K3829" i="1"/>
  <c r="K3746" i="1"/>
  <c r="K3741" i="1"/>
  <c r="K3208" i="1"/>
  <c r="K3198" i="1"/>
  <c r="K3192" i="1"/>
  <c r="K2774" i="1"/>
  <c r="K2483" i="1"/>
  <c r="K2466" i="1"/>
  <c r="K2459" i="1"/>
  <c r="K2021" i="1"/>
  <c r="K1013" i="1"/>
  <c r="K630" i="1"/>
  <c r="K295" i="1"/>
  <c r="K264" i="1"/>
  <c r="K232" i="1"/>
  <c r="K3384" i="1"/>
  <c r="K2713" i="1"/>
  <c r="K2446" i="1"/>
  <c r="K932" i="1"/>
  <c r="K3688" i="1"/>
  <c r="K3430" i="1"/>
  <c r="K3413" i="1"/>
  <c r="K3407" i="1"/>
  <c r="K3382" i="1"/>
  <c r="K3125" i="1"/>
  <c r="K2871" i="1"/>
  <c r="K894" i="1"/>
  <c r="K1166" i="1"/>
  <c r="K1112" i="1"/>
  <c r="K959" i="1"/>
  <c r="K902" i="1"/>
  <c r="K819" i="1"/>
  <c r="K764" i="1"/>
  <c r="K733" i="1"/>
  <c r="K711" i="1"/>
  <c r="K3531" i="1"/>
  <c r="K3467" i="1"/>
  <c r="K3507" i="1"/>
  <c r="K3066" i="1"/>
  <c r="K2965" i="1"/>
  <c r="K1189" i="1"/>
  <c r="K1034" i="1"/>
  <c r="K1022" i="1"/>
  <c r="K562" i="1"/>
  <c r="K1233" i="1"/>
  <c r="K538" i="1"/>
  <c r="K515" i="1"/>
  <c r="K510" i="1"/>
  <c r="K486" i="1"/>
  <c r="K482" i="1"/>
  <c r="K925" i="1"/>
  <c r="K3712" i="1"/>
  <c r="K3760" i="1"/>
  <c r="K3327" i="1"/>
  <c r="K2600" i="1"/>
  <c r="K1770" i="1"/>
  <c r="K1684" i="1"/>
  <c r="K1371" i="1"/>
  <c r="K2797" i="1"/>
  <c r="K1885" i="1"/>
  <c r="K408" i="1"/>
  <c r="K312" i="1"/>
  <c r="K1864" i="1"/>
  <c r="K1383" i="1"/>
  <c r="K1211" i="1"/>
  <c r="K744" i="1"/>
  <c r="K854" i="1"/>
  <c r="K1398" i="1"/>
  <c r="K1387" i="1"/>
  <c r="K1059" i="1"/>
  <c r="K430" i="1"/>
  <c r="K344" i="1"/>
  <c r="K133" i="1"/>
  <c r="K64" i="1"/>
  <c r="K21" i="1"/>
  <c r="K1697" i="1"/>
  <c r="K1544" i="1"/>
  <c r="K1690" i="1"/>
  <c r="K1543" i="1"/>
  <c r="K139" i="1"/>
  <c r="K2658" i="1"/>
  <c r="K2187" i="1"/>
  <c r="K1898" i="1"/>
  <c r="K1863" i="1"/>
  <c r="K1726" i="1"/>
  <c r="K1712" i="1"/>
  <c r="K1579" i="1"/>
  <c r="K1244" i="1"/>
  <c r="K3372" i="1"/>
  <c r="K2587" i="1"/>
  <c r="K1991" i="1"/>
  <c r="K1833" i="1"/>
  <c r="K986" i="1"/>
  <c r="K874" i="1"/>
  <c r="K752" i="1"/>
  <c r="K3533" i="1"/>
  <c r="K3426" i="1"/>
  <c r="K3255" i="1"/>
  <c r="K3238" i="1"/>
  <c r="K3108" i="1"/>
  <c r="K2935" i="1"/>
  <c r="K2881" i="1"/>
  <c r="K2611" i="1"/>
  <c r="K2435" i="1"/>
  <c r="K2315" i="1"/>
  <c r="K2275" i="1"/>
  <c r="K2129" i="1"/>
  <c r="K1995" i="1"/>
  <c r="K1480" i="1"/>
  <c r="K234" i="1"/>
  <c r="K3779" i="1"/>
  <c r="K3623" i="1"/>
  <c r="K3253" i="1"/>
  <c r="K3018" i="1"/>
  <c r="K3022" i="1"/>
  <c r="K2414" i="1"/>
  <c r="K2266" i="1"/>
  <c r="K1316" i="1"/>
  <c r="K1039" i="1"/>
  <c r="K642" i="1"/>
  <c r="K627" i="1"/>
  <c r="K3804" i="1"/>
  <c r="K3803" i="1"/>
  <c r="K3852" i="1"/>
  <c r="K3854" i="1"/>
  <c r="K3726" i="1"/>
  <c r="K3675" i="1"/>
  <c r="K3643" i="1"/>
  <c r="K3634" i="1"/>
  <c r="K3733" i="1"/>
  <c r="K3750" i="1"/>
  <c r="K3602" i="1"/>
  <c r="K3596" i="1"/>
  <c r="K3605" i="1"/>
  <c r="K3429" i="1"/>
  <c r="K3470" i="1"/>
  <c r="K3488" i="1"/>
  <c r="K3250" i="1"/>
  <c r="K3289" i="1"/>
  <c r="K3232" i="1"/>
  <c r="K3011" i="1"/>
  <c r="K3138" i="1"/>
  <c r="K2917" i="1"/>
  <c r="K2840" i="1"/>
  <c r="K2837" i="1"/>
  <c r="K2750" i="1"/>
  <c r="K2738" i="1"/>
  <c r="K2731" i="1"/>
  <c r="K2623" i="1"/>
  <c r="K2586" i="1"/>
  <c r="K2548" i="1"/>
  <c r="K2541" i="1"/>
  <c r="K2455" i="1"/>
  <c r="K2402" i="1"/>
  <c r="K2141" i="1"/>
  <c r="K1993" i="1"/>
  <c r="K1780" i="1"/>
  <c r="K1369" i="1"/>
  <c r="K3706" i="1"/>
  <c r="K3786" i="1"/>
  <c r="K3569" i="1"/>
  <c r="K3448" i="1"/>
  <c r="K3214" i="1"/>
  <c r="K3245" i="1"/>
  <c r="K3071" i="1"/>
  <c r="K3111" i="1"/>
  <c r="K3043" i="1"/>
  <c r="K3155" i="1"/>
  <c r="K2899" i="1"/>
  <c r="K2913" i="1"/>
  <c r="K2994" i="1"/>
  <c r="K2957" i="1"/>
  <c r="K2575" i="1"/>
  <c r="K2525" i="1"/>
  <c r="K2396" i="1"/>
  <c r="K2375" i="1"/>
  <c r="K2248" i="1"/>
  <c r="K1525" i="1"/>
  <c r="K1170" i="1"/>
  <c r="K791" i="1"/>
  <c r="K2709" i="1"/>
  <c r="K410" i="1"/>
  <c r="K327" i="1"/>
  <c r="K3795" i="1"/>
  <c r="K3825" i="1"/>
  <c r="K3878" i="1"/>
  <c r="K3707" i="1"/>
  <c r="K3639" i="1"/>
  <c r="K3627" i="1"/>
  <c r="K3564" i="1"/>
  <c r="K3612" i="1"/>
  <c r="K3114" i="1"/>
  <c r="K3178" i="1"/>
  <c r="K2931" i="1"/>
  <c r="K2601" i="1"/>
  <c r="K2571" i="1"/>
  <c r="K2543" i="1"/>
  <c r="K2224" i="1"/>
  <c r="K2038" i="1"/>
  <c r="K1866" i="1"/>
  <c r="K1777" i="1"/>
  <c r="K1763" i="1"/>
  <c r="K1729" i="1"/>
  <c r="K1655" i="1"/>
  <c r="K1104" i="1"/>
  <c r="K1060" i="1"/>
  <c r="K926" i="1"/>
  <c r="K866" i="1"/>
  <c r="K660" i="1"/>
  <c r="K439" i="1"/>
  <c r="K195" i="1"/>
  <c r="K1666" i="1"/>
  <c r="K1469" i="1"/>
  <c r="K1455" i="1"/>
  <c r="K1340" i="1"/>
  <c r="K1611" i="1"/>
  <c r="K3670" i="1"/>
  <c r="K2622" i="1"/>
  <c r="K2550" i="1"/>
  <c r="K1678" i="1"/>
  <c r="K1568" i="1"/>
  <c r="K1511" i="1"/>
  <c r="K3516" i="1"/>
  <c r="K3042" i="1"/>
  <c r="K2705" i="1"/>
  <c r="K2079" i="1"/>
  <c r="K1917" i="1"/>
  <c r="K1367" i="1"/>
  <c r="K1334" i="1"/>
  <c r="K1070" i="1"/>
  <c r="K550" i="1"/>
  <c r="K425" i="1"/>
  <c r="K315" i="1"/>
  <c r="K219" i="1"/>
  <c r="K2057" i="1"/>
  <c r="K2056" i="1"/>
  <c r="K1878" i="1"/>
  <c r="K880" i="1"/>
  <c r="K378" i="1"/>
  <c r="K354" i="1"/>
  <c r="K3789" i="1"/>
  <c r="K3504" i="1"/>
  <c r="K3033" i="1"/>
  <c r="K2278" i="1"/>
  <c r="K2274" i="1"/>
  <c r="K2109" i="1"/>
  <c r="K1963" i="1"/>
  <c r="K1719" i="1"/>
  <c r="K1677" i="1"/>
  <c r="K1615" i="1"/>
  <c r="K1535" i="1"/>
  <c r="K1474" i="1"/>
  <c r="K1461" i="1"/>
  <c r="K1456" i="1"/>
  <c r="K842" i="1"/>
  <c r="K389" i="1"/>
  <c r="K2792" i="1"/>
  <c r="K2759" i="1"/>
  <c r="K2447" i="1"/>
  <c r="K2154" i="1"/>
  <c r="K2130" i="1"/>
  <c r="K1561" i="1"/>
  <c r="K1400" i="1"/>
  <c r="K1225" i="1"/>
  <c r="K958" i="1"/>
  <c r="K2654" i="1"/>
  <c r="K2410" i="1"/>
  <c r="K2286" i="1"/>
  <c r="K2238" i="1"/>
  <c r="K2020" i="1"/>
  <c r="K1787" i="1"/>
  <c r="K2640" i="1"/>
  <c r="K2633" i="1"/>
  <c r="K2408" i="1"/>
  <c r="K1817" i="1"/>
  <c r="K1009" i="1"/>
  <c r="K625" i="1"/>
  <c r="K620" i="1"/>
  <c r="K594" i="1"/>
  <c r="K578" i="1"/>
  <c r="K3849" i="1"/>
  <c r="K3663" i="1"/>
  <c r="K3689" i="1"/>
  <c r="K3631" i="1"/>
  <c r="K3748" i="1"/>
  <c r="K3788" i="1"/>
  <c r="K3560" i="1"/>
  <c r="K3551" i="1"/>
  <c r="K3591" i="1"/>
  <c r="K3604" i="1"/>
  <c r="K3377" i="1"/>
  <c r="K3445" i="1"/>
  <c r="K3503" i="1"/>
  <c r="K3195" i="1"/>
  <c r="K3292" i="1"/>
  <c r="K3271" i="1"/>
  <c r="K3269" i="1"/>
  <c r="K3278" i="1"/>
  <c r="K3225" i="1"/>
  <c r="K3121" i="1"/>
  <c r="K3120" i="1"/>
  <c r="K3098" i="1"/>
  <c r="K3101" i="1"/>
  <c r="K3152" i="1"/>
  <c r="K3158" i="1"/>
  <c r="K2886" i="1"/>
  <c r="K2912" i="1"/>
  <c r="K2908" i="1"/>
  <c r="K2961" i="1"/>
  <c r="K2950" i="1"/>
  <c r="K2949" i="1"/>
  <c r="K2795" i="1"/>
  <c r="K2598" i="1"/>
  <c r="K2465" i="1"/>
  <c r="K2441" i="1"/>
  <c r="K2429" i="1"/>
  <c r="K2403" i="1"/>
  <c r="K2399" i="1"/>
  <c r="K2397" i="1"/>
  <c r="K2380" i="1"/>
  <c r="K2364" i="1"/>
  <c r="K2320" i="1"/>
  <c r="K2277" i="1"/>
  <c r="K2125" i="1"/>
  <c r="K2100" i="1"/>
  <c r="K2015" i="1"/>
  <c r="K1999" i="1"/>
  <c r="K1982" i="1"/>
  <c r="K1979" i="1"/>
  <c r="K1840" i="1"/>
  <c r="K1778" i="1"/>
  <c r="K1694" i="1"/>
  <c r="K1641" i="1"/>
  <c r="K1478" i="1"/>
  <c r="K1168" i="1"/>
  <c r="K1136" i="1"/>
  <c r="K1030" i="1"/>
  <c r="K992" i="1"/>
  <c r="K968" i="1"/>
  <c r="K848" i="1"/>
  <c r="K828" i="1"/>
  <c r="K803" i="1"/>
  <c r="K611" i="1"/>
  <c r="K406" i="1"/>
  <c r="K281" i="1"/>
  <c r="K271" i="1"/>
  <c r="K261" i="1"/>
  <c r="K194" i="1"/>
  <c r="K105" i="1"/>
  <c r="K49" i="1"/>
  <c r="K640" i="1"/>
  <c r="K1235" i="1"/>
  <c r="K1365" i="1"/>
  <c r="K132" i="1"/>
  <c r="K3800" i="1"/>
  <c r="K3865" i="1"/>
  <c r="K3868" i="1"/>
  <c r="K3127" i="1"/>
  <c r="K2921" i="1"/>
  <c r="K2235" i="1"/>
  <c r="K1531" i="1"/>
  <c r="K3725" i="1"/>
  <c r="K2644" i="1"/>
  <c r="K2621" i="1"/>
  <c r="K2511" i="1"/>
  <c r="K2073" i="1"/>
  <c r="K1069" i="1"/>
  <c r="K447" i="1"/>
  <c r="K343" i="1"/>
  <c r="K196" i="1"/>
  <c r="K837" i="1"/>
  <c r="K1884" i="1"/>
  <c r="K2203" i="1"/>
  <c r="K2072" i="1"/>
  <c r="K3561" i="1"/>
  <c r="K2321" i="1"/>
  <c r="K1975" i="1"/>
  <c r="K1304" i="1"/>
  <c r="K3381" i="1"/>
  <c r="K2632" i="1"/>
  <c r="K1494" i="1"/>
  <c r="K782" i="1"/>
  <c r="K1028" i="1"/>
  <c r="K280" i="1"/>
  <c r="K253" i="1"/>
  <c r="K3808" i="1"/>
  <c r="K3628" i="1"/>
  <c r="K3761" i="1"/>
  <c r="K3776" i="1"/>
  <c r="K3608" i="1"/>
  <c r="K3343" i="1"/>
  <c r="K3015" i="1"/>
  <c r="K3024" i="1"/>
  <c r="K2826" i="1"/>
  <c r="K2538" i="1"/>
  <c r="K2345" i="1"/>
  <c r="K2206" i="1"/>
  <c r="K3013" i="1"/>
  <c r="K2755" i="1"/>
  <c r="K2592" i="1"/>
  <c r="K2553" i="1"/>
  <c r="K2473" i="1"/>
  <c r="K2005" i="1"/>
  <c r="K1542" i="1"/>
  <c r="K1343" i="1"/>
  <c r="K2594" i="1"/>
  <c r="K2367" i="1"/>
  <c r="K2359" i="1"/>
  <c r="K1914" i="1"/>
  <c r="K1158" i="1"/>
  <c r="K1068" i="1"/>
  <c r="K1005" i="1"/>
  <c r="K919" i="1"/>
  <c r="K850" i="1"/>
  <c r="K673" i="1"/>
  <c r="K649" i="1"/>
  <c r="K604" i="1"/>
  <c r="K545" i="1"/>
  <c r="K373" i="1"/>
  <c r="K353" i="1"/>
  <c r="K179" i="1"/>
  <c r="K79" i="1"/>
  <c r="K15" i="1"/>
  <c r="K593" i="1"/>
  <c r="K580" i="1"/>
  <c r="K199" i="1"/>
  <c r="K2411" i="1"/>
  <c r="K537" i="1"/>
  <c r="K509" i="1"/>
  <c r="K485" i="1"/>
  <c r="K334" i="1"/>
  <c r="K2860" i="1"/>
  <c r="K753" i="1"/>
  <c r="K421" i="1"/>
  <c r="K426" i="1"/>
  <c r="K3719" i="1"/>
  <c r="K3718" i="1"/>
  <c r="K3686" i="1"/>
  <c r="K3752" i="1"/>
  <c r="K3740" i="1"/>
  <c r="K3559" i="1"/>
  <c r="K3530" i="1"/>
  <c r="K3544" i="1"/>
  <c r="K3511" i="1"/>
  <c r="K3374" i="1"/>
  <c r="K3453" i="1"/>
  <c r="K3206" i="1"/>
  <c r="K3252" i="1"/>
  <c r="K3223" i="1"/>
  <c r="K3295" i="1"/>
  <c r="K3044" i="1"/>
  <c r="K3151" i="1"/>
  <c r="K2885" i="1"/>
  <c r="K2963" i="1"/>
  <c r="K2577" i="1"/>
  <c r="K2508" i="1"/>
  <c r="K2492" i="1"/>
  <c r="K2417" i="1"/>
  <c r="K2093" i="1"/>
  <c r="K1974" i="1"/>
  <c r="K1856" i="1"/>
  <c r="K1831" i="1"/>
  <c r="K1530" i="1"/>
  <c r="K1194" i="1"/>
  <c r="K1041" i="1"/>
  <c r="K1033" i="1"/>
  <c r="K820" i="1"/>
  <c r="K598" i="1"/>
  <c r="K576" i="1"/>
  <c r="K464" i="1"/>
  <c r="K455" i="1"/>
  <c r="K300" i="1"/>
  <c r="K276" i="1"/>
  <c r="K242" i="1"/>
  <c r="K119" i="1"/>
  <c r="K74" i="1"/>
  <c r="K11" i="1"/>
  <c r="K1657" i="1"/>
  <c r="K1589" i="1"/>
  <c r="K1432" i="1"/>
  <c r="K708" i="1"/>
  <c r="K676" i="1"/>
  <c r="K524" i="1"/>
  <c r="K477" i="1"/>
  <c r="K1664" i="1"/>
  <c r="K1378" i="1"/>
  <c r="K1328" i="1"/>
  <c r="K1174" i="1"/>
  <c r="K1121" i="1"/>
  <c r="K1003" i="1"/>
  <c r="K3521" i="1"/>
  <c r="K567" i="1"/>
  <c r="K162" i="1"/>
  <c r="K436" i="1"/>
  <c r="K2078" i="1"/>
  <c r="K1940" i="1"/>
  <c r="K156" i="1"/>
  <c r="K82" i="1"/>
  <c r="K1585" i="1"/>
  <c r="K1276" i="1"/>
  <c r="K1265" i="1"/>
  <c r="K3722" i="1"/>
  <c r="K2121" i="1"/>
  <c r="K917" i="1"/>
  <c r="K794" i="1"/>
  <c r="K672" i="1"/>
  <c r="K141" i="1"/>
  <c r="K73" i="1"/>
  <c r="K2099" i="1"/>
  <c r="K1953" i="1"/>
  <c r="K1834" i="1"/>
  <c r="K1803" i="1"/>
  <c r="K1163" i="1"/>
  <c r="K1137" i="1"/>
  <c r="K1011" i="1"/>
  <c r="K898" i="1"/>
  <c r="K736" i="1"/>
  <c r="K476" i="1"/>
  <c r="K236" i="1"/>
  <c r="K227" i="1"/>
  <c r="K206" i="1"/>
  <c r="K147" i="1"/>
  <c r="K69" i="1"/>
  <c r="K40" i="1"/>
  <c r="K957" i="1"/>
  <c r="K893" i="1"/>
  <c r="K1445" i="1"/>
  <c r="K1439" i="1"/>
  <c r="K1435" i="1"/>
  <c r="K1267" i="1"/>
  <c r="K2361" i="1"/>
  <c r="K2199" i="1"/>
  <c r="K2074" i="1"/>
  <c r="K1290" i="1"/>
  <c r="K1205" i="1"/>
  <c r="K299" i="1"/>
  <c r="K241" i="1"/>
  <c r="K1356" i="1"/>
  <c r="K589" i="1"/>
  <c r="K3872" i="1"/>
  <c r="K3618" i="1"/>
  <c r="K3620" i="1"/>
  <c r="K3003" i="1"/>
  <c r="K1883" i="1"/>
  <c r="K1881" i="1"/>
  <c r="K1256" i="1"/>
  <c r="K3172" i="1"/>
  <c r="K3759" i="1"/>
  <c r="K3764" i="1"/>
  <c r="K3821" i="1"/>
  <c r="K3536" i="1"/>
  <c r="K3293" i="1"/>
  <c r="K2906" i="1"/>
  <c r="K2859" i="1"/>
  <c r="K2776" i="1"/>
  <c r="K2487" i="1"/>
  <c r="K2263" i="1"/>
  <c r="K2244" i="1"/>
  <c r="K2234" i="1"/>
  <c r="K2150" i="1"/>
  <c r="K2062" i="1"/>
  <c r="K2002" i="1"/>
  <c r="K1842" i="1"/>
  <c r="K1651" i="1"/>
  <c r="K1165" i="1"/>
  <c r="K937" i="1"/>
  <c r="K470" i="1"/>
  <c r="K461" i="1"/>
  <c r="K396" i="1"/>
  <c r="K326" i="1"/>
  <c r="K549" i="1"/>
  <c r="K460" i="1"/>
  <c r="K452" i="1"/>
  <c r="K111" i="1"/>
  <c r="K57" i="1"/>
  <c r="K41" i="1"/>
  <c r="K178" i="1"/>
  <c r="K88" i="1"/>
  <c r="K1922" i="1"/>
  <c r="K2704" i="1"/>
  <c r="K1287" i="1"/>
  <c r="K3472" i="1"/>
  <c r="K3441" i="1"/>
  <c r="K3222" i="1"/>
  <c r="K3085" i="1"/>
  <c r="K2891" i="1"/>
  <c r="K2940" i="1"/>
  <c r="K2664" i="1"/>
  <c r="K2507" i="1"/>
  <c r="K2042" i="1"/>
  <c r="K1795" i="1"/>
  <c r="K852" i="1"/>
  <c r="K3660" i="1"/>
  <c r="K1058" i="1"/>
  <c r="K1754" i="1"/>
  <c r="K1079" i="1"/>
  <c r="K915" i="1"/>
  <c r="K552" i="1"/>
  <c r="K440" i="1"/>
  <c r="K120" i="1"/>
  <c r="K75" i="1"/>
  <c r="K45" i="1"/>
  <c r="K3657" i="1"/>
  <c r="K2855" i="1"/>
  <c r="K887" i="1"/>
  <c r="K1097" i="1"/>
  <c r="K908" i="1"/>
  <c r="K3156" i="1"/>
  <c r="K3159" i="1"/>
  <c r="K3140" i="1"/>
  <c r="K2444" i="1"/>
  <c r="K2440" i="1"/>
  <c r="K2427" i="1"/>
  <c r="K2400" i="1"/>
  <c r="K1688" i="1"/>
  <c r="K2190" i="1"/>
  <c r="K1574" i="1"/>
  <c r="K1422" i="1"/>
  <c r="K1413" i="1"/>
  <c r="K1399" i="1"/>
  <c r="K1226" i="1"/>
  <c r="K1043" i="1"/>
  <c r="K382" i="1"/>
  <c r="K1410" i="1"/>
  <c r="K1277" i="1"/>
  <c r="K688" i="1"/>
  <c r="K3662" i="1"/>
  <c r="K3200" i="1"/>
  <c r="K3305" i="1"/>
  <c r="K3081" i="1"/>
  <c r="K2022" i="1"/>
  <c r="K2011" i="1"/>
  <c r="K2004" i="1"/>
  <c r="K1952" i="1"/>
  <c r="K1850" i="1"/>
  <c r="K1812" i="1"/>
  <c r="K1477" i="1"/>
  <c r="K774" i="1"/>
  <c r="K754" i="1"/>
  <c r="K163" i="1"/>
  <c r="K781" i="1"/>
  <c r="K617" i="1"/>
  <c r="K3805" i="1"/>
  <c r="K451" i="1"/>
  <c r="K291" i="1"/>
  <c r="K262" i="1"/>
  <c r="K217" i="1"/>
  <c r="K2583" i="1"/>
  <c r="K3824" i="1"/>
  <c r="K3836" i="1"/>
  <c r="K3877" i="1"/>
  <c r="K3671" i="1"/>
  <c r="K3791" i="1"/>
  <c r="K3535" i="1"/>
  <c r="K3422" i="1"/>
  <c r="K3325" i="1"/>
  <c r="K3317" i="1"/>
  <c r="K3052" i="1"/>
  <c r="K2794" i="1"/>
  <c r="K2514" i="1"/>
  <c r="K2485" i="1"/>
  <c r="K2409" i="1"/>
  <c r="K2395" i="1"/>
  <c r="K2384" i="1"/>
  <c r="K2337" i="1"/>
  <c r="K2308" i="1"/>
  <c r="K2239" i="1"/>
  <c r="K1973" i="1"/>
  <c r="K1950" i="1"/>
  <c r="K1846" i="1"/>
  <c r="K1749" i="1"/>
  <c r="K1618" i="1"/>
  <c r="K1479" i="1"/>
  <c r="K1859" i="1"/>
  <c r="K3861" i="1"/>
  <c r="K3693" i="1"/>
  <c r="K3642" i="1"/>
  <c r="K3567" i="1"/>
  <c r="K3546" i="1"/>
  <c r="K3593" i="1"/>
  <c r="K3607" i="1"/>
  <c r="K3617" i="1"/>
  <c r="K3369" i="1"/>
  <c r="K3409" i="1"/>
  <c r="K3475" i="1"/>
  <c r="K3452" i="1"/>
  <c r="K3496" i="1"/>
  <c r="K3348" i="1"/>
  <c r="K3087" i="1"/>
  <c r="K3010" i="1"/>
  <c r="K3030" i="1"/>
  <c r="K3160" i="1"/>
  <c r="K3186" i="1"/>
  <c r="K2922" i="1"/>
  <c r="K2985" i="1"/>
  <c r="K2951" i="1"/>
  <c r="K2942" i="1"/>
  <c r="K2861" i="1"/>
  <c r="K2845" i="1"/>
  <c r="K2824" i="1"/>
  <c r="K2743" i="1"/>
  <c r="K2733" i="1"/>
  <c r="K2708" i="1"/>
  <c r="K2496" i="1"/>
  <c r="K2247" i="1"/>
  <c r="K2164" i="1"/>
  <c r="K2043" i="1"/>
  <c r="K1861" i="1"/>
  <c r="K1766" i="1"/>
  <c r="K1288" i="1"/>
  <c r="K1234" i="1"/>
  <c r="K1216" i="1"/>
  <c r="K872" i="1"/>
  <c r="K845" i="1"/>
  <c r="K668" i="1"/>
  <c r="K650" i="1"/>
  <c r="K435" i="1"/>
  <c r="K342" i="1"/>
  <c r="K123" i="1"/>
  <c r="K56" i="1"/>
  <c r="K6" i="1"/>
  <c r="K2333" i="1"/>
  <c r="K3859" i="1"/>
  <c r="K3702" i="1"/>
  <c r="K3668" i="1"/>
  <c r="K3603" i="1"/>
  <c r="K3397" i="1"/>
  <c r="K3373" i="1"/>
  <c r="K3070" i="1"/>
  <c r="K3059" i="1"/>
  <c r="K2926" i="1"/>
  <c r="K2564" i="1"/>
  <c r="K2524" i="1"/>
  <c r="K2495" i="1"/>
  <c r="K2489" i="1"/>
  <c r="K2457" i="1"/>
  <c r="K2407" i="1"/>
  <c r="K2394" i="1"/>
  <c r="K2149" i="1"/>
  <c r="K2094" i="1"/>
  <c r="K1947" i="1"/>
  <c r="K1855" i="1"/>
  <c r="K1843" i="1"/>
  <c r="K1781" i="1"/>
  <c r="K1335" i="1"/>
  <c r="K1147" i="1"/>
  <c r="K1135" i="1"/>
  <c r="K945" i="1"/>
  <c r="K800" i="1"/>
  <c r="K3352" i="1"/>
  <c r="K2342" i="1"/>
  <c r="K1908" i="1"/>
  <c r="K1709" i="1"/>
  <c r="K1894" i="1"/>
  <c r="K1108" i="1"/>
  <c r="K3548" i="1"/>
  <c r="K3224" i="1"/>
  <c r="K2450" i="1"/>
  <c r="K2426" i="1"/>
  <c r="K279" i="1"/>
  <c r="K187" i="1"/>
  <c r="K97" i="1"/>
  <c r="K3674" i="1"/>
  <c r="K978" i="1"/>
  <c r="K773" i="1"/>
  <c r="K590" i="1"/>
  <c r="K2117" i="1"/>
  <c r="K931" i="1"/>
  <c r="K218" i="1"/>
  <c r="K3074" i="1"/>
  <c r="K751" i="1"/>
  <c r="K748" i="1"/>
  <c r="K2445" i="1"/>
  <c r="K1295" i="1"/>
  <c r="K2220" i="1"/>
  <c r="K1236" i="1"/>
  <c r="K3658" i="1"/>
  <c r="K3035" i="1"/>
  <c r="K2847" i="1"/>
  <c r="K2698" i="1"/>
  <c r="K2545" i="1"/>
  <c r="K1622" i="1"/>
  <c r="K1603" i="1"/>
  <c r="K737" i="1"/>
  <c r="K1184" i="1"/>
  <c r="K1002" i="1"/>
  <c r="K956" i="1"/>
  <c r="K634" i="1"/>
  <c r="K622" i="1"/>
  <c r="K940" i="1"/>
  <c r="K2879" i="1"/>
  <c r="K2316" i="1"/>
  <c r="K2260" i="1"/>
  <c r="K2089" i="1"/>
  <c r="K1972" i="1"/>
  <c r="K1935" i="1"/>
  <c r="K1788" i="1"/>
  <c r="K1755" i="1"/>
  <c r="K1674" i="1"/>
  <c r="K1355" i="1"/>
  <c r="K976" i="1"/>
  <c r="K697" i="1"/>
  <c r="K523" i="1"/>
  <c r="K484" i="1"/>
  <c r="K2344" i="1"/>
  <c r="K2189" i="1"/>
  <c r="K969" i="1"/>
  <c r="K1613" i="1"/>
  <c r="K1345" i="1"/>
  <c r="K1155" i="1"/>
  <c r="K595" i="1"/>
  <c r="K167" i="1"/>
  <c r="K3619" i="1"/>
  <c r="K3002" i="1"/>
  <c r="K1882" i="1"/>
  <c r="K1714" i="1"/>
  <c r="K1624" i="1"/>
  <c r="K1279" i="1"/>
  <c r="K1255" i="1"/>
  <c r="K1221" i="1"/>
  <c r="K914" i="1"/>
  <c r="K1350" i="1"/>
  <c r="K1313" i="1"/>
  <c r="K2990" i="1"/>
  <c r="K2510" i="1"/>
  <c r="K2044" i="1"/>
  <c r="K1735" i="1"/>
  <c r="K1704" i="1"/>
  <c r="K1565" i="1"/>
  <c r="K1428" i="1"/>
  <c r="K1253" i="1"/>
  <c r="K1071" i="1"/>
  <c r="K1067" i="1"/>
  <c r="K3547" i="1"/>
  <c r="K2142" i="1"/>
  <c r="K2116" i="1"/>
  <c r="K2010" i="1"/>
  <c r="K1961" i="1"/>
  <c r="K1822" i="1"/>
  <c r="K1180" i="1"/>
  <c r="K825" i="1"/>
  <c r="K779" i="1"/>
  <c r="K639" i="1"/>
  <c r="K2955" i="1"/>
  <c r="K2607" i="1"/>
  <c r="K2269" i="1"/>
  <c r="K2009" i="1"/>
  <c r="K2741" i="1"/>
  <c r="K526" i="1"/>
  <c r="K518" i="1"/>
  <c r="K1326" i="1"/>
  <c r="K1238" i="1"/>
  <c r="K377" i="1"/>
  <c r="K428" i="1"/>
  <c r="K3724" i="1"/>
  <c r="K3691" i="1"/>
  <c r="K2569" i="1"/>
  <c r="K2303" i="1"/>
  <c r="K2157" i="1"/>
  <c r="K1983" i="1"/>
  <c r="K1958" i="1"/>
  <c r="K1932" i="1"/>
  <c r="K1807" i="1"/>
  <c r="K1669" i="1"/>
  <c r="K1607" i="1"/>
  <c r="K1471" i="1"/>
  <c r="K1382" i="1"/>
  <c r="K1050" i="1"/>
  <c r="K910" i="1"/>
  <c r="K903" i="1"/>
  <c r="K546" i="1"/>
  <c r="K379" i="1"/>
  <c r="K317" i="1"/>
  <c r="K137" i="1"/>
  <c r="K60" i="1"/>
  <c r="K14" i="1"/>
  <c r="K757" i="1"/>
  <c r="K3481" i="1"/>
  <c r="K3217" i="1"/>
  <c r="K1969" i="1"/>
  <c r="K694" i="1"/>
  <c r="K465" i="1"/>
  <c r="K407" i="1"/>
  <c r="K314" i="1"/>
  <c r="K3185" i="1"/>
  <c r="K3175" i="1"/>
  <c r="K2997" i="1"/>
  <c r="K2992" i="1"/>
  <c r="K2680" i="1"/>
  <c r="K3716" i="1"/>
  <c r="K3685" i="1"/>
  <c r="K3749" i="1"/>
  <c r="K3585" i="1"/>
  <c r="K3376" i="1"/>
  <c r="K3379" i="1"/>
  <c r="K3440" i="1"/>
  <c r="K3205" i="1"/>
  <c r="K3212" i="1"/>
  <c r="K2960" i="1"/>
  <c r="K3027" i="1"/>
  <c r="K1082" i="1"/>
  <c r="K109" i="1"/>
  <c r="K104" i="1"/>
  <c r="K20" i="1"/>
  <c r="K1197" i="1"/>
  <c r="K1193" i="1"/>
  <c r="K275" i="1"/>
  <c r="K2971" i="1"/>
  <c r="K2685" i="1"/>
  <c r="K2662" i="1"/>
  <c r="K2519" i="1"/>
  <c r="K2498" i="1"/>
  <c r="K2328" i="1"/>
  <c r="K2185" i="1"/>
  <c r="K2024" i="1"/>
  <c r="K1696" i="1"/>
  <c r="K1545" i="1"/>
  <c r="K1100" i="1"/>
  <c r="K1748" i="1"/>
  <c r="K2028" i="1"/>
  <c r="K1424" i="1"/>
  <c r="K1259" i="1"/>
  <c r="K1240" i="1"/>
  <c r="K1077" i="1"/>
  <c r="K909" i="1"/>
  <c r="K844" i="1"/>
  <c r="K726" i="1"/>
  <c r="K1001" i="1"/>
  <c r="K884" i="1"/>
  <c r="K2195" i="1"/>
  <c r="K1920" i="1"/>
  <c r="K1727" i="1"/>
  <c r="K1283" i="1"/>
  <c r="K967" i="1"/>
  <c r="K1414" i="1"/>
  <c r="K392" i="1"/>
  <c r="K144" i="1"/>
  <c r="K3665" i="1"/>
  <c r="K3673" i="1"/>
  <c r="K3554" i="1"/>
  <c r="K3580" i="1"/>
  <c r="K3370" i="1"/>
  <c r="K3097" i="1"/>
  <c r="K3107" i="1"/>
  <c r="K3157" i="1"/>
  <c r="K2882" i="1"/>
  <c r="K2870" i="1"/>
  <c r="K2783" i="1"/>
  <c r="K2781" i="1"/>
  <c r="K2717" i="1"/>
  <c r="K1075" i="1"/>
  <c r="K1062" i="1"/>
  <c r="K384" i="1"/>
  <c r="K310" i="1"/>
  <c r="K3390" i="1"/>
  <c r="K1004" i="1"/>
  <c r="K2590" i="1"/>
  <c r="K2574" i="1"/>
  <c r="K1289" i="1"/>
  <c r="K2701" i="1"/>
  <c r="K2695" i="1"/>
  <c r="K1426" i="1"/>
  <c r="K1384" i="1"/>
  <c r="K1210" i="1"/>
  <c r="K740" i="1"/>
  <c r="K735" i="1"/>
  <c r="K652" i="1"/>
  <c r="K564" i="1"/>
  <c r="K404" i="1"/>
  <c r="K383" i="1"/>
  <c r="K352" i="1"/>
  <c r="K325" i="1"/>
  <c r="K143" i="1"/>
  <c r="K112" i="1"/>
  <c r="K103" i="1"/>
  <c r="K93" i="1"/>
  <c r="K28" i="1"/>
  <c r="K2401" i="1"/>
  <c r="K3130" i="1"/>
  <c r="K2140" i="1"/>
  <c r="K1015" i="1"/>
  <c r="K664" i="1"/>
  <c r="K651" i="1"/>
  <c r="K591" i="1"/>
  <c r="K429" i="1"/>
  <c r="K351" i="1"/>
  <c r="K203" i="1"/>
  <c r="K3699" i="1"/>
  <c r="K3669" i="1"/>
  <c r="K3676" i="1"/>
  <c r="K3640" i="1"/>
  <c r="K3653" i="1"/>
  <c r="K3773" i="1"/>
  <c r="K3581" i="1"/>
  <c r="K3565" i="1"/>
  <c r="K3466" i="1"/>
  <c r="K3509" i="1"/>
  <c r="K3291" i="1"/>
  <c r="K3283" i="1"/>
  <c r="K3344" i="1"/>
  <c r="K3113" i="1"/>
  <c r="K3038" i="1"/>
  <c r="K3041" i="1"/>
  <c r="K3187" i="1"/>
  <c r="K2844" i="1"/>
  <c r="K2606" i="1"/>
  <c r="K2488" i="1"/>
  <c r="K2476" i="1"/>
  <c r="K2471" i="1"/>
  <c r="K2460" i="1"/>
  <c r="K2273" i="1"/>
  <c r="K2252" i="1"/>
  <c r="K2246" i="1"/>
  <c r="K1984" i="1"/>
  <c r="K1799" i="1"/>
  <c r="K1518" i="1"/>
  <c r="K561" i="1"/>
  <c r="K372" i="1"/>
  <c r="K318" i="1"/>
  <c r="K164" i="1"/>
  <c r="K95" i="1"/>
  <c r="K24" i="1"/>
  <c r="K507" i="1"/>
  <c r="K479" i="1"/>
  <c r="K786" i="1"/>
  <c r="K1459" i="1"/>
  <c r="K927" i="1"/>
  <c r="K566" i="1"/>
  <c r="K153" i="1"/>
  <c r="K16" i="1"/>
  <c r="K1862" i="1"/>
  <c r="K1679" i="1"/>
  <c r="K1658" i="1"/>
  <c r="K1517" i="1"/>
  <c r="K787" i="1"/>
  <c r="K775" i="1"/>
  <c r="K605" i="1"/>
  <c r="K519" i="1"/>
  <c r="K502" i="1"/>
  <c r="K478" i="1"/>
  <c r="K467" i="1"/>
  <c r="K1042" i="1"/>
  <c r="K2115" i="1"/>
  <c r="K1746" i="1"/>
  <c r="K1444" i="1"/>
  <c r="K1441" i="1"/>
  <c r="K1437" i="1"/>
  <c r="K897" i="1"/>
  <c r="K895" i="1"/>
  <c r="K883" i="1"/>
  <c r="K705" i="1"/>
  <c r="K520" i="1"/>
  <c r="K508" i="1"/>
  <c r="K481" i="1"/>
  <c r="K319" i="1"/>
  <c r="K3174" i="1"/>
  <c r="K2996" i="1"/>
  <c r="K1554" i="1"/>
  <c r="K653" i="1"/>
  <c r="K393" i="1"/>
  <c r="K324" i="1"/>
  <c r="K1368" i="1"/>
  <c r="K1325" i="1"/>
  <c r="K1310" i="1"/>
  <c r="K1006" i="1"/>
  <c r="K979" i="1"/>
  <c r="K3826" i="1"/>
  <c r="K3690" i="1"/>
  <c r="K3209" i="1"/>
  <c r="K3201" i="1"/>
  <c r="K3231" i="1"/>
  <c r="K3054" i="1"/>
  <c r="K1650" i="1"/>
  <c r="K1501" i="1"/>
  <c r="K1395" i="1"/>
  <c r="K370" i="1"/>
  <c r="K3261" i="1"/>
  <c r="K1405" i="1"/>
  <c r="K1182" i="1"/>
  <c r="K3799" i="1"/>
  <c r="K3794" i="1"/>
  <c r="K3876" i="1"/>
  <c r="K3701" i="1"/>
  <c r="K3714" i="1"/>
  <c r="K3680" i="1"/>
  <c r="K3633" i="1"/>
  <c r="K3651" i="1"/>
  <c r="K3762" i="1"/>
  <c r="K3790" i="1"/>
  <c r="K3553" i="1"/>
  <c r="K3534" i="1"/>
  <c r="K3412" i="1"/>
  <c r="K3388" i="1"/>
  <c r="K3457" i="1"/>
  <c r="K3207" i="1"/>
  <c r="K3190" i="1"/>
  <c r="K3213" i="1"/>
  <c r="K3243" i="1"/>
  <c r="K3226" i="1"/>
  <c r="K3323" i="1"/>
  <c r="K3333" i="1"/>
  <c r="K3336" i="1"/>
  <c r="K3036" i="1"/>
  <c r="K3139" i="1"/>
  <c r="K2925" i="1"/>
  <c r="K2863" i="1"/>
  <c r="K2915" i="1"/>
  <c r="K2977" i="1"/>
  <c r="K2854" i="1"/>
  <c r="K2834" i="1"/>
  <c r="K2775" i="1"/>
  <c r="K2761" i="1"/>
  <c r="K2710" i="1"/>
  <c r="K2700" i="1"/>
  <c r="K2690" i="1"/>
  <c r="K2563" i="1"/>
  <c r="K2537" i="1"/>
  <c r="K2502" i="1"/>
  <c r="K2463" i="1"/>
  <c r="K2418" i="1"/>
  <c r="K2368" i="1"/>
  <c r="K2327" i="1"/>
  <c r="K2253" i="1"/>
  <c r="K2163" i="1"/>
  <c r="K2152" i="1"/>
  <c r="K2098" i="1"/>
  <c r="K2052" i="1"/>
  <c r="K2031" i="1"/>
  <c r="K1944" i="1"/>
  <c r="K1848" i="1"/>
  <c r="K1806" i="1"/>
  <c r="K1686" i="1"/>
  <c r="K1645" i="1"/>
  <c r="K1639" i="1"/>
  <c r="K1099" i="1"/>
  <c r="K1087" i="1"/>
  <c r="K970" i="1"/>
  <c r="K691" i="1"/>
  <c r="K160" i="1"/>
  <c r="K2905" i="1"/>
  <c r="K1149" i="1"/>
  <c r="K985" i="1"/>
  <c r="K790" i="1"/>
  <c r="K574" i="1"/>
  <c r="K1836" i="1"/>
  <c r="K1801" i="1"/>
  <c r="K717" i="1"/>
  <c r="K710" i="1"/>
  <c r="K707" i="1"/>
  <c r="K1587" i="1"/>
  <c r="K1438" i="1"/>
  <c r="K1547" i="1"/>
  <c r="K797" i="1"/>
  <c r="K827" i="1"/>
  <c r="K1374" i="1"/>
  <c r="K3659" i="1"/>
  <c r="K1872" i="1"/>
  <c r="K743" i="1"/>
  <c r="K151" i="1"/>
  <c r="K27" i="1"/>
  <c r="K1159" i="1"/>
  <c r="K1123" i="1"/>
  <c r="K765" i="1"/>
  <c r="K618" i="1"/>
  <c r="K395" i="1"/>
  <c r="K306" i="1"/>
  <c r="K228" i="1"/>
  <c r="K391" i="1"/>
  <c r="K3330" i="1"/>
  <c r="K3089" i="1"/>
  <c r="K2969" i="1"/>
  <c r="K2728" i="1"/>
  <c r="K2723" i="1"/>
  <c r="K2591" i="1"/>
  <c r="K2405" i="1"/>
  <c r="K712" i="1"/>
  <c r="K499" i="1"/>
  <c r="K497" i="1"/>
  <c r="K495" i="1"/>
  <c r="K3019" i="1"/>
  <c r="K3841" i="1"/>
  <c r="K3704" i="1"/>
  <c r="K3371" i="1"/>
  <c r="K3303" i="1"/>
  <c r="K2877" i="1"/>
  <c r="K2736" i="1"/>
  <c r="K2612" i="1"/>
  <c r="K2388" i="1"/>
  <c r="K1854" i="1"/>
  <c r="K1956" i="1"/>
  <c r="K1647" i="1"/>
  <c r="K1481" i="1"/>
  <c r="K996" i="1"/>
  <c r="K769" i="1"/>
  <c r="K247" i="1"/>
  <c r="K3863" i="1"/>
  <c r="K3117" i="1"/>
  <c r="K3047" i="1"/>
  <c r="K2976" i="1"/>
  <c r="K2822" i="1"/>
  <c r="K2522" i="1"/>
  <c r="K2499" i="1"/>
  <c r="K2494" i="1"/>
  <c r="K2354" i="1"/>
  <c r="K2256" i="1"/>
  <c r="K2222" i="1"/>
  <c r="K2032" i="1"/>
  <c r="K2026" i="1"/>
  <c r="K1860" i="1"/>
  <c r="K1713" i="1"/>
  <c r="K1614" i="1"/>
  <c r="K1465" i="1"/>
  <c r="K1122" i="1"/>
  <c r="K600" i="1"/>
  <c r="K3021" i="1"/>
  <c r="K3008" i="1"/>
  <c r="K1901" i="1"/>
  <c r="K1750" i="1"/>
  <c r="K1710" i="1"/>
  <c r="K1695" i="1"/>
  <c r="K1558" i="1"/>
  <c r="K1278" i="1"/>
  <c r="K2986" i="1"/>
  <c r="K3851" i="1"/>
  <c r="K3874" i="1"/>
  <c r="K3720" i="1"/>
  <c r="K3682" i="1"/>
  <c r="K3696" i="1"/>
  <c r="K3638" i="1"/>
  <c r="K3570" i="1"/>
  <c r="K3552" i="1"/>
  <c r="K3476" i="1"/>
  <c r="K3463" i="1"/>
  <c r="K3485" i="1"/>
  <c r="K3091" i="1"/>
  <c r="K3061" i="1"/>
  <c r="K2452" i="1"/>
  <c r="K1790" i="1"/>
  <c r="K1472" i="1"/>
  <c r="K1353" i="1"/>
  <c r="K1318" i="1"/>
  <c r="K1116" i="1"/>
  <c r="K980" i="1"/>
  <c r="K796" i="1"/>
  <c r="K572" i="1"/>
  <c r="K158" i="1"/>
  <c r="K90" i="1"/>
  <c r="K3006" i="1"/>
  <c r="K1261" i="1"/>
  <c r="K2213" i="1"/>
  <c r="K1464" i="1"/>
  <c r="K1457" i="1"/>
  <c r="K1871" i="1"/>
  <c r="K3649" i="1"/>
  <c r="K3655" i="1"/>
  <c r="K3615" i="1"/>
  <c r="K3499" i="1"/>
  <c r="K3334" i="1"/>
  <c r="K3340" i="1"/>
  <c r="K3009" i="1"/>
  <c r="K3184" i="1"/>
  <c r="K2984" i="1"/>
  <c r="K2808" i="1"/>
  <c r="K2801" i="1"/>
  <c r="K2682" i="1"/>
  <c r="K2674" i="1"/>
  <c r="K2599" i="1"/>
  <c r="K2576" i="1"/>
  <c r="K2542" i="1"/>
  <c r="K2351" i="1"/>
  <c r="K2350" i="1"/>
  <c r="K2339" i="1"/>
  <c r="K2330" i="1"/>
  <c r="K2294" i="1"/>
  <c r="K2188" i="1"/>
  <c r="K2171" i="1"/>
  <c r="K2076" i="1"/>
  <c r="K2033" i="1"/>
  <c r="K2027" i="1"/>
  <c r="K1906" i="1"/>
  <c r="K1761" i="1"/>
  <c r="K1708" i="1"/>
  <c r="K1693" i="1"/>
  <c r="K1620" i="1"/>
  <c r="K1602" i="1"/>
  <c r="K1557" i="1"/>
  <c r="K1417" i="1"/>
  <c r="K1284" i="1"/>
  <c r="K1209" i="1"/>
  <c r="K1052" i="1"/>
  <c r="K1045" i="1"/>
  <c r="K936" i="1"/>
  <c r="K535" i="1"/>
  <c r="K506" i="1"/>
  <c r="K397" i="1"/>
  <c r="K333" i="1"/>
  <c r="K193" i="1"/>
  <c r="K121" i="1"/>
  <c r="K76" i="1"/>
  <c r="K34" i="1"/>
  <c r="K17" i="1"/>
  <c r="K2888" i="1"/>
  <c r="K2959" i="1"/>
  <c r="K2791" i="1"/>
  <c r="K699" i="1"/>
  <c r="K684" i="1"/>
  <c r="K536" i="1"/>
  <c r="K501" i="1"/>
  <c r="K487" i="1"/>
  <c r="K459" i="1"/>
  <c r="K3687" i="1"/>
  <c r="K3538" i="1"/>
  <c r="K3380" i="1"/>
  <c r="K3447" i="1"/>
  <c r="K3300" i="1"/>
  <c r="K3077" i="1"/>
  <c r="K2907" i="1"/>
  <c r="K2869" i="1"/>
  <c r="K2773" i="1"/>
  <c r="K2425" i="1"/>
  <c r="K2237" i="1"/>
  <c r="K2148" i="1"/>
  <c r="K2003" i="1"/>
  <c r="K1837" i="1"/>
  <c r="K1133" i="1"/>
  <c r="K1027" i="1"/>
  <c r="K949" i="1"/>
  <c r="K638" i="1"/>
  <c r="K628" i="1"/>
  <c r="K601" i="1"/>
  <c r="K270" i="1"/>
  <c r="K216" i="1"/>
  <c r="K1595" i="1"/>
  <c r="K1270" i="1"/>
  <c r="K722" i="1"/>
  <c r="K715" i="1"/>
  <c r="K685" i="1"/>
  <c r="K531" i="1"/>
  <c r="K514" i="1"/>
  <c r="K3040" i="1"/>
  <c r="K2991" i="1"/>
  <c r="K2964" i="1"/>
  <c r="K2676" i="1"/>
  <c r="K2526" i="1"/>
  <c r="K2314" i="1"/>
  <c r="K2297" i="1"/>
  <c r="K2242" i="1"/>
  <c r="K2161" i="1"/>
  <c r="K1902" i="1"/>
  <c r="K1900" i="1"/>
  <c r="K1765" i="1"/>
  <c r="K1757" i="1"/>
  <c r="K1090" i="1"/>
  <c r="K955" i="1"/>
  <c r="K1733" i="1"/>
  <c r="K1562" i="1"/>
  <c r="K1482" i="1"/>
  <c r="K3813" i="1"/>
  <c r="K3656" i="1"/>
  <c r="K3770" i="1"/>
  <c r="K3528" i="1"/>
  <c r="K3512" i="1"/>
  <c r="K2360" i="1"/>
  <c r="K1442" i="1"/>
  <c r="K724" i="1"/>
  <c r="K706" i="1"/>
  <c r="K534" i="1"/>
  <c r="K513" i="1"/>
  <c r="K511" i="1"/>
  <c r="K498" i="1"/>
  <c r="K496" i="1"/>
  <c r="K480" i="1"/>
  <c r="K475" i="1"/>
  <c r="K758" i="1"/>
  <c r="K1016" i="1"/>
  <c r="K730" i="1"/>
  <c r="K540" i="1"/>
  <c r="K1946" i="1"/>
  <c r="K1186" i="1"/>
  <c r="K1148" i="1"/>
  <c r="K267" i="1"/>
  <c r="K258" i="1"/>
  <c r="K226" i="1"/>
  <c r="K2281" i="1"/>
  <c r="K1580" i="1"/>
  <c r="K1363" i="1"/>
  <c r="K1329" i="1"/>
  <c r="K3846" i="1"/>
  <c r="K3598" i="1"/>
  <c r="K2928" i="1"/>
  <c r="K2968" i="1"/>
  <c r="K2596" i="1"/>
  <c r="K2453" i="1"/>
  <c r="K2151" i="1"/>
  <c r="K2112" i="1"/>
  <c r="K1989" i="1"/>
  <c r="K989" i="1"/>
  <c r="K799" i="1"/>
  <c r="K783" i="1"/>
  <c r="K607" i="1"/>
  <c r="K286" i="1"/>
  <c r="K278" i="1"/>
  <c r="K3145" i="1"/>
  <c r="K891" i="1"/>
  <c r="K473" i="1"/>
  <c r="K458" i="1"/>
  <c r="K3234" i="1"/>
  <c r="K816" i="1"/>
  <c r="K644" i="1"/>
  <c r="K305" i="1"/>
  <c r="K249" i="1"/>
  <c r="K3636" i="1"/>
  <c r="K3579" i="1"/>
  <c r="K3402" i="1"/>
  <c r="K3365" i="1"/>
  <c r="K3389" i="1"/>
  <c r="K3477" i="1"/>
  <c r="K3492" i="1"/>
  <c r="K3229" i="1"/>
  <c r="K3227" i="1"/>
  <c r="K2887" i="1"/>
  <c r="K2560" i="1"/>
  <c r="K2521" i="1"/>
  <c r="K2520" i="1"/>
  <c r="K2393" i="1"/>
  <c r="K2086" i="1"/>
  <c r="K1977" i="1"/>
  <c r="K1673" i="1"/>
  <c r="K223" i="1"/>
  <c r="K3768" i="1"/>
  <c r="K3176" i="1"/>
  <c r="K2975" i="1"/>
  <c r="K2825" i="1"/>
  <c r="K2800" i="1"/>
  <c r="K2684" i="1"/>
  <c r="K2655" i="1"/>
  <c r="K2518" i="1"/>
  <c r="K2326" i="1"/>
  <c r="K2184" i="1"/>
  <c r="K2182" i="1"/>
  <c r="K1904" i="1"/>
  <c r="K2194" i="1"/>
  <c r="K2048" i="1"/>
  <c r="K1567" i="1"/>
  <c r="K1257" i="1"/>
  <c r="K3650" i="1"/>
  <c r="K1419" i="1"/>
  <c r="K1352" i="1"/>
  <c r="K1188" i="1"/>
  <c r="K1150" i="1"/>
  <c r="K1138" i="1"/>
  <c r="K1119" i="1"/>
  <c r="K1117" i="1"/>
  <c r="K1088" i="1"/>
  <c r="K1051" i="1"/>
  <c r="K954" i="1"/>
  <c r="K904" i="1"/>
  <c r="K847" i="1"/>
  <c r="K834" i="1"/>
  <c r="K832" i="1"/>
  <c r="K801" i="1"/>
  <c r="K728" i="1"/>
  <c r="K635" i="1"/>
  <c r="K624" i="1"/>
  <c r="K619" i="1"/>
  <c r="K581" i="1"/>
  <c r="K544" i="1"/>
  <c r="K376" i="1"/>
  <c r="K303" i="1"/>
  <c r="K274" i="1"/>
  <c r="K257" i="1"/>
  <c r="K200" i="1"/>
  <c r="K114" i="1"/>
  <c r="K87" i="1"/>
  <c r="K2" i="1"/>
  <c r="K1516" i="1"/>
  <c r="K1498" i="1"/>
  <c r="K1293" i="1"/>
  <c r="K3814" i="1"/>
  <c r="K1670" i="1"/>
  <c r="K3734" i="1"/>
  <c r="K3577" i="1"/>
  <c r="K3279" i="1"/>
  <c r="K3294" i="1"/>
  <c r="K3072" i="1"/>
  <c r="K3149" i="1"/>
  <c r="K3144" i="1"/>
  <c r="K3161" i="1"/>
  <c r="K3135" i="1"/>
  <c r="K2892" i="1"/>
  <c r="K2936" i="1"/>
  <c r="K2770" i="1"/>
  <c r="K2747" i="1"/>
  <c r="K2585" i="1"/>
  <c r="K2580" i="1"/>
  <c r="K1796" i="1"/>
  <c r="K1314" i="1"/>
  <c r="K3837" i="1"/>
  <c r="K3525" i="1"/>
  <c r="K3517" i="1"/>
  <c r="K3515" i="1"/>
  <c r="K1308" i="1"/>
  <c r="K472" i="1"/>
  <c r="K3542" i="1"/>
  <c r="K942" i="1"/>
  <c r="K747" i="1"/>
  <c r="K3180" i="1"/>
  <c r="K2856" i="1"/>
  <c r="K2812" i="1"/>
  <c r="K1764" i="1"/>
  <c r="K1751" i="1"/>
  <c r="K2839" i="1"/>
  <c r="K2828" i="1"/>
  <c r="K3838" i="1"/>
  <c r="K3845" i="1"/>
  <c r="K3755" i="1"/>
  <c r="K3763" i="1"/>
  <c r="K3742" i="1"/>
  <c r="K3308" i="1"/>
  <c r="K3304" i="1"/>
  <c r="K3150" i="1"/>
  <c r="K2482" i="1"/>
  <c r="K2481" i="1"/>
  <c r="K2186" i="1"/>
  <c r="K2180" i="1"/>
  <c r="K2036" i="1"/>
  <c r="K1725" i="1"/>
  <c r="K1578" i="1"/>
  <c r="K1556" i="1"/>
  <c r="K1243" i="1"/>
  <c r="K1190" i="1"/>
  <c r="K1049" i="1"/>
  <c r="K118" i="1"/>
  <c r="K1089" i="1"/>
  <c r="K3801" i="1"/>
  <c r="K3020" i="1"/>
  <c r="K2843" i="1"/>
  <c r="K2573" i="1"/>
  <c r="K947" i="1"/>
  <c r="AS5" i="3" l="1"/>
  <c r="A769" i="8" l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768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8" i="8"/>
  <c r="C4" i="8"/>
  <c r="X5" i="3"/>
  <c r="W5" i="3"/>
  <c r="V5" i="3" l="1"/>
  <c r="U5" i="3"/>
  <c r="T5" i="3" l="1"/>
  <c r="K930" i="1"/>
  <c r="J3189" i="1" l="1"/>
  <c r="J3188" i="1"/>
  <c r="J3187" i="1"/>
  <c r="J3186" i="1"/>
  <c r="J3185" i="1"/>
  <c r="J3184" i="1"/>
  <c r="J3165" i="1"/>
  <c r="J3164" i="1"/>
  <c r="J3163" i="1"/>
  <c r="J3173" i="1"/>
  <c r="J3172" i="1"/>
  <c r="J3171" i="1"/>
  <c r="J3170" i="1"/>
  <c r="J3169" i="1"/>
  <c r="J3168" i="1"/>
  <c r="J3167" i="1"/>
  <c r="J3166" i="1"/>
  <c r="J3183" i="1"/>
  <c r="J3182" i="1"/>
  <c r="J3180" i="1"/>
  <c r="J3181" i="1"/>
  <c r="J3178" i="1"/>
  <c r="J3179" i="1"/>
  <c r="J3176" i="1"/>
  <c r="J3177" i="1"/>
  <c r="J3174" i="1"/>
  <c r="J3175" i="1"/>
  <c r="BN5" i="3" l="1"/>
  <c r="BM5" i="3"/>
  <c r="BL5" i="3"/>
  <c r="BK5" i="3"/>
  <c r="BJ5" i="3"/>
  <c r="BI5" i="3"/>
  <c r="BH5" i="3"/>
  <c r="BG5" i="3"/>
  <c r="BF5" i="3"/>
  <c r="BE5" i="3"/>
  <c r="BD5" i="3"/>
  <c r="BC5" i="3"/>
  <c r="S5" i="3" l="1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M9" i="3" l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AM103" i="3" s="1"/>
  <c r="AM104" i="3" s="1"/>
  <c r="AM105" i="3" s="1"/>
  <c r="AM106" i="3" s="1"/>
  <c r="AM107" i="3" s="1"/>
  <c r="AM108" i="3" s="1"/>
  <c r="AM109" i="3" s="1"/>
  <c r="AM110" i="3" s="1"/>
  <c r="AM111" i="3" s="1"/>
  <c r="AM112" i="3" s="1"/>
  <c r="AM113" i="3" s="1"/>
  <c r="AM114" i="3" s="1"/>
  <c r="AM115" i="3" s="1"/>
  <c r="AM116" i="3" s="1"/>
  <c r="AM117" i="3" s="1"/>
  <c r="AM118" i="3" s="1"/>
  <c r="AM119" i="3" s="1"/>
  <c r="AM120" i="3" s="1"/>
  <c r="AM121" i="3" s="1"/>
  <c r="AM122" i="3" s="1"/>
  <c r="AM123" i="3" s="1"/>
  <c r="AM124" i="3" s="1"/>
  <c r="AM125" i="3" s="1"/>
  <c r="AM126" i="3" s="1"/>
  <c r="AM127" i="3" s="1"/>
  <c r="AM128" i="3" s="1"/>
  <c r="AM129" i="3" s="1"/>
  <c r="AM130" i="3" s="1"/>
  <c r="AM131" i="3" s="1"/>
  <c r="AM132" i="3" s="1"/>
  <c r="AM133" i="3" s="1"/>
  <c r="AM134" i="3" s="1"/>
  <c r="AM135" i="3" s="1"/>
  <c r="AM136" i="3" s="1"/>
  <c r="AM137" i="3" s="1"/>
  <c r="AM138" i="3" s="1"/>
  <c r="AM139" i="3" s="1"/>
  <c r="AM140" i="3" s="1"/>
  <c r="AM141" i="3" s="1"/>
  <c r="AM142" i="3" s="1"/>
  <c r="AM143" i="3" s="1"/>
  <c r="AM144" i="3" s="1"/>
  <c r="AM145" i="3" s="1"/>
  <c r="AM146" i="3" s="1"/>
  <c r="AM147" i="3" s="1"/>
  <c r="AM148" i="3" s="1"/>
  <c r="AM149" i="3" s="1"/>
  <c r="AM150" i="3" s="1"/>
  <c r="AM151" i="3" s="1"/>
  <c r="AM152" i="3" s="1"/>
  <c r="AM153" i="3" s="1"/>
  <c r="AM154" i="3" s="1"/>
  <c r="AM155" i="3" s="1"/>
  <c r="AM156" i="3" s="1"/>
  <c r="AM157" i="3" s="1"/>
  <c r="AM158" i="3" s="1"/>
  <c r="AM159" i="3" s="1"/>
  <c r="AM160" i="3" s="1"/>
  <c r="AM161" i="3" s="1"/>
  <c r="AM162" i="3" s="1"/>
  <c r="AM163" i="3" s="1"/>
  <c r="AM164" i="3" s="1"/>
  <c r="AM165" i="3" s="1"/>
  <c r="AM166" i="3" s="1"/>
  <c r="AM167" i="3" s="1"/>
  <c r="AM168" i="3" s="1"/>
  <c r="AM169" i="3" s="1"/>
  <c r="AM170" i="3" s="1"/>
  <c r="AM171" i="3" s="1"/>
  <c r="AM172" i="3" s="1"/>
  <c r="AM173" i="3" s="1"/>
  <c r="AM174" i="3" s="1"/>
  <c r="AM175" i="3" s="1"/>
  <c r="AM176" i="3" s="1"/>
  <c r="AM177" i="3" s="1"/>
  <c r="AM178" i="3" s="1"/>
  <c r="AM179" i="3" s="1"/>
  <c r="AM180" i="3" s="1"/>
  <c r="AM181" i="3" s="1"/>
  <c r="AM182" i="3" s="1"/>
  <c r="AM183" i="3" s="1"/>
  <c r="AM184" i="3" s="1"/>
  <c r="AM185" i="3" s="1"/>
  <c r="AM186" i="3" s="1"/>
  <c r="AM187" i="3" s="1"/>
  <c r="AM188" i="3" s="1"/>
  <c r="AM189" i="3" s="1"/>
  <c r="AM190" i="3" s="1"/>
  <c r="AM191" i="3" s="1"/>
  <c r="AM192" i="3" s="1"/>
  <c r="AM193" i="3" s="1"/>
  <c r="AM194" i="3" s="1"/>
  <c r="AM195" i="3" s="1"/>
  <c r="AM196" i="3" s="1"/>
  <c r="AM197" i="3" s="1"/>
  <c r="AM198" i="3" s="1"/>
  <c r="AM199" i="3" s="1"/>
  <c r="AM200" i="3" s="1"/>
  <c r="AM201" i="3" s="1"/>
  <c r="AM202" i="3" s="1"/>
  <c r="AM203" i="3" s="1"/>
  <c r="AM204" i="3" s="1"/>
  <c r="AM205" i="3" s="1"/>
  <c r="AM206" i="3" s="1"/>
  <c r="AM207" i="3" s="1"/>
  <c r="AM208" i="3" s="1"/>
  <c r="AM209" i="3" s="1"/>
  <c r="AM210" i="3" s="1"/>
  <c r="AM211" i="3" s="1"/>
  <c r="AM212" i="3" s="1"/>
  <c r="AM213" i="3" s="1"/>
  <c r="AM214" i="3" s="1"/>
  <c r="AM215" i="3" s="1"/>
  <c r="AM216" i="3" s="1"/>
  <c r="AM217" i="3" s="1"/>
  <c r="AM218" i="3" s="1"/>
  <c r="AM219" i="3" s="1"/>
  <c r="AM220" i="3" s="1"/>
  <c r="AM221" i="3" s="1"/>
  <c r="AM222" i="3" s="1"/>
  <c r="AM223" i="3" s="1"/>
  <c r="AM224" i="3" s="1"/>
  <c r="AM225" i="3" s="1"/>
  <c r="AM226" i="3" s="1"/>
  <c r="AM227" i="3" s="1"/>
  <c r="AM228" i="3" s="1"/>
  <c r="AM229" i="3" s="1"/>
  <c r="AM230" i="3" s="1"/>
  <c r="AM231" i="3" s="1"/>
  <c r="AM232" i="3" s="1"/>
  <c r="AM233" i="3" s="1"/>
  <c r="AM234" i="3" s="1"/>
  <c r="AM235" i="3" s="1"/>
  <c r="AM236" i="3" s="1"/>
  <c r="AM237" i="3" s="1"/>
  <c r="AM238" i="3" s="1"/>
  <c r="AM239" i="3" s="1"/>
  <c r="AM240" i="3" s="1"/>
  <c r="AM241" i="3" s="1"/>
  <c r="AM242" i="3" s="1"/>
  <c r="AM243" i="3" s="1"/>
  <c r="AM244" i="3" s="1"/>
  <c r="AM245" i="3" s="1"/>
  <c r="AM246" i="3" s="1"/>
  <c r="AM247" i="3" s="1"/>
  <c r="AM248" i="3" s="1"/>
  <c r="AM249" i="3" s="1"/>
  <c r="AM250" i="3" s="1"/>
  <c r="AM251" i="3" s="1"/>
  <c r="AM252" i="3" s="1"/>
  <c r="AM253" i="3" s="1"/>
  <c r="AM254" i="3" s="1"/>
  <c r="AM255" i="3" s="1"/>
  <c r="AM256" i="3" s="1"/>
  <c r="AM257" i="3" s="1"/>
  <c r="AM258" i="3" s="1"/>
  <c r="AM259" i="3" s="1"/>
  <c r="AM260" i="3" s="1"/>
  <c r="AM261" i="3" s="1"/>
  <c r="AM262" i="3" s="1"/>
  <c r="AM263" i="3" s="1"/>
  <c r="AM264" i="3" s="1"/>
  <c r="AM265" i="3" s="1"/>
  <c r="AM266" i="3" s="1"/>
  <c r="AM267" i="3" s="1"/>
  <c r="AM268" i="3" s="1"/>
  <c r="AM269" i="3" s="1"/>
  <c r="AM270" i="3" s="1"/>
  <c r="AM271" i="3" s="1"/>
  <c r="AM272" i="3" s="1"/>
  <c r="AM273" i="3" s="1"/>
  <c r="AM274" i="3" s="1"/>
  <c r="AM275" i="3" s="1"/>
  <c r="AM276" i="3" s="1"/>
  <c r="AM277" i="3" s="1"/>
  <c r="AM278" i="3" s="1"/>
  <c r="AM279" i="3" s="1"/>
  <c r="AM280" i="3" s="1"/>
  <c r="AM281" i="3" s="1"/>
  <c r="AM282" i="3" s="1"/>
  <c r="AM283" i="3" s="1"/>
  <c r="AM284" i="3" s="1"/>
  <c r="AM285" i="3" s="1"/>
  <c r="AM286" i="3" s="1"/>
  <c r="AM287" i="3" s="1"/>
  <c r="AM288" i="3" s="1"/>
  <c r="AM289" i="3" s="1"/>
  <c r="AM290" i="3" s="1"/>
  <c r="AM291" i="3" s="1"/>
  <c r="AM292" i="3" s="1"/>
  <c r="AM293" i="3" s="1"/>
  <c r="AM294" i="3" s="1"/>
  <c r="AM295" i="3" s="1"/>
  <c r="AM296" i="3" s="1"/>
  <c r="AM297" i="3" s="1"/>
  <c r="AM298" i="3" s="1"/>
  <c r="AM299" i="3" s="1"/>
  <c r="AM300" i="3" s="1"/>
  <c r="AM301" i="3" s="1"/>
  <c r="AM302" i="3" s="1"/>
  <c r="AM303" i="3" s="1"/>
  <c r="AM304" i="3" s="1"/>
  <c r="AM305" i="3" s="1"/>
  <c r="AM306" i="3" s="1"/>
  <c r="AM307" i="3" s="1"/>
  <c r="AM308" i="3" s="1"/>
  <c r="AM309" i="3" s="1"/>
  <c r="AM310" i="3" s="1"/>
  <c r="AM311" i="3" s="1"/>
  <c r="AM312" i="3" s="1"/>
  <c r="AM313" i="3" s="1"/>
  <c r="AM314" i="3" s="1"/>
  <c r="AM315" i="3" s="1"/>
  <c r="AM316" i="3" s="1"/>
  <c r="AM317" i="3" s="1"/>
  <c r="AM318" i="3" s="1"/>
  <c r="AM319" i="3" s="1"/>
  <c r="AM320" i="3" s="1"/>
  <c r="AM321" i="3" s="1"/>
  <c r="AM322" i="3" s="1"/>
  <c r="AM323" i="3" s="1"/>
  <c r="AM324" i="3" s="1"/>
  <c r="AM325" i="3" s="1"/>
  <c r="AM326" i="3" s="1"/>
  <c r="AM327" i="3" s="1"/>
  <c r="AM328" i="3" s="1"/>
  <c r="AM329" i="3" s="1"/>
  <c r="AM330" i="3" s="1"/>
  <c r="AM331" i="3" s="1"/>
  <c r="AM332" i="3" s="1"/>
  <c r="AM333" i="3" s="1"/>
  <c r="AM334" i="3" s="1"/>
  <c r="AM335" i="3" s="1"/>
  <c r="AM336" i="3" s="1"/>
  <c r="AM337" i="3" s="1"/>
  <c r="AM338" i="3" s="1"/>
  <c r="AM339" i="3" s="1"/>
  <c r="AM340" i="3" s="1"/>
  <c r="AM341" i="3" s="1"/>
  <c r="AM342" i="3" s="1"/>
  <c r="AM343" i="3" s="1"/>
  <c r="AM344" i="3" s="1"/>
  <c r="AM345" i="3" s="1"/>
  <c r="AM346" i="3" s="1"/>
  <c r="AM347" i="3" s="1"/>
  <c r="AM348" i="3" s="1"/>
  <c r="AM349" i="3" s="1"/>
  <c r="AM350" i="3" s="1"/>
  <c r="AM351" i="3" s="1"/>
  <c r="AM352" i="3" s="1"/>
  <c r="AM353" i="3" s="1"/>
  <c r="AM354" i="3" s="1"/>
  <c r="AM355" i="3" s="1"/>
  <c r="AM356" i="3" s="1"/>
  <c r="AM357" i="3" s="1"/>
  <c r="AM358" i="3" s="1"/>
  <c r="AM359" i="3" s="1"/>
  <c r="AM360" i="3" s="1"/>
  <c r="AM361" i="3" s="1"/>
  <c r="AM362" i="3" s="1"/>
  <c r="AM363" i="3" s="1"/>
  <c r="AM364" i="3" s="1"/>
  <c r="AM365" i="3" s="1"/>
  <c r="AM366" i="3" s="1"/>
  <c r="AM367" i="3" s="1"/>
  <c r="AM368" i="3" s="1"/>
  <c r="AM369" i="3" s="1"/>
  <c r="AM370" i="3" s="1"/>
  <c r="AM371" i="3" s="1"/>
  <c r="AM372" i="3" s="1"/>
  <c r="AM373" i="3" s="1"/>
  <c r="AM374" i="3" s="1"/>
  <c r="AM375" i="3" s="1"/>
  <c r="AM376" i="3" s="1"/>
  <c r="AM377" i="3" s="1"/>
  <c r="AM378" i="3" s="1"/>
  <c r="AM379" i="3" s="1"/>
  <c r="AM380" i="3" s="1"/>
  <c r="AM381" i="3" s="1"/>
  <c r="AM382" i="3" s="1"/>
  <c r="AM383" i="3" s="1"/>
  <c r="AM384" i="3" s="1"/>
  <c r="AM385" i="3" s="1"/>
  <c r="AM386" i="3" s="1"/>
  <c r="AM387" i="3" s="1"/>
  <c r="AM388" i="3" s="1"/>
  <c r="AM389" i="3" s="1"/>
  <c r="AM390" i="3" s="1"/>
  <c r="AM391" i="3" s="1"/>
  <c r="AM392" i="3" s="1"/>
  <c r="AM393" i="3" s="1"/>
  <c r="AM394" i="3" s="1"/>
  <c r="AM395" i="3" s="1"/>
  <c r="AM396" i="3" s="1"/>
  <c r="AM397" i="3" s="1"/>
  <c r="AM398" i="3" s="1"/>
  <c r="AM399" i="3" s="1"/>
  <c r="AM400" i="3" s="1"/>
  <c r="AM401" i="3" s="1"/>
  <c r="AM402" i="3" s="1"/>
  <c r="AM403" i="3" s="1"/>
  <c r="AM404" i="3" s="1"/>
  <c r="AM405" i="3" s="1"/>
  <c r="AM406" i="3" s="1"/>
  <c r="AM407" i="3" s="1"/>
  <c r="AM408" i="3" s="1"/>
  <c r="AM409" i="3" s="1"/>
  <c r="AM410" i="3" s="1"/>
  <c r="AM411" i="3" s="1"/>
  <c r="AM412" i="3" s="1"/>
  <c r="AM413" i="3" s="1"/>
  <c r="AM414" i="3" s="1"/>
  <c r="AM415" i="3" s="1"/>
  <c r="AM416" i="3" s="1"/>
  <c r="AM417" i="3" s="1"/>
  <c r="AM418" i="3" s="1"/>
  <c r="AM419" i="3" s="1"/>
  <c r="AM420" i="3" s="1"/>
  <c r="AM421" i="3" s="1"/>
  <c r="AM422" i="3" s="1"/>
  <c r="AM423" i="3" s="1"/>
  <c r="AM424" i="3" s="1"/>
  <c r="AM425" i="3" s="1"/>
  <c r="AM426" i="3" s="1"/>
  <c r="AM427" i="3" s="1"/>
  <c r="AM428" i="3" s="1"/>
  <c r="AM429" i="3" s="1"/>
  <c r="AM430" i="3" s="1"/>
  <c r="AM431" i="3" s="1"/>
  <c r="AM432" i="3" s="1"/>
  <c r="AM433" i="3" s="1"/>
  <c r="AM434" i="3" s="1"/>
  <c r="AM435" i="3" s="1"/>
  <c r="AM436" i="3" s="1"/>
  <c r="AM437" i="3" s="1"/>
  <c r="AM438" i="3" s="1"/>
  <c r="AM439" i="3" s="1"/>
  <c r="AM440" i="3" s="1"/>
  <c r="AM441" i="3" s="1"/>
  <c r="AM442" i="3" s="1"/>
  <c r="AM443" i="3" s="1"/>
  <c r="AM444" i="3" s="1"/>
  <c r="AM445" i="3" s="1"/>
  <c r="AM446" i="3" s="1"/>
  <c r="AM447" i="3" s="1"/>
  <c r="AM448" i="3" s="1"/>
  <c r="AM449" i="3" s="1"/>
  <c r="AM450" i="3" s="1"/>
  <c r="AM451" i="3" s="1"/>
  <c r="AM452" i="3" s="1"/>
  <c r="AM453" i="3" s="1"/>
  <c r="AM454" i="3" s="1"/>
  <c r="AM455" i="3" s="1"/>
  <c r="AM456" i="3" s="1"/>
  <c r="AM457" i="3" s="1"/>
  <c r="AM458" i="3" s="1"/>
  <c r="AM459" i="3" s="1"/>
  <c r="AM460" i="3" s="1"/>
  <c r="AM461" i="3" s="1"/>
  <c r="AM462" i="3" s="1"/>
  <c r="AM463" i="3" s="1"/>
  <c r="AM464" i="3" s="1"/>
  <c r="AM465" i="3" s="1"/>
  <c r="AM466" i="3" s="1"/>
  <c r="AM467" i="3" s="1"/>
  <c r="AM468" i="3" s="1"/>
  <c r="AM469" i="3" s="1"/>
  <c r="AM470" i="3" s="1"/>
  <c r="AM471" i="3" s="1"/>
  <c r="AM472" i="3" s="1"/>
  <c r="AM473" i="3" s="1"/>
  <c r="AM474" i="3" s="1"/>
  <c r="AM475" i="3" s="1"/>
  <c r="AM476" i="3" s="1"/>
  <c r="AM477" i="3" s="1"/>
  <c r="AM478" i="3" s="1"/>
  <c r="AM479" i="3" s="1"/>
  <c r="AM480" i="3" s="1"/>
  <c r="AM481" i="3" s="1"/>
  <c r="AM482" i="3" s="1"/>
  <c r="AM483" i="3" s="1"/>
  <c r="AM484" i="3" s="1"/>
  <c r="AM485" i="3" s="1"/>
  <c r="AM486" i="3" s="1"/>
  <c r="AM487" i="3" s="1"/>
  <c r="AM488" i="3" s="1"/>
  <c r="AM489" i="3" s="1"/>
  <c r="AM490" i="3" s="1"/>
  <c r="AM491" i="3" s="1"/>
  <c r="AM492" i="3" s="1"/>
  <c r="AM493" i="3" s="1"/>
  <c r="AM494" i="3" s="1"/>
  <c r="AM495" i="3" s="1"/>
  <c r="AM496" i="3" s="1"/>
  <c r="AM497" i="3" s="1"/>
  <c r="AM498" i="3" s="1"/>
  <c r="AM499" i="3" s="1"/>
  <c r="AM500" i="3" s="1"/>
  <c r="AM501" i="3" s="1"/>
  <c r="AM502" i="3" s="1"/>
  <c r="AM503" i="3" s="1"/>
  <c r="AM504" i="3" s="1"/>
  <c r="AM505" i="3" s="1"/>
  <c r="AM506" i="3" s="1"/>
  <c r="AM507" i="3" s="1"/>
  <c r="AM508" i="3" s="1"/>
  <c r="AM509" i="3" s="1"/>
  <c r="AM510" i="3" s="1"/>
  <c r="AM511" i="3" s="1"/>
  <c r="AM512" i="3" s="1"/>
  <c r="AM513" i="3" s="1"/>
  <c r="AM514" i="3" s="1"/>
  <c r="AM515" i="3" s="1"/>
  <c r="AM516" i="3" s="1"/>
  <c r="AM517" i="3" s="1"/>
  <c r="AM518" i="3" s="1"/>
  <c r="AM519" i="3" s="1"/>
  <c r="AM520" i="3" s="1"/>
  <c r="AM521" i="3" s="1"/>
  <c r="AM522" i="3" s="1"/>
  <c r="AM523" i="3" s="1"/>
  <c r="AM524" i="3" s="1"/>
  <c r="AM525" i="3" s="1"/>
  <c r="AM526" i="3" s="1"/>
  <c r="AM527" i="3" s="1"/>
  <c r="AM528" i="3" s="1"/>
  <c r="AM529" i="3" s="1"/>
  <c r="AM530" i="3" s="1"/>
  <c r="AM531" i="3" s="1"/>
  <c r="AM532" i="3" s="1"/>
  <c r="AM533" i="3" s="1"/>
  <c r="AM534" i="3" s="1"/>
  <c r="AM535" i="3" s="1"/>
  <c r="AM536" i="3" s="1"/>
  <c r="AM537" i="3" s="1"/>
  <c r="AM538" i="3" s="1"/>
  <c r="AM539" i="3" s="1"/>
  <c r="AM540" i="3" s="1"/>
  <c r="AM541" i="3" s="1"/>
  <c r="AM542" i="3" s="1"/>
  <c r="AM543" i="3" s="1"/>
  <c r="AM544" i="3" s="1"/>
  <c r="AM545" i="3" s="1"/>
  <c r="AM546" i="3" s="1"/>
  <c r="AM547" i="3" s="1"/>
  <c r="AM548" i="3" s="1"/>
  <c r="AM549" i="3" s="1"/>
  <c r="AM550" i="3" s="1"/>
  <c r="AM551" i="3" s="1"/>
  <c r="AM552" i="3" s="1"/>
  <c r="AM553" i="3" s="1"/>
  <c r="AM554" i="3" s="1"/>
  <c r="AM555" i="3" s="1"/>
  <c r="AM556" i="3" s="1"/>
  <c r="AM557" i="3" s="1"/>
  <c r="AM558" i="3" s="1"/>
  <c r="AM559" i="3" s="1"/>
  <c r="AM560" i="3" s="1"/>
  <c r="AM561" i="3" s="1"/>
  <c r="AM562" i="3" s="1"/>
  <c r="AM563" i="3" s="1"/>
  <c r="AM564" i="3" s="1"/>
  <c r="AM565" i="3" s="1"/>
  <c r="AM566" i="3" s="1"/>
  <c r="AM567" i="3" s="1"/>
  <c r="AM568" i="3" s="1"/>
  <c r="AM569" i="3" s="1"/>
  <c r="AM570" i="3" s="1"/>
  <c r="AM571" i="3" s="1"/>
  <c r="AM572" i="3" s="1"/>
  <c r="AM573" i="3" s="1"/>
  <c r="AM574" i="3" s="1"/>
  <c r="AM575" i="3" s="1"/>
  <c r="AM576" i="3" s="1"/>
  <c r="AM577" i="3" s="1"/>
  <c r="AM578" i="3" s="1"/>
  <c r="AM579" i="3" s="1"/>
  <c r="AM580" i="3" s="1"/>
  <c r="AM581" i="3" s="1"/>
  <c r="AM582" i="3" s="1"/>
  <c r="AM583" i="3" s="1"/>
  <c r="AM584" i="3" s="1"/>
  <c r="AM585" i="3" s="1"/>
  <c r="AM586" i="3" s="1"/>
  <c r="AM587" i="3" s="1"/>
  <c r="AM588" i="3" s="1"/>
  <c r="AM589" i="3" s="1"/>
  <c r="AM590" i="3" s="1"/>
  <c r="AM591" i="3" s="1"/>
  <c r="AM592" i="3" s="1"/>
  <c r="AM593" i="3" s="1"/>
  <c r="AM594" i="3" s="1"/>
  <c r="AM595" i="3" s="1"/>
  <c r="AM596" i="3" s="1"/>
  <c r="AM597" i="3" s="1"/>
  <c r="AM598" i="3" s="1"/>
  <c r="AM599" i="3" s="1"/>
  <c r="AM600" i="3" s="1"/>
  <c r="AM601" i="3" s="1"/>
  <c r="AM602" i="3" s="1"/>
  <c r="AM603" i="3" s="1"/>
  <c r="AM604" i="3" s="1"/>
  <c r="AM605" i="3" s="1"/>
  <c r="AM606" i="3" s="1"/>
  <c r="AM607" i="3" s="1"/>
  <c r="AM608" i="3" s="1"/>
  <c r="AM609" i="3" s="1"/>
  <c r="AM610" i="3" s="1"/>
  <c r="AM611" i="3" s="1"/>
  <c r="AM612" i="3" s="1"/>
  <c r="AM613" i="3" s="1"/>
  <c r="AM614" i="3" s="1"/>
  <c r="AM615" i="3" s="1"/>
  <c r="AM616" i="3" s="1"/>
  <c r="AM617" i="3" s="1"/>
  <c r="AM618" i="3" s="1"/>
  <c r="AM619" i="3" s="1"/>
  <c r="AM620" i="3" s="1"/>
  <c r="AM621" i="3" s="1"/>
  <c r="AM622" i="3" s="1"/>
  <c r="AM623" i="3" s="1"/>
  <c r="AM624" i="3" s="1"/>
  <c r="AM625" i="3" s="1"/>
  <c r="AM626" i="3" s="1"/>
  <c r="AM627" i="3" s="1"/>
  <c r="AM628" i="3" s="1"/>
  <c r="AM629" i="3" s="1"/>
  <c r="AM630" i="3" s="1"/>
  <c r="AM631" i="3" s="1"/>
  <c r="AM632" i="3" s="1"/>
  <c r="AM633" i="3" s="1"/>
  <c r="AM634" i="3" s="1"/>
  <c r="AM635" i="3" s="1"/>
  <c r="AM636" i="3" s="1"/>
  <c r="AM637" i="3" s="1"/>
  <c r="AM638" i="3" s="1"/>
  <c r="AM639" i="3" s="1"/>
  <c r="AM640" i="3" s="1"/>
  <c r="AM641" i="3" s="1"/>
  <c r="AM642" i="3" s="1"/>
  <c r="AM643" i="3" s="1"/>
  <c r="AM644" i="3" s="1"/>
  <c r="AM645" i="3" s="1"/>
  <c r="AM646" i="3" s="1"/>
  <c r="AM647" i="3" s="1"/>
  <c r="AM648" i="3" s="1"/>
  <c r="AM649" i="3" s="1"/>
  <c r="AM650" i="3" s="1"/>
  <c r="AM651" i="3" s="1"/>
  <c r="AM652" i="3" s="1"/>
  <c r="AM653" i="3" s="1"/>
  <c r="AM654" i="3" s="1"/>
  <c r="AM655" i="3" s="1"/>
  <c r="AM656" i="3" s="1"/>
  <c r="AM657" i="3" s="1"/>
  <c r="AM658" i="3" s="1"/>
  <c r="AM659" i="3" s="1"/>
  <c r="AM660" i="3" s="1"/>
  <c r="AM661" i="3" s="1"/>
  <c r="AM662" i="3" s="1"/>
  <c r="AM663" i="3" s="1"/>
  <c r="AM664" i="3" s="1"/>
  <c r="AM665" i="3" s="1"/>
  <c r="AM666" i="3" s="1"/>
  <c r="AM667" i="3" s="1"/>
  <c r="AM668" i="3" s="1"/>
  <c r="AM669" i="3" s="1"/>
  <c r="AM670" i="3" s="1"/>
  <c r="AM671" i="3" s="1"/>
  <c r="AM672" i="3" s="1"/>
  <c r="AM673" i="3" s="1"/>
  <c r="AM674" i="3" s="1"/>
  <c r="AM675" i="3" s="1"/>
  <c r="AM676" i="3" s="1"/>
  <c r="AM677" i="3" s="1"/>
  <c r="AM678" i="3" s="1"/>
  <c r="AM679" i="3" s="1"/>
  <c r="AM680" i="3" s="1"/>
  <c r="AM681" i="3" s="1"/>
  <c r="AM682" i="3" s="1"/>
  <c r="AM683" i="3" s="1"/>
  <c r="AM684" i="3" s="1"/>
  <c r="AM685" i="3" s="1"/>
  <c r="AM686" i="3" s="1"/>
  <c r="AM687" i="3" s="1"/>
  <c r="AM688" i="3" s="1"/>
  <c r="AM689" i="3" s="1"/>
  <c r="AM690" i="3" s="1"/>
  <c r="AM691" i="3" s="1"/>
  <c r="AM692" i="3" s="1"/>
  <c r="AM693" i="3" s="1"/>
  <c r="AM694" i="3" s="1"/>
  <c r="AM695" i="3" s="1"/>
  <c r="AM696" i="3" s="1"/>
  <c r="AM697" i="3" s="1"/>
  <c r="AM698" i="3" s="1"/>
  <c r="AM699" i="3" s="1"/>
  <c r="AM700" i="3" s="1"/>
  <c r="AM701" i="3" s="1"/>
  <c r="AM702" i="3" s="1"/>
  <c r="AM703" i="3" s="1"/>
  <c r="AM704" i="3" s="1"/>
  <c r="AM705" i="3" s="1"/>
  <c r="AM706" i="3" s="1"/>
  <c r="AM707" i="3" s="1"/>
  <c r="AM708" i="3" s="1"/>
  <c r="AM709" i="3" s="1"/>
  <c r="AM710" i="3" s="1"/>
  <c r="AM711" i="3" s="1"/>
  <c r="AM712" i="3" s="1"/>
  <c r="AM713" i="3" s="1"/>
  <c r="AM714" i="3" s="1"/>
  <c r="AM715" i="3" s="1"/>
  <c r="AM716" i="3" s="1"/>
  <c r="AM717" i="3" s="1"/>
  <c r="AM718" i="3" s="1"/>
  <c r="AM719" i="3" s="1"/>
  <c r="AM720" i="3" s="1"/>
  <c r="AM721" i="3" s="1"/>
  <c r="AM722" i="3" s="1"/>
  <c r="AM723" i="3" s="1"/>
  <c r="AM724" i="3" s="1"/>
  <c r="AM725" i="3" s="1"/>
  <c r="AM726" i="3" s="1"/>
  <c r="AM727" i="3" s="1"/>
  <c r="AM728" i="3" s="1"/>
  <c r="AM729" i="3" s="1"/>
  <c r="AM730" i="3" s="1"/>
  <c r="AM731" i="3" s="1"/>
  <c r="AM732" i="3" s="1"/>
  <c r="AM733" i="3" s="1"/>
  <c r="AM734" i="3" s="1"/>
  <c r="AM735" i="3" s="1"/>
  <c r="AM736" i="3" s="1"/>
  <c r="AM737" i="3" s="1"/>
  <c r="AM738" i="3" s="1"/>
  <c r="AM739" i="3" s="1"/>
  <c r="AM740" i="3" s="1"/>
  <c r="AM741" i="3" s="1"/>
  <c r="AM742" i="3" s="1"/>
  <c r="AM743" i="3" s="1"/>
  <c r="AM744" i="3" s="1"/>
  <c r="AM745" i="3" s="1"/>
  <c r="AM746" i="3" s="1"/>
  <c r="AM747" i="3" s="1"/>
  <c r="AM748" i="3" s="1"/>
  <c r="AM749" i="3" s="1"/>
  <c r="AM750" i="3" s="1"/>
  <c r="AM751" i="3" s="1"/>
  <c r="AM752" i="3" s="1"/>
  <c r="AM753" i="3" s="1"/>
  <c r="AM754" i="3" s="1"/>
  <c r="AM755" i="3" s="1"/>
  <c r="AM756" i="3" s="1"/>
  <c r="AM757" i="3" s="1"/>
  <c r="AM758" i="3" s="1"/>
  <c r="AM759" i="3" s="1"/>
  <c r="AM760" i="3" s="1"/>
  <c r="AM761" i="3" s="1"/>
  <c r="AM762" i="3" s="1"/>
  <c r="AM763" i="3" s="1"/>
  <c r="AM764" i="3" s="1"/>
  <c r="AM765" i="3" s="1"/>
  <c r="AM766" i="3" s="1"/>
  <c r="AM767" i="3" s="1"/>
  <c r="AM768" i="3" s="1"/>
  <c r="AM769" i="3" s="1"/>
  <c r="AM770" i="3" s="1"/>
  <c r="AM771" i="3" s="1"/>
  <c r="AM772" i="3" s="1"/>
  <c r="AM773" i="3" s="1"/>
  <c r="AM774" i="3" s="1"/>
  <c r="AM775" i="3" s="1"/>
  <c r="AM776" i="3" s="1"/>
  <c r="AM777" i="3" s="1"/>
  <c r="AM778" i="3" s="1"/>
  <c r="AM779" i="3" s="1"/>
  <c r="AM780" i="3" s="1"/>
  <c r="AM781" i="3" s="1"/>
  <c r="AM782" i="3" s="1"/>
  <c r="AM783" i="3" s="1"/>
  <c r="AM784" i="3" s="1"/>
  <c r="AM785" i="3" s="1"/>
  <c r="AM786" i="3" s="1"/>
  <c r="AM787" i="3" s="1"/>
  <c r="AM788" i="3" s="1"/>
  <c r="AM789" i="3" s="1"/>
  <c r="AM790" i="3" s="1"/>
  <c r="AM791" i="3" s="1"/>
  <c r="AM792" i="3" s="1"/>
  <c r="AM793" i="3" s="1"/>
  <c r="AM794" i="3" s="1"/>
  <c r="AM795" i="3" s="1"/>
  <c r="AM796" i="3" s="1"/>
  <c r="AM797" i="3" s="1"/>
  <c r="AM798" i="3" s="1"/>
  <c r="AM799" i="3" s="1"/>
  <c r="AM800" i="3" s="1"/>
  <c r="AM801" i="3" s="1"/>
  <c r="AM802" i="3" s="1"/>
  <c r="AM803" i="3" s="1"/>
  <c r="AM804" i="3" s="1"/>
  <c r="AM805" i="3" s="1"/>
  <c r="AM806" i="3" s="1"/>
  <c r="AM807" i="3" s="1"/>
  <c r="AM808" i="3" s="1"/>
  <c r="AM809" i="3" s="1"/>
  <c r="AM810" i="3" s="1"/>
  <c r="AM811" i="3" s="1"/>
  <c r="AM812" i="3" s="1"/>
  <c r="AM813" i="3" s="1"/>
  <c r="AM814" i="3" s="1"/>
  <c r="AM815" i="3" s="1"/>
  <c r="AM816" i="3" s="1"/>
  <c r="AM817" i="3" s="1"/>
  <c r="AM818" i="3" s="1"/>
  <c r="AM819" i="3" s="1"/>
  <c r="AM820" i="3" s="1"/>
  <c r="AM821" i="3" s="1"/>
  <c r="AM822" i="3" s="1"/>
  <c r="AM823" i="3" s="1"/>
  <c r="AM824" i="3" s="1"/>
  <c r="AM825" i="3" s="1"/>
  <c r="AM826" i="3" s="1"/>
  <c r="AM827" i="3" s="1"/>
  <c r="AM828" i="3" s="1"/>
  <c r="AM829" i="3" s="1"/>
  <c r="AM830" i="3" s="1"/>
  <c r="AM831" i="3" s="1"/>
  <c r="AM832" i="3" s="1"/>
  <c r="AM833" i="3" s="1"/>
  <c r="AM834" i="3" s="1"/>
  <c r="AM835" i="3" s="1"/>
  <c r="AM836" i="3" s="1"/>
  <c r="AM837" i="3" s="1"/>
  <c r="AM838" i="3" s="1"/>
  <c r="AM839" i="3" s="1"/>
  <c r="AM840" i="3" s="1"/>
  <c r="AO5" i="3"/>
  <c r="AI9" i="3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AI105" i="3" s="1"/>
  <c r="AI106" i="3" s="1"/>
  <c r="AI107" i="3" s="1"/>
  <c r="AI108" i="3" s="1"/>
  <c r="AI109" i="3" s="1"/>
  <c r="AI110" i="3" s="1"/>
  <c r="AI111" i="3" s="1"/>
  <c r="AI112" i="3" s="1"/>
  <c r="AI113" i="3" s="1"/>
  <c r="AI114" i="3" s="1"/>
  <c r="AI115" i="3" s="1"/>
  <c r="AI116" i="3" s="1"/>
  <c r="AI117" i="3" s="1"/>
  <c r="AI118" i="3" s="1"/>
  <c r="AI119" i="3" s="1"/>
  <c r="AI120" i="3" s="1"/>
  <c r="AI121" i="3" s="1"/>
  <c r="AI122" i="3" s="1"/>
  <c r="AI123" i="3" s="1"/>
  <c r="AI124" i="3" s="1"/>
  <c r="AI125" i="3" s="1"/>
  <c r="AI126" i="3" s="1"/>
  <c r="AI127" i="3" s="1"/>
  <c r="AI128" i="3" s="1"/>
  <c r="AI129" i="3" s="1"/>
  <c r="AI130" i="3" s="1"/>
  <c r="AI131" i="3" s="1"/>
  <c r="AI132" i="3" s="1"/>
  <c r="AI133" i="3" s="1"/>
  <c r="AI134" i="3" s="1"/>
  <c r="AI135" i="3" s="1"/>
  <c r="AI136" i="3" s="1"/>
  <c r="AI137" i="3" s="1"/>
  <c r="AI138" i="3" s="1"/>
  <c r="AI139" i="3" s="1"/>
  <c r="AI140" i="3" s="1"/>
  <c r="AI141" i="3" s="1"/>
  <c r="AI142" i="3" s="1"/>
  <c r="AI143" i="3" s="1"/>
  <c r="AI144" i="3" s="1"/>
  <c r="AI145" i="3" s="1"/>
  <c r="AI146" i="3" s="1"/>
  <c r="AI147" i="3" s="1"/>
  <c r="AI148" i="3" s="1"/>
  <c r="AI149" i="3" s="1"/>
  <c r="AI150" i="3" s="1"/>
  <c r="AI151" i="3" s="1"/>
  <c r="AI152" i="3" s="1"/>
  <c r="AI153" i="3" s="1"/>
  <c r="AI154" i="3" s="1"/>
  <c r="AI155" i="3" s="1"/>
  <c r="AI156" i="3" s="1"/>
  <c r="AI157" i="3" s="1"/>
  <c r="AI158" i="3" s="1"/>
  <c r="AI159" i="3" s="1"/>
  <c r="AI160" i="3" s="1"/>
  <c r="AI161" i="3" s="1"/>
  <c r="AI162" i="3" s="1"/>
  <c r="AI163" i="3" s="1"/>
  <c r="AI164" i="3" s="1"/>
  <c r="AI165" i="3" s="1"/>
  <c r="AI166" i="3" s="1"/>
  <c r="AI167" i="3" s="1"/>
  <c r="AI168" i="3" s="1"/>
  <c r="AI169" i="3" s="1"/>
  <c r="AI170" i="3" s="1"/>
  <c r="AI171" i="3" s="1"/>
  <c r="AI172" i="3" s="1"/>
  <c r="AI173" i="3" s="1"/>
  <c r="AI174" i="3" s="1"/>
  <c r="AI175" i="3" s="1"/>
  <c r="AI176" i="3" s="1"/>
  <c r="AI177" i="3" s="1"/>
  <c r="AI178" i="3" s="1"/>
  <c r="AI179" i="3" s="1"/>
  <c r="AI180" i="3" s="1"/>
  <c r="AI181" i="3" s="1"/>
  <c r="AI182" i="3" s="1"/>
  <c r="AI183" i="3" s="1"/>
  <c r="AI184" i="3" s="1"/>
  <c r="AI185" i="3" s="1"/>
  <c r="AI186" i="3" s="1"/>
  <c r="AI187" i="3" s="1"/>
  <c r="AI188" i="3" s="1"/>
  <c r="AI189" i="3" s="1"/>
  <c r="AI190" i="3" s="1"/>
  <c r="AI191" i="3" s="1"/>
  <c r="AI192" i="3" s="1"/>
  <c r="AI193" i="3" s="1"/>
  <c r="AI194" i="3" s="1"/>
  <c r="AI195" i="3" s="1"/>
  <c r="AI196" i="3" s="1"/>
  <c r="AI197" i="3" s="1"/>
  <c r="AI198" i="3" s="1"/>
  <c r="AI199" i="3" s="1"/>
  <c r="AI200" i="3" s="1"/>
  <c r="AI201" i="3" s="1"/>
  <c r="AI202" i="3" s="1"/>
  <c r="AI203" i="3" s="1"/>
  <c r="AI204" i="3" s="1"/>
  <c r="AI205" i="3" s="1"/>
  <c r="AI206" i="3" s="1"/>
  <c r="AI207" i="3" s="1"/>
  <c r="AI208" i="3" s="1"/>
  <c r="AI209" i="3" s="1"/>
  <c r="AI210" i="3" s="1"/>
  <c r="AI211" i="3" s="1"/>
  <c r="AI212" i="3" s="1"/>
  <c r="AI213" i="3" s="1"/>
  <c r="AI214" i="3" s="1"/>
  <c r="AI215" i="3" s="1"/>
  <c r="AI216" i="3" s="1"/>
  <c r="AI217" i="3" s="1"/>
  <c r="AI218" i="3" s="1"/>
  <c r="AI219" i="3" s="1"/>
  <c r="AI220" i="3" s="1"/>
  <c r="AI221" i="3" s="1"/>
  <c r="AI222" i="3" s="1"/>
  <c r="AI223" i="3" s="1"/>
  <c r="AI224" i="3" s="1"/>
  <c r="AI225" i="3" s="1"/>
  <c r="AI226" i="3" s="1"/>
  <c r="AI227" i="3" s="1"/>
  <c r="AI228" i="3" s="1"/>
  <c r="AI229" i="3" s="1"/>
  <c r="AI230" i="3" s="1"/>
  <c r="AI231" i="3" s="1"/>
  <c r="AI232" i="3" s="1"/>
  <c r="AI233" i="3" s="1"/>
  <c r="AI234" i="3" s="1"/>
  <c r="AI235" i="3" s="1"/>
  <c r="AI236" i="3" s="1"/>
  <c r="AI237" i="3" s="1"/>
  <c r="AI238" i="3" s="1"/>
  <c r="AI239" i="3" s="1"/>
  <c r="AI240" i="3" s="1"/>
  <c r="AI241" i="3" s="1"/>
  <c r="AI242" i="3" s="1"/>
  <c r="AI243" i="3" s="1"/>
  <c r="AI244" i="3" s="1"/>
  <c r="AI245" i="3" s="1"/>
  <c r="AI246" i="3" s="1"/>
  <c r="AI247" i="3" s="1"/>
  <c r="AI248" i="3" s="1"/>
  <c r="AI249" i="3" s="1"/>
  <c r="AI250" i="3" s="1"/>
  <c r="AI251" i="3" s="1"/>
  <c r="AI252" i="3" s="1"/>
  <c r="AI253" i="3" s="1"/>
  <c r="AI254" i="3" s="1"/>
  <c r="AI255" i="3" s="1"/>
  <c r="AI256" i="3" s="1"/>
  <c r="AI257" i="3" s="1"/>
  <c r="AI258" i="3" s="1"/>
  <c r="AI259" i="3" s="1"/>
  <c r="AI260" i="3" s="1"/>
  <c r="AI261" i="3" s="1"/>
  <c r="AI262" i="3" s="1"/>
  <c r="AI263" i="3" s="1"/>
  <c r="AI264" i="3" s="1"/>
  <c r="AI265" i="3" s="1"/>
  <c r="AI266" i="3" s="1"/>
  <c r="AI267" i="3" s="1"/>
  <c r="AI268" i="3" s="1"/>
  <c r="AI269" i="3" s="1"/>
  <c r="AI270" i="3" s="1"/>
  <c r="AI271" i="3" s="1"/>
  <c r="AI272" i="3" s="1"/>
  <c r="AI273" i="3" s="1"/>
  <c r="AI274" i="3" s="1"/>
  <c r="AI275" i="3" s="1"/>
  <c r="AI276" i="3" s="1"/>
  <c r="AI277" i="3" s="1"/>
  <c r="AI278" i="3" s="1"/>
  <c r="AI279" i="3" s="1"/>
  <c r="AI280" i="3" s="1"/>
  <c r="AI281" i="3" s="1"/>
  <c r="AI282" i="3" s="1"/>
  <c r="AI283" i="3" s="1"/>
  <c r="AI284" i="3" s="1"/>
  <c r="AI285" i="3" s="1"/>
  <c r="AI286" i="3" s="1"/>
  <c r="AI287" i="3" s="1"/>
  <c r="AI288" i="3" s="1"/>
  <c r="AI289" i="3" s="1"/>
  <c r="AI290" i="3" s="1"/>
  <c r="AI291" i="3" s="1"/>
  <c r="AI292" i="3" s="1"/>
  <c r="AI293" i="3" s="1"/>
  <c r="AI294" i="3" s="1"/>
  <c r="AI295" i="3" s="1"/>
  <c r="AI296" i="3" s="1"/>
  <c r="AI297" i="3" s="1"/>
  <c r="AI298" i="3" s="1"/>
  <c r="AI299" i="3" s="1"/>
  <c r="AI300" i="3" s="1"/>
  <c r="AI301" i="3" s="1"/>
  <c r="AI302" i="3" s="1"/>
  <c r="AI303" i="3" s="1"/>
  <c r="AI304" i="3" s="1"/>
  <c r="AI305" i="3" s="1"/>
  <c r="AI306" i="3" s="1"/>
  <c r="AI307" i="3" s="1"/>
  <c r="AI308" i="3" s="1"/>
  <c r="AI309" i="3" s="1"/>
  <c r="AI310" i="3" s="1"/>
  <c r="AI311" i="3" s="1"/>
  <c r="AI312" i="3" s="1"/>
  <c r="AI313" i="3" s="1"/>
  <c r="AI314" i="3" s="1"/>
  <c r="AI315" i="3" s="1"/>
  <c r="AI316" i="3" s="1"/>
  <c r="AI317" i="3" s="1"/>
  <c r="AI318" i="3" s="1"/>
  <c r="AI319" i="3" s="1"/>
  <c r="AI320" i="3" s="1"/>
  <c r="AI321" i="3" s="1"/>
  <c r="AI322" i="3" s="1"/>
  <c r="AI323" i="3" s="1"/>
  <c r="AI324" i="3" s="1"/>
  <c r="AI325" i="3" s="1"/>
  <c r="AI326" i="3" s="1"/>
  <c r="AI327" i="3" s="1"/>
  <c r="AI328" i="3" s="1"/>
  <c r="AI329" i="3" s="1"/>
  <c r="AI330" i="3" s="1"/>
  <c r="AI331" i="3" s="1"/>
  <c r="AI332" i="3" s="1"/>
  <c r="AI333" i="3" s="1"/>
  <c r="AI334" i="3" s="1"/>
  <c r="AI335" i="3" s="1"/>
  <c r="AI336" i="3" s="1"/>
  <c r="AI337" i="3" s="1"/>
  <c r="AI338" i="3" s="1"/>
  <c r="AI339" i="3" s="1"/>
  <c r="AI340" i="3" s="1"/>
  <c r="AI341" i="3" s="1"/>
  <c r="AI342" i="3" s="1"/>
  <c r="AI343" i="3" s="1"/>
  <c r="AI344" i="3" s="1"/>
  <c r="AI345" i="3" s="1"/>
  <c r="AI346" i="3" s="1"/>
  <c r="AI347" i="3" s="1"/>
  <c r="AI348" i="3" s="1"/>
  <c r="AI349" i="3" s="1"/>
  <c r="AI350" i="3" s="1"/>
  <c r="AI351" i="3" s="1"/>
  <c r="AI352" i="3" s="1"/>
  <c r="AI353" i="3" s="1"/>
  <c r="AI354" i="3" s="1"/>
  <c r="AI355" i="3" s="1"/>
  <c r="AI356" i="3" s="1"/>
  <c r="AI357" i="3" s="1"/>
  <c r="AI358" i="3" s="1"/>
  <c r="AI359" i="3" s="1"/>
  <c r="AI360" i="3" s="1"/>
  <c r="AI361" i="3" s="1"/>
  <c r="AI362" i="3" s="1"/>
  <c r="AI363" i="3" s="1"/>
  <c r="AI364" i="3" s="1"/>
  <c r="AI365" i="3" s="1"/>
  <c r="AI366" i="3" s="1"/>
  <c r="AI367" i="3" s="1"/>
  <c r="AI368" i="3" s="1"/>
  <c r="AI369" i="3" s="1"/>
  <c r="AI370" i="3" s="1"/>
  <c r="AI371" i="3" s="1"/>
  <c r="AI372" i="3" s="1"/>
  <c r="AI373" i="3" s="1"/>
  <c r="AI374" i="3" s="1"/>
  <c r="AI375" i="3" s="1"/>
  <c r="AI376" i="3" s="1"/>
  <c r="AI377" i="3" s="1"/>
  <c r="AI378" i="3" s="1"/>
  <c r="AI379" i="3" s="1"/>
  <c r="AI380" i="3" s="1"/>
  <c r="AI381" i="3" s="1"/>
  <c r="AI382" i="3" s="1"/>
  <c r="AI383" i="3" s="1"/>
  <c r="AI384" i="3" s="1"/>
  <c r="AI385" i="3" s="1"/>
  <c r="AI386" i="3" s="1"/>
  <c r="AI387" i="3" s="1"/>
  <c r="AI388" i="3" s="1"/>
  <c r="AI389" i="3" s="1"/>
  <c r="AI390" i="3" s="1"/>
  <c r="AI391" i="3" s="1"/>
  <c r="AI392" i="3" s="1"/>
  <c r="AI393" i="3" s="1"/>
  <c r="AI394" i="3" s="1"/>
  <c r="AI395" i="3" s="1"/>
  <c r="AI396" i="3" s="1"/>
  <c r="AI397" i="3" s="1"/>
  <c r="AI398" i="3" s="1"/>
  <c r="AI399" i="3" s="1"/>
  <c r="AI400" i="3" s="1"/>
  <c r="AI401" i="3" s="1"/>
  <c r="AI402" i="3" s="1"/>
  <c r="AI403" i="3" s="1"/>
  <c r="AI404" i="3" s="1"/>
  <c r="AI405" i="3" s="1"/>
  <c r="AI406" i="3" s="1"/>
  <c r="AI407" i="3" s="1"/>
  <c r="AI408" i="3" s="1"/>
  <c r="AI409" i="3" s="1"/>
  <c r="AI410" i="3" s="1"/>
  <c r="AI411" i="3" s="1"/>
  <c r="AI412" i="3" s="1"/>
  <c r="AI413" i="3" s="1"/>
  <c r="AI414" i="3" s="1"/>
  <c r="AI415" i="3" s="1"/>
  <c r="AI416" i="3" s="1"/>
  <c r="AI417" i="3" s="1"/>
  <c r="AI418" i="3" s="1"/>
  <c r="AI419" i="3" s="1"/>
  <c r="AI420" i="3" s="1"/>
  <c r="AI421" i="3" s="1"/>
  <c r="AI422" i="3" s="1"/>
  <c r="AI423" i="3" s="1"/>
  <c r="AI424" i="3" s="1"/>
  <c r="AI425" i="3" s="1"/>
  <c r="AI426" i="3" s="1"/>
  <c r="AI427" i="3" s="1"/>
  <c r="AI428" i="3" s="1"/>
  <c r="AI429" i="3" s="1"/>
  <c r="AI430" i="3" s="1"/>
  <c r="AI431" i="3" s="1"/>
  <c r="AI432" i="3" s="1"/>
  <c r="AI433" i="3" s="1"/>
  <c r="AI434" i="3" s="1"/>
  <c r="AI435" i="3" s="1"/>
  <c r="AI436" i="3" s="1"/>
  <c r="AI437" i="3" s="1"/>
  <c r="AI438" i="3" s="1"/>
  <c r="AI439" i="3" s="1"/>
  <c r="AI440" i="3" s="1"/>
  <c r="AI441" i="3" s="1"/>
  <c r="AI442" i="3" s="1"/>
  <c r="AI443" i="3" s="1"/>
  <c r="AI444" i="3" s="1"/>
  <c r="AI445" i="3" s="1"/>
  <c r="AI446" i="3" s="1"/>
  <c r="AI447" i="3" s="1"/>
  <c r="AI448" i="3" s="1"/>
  <c r="AI449" i="3" s="1"/>
  <c r="AI450" i="3" s="1"/>
  <c r="AI451" i="3" s="1"/>
  <c r="AI452" i="3" s="1"/>
  <c r="AI453" i="3" s="1"/>
  <c r="AI454" i="3" s="1"/>
  <c r="AI455" i="3" s="1"/>
  <c r="AI456" i="3" s="1"/>
  <c r="AI457" i="3" s="1"/>
  <c r="AI458" i="3" s="1"/>
  <c r="AI459" i="3" s="1"/>
  <c r="AI460" i="3" s="1"/>
  <c r="AI461" i="3" s="1"/>
  <c r="AI462" i="3" s="1"/>
  <c r="AI463" i="3" s="1"/>
  <c r="AI464" i="3" s="1"/>
  <c r="AI465" i="3" s="1"/>
  <c r="AI466" i="3" s="1"/>
  <c r="AI467" i="3" s="1"/>
  <c r="AI468" i="3" s="1"/>
  <c r="AI469" i="3" s="1"/>
  <c r="AI470" i="3" s="1"/>
  <c r="AI471" i="3" s="1"/>
  <c r="AI472" i="3" s="1"/>
  <c r="AI473" i="3" s="1"/>
  <c r="AI474" i="3" s="1"/>
  <c r="AI475" i="3" s="1"/>
  <c r="AI476" i="3" s="1"/>
  <c r="AI477" i="3" s="1"/>
  <c r="AI478" i="3" s="1"/>
  <c r="AI479" i="3" s="1"/>
  <c r="AI480" i="3" s="1"/>
  <c r="AI481" i="3" s="1"/>
  <c r="AI482" i="3" s="1"/>
  <c r="AI483" i="3" s="1"/>
  <c r="AI484" i="3" s="1"/>
  <c r="AI485" i="3" s="1"/>
  <c r="AI486" i="3" s="1"/>
  <c r="AI487" i="3" s="1"/>
  <c r="AI488" i="3" s="1"/>
  <c r="AI489" i="3" s="1"/>
  <c r="AI490" i="3" s="1"/>
  <c r="AI491" i="3" s="1"/>
  <c r="AI492" i="3" s="1"/>
  <c r="AI493" i="3" s="1"/>
  <c r="AI494" i="3" s="1"/>
  <c r="AI495" i="3" s="1"/>
  <c r="AI496" i="3" s="1"/>
  <c r="AI497" i="3" s="1"/>
  <c r="AI498" i="3" s="1"/>
  <c r="AI499" i="3" s="1"/>
  <c r="AI500" i="3" s="1"/>
  <c r="AI501" i="3" s="1"/>
  <c r="AI502" i="3" s="1"/>
  <c r="AI503" i="3" s="1"/>
  <c r="AI504" i="3" s="1"/>
  <c r="AI505" i="3" s="1"/>
  <c r="AI506" i="3" s="1"/>
  <c r="AI507" i="3" s="1"/>
  <c r="AI508" i="3" s="1"/>
  <c r="AI509" i="3" s="1"/>
  <c r="AI510" i="3" s="1"/>
  <c r="AI511" i="3" s="1"/>
  <c r="AI512" i="3" s="1"/>
  <c r="AI513" i="3" s="1"/>
  <c r="AI514" i="3" s="1"/>
  <c r="AI515" i="3" s="1"/>
  <c r="AI516" i="3" s="1"/>
  <c r="AI517" i="3" s="1"/>
  <c r="AI518" i="3" s="1"/>
  <c r="AI519" i="3" s="1"/>
  <c r="AI520" i="3" s="1"/>
  <c r="AI521" i="3" s="1"/>
  <c r="AI522" i="3" s="1"/>
  <c r="AI523" i="3" s="1"/>
  <c r="AI524" i="3" s="1"/>
  <c r="AI525" i="3" s="1"/>
  <c r="AI526" i="3" s="1"/>
  <c r="AI527" i="3" s="1"/>
  <c r="AI528" i="3" s="1"/>
  <c r="AI529" i="3" s="1"/>
  <c r="AI530" i="3" s="1"/>
  <c r="AI531" i="3" s="1"/>
  <c r="AI532" i="3" s="1"/>
  <c r="AI533" i="3" s="1"/>
  <c r="AI534" i="3" s="1"/>
  <c r="AI535" i="3" s="1"/>
  <c r="AI536" i="3" s="1"/>
  <c r="AI537" i="3" s="1"/>
  <c r="AI538" i="3" s="1"/>
  <c r="AI539" i="3" s="1"/>
  <c r="AI540" i="3" s="1"/>
  <c r="AI541" i="3" s="1"/>
  <c r="AI542" i="3" s="1"/>
  <c r="AI543" i="3" s="1"/>
  <c r="AI544" i="3" s="1"/>
  <c r="AI545" i="3" s="1"/>
  <c r="AI546" i="3" s="1"/>
  <c r="AI547" i="3" s="1"/>
  <c r="AI548" i="3" s="1"/>
  <c r="AI549" i="3" s="1"/>
  <c r="AI550" i="3" s="1"/>
  <c r="AI551" i="3" s="1"/>
  <c r="AI552" i="3" s="1"/>
  <c r="AI553" i="3" s="1"/>
  <c r="AI554" i="3" s="1"/>
  <c r="AI555" i="3" s="1"/>
  <c r="AI556" i="3" s="1"/>
  <c r="AI557" i="3" s="1"/>
  <c r="AI558" i="3" s="1"/>
  <c r="AI559" i="3" s="1"/>
  <c r="AI560" i="3" s="1"/>
  <c r="AI561" i="3" s="1"/>
  <c r="AI562" i="3" s="1"/>
  <c r="AI563" i="3" s="1"/>
  <c r="AI564" i="3" s="1"/>
  <c r="AI565" i="3" s="1"/>
  <c r="AI566" i="3" s="1"/>
  <c r="AI567" i="3" s="1"/>
  <c r="AI568" i="3" s="1"/>
  <c r="AI569" i="3" s="1"/>
  <c r="AI570" i="3" s="1"/>
  <c r="AI571" i="3" s="1"/>
  <c r="AI572" i="3" s="1"/>
  <c r="AI573" i="3" s="1"/>
  <c r="AI574" i="3" s="1"/>
  <c r="AI575" i="3" s="1"/>
  <c r="AI576" i="3" s="1"/>
  <c r="AI577" i="3" s="1"/>
  <c r="AI578" i="3" s="1"/>
  <c r="AI579" i="3" s="1"/>
  <c r="AI580" i="3" s="1"/>
  <c r="AI581" i="3" s="1"/>
  <c r="AI582" i="3" s="1"/>
  <c r="AI583" i="3" s="1"/>
  <c r="AI584" i="3" s="1"/>
  <c r="AI585" i="3" s="1"/>
  <c r="AI586" i="3" s="1"/>
  <c r="AI587" i="3" s="1"/>
  <c r="AI588" i="3" s="1"/>
  <c r="AI589" i="3" s="1"/>
  <c r="AI590" i="3" s="1"/>
  <c r="AI591" i="3" s="1"/>
  <c r="AI592" i="3" s="1"/>
  <c r="AI593" i="3" s="1"/>
  <c r="AI594" i="3" s="1"/>
  <c r="AI595" i="3" s="1"/>
  <c r="AI596" i="3" s="1"/>
  <c r="AI597" i="3" s="1"/>
  <c r="AI598" i="3" s="1"/>
  <c r="AI599" i="3" s="1"/>
  <c r="AI600" i="3" s="1"/>
  <c r="AI601" i="3" s="1"/>
  <c r="AI602" i="3" s="1"/>
  <c r="AI603" i="3" s="1"/>
  <c r="AI604" i="3" s="1"/>
  <c r="AI605" i="3" s="1"/>
  <c r="AI606" i="3" s="1"/>
  <c r="AI607" i="3" s="1"/>
  <c r="AI608" i="3" s="1"/>
  <c r="AI609" i="3" s="1"/>
  <c r="AI610" i="3" s="1"/>
  <c r="AI611" i="3" s="1"/>
  <c r="AI612" i="3" s="1"/>
  <c r="AI613" i="3" s="1"/>
  <c r="AI614" i="3" s="1"/>
  <c r="AI615" i="3" s="1"/>
  <c r="AI616" i="3" s="1"/>
  <c r="AI617" i="3" s="1"/>
  <c r="AI618" i="3" s="1"/>
  <c r="AI619" i="3" s="1"/>
  <c r="AI620" i="3" s="1"/>
  <c r="AI621" i="3" s="1"/>
  <c r="AI622" i="3" s="1"/>
  <c r="AI623" i="3" s="1"/>
  <c r="AI624" i="3" s="1"/>
  <c r="AI625" i="3" s="1"/>
  <c r="AI626" i="3" s="1"/>
  <c r="AI627" i="3" s="1"/>
  <c r="AI628" i="3" s="1"/>
  <c r="AI629" i="3" s="1"/>
  <c r="AI630" i="3" s="1"/>
  <c r="AI631" i="3" s="1"/>
  <c r="AI632" i="3" s="1"/>
  <c r="AI633" i="3" s="1"/>
  <c r="AI634" i="3" s="1"/>
  <c r="AI635" i="3" s="1"/>
  <c r="AI636" i="3" s="1"/>
  <c r="AI637" i="3" s="1"/>
  <c r="AI638" i="3" s="1"/>
  <c r="AI639" i="3" s="1"/>
  <c r="AI640" i="3" s="1"/>
  <c r="AI641" i="3" s="1"/>
  <c r="AI642" i="3" s="1"/>
  <c r="AI643" i="3" s="1"/>
  <c r="AI644" i="3" s="1"/>
  <c r="AI645" i="3" s="1"/>
  <c r="AI646" i="3" s="1"/>
  <c r="AI647" i="3" s="1"/>
  <c r="AI648" i="3" s="1"/>
  <c r="AI649" i="3" s="1"/>
  <c r="AI650" i="3" s="1"/>
  <c r="AI651" i="3" s="1"/>
  <c r="AI652" i="3" s="1"/>
  <c r="AI653" i="3" s="1"/>
  <c r="AI654" i="3" s="1"/>
  <c r="AI655" i="3" s="1"/>
  <c r="AI656" i="3" s="1"/>
  <c r="AI657" i="3" s="1"/>
  <c r="AI658" i="3" s="1"/>
  <c r="AI659" i="3" s="1"/>
  <c r="AI660" i="3" s="1"/>
  <c r="AI661" i="3" s="1"/>
  <c r="AI662" i="3" s="1"/>
  <c r="AI663" i="3" s="1"/>
  <c r="AI664" i="3" s="1"/>
  <c r="AI665" i="3" s="1"/>
  <c r="AI666" i="3" s="1"/>
  <c r="AI667" i="3" s="1"/>
  <c r="AI668" i="3" s="1"/>
  <c r="AI669" i="3" s="1"/>
  <c r="AI670" i="3" s="1"/>
  <c r="AI671" i="3" s="1"/>
  <c r="AI672" i="3" s="1"/>
  <c r="AI673" i="3" s="1"/>
  <c r="AI674" i="3" s="1"/>
  <c r="AI675" i="3" s="1"/>
  <c r="AI676" i="3" s="1"/>
  <c r="AI677" i="3" s="1"/>
  <c r="AI678" i="3" s="1"/>
  <c r="AI679" i="3" s="1"/>
  <c r="AI680" i="3" s="1"/>
  <c r="AI681" i="3" s="1"/>
  <c r="AI682" i="3" s="1"/>
  <c r="AI683" i="3" s="1"/>
  <c r="AI684" i="3" s="1"/>
  <c r="AI685" i="3" s="1"/>
  <c r="AI686" i="3" s="1"/>
  <c r="AI687" i="3" s="1"/>
  <c r="AI688" i="3" s="1"/>
  <c r="AI689" i="3" s="1"/>
  <c r="AI690" i="3" s="1"/>
  <c r="AI691" i="3" s="1"/>
  <c r="AI692" i="3" s="1"/>
  <c r="AI693" i="3" s="1"/>
  <c r="AI694" i="3" s="1"/>
  <c r="AI695" i="3" s="1"/>
  <c r="AI696" i="3" s="1"/>
  <c r="AI697" i="3" s="1"/>
  <c r="AI698" i="3" s="1"/>
  <c r="AI699" i="3" s="1"/>
  <c r="AI700" i="3" s="1"/>
  <c r="AI701" i="3" s="1"/>
  <c r="AI702" i="3" s="1"/>
  <c r="AI703" i="3" s="1"/>
  <c r="AI704" i="3" s="1"/>
  <c r="AI705" i="3" s="1"/>
  <c r="AI706" i="3" s="1"/>
  <c r="AI707" i="3" s="1"/>
  <c r="AI708" i="3" s="1"/>
  <c r="AI709" i="3" s="1"/>
  <c r="AI710" i="3" s="1"/>
  <c r="AI711" i="3" s="1"/>
  <c r="AI712" i="3" s="1"/>
  <c r="AI713" i="3" s="1"/>
  <c r="AI714" i="3" s="1"/>
  <c r="AI715" i="3" s="1"/>
  <c r="AI716" i="3" s="1"/>
  <c r="AI717" i="3" s="1"/>
  <c r="AI718" i="3" s="1"/>
  <c r="AI719" i="3" s="1"/>
  <c r="AI720" i="3" s="1"/>
  <c r="AI721" i="3" s="1"/>
  <c r="AI722" i="3" s="1"/>
  <c r="AI723" i="3" s="1"/>
  <c r="AI724" i="3" s="1"/>
  <c r="AI725" i="3" s="1"/>
  <c r="AI726" i="3" s="1"/>
  <c r="AI727" i="3" s="1"/>
  <c r="AI728" i="3" s="1"/>
  <c r="AI729" i="3" s="1"/>
  <c r="AI730" i="3" s="1"/>
  <c r="AI731" i="3" s="1"/>
  <c r="AI732" i="3" s="1"/>
  <c r="AI733" i="3" s="1"/>
  <c r="AI734" i="3" s="1"/>
  <c r="AI735" i="3" s="1"/>
  <c r="AI736" i="3" s="1"/>
  <c r="AI737" i="3" s="1"/>
  <c r="AI738" i="3" s="1"/>
  <c r="AI739" i="3" s="1"/>
  <c r="AI740" i="3" s="1"/>
  <c r="AI741" i="3" s="1"/>
  <c r="AI742" i="3" s="1"/>
  <c r="AI743" i="3" s="1"/>
  <c r="AI744" i="3" s="1"/>
  <c r="AI745" i="3" s="1"/>
  <c r="AI746" i="3" s="1"/>
  <c r="AI747" i="3" s="1"/>
  <c r="AI748" i="3" s="1"/>
  <c r="AI749" i="3" s="1"/>
  <c r="AI750" i="3" s="1"/>
  <c r="AI751" i="3" s="1"/>
  <c r="AI752" i="3" s="1"/>
  <c r="AI753" i="3" s="1"/>
  <c r="AI754" i="3" s="1"/>
  <c r="AI755" i="3" s="1"/>
  <c r="AI756" i="3" s="1"/>
  <c r="AI757" i="3" s="1"/>
  <c r="AI758" i="3" s="1"/>
  <c r="AI759" i="3" s="1"/>
  <c r="AI760" i="3" s="1"/>
  <c r="AI761" i="3" s="1"/>
  <c r="AI762" i="3" s="1"/>
  <c r="AI763" i="3" s="1"/>
  <c r="AI764" i="3" s="1"/>
  <c r="AI765" i="3" s="1"/>
  <c r="AI766" i="3" s="1"/>
  <c r="AI767" i="3" s="1"/>
  <c r="AI768" i="3" s="1"/>
  <c r="AI769" i="3" s="1"/>
  <c r="AI770" i="3" s="1"/>
  <c r="AI771" i="3" s="1"/>
  <c r="AI772" i="3" s="1"/>
  <c r="AI773" i="3" s="1"/>
  <c r="AI774" i="3" s="1"/>
  <c r="AI775" i="3" s="1"/>
  <c r="AI776" i="3" s="1"/>
  <c r="AI777" i="3" s="1"/>
  <c r="AI778" i="3" s="1"/>
  <c r="AI779" i="3" s="1"/>
  <c r="AI780" i="3" s="1"/>
  <c r="AI781" i="3" s="1"/>
  <c r="AI782" i="3" s="1"/>
  <c r="AI783" i="3" s="1"/>
  <c r="AI784" i="3" s="1"/>
  <c r="AI785" i="3" s="1"/>
  <c r="AI786" i="3" s="1"/>
  <c r="AI787" i="3" s="1"/>
  <c r="AI788" i="3" s="1"/>
  <c r="AI789" i="3" s="1"/>
  <c r="AI790" i="3" s="1"/>
  <c r="AI791" i="3" s="1"/>
  <c r="AI792" i="3" s="1"/>
  <c r="AI793" i="3" s="1"/>
  <c r="AI794" i="3" s="1"/>
  <c r="AI795" i="3" s="1"/>
  <c r="AI796" i="3" s="1"/>
  <c r="AI797" i="3" s="1"/>
  <c r="AI798" i="3" s="1"/>
  <c r="AI799" i="3" s="1"/>
  <c r="AI800" i="3" s="1"/>
  <c r="AI801" i="3" s="1"/>
  <c r="AI802" i="3" s="1"/>
  <c r="AI803" i="3" s="1"/>
  <c r="AI804" i="3" s="1"/>
  <c r="AI805" i="3" s="1"/>
  <c r="AI806" i="3" s="1"/>
  <c r="AI807" i="3" s="1"/>
  <c r="AI808" i="3" s="1"/>
  <c r="AI809" i="3" s="1"/>
  <c r="AI810" i="3" s="1"/>
  <c r="AI811" i="3" s="1"/>
  <c r="AI812" i="3" s="1"/>
  <c r="AI813" i="3" s="1"/>
  <c r="AI814" i="3" s="1"/>
  <c r="AI815" i="3" s="1"/>
  <c r="AI816" i="3" s="1"/>
  <c r="AI817" i="3" s="1"/>
  <c r="AI818" i="3" s="1"/>
  <c r="AI819" i="3" s="1"/>
  <c r="AI820" i="3" s="1"/>
  <c r="AI821" i="3" s="1"/>
  <c r="AI822" i="3" s="1"/>
  <c r="AI823" i="3" s="1"/>
  <c r="AI824" i="3" s="1"/>
  <c r="AI825" i="3" s="1"/>
  <c r="AI826" i="3" s="1"/>
  <c r="AI827" i="3" s="1"/>
  <c r="AI828" i="3" s="1"/>
  <c r="AI829" i="3" s="1"/>
  <c r="AI830" i="3" s="1"/>
  <c r="AI831" i="3" s="1"/>
  <c r="AI832" i="3" s="1"/>
  <c r="AI833" i="3" s="1"/>
  <c r="AI834" i="3" s="1"/>
  <c r="AI835" i="3" s="1"/>
  <c r="AI836" i="3" s="1"/>
  <c r="AI837" i="3" s="1"/>
  <c r="AI838" i="3" s="1"/>
  <c r="AI839" i="3" s="1"/>
  <c r="AI840" i="3" s="1"/>
  <c r="AK5" i="3"/>
  <c r="R5" i="3" l="1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J2699" i="1"/>
  <c r="J2698" i="1"/>
  <c r="J2697" i="1"/>
  <c r="J2696" i="1"/>
  <c r="J2695" i="1"/>
  <c r="J2694" i="1"/>
  <c r="J2693" i="1"/>
  <c r="J2692" i="1"/>
  <c r="J2691" i="1"/>
  <c r="J2690" i="1"/>
  <c r="J2706" i="1"/>
  <c r="J2705" i="1"/>
  <c r="J2704" i="1"/>
  <c r="J2703" i="1"/>
  <c r="J2702" i="1"/>
  <c r="J2701" i="1"/>
  <c r="J2700" i="1"/>
  <c r="J2787" i="1"/>
  <c r="J2786" i="1"/>
  <c r="J2785" i="1"/>
  <c r="J2784" i="1"/>
  <c r="J2783" i="1"/>
  <c r="J2794" i="1"/>
  <c r="J2793" i="1"/>
  <c r="J2792" i="1"/>
  <c r="J2791" i="1"/>
  <c r="J2790" i="1"/>
  <c r="J2789" i="1"/>
  <c r="J2788" i="1"/>
  <c r="J2799" i="1"/>
  <c r="J2798" i="1"/>
  <c r="J2797" i="1"/>
  <c r="J2796" i="1"/>
  <c r="J2795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827" i="1"/>
  <c r="J2826" i="1"/>
  <c r="J2825" i="1"/>
  <c r="J2824" i="1"/>
  <c r="J2811" i="1"/>
  <c r="J2810" i="1"/>
  <c r="J2809" i="1"/>
  <c r="J2808" i="1"/>
  <c r="J2807" i="1"/>
  <c r="J2806" i="1"/>
  <c r="J2805" i="1"/>
  <c r="J2804" i="1"/>
  <c r="J2823" i="1"/>
  <c r="J2822" i="1"/>
  <c r="J2820" i="1"/>
  <c r="J2821" i="1"/>
  <c r="J2819" i="1"/>
  <c r="J2818" i="1"/>
  <c r="J2816" i="1"/>
  <c r="J2817" i="1"/>
  <c r="J2815" i="1"/>
  <c r="J2814" i="1"/>
  <c r="J2813" i="1"/>
  <c r="J2812" i="1"/>
  <c r="J2803" i="1"/>
  <c r="J2802" i="1"/>
  <c r="J2801" i="1"/>
  <c r="J2800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l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B9" i="3" l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</calcChain>
</file>

<file path=xl/sharedStrings.xml><?xml version="1.0" encoding="utf-8"?>
<sst xmlns="http://schemas.openxmlformats.org/spreadsheetml/2006/main" count="36647" uniqueCount="2705">
  <si>
    <t>Event</t>
  </si>
  <si>
    <t>Game</t>
  </si>
  <si>
    <t>Money</t>
  </si>
  <si>
    <t>Place</t>
  </si>
  <si>
    <t>Last</t>
  </si>
  <si>
    <t>First</t>
  </si>
  <si>
    <t>Points</t>
  </si>
  <si>
    <t>Name</t>
  </si>
  <si>
    <t>FARGO</t>
  </si>
  <si>
    <t>FIHUPT</t>
  </si>
  <si>
    <t>Chakoian</t>
  </si>
  <si>
    <t>Paul</t>
  </si>
  <si>
    <t>Bessoir</t>
  </si>
  <si>
    <t>Tom</t>
  </si>
  <si>
    <t>McMullin</t>
  </si>
  <si>
    <t>Kluchman</t>
  </si>
  <si>
    <t>David</t>
  </si>
  <si>
    <t>Ruggieri</t>
  </si>
  <si>
    <t>Gus</t>
  </si>
  <si>
    <t>Kornspan</t>
  </si>
  <si>
    <t>Barry</t>
  </si>
  <si>
    <t>Bremer</t>
  </si>
  <si>
    <t>Rich</t>
  </si>
  <si>
    <t>Hummel</t>
  </si>
  <si>
    <t>Pairs</t>
  </si>
  <si>
    <t>Russell</t>
  </si>
  <si>
    <t>Louise</t>
  </si>
  <si>
    <t>Richards</t>
  </si>
  <si>
    <t>Chris</t>
  </si>
  <si>
    <t>Armistead</t>
  </si>
  <si>
    <t>Tedford</t>
  </si>
  <si>
    <t>Aronson</t>
  </si>
  <si>
    <t>Caryl</t>
  </si>
  <si>
    <t>Holtzman</t>
  </si>
  <si>
    <t>Meredith</t>
  </si>
  <si>
    <t>Dalla</t>
  </si>
  <si>
    <t>Nolan</t>
  </si>
  <si>
    <t>Grismore</t>
  </si>
  <si>
    <t>Doug</t>
  </si>
  <si>
    <t>Baxter</t>
  </si>
  <si>
    <t>Katie</t>
  </si>
  <si>
    <t>Zipple</t>
  </si>
  <si>
    <t>Karl</t>
  </si>
  <si>
    <t>Klein</t>
  </si>
  <si>
    <t>Mike</t>
  </si>
  <si>
    <t>NLHE</t>
  </si>
  <si>
    <t>Kallio</t>
  </si>
  <si>
    <t>Alpo</t>
  </si>
  <si>
    <t>Donovan</t>
  </si>
  <si>
    <t>Regis</t>
  </si>
  <si>
    <t>Fox</t>
  </si>
  <si>
    <t>Rosenblatt</t>
  </si>
  <si>
    <t>Steven</t>
  </si>
  <si>
    <t>Ciotti</t>
  </si>
  <si>
    <t>Joyce</t>
  </si>
  <si>
    <t>Gerson</t>
  </si>
  <si>
    <t>Brandon</t>
  </si>
  <si>
    <t>Rogers</t>
  </si>
  <si>
    <t>Jim</t>
  </si>
  <si>
    <t>Jeanne</t>
  </si>
  <si>
    <t>Parness</t>
  </si>
  <si>
    <t>Len</t>
  </si>
  <si>
    <t xml:space="preserve">Big O/Badugi </t>
  </si>
  <si>
    <t>Claudia</t>
  </si>
  <si>
    <t>Daniel</t>
  </si>
  <si>
    <t>Steve</t>
  </si>
  <si>
    <t>Lauria</t>
  </si>
  <si>
    <t>Bob</t>
  </si>
  <si>
    <t>EMBARGO</t>
  </si>
  <si>
    <t>Limit EBOLA</t>
  </si>
  <si>
    <t>Byron</t>
  </si>
  <si>
    <t>Scott</t>
  </si>
  <si>
    <t>Imsdahl</t>
  </si>
  <si>
    <t>Corey</t>
  </si>
  <si>
    <t>Landrum</t>
  </si>
  <si>
    <t>Sabyl</t>
  </si>
  <si>
    <t>Rosenberger</t>
  </si>
  <si>
    <t>Eric</t>
  </si>
  <si>
    <t>Knourek</t>
  </si>
  <si>
    <t>Kevin</t>
  </si>
  <si>
    <t>Adams</t>
  </si>
  <si>
    <t>Don</t>
  </si>
  <si>
    <t>Karen</t>
  </si>
  <si>
    <t>Hee</t>
  </si>
  <si>
    <t>Dramaha</t>
  </si>
  <si>
    <t>Patrick</t>
  </si>
  <si>
    <t>Goldman</t>
  </si>
  <si>
    <t>Stevan</t>
  </si>
  <si>
    <t>Kubey</t>
  </si>
  <si>
    <t>Ken</t>
  </si>
  <si>
    <t>Strauss</t>
  </si>
  <si>
    <t>Chowaha</t>
  </si>
  <si>
    <t>Oshiro</t>
  </si>
  <si>
    <t>Kirk</t>
  </si>
  <si>
    <t>Heller</t>
  </si>
  <si>
    <t>Samarel</t>
  </si>
  <si>
    <t>NLHE Mix Max</t>
  </si>
  <si>
    <t>Troll</t>
  </si>
  <si>
    <t>Ryan</t>
  </si>
  <si>
    <t>Kerl</t>
  </si>
  <si>
    <t>Eisenstein</t>
  </si>
  <si>
    <t>Dean</t>
  </si>
  <si>
    <t>Kanasa City LowBall</t>
  </si>
  <si>
    <t>Fujioka</t>
  </si>
  <si>
    <t>Masanobu</t>
  </si>
  <si>
    <t>Shei</t>
  </si>
  <si>
    <t>Kenny</t>
  </si>
  <si>
    <t>Minnis</t>
  </si>
  <si>
    <t>Kyle</t>
  </si>
  <si>
    <t>ATLARGE</t>
  </si>
  <si>
    <t>ToC</t>
  </si>
  <si>
    <t>Fruchter</t>
  </si>
  <si>
    <t>David Fruchter</t>
  </si>
  <si>
    <t>Paul McMullin</t>
  </si>
  <si>
    <t>Morrissette</t>
  </si>
  <si>
    <t>Joseph</t>
  </si>
  <si>
    <t>Kracinovich</t>
  </si>
  <si>
    <t>Thomas</t>
  </si>
  <si>
    <t>Segal</t>
  </si>
  <si>
    <t>Peter</t>
  </si>
  <si>
    <t>Meredith Holtzman</t>
  </si>
  <si>
    <t>Bartalone</t>
  </si>
  <si>
    <t>Andy</t>
  </si>
  <si>
    <t>Andy Bartalone</t>
  </si>
  <si>
    <t>Farrar</t>
  </si>
  <si>
    <t>Ronald</t>
  </si>
  <si>
    <t>Ronald Farrar</t>
  </si>
  <si>
    <t>Ilagan</t>
  </si>
  <si>
    <t>Lee</t>
  </si>
  <si>
    <t>Lee Ilagan</t>
  </si>
  <si>
    <t>Stuart</t>
  </si>
  <si>
    <t>Alan</t>
  </si>
  <si>
    <t>Alan Stuart</t>
  </si>
  <si>
    <t>PLO</t>
  </si>
  <si>
    <t>Stevan Goldman</t>
  </si>
  <si>
    <t>Scheinberg</t>
  </si>
  <si>
    <t>John</t>
  </si>
  <si>
    <t>John Scheinberg</t>
  </si>
  <si>
    <t>Wileczek</t>
  </si>
  <si>
    <t>Mark</t>
  </si>
  <si>
    <t>Year</t>
  </si>
  <si>
    <t>Ivester</t>
  </si>
  <si>
    <t>Matt</t>
  </si>
  <si>
    <t>Matt Ivester</t>
  </si>
  <si>
    <t>Musco</t>
  </si>
  <si>
    <t>Mark Musco</t>
  </si>
  <si>
    <t>Katie Baxter</t>
  </si>
  <si>
    <t>David Kluchman</t>
  </si>
  <si>
    <t>Ziselman</t>
  </si>
  <si>
    <t>Alex</t>
  </si>
  <si>
    <t>Alex Ziselman</t>
  </si>
  <si>
    <t>Kent</t>
  </si>
  <si>
    <t>David Kent</t>
  </si>
  <si>
    <t>Stephen</t>
  </si>
  <si>
    <t>Paul Chakoian</t>
  </si>
  <si>
    <t>Tedford Armistead</t>
  </si>
  <si>
    <t>Ashley</t>
  </si>
  <si>
    <t>Ashley Adams</t>
  </si>
  <si>
    <t>Hackett</t>
  </si>
  <si>
    <t>Brian</t>
  </si>
  <si>
    <t>Brian Hackett</t>
  </si>
  <si>
    <t>Becker</t>
  </si>
  <si>
    <t>Tracy</t>
  </si>
  <si>
    <t>Tracy Becker</t>
  </si>
  <si>
    <t>Colfer</t>
  </si>
  <si>
    <t>Dominic</t>
  </si>
  <si>
    <t>Desmond-Rowan</t>
  </si>
  <si>
    <t>Maggie</t>
  </si>
  <si>
    <t>Rowan</t>
  </si>
  <si>
    <t>Lanphier</t>
  </si>
  <si>
    <t>Mowrey</t>
  </si>
  <si>
    <t>Brenda</t>
  </si>
  <si>
    <t>Brenda Mowrey</t>
  </si>
  <si>
    <t>Aprea</t>
  </si>
  <si>
    <t>Carlson</t>
  </si>
  <si>
    <t>Claude</t>
  </si>
  <si>
    <t>Claude Carlson</t>
  </si>
  <si>
    <t>Lobato</t>
  </si>
  <si>
    <t>Carlos</t>
  </si>
  <si>
    <t>Carlos Lobato</t>
  </si>
  <si>
    <t>McCall</t>
  </si>
  <si>
    <t>Aaron</t>
  </si>
  <si>
    <t>Aaron McCall</t>
  </si>
  <si>
    <t>White</t>
  </si>
  <si>
    <t>Dean White</t>
  </si>
  <si>
    <t>Meltzer</t>
  </si>
  <si>
    <t>Barry Meltzer</t>
  </si>
  <si>
    <t>Joe</t>
  </si>
  <si>
    <t>Joe Morrissette</t>
  </si>
  <si>
    <t>Starr</t>
  </si>
  <si>
    <t>Gary</t>
  </si>
  <si>
    <t>Gary Starr</t>
  </si>
  <si>
    <t>Amanda</t>
  </si>
  <si>
    <t>Amanda Richards</t>
  </si>
  <si>
    <t>HOSE/PLO</t>
  </si>
  <si>
    <t>Tahajian</t>
  </si>
  <si>
    <t>Dave</t>
  </si>
  <si>
    <t>Dave Tahajian</t>
  </si>
  <si>
    <t>Lahoski</t>
  </si>
  <si>
    <t>Alex Lahoski</t>
  </si>
  <si>
    <t>Rick</t>
  </si>
  <si>
    <t>Rick Becker</t>
  </si>
  <si>
    <t>Lyons</t>
  </si>
  <si>
    <t>Dealer's Choice</t>
  </si>
  <si>
    <t>Grossberg</t>
  </si>
  <si>
    <t>Ron</t>
  </si>
  <si>
    <t>Christenson</t>
  </si>
  <si>
    <t>Nick</t>
  </si>
  <si>
    <t>Nick Christenson</t>
  </si>
  <si>
    <t>Scott Samarel</t>
  </si>
  <si>
    <t>Ryan Troll</t>
  </si>
  <si>
    <t>Long</t>
  </si>
  <si>
    <t>Joe Long</t>
  </si>
  <si>
    <t>World Chowaha Championship</t>
  </si>
  <si>
    <t>Gomez</t>
  </si>
  <si>
    <t>Derek</t>
  </si>
  <si>
    <t>Watanabe</t>
  </si>
  <si>
    <t>Patterson</t>
  </si>
  <si>
    <t>Michael</t>
  </si>
  <si>
    <t>Michael Patterson</t>
  </si>
  <si>
    <t>Chen</t>
  </si>
  <si>
    <t>Rodney</t>
  </si>
  <si>
    <t>Rodney Chen</t>
  </si>
  <si>
    <t>Kirk Oshiro</t>
  </si>
  <si>
    <t>HUDENL</t>
  </si>
  <si>
    <t>Rich Strauss</t>
  </si>
  <si>
    <t>Beadles</t>
  </si>
  <si>
    <t>Patti</t>
  </si>
  <si>
    <t>Patti Beadles</t>
  </si>
  <si>
    <t>Nolan Dalla</t>
  </si>
  <si>
    <t>Steven Eisenstein</t>
  </si>
  <si>
    <t>Bachrach</t>
  </si>
  <si>
    <t>Adam</t>
  </si>
  <si>
    <t>Adam Bachrach</t>
  </si>
  <si>
    <t>Flynn</t>
  </si>
  <si>
    <t>Cary</t>
  </si>
  <si>
    <t>Cary Flynn</t>
  </si>
  <si>
    <t>Goodwin</t>
  </si>
  <si>
    <t>Kuznick</t>
  </si>
  <si>
    <t>David Kuznick</t>
  </si>
  <si>
    <t>Yannette</t>
  </si>
  <si>
    <t>Cynthia</t>
  </si>
  <si>
    <t>Cynthia Yannette</t>
  </si>
  <si>
    <t>Marsha</t>
  </si>
  <si>
    <t>Marsha Segal</t>
  </si>
  <si>
    <t>Stewart</t>
  </si>
  <si>
    <t>Mecca</t>
  </si>
  <si>
    <t>Nicholas</t>
  </si>
  <si>
    <t>Poppel</t>
  </si>
  <si>
    <t>Ross</t>
  </si>
  <si>
    <t>Ross Poppel</t>
  </si>
  <si>
    <t>Lewis</t>
  </si>
  <si>
    <t>Linda</t>
  </si>
  <si>
    <t>Linda Lewis</t>
  </si>
  <si>
    <t>Timm</t>
  </si>
  <si>
    <t>John Timm</t>
  </si>
  <si>
    <t>Wasserman</t>
  </si>
  <si>
    <t>Stephanie</t>
  </si>
  <si>
    <t>Stephanie Wasserman</t>
  </si>
  <si>
    <t>Barry Kornspan</t>
  </si>
  <si>
    <t>Gassen</t>
  </si>
  <si>
    <t>Barry Gassen</t>
  </si>
  <si>
    <t>Brandon Gerson</t>
  </si>
  <si>
    <t>BARGE</t>
  </si>
  <si>
    <t>Lowball</t>
  </si>
  <si>
    <t>Hughes</t>
  </si>
  <si>
    <t>Mecklin</t>
  </si>
  <si>
    <t>Christopher</t>
  </si>
  <si>
    <t>Fichtemaier</t>
  </si>
  <si>
    <t>Keith</t>
  </si>
  <si>
    <t>Keith Fichtemaier</t>
  </si>
  <si>
    <t>Dan</t>
  </si>
  <si>
    <t>Dan Goldman</t>
  </si>
  <si>
    <t>Maurer</t>
  </si>
  <si>
    <t>Michael Maurer</t>
  </si>
  <si>
    <t>Korbin</t>
  </si>
  <si>
    <t>Limit 6-Game</t>
  </si>
  <si>
    <t>Lawful</t>
  </si>
  <si>
    <t>David Lawful</t>
  </si>
  <si>
    <t>Soussan</t>
  </si>
  <si>
    <t>David Soussan</t>
  </si>
  <si>
    <t>Collack</t>
  </si>
  <si>
    <t>Randy</t>
  </si>
  <si>
    <t>Randy Collack</t>
  </si>
  <si>
    <t>Michael Klein</t>
  </si>
  <si>
    <t>Secor</t>
  </si>
  <si>
    <t>Peter Secor</t>
  </si>
  <si>
    <t>Nutt</t>
  </si>
  <si>
    <t>Ronald Nutt</t>
  </si>
  <si>
    <t>Pot Limit Omaha</t>
  </si>
  <si>
    <t>Tom White</t>
  </si>
  <si>
    <t>Fischman</t>
  </si>
  <si>
    <t>Corey Imsdahl</t>
  </si>
  <si>
    <t>Ken Kubey</t>
  </si>
  <si>
    <t>Low</t>
  </si>
  <si>
    <t>Kyle Minnis</t>
  </si>
  <si>
    <t>McIntosh</t>
  </si>
  <si>
    <t>Janie</t>
  </si>
  <si>
    <t>Veach</t>
  </si>
  <si>
    <t>Groves</t>
  </si>
  <si>
    <t>Gillian</t>
  </si>
  <si>
    <t>Gillian Groves</t>
  </si>
  <si>
    <t>Rieck</t>
  </si>
  <si>
    <t>Don Rieck</t>
  </si>
  <si>
    <t>Pierce</t>
  </si>
  <si>
    <t>Steve Pierce</t>
  </si>
  <si>
    <t>Massar</t>
  </si>
  <si>
    <t>Ogus</t>
  </si>
  <si>
    <t>Louis</t>
  </si>
  <si>
    <t>Stephen Landrum</t>
  </si>
  <si>
    <t>Caldes</t>
  </si>
  <si>
    <t>Peter Caldes</t>
  </si>
  <si>
    <t>Bob Lauria</t>
  </si>
  <si>
    <t>Petersen</t>
  </si>
  <si>
    <t>Gerald</t>
  </si>
  <si>
    <t>Gerald Petersen</t>
  </si>
  <si>
    <t>Troell</t>
  </si>
  <si>
    <t>Keith Troell</t>
  </si>
  <si>
    <t>McManus</t>
  </si>
  <si>
    <t>Mike McManus</t>
  </si>
  <si>
    <t>Gonzalez</t>
  </si>
  <si>
    <t>Tina</t>
  </si>
  <si>
    <t>Tina Gonzalez</t>
  </si>
  <si>
    <t>Prock</t>
  </si>
  <si>
    <t>Andrew</t>
  </si>
  <si>
    <t>Andrew Prock</t>
  </si>
  <si>
    <t>Kline</t>
  </si>
  <si>
    <t>Carol</t>
  </si>
  <si>
    <t>Carol Kline</t>
  </si>
  <si>
    <t>Terauds</t>
  </si>
  <si>
    <t>Sandra</t>
  </si>
  <si>
    <t>Sandra Terauds</t>
  </si>
  <si>
    <t>Kellers</t>
  </si>
  <si>
    <t>Bryson</t>
  </si>
  <si>
    <t>Todd</t>
  </si>
  <si>
    <t>Todd Bryson</t>
  </si>
  <si>
    <t>Crane</t>
  </si>
  <si>
    <t>Rod</t>
  </si>
  <si>
    <t>Rod Crane</t>
  </si>
  <si>
    <t>Tom Bessoir</t>
  </si>
  <si>
    <t>Catlett</t>
  </si>
  <si>
    <t>Joel</t>
  </si>
  <si>
    <t>Joel Catlett</t>
  </si>
  <si>
    <t>Koepke</t>
  </si>
  <si>
    <t>Candy</t>
  </si>
  <si>
    <t>Candy Koepke</t>
  </si>
  <si>
    <t>Sysko</t>
  </si>
  <si>
    <t>Rick Sysko</t>
  </si>
  <si>
    <t>PAIRS</t>
  </si>
  <si>
    <t>Alpo Kallio</t>
  </si>
  <si>
    <t>Helen</t>
  </si>
  <si>
    <t>Lewin-Berlin</t>
  </si>
  <si>
    <t>Sordi</t>
  </si>
  <si>
    <t>Frank</t>
  </si>
  <si>
    <t>Frank Sordi</t>
  </si>
  <si>
    <t>Hofer</t>
  </si>
  <si>
    <t>Danny</t>
  </si>
  <si>
    <t>Goodridge</t>
  </si>
  <si>
    <t>Rosenberg</t>
  </si>
  <si>
    <t>Chip</t>
  </si>
  <si>
    <t>Maren</t>
  </si>
  <si>
    <t>Jon</t>
  </si>
  <si>
    <t>Jon Maren</t>
  </si>
  <si>
    <t>Sander</t>
  </si>
  <si>
    <t>Warren</t>
  </si>
  <si>
    <t>Warren Sander</t>
  </si>
  <si>
    <t>Greenberg</t>
  </si>
  <si>
    <t>Len Greenberg</t>
  </si>
  <si>
    <t>Clinton</t>
  </si>
  <si>
    <t>Clinton Lanphier</t>
  </si>
  <si>
    <t>Sally</t>
  </si>
  <si>
    <t>Sally Rogers</t>
  </si>
  <si>
    <t>Regis Donovan</t>
  </si>
  <si>
    <t>Joyce Ciotti</t>
  </si>
  <si>
    <t>HOSE/PLHE</t>
  </si>
  <si>
    <t>Jessica</t>
  </si>
  <si>
    <t>Jessica Kuznick</t>
  </si>
  <si>
    <t>Stephenson</t>
  </si>
  <si>
    <t>Peter Stephenson</t>
  </si>
  <si>
    <t>PLO/8</t>
  </si>
  <si>
    <t>Christensen</t>
  </si>
  <si>
    <t>Monte</t>
  </si>
  <si>
    <t>Monte Christensen</t>
  </si>
  <si>
    <t>Deitch</t>
  </si>
  <si>
    <t>Jeff</t>
  </si>
  <si>
    <t>Jeff Deitch</t>
  </si>
  <si>
    <t>Masanobu Fujioka</t>
  </si>
  <si>
    <t>Humphrey</t>
  </si>
  <si>
    <t>Charles</t>
  </si>
  <si>
    <t>Bob Ogus</t>
  </si>
  <si>
    <t>Paley</t>
  </si>
  <si>
    <t>Josh</t>
  </si>
  <si>
    <t>Josh Paley</t>
  </si>
  <si>
    <t>Bree</t>
  </si>
  <si>
    <t>Miller</t>
  </si>
  <si>
    <t>Troy</t>
  </si>
  <si>
    <t>Kamsky</t>
  </si>
  <si>
    <t>Asya</t>
  </si>
  <si>
    <t>Goltz</t>
  </si>
  <si>
    <t>Arthur</t>
  </si>
  <si>
    <t>Nolan Hee</t>
  </si>
  <si>
    <t>Patricia</t>
  </si>
  <si>
    <t>Yannuzzi</t>
  </si>
  <si>
    <t>Ohu</t>
  </si>
  <si>
    <t>George</t>
  </si>
  <si>
    <t>Wattman</t>
  </si>
  <si>
    <t>Howard</t>
  </si>
  <si>
    <t>Jackson</t>
  </si>
  <si>
    <t>Ike</t>
  </si>
  <si>
    <t>Porter</t>
  </si>
  <si>
    <t>Larry</t>
  </si>
  <si>
    <t>Larson</t>
  </si>
  <si>
    <t>Selzer</t>
  </si>
  <si>
    <t>Bruce</t>
  </si>
  <si>
    <t>Kramer</t>
  </si>
  <si>
    <t>Pete</t>
  </si>
  <si>
    <t>Jody</t>
  </si>
  <si>
    <t>Dunne</t>
  </si>
  <si>
    <t>Valledolmo</t>
  </si>
  <si>
    <t>Razz/Lowball</t>
  </si>
  <si>
    <t>Jacobs</t>
  </si>
  <si>
    <t>Bill</t>
  </si>
  <si>
    <t>Vining</t>
  </si>
  <si>
    <t>Matt Vining</t>
  </si>
  <si>
    <t>D'Anna</t>
  </si>
  <si>
    <t>Tony</t>
  </si>
  <si>
    <t>Tony D'Anna</t>
  </si>
  <si>
    <t>Steve Daniel</t>
  </si>
  <si>
    <t>Hall</t>
  </si>
  <si>
    <t>Mary</t>
  </si>
  <si>
    <t>Mary Hall</t>
  </si>
  <si>
    <t>Buono</t>
  </si>
  <si>
    <t>Mike Buono</t>
  </si>
  <si>
    <t>Evangelista</t>
  </si>
  <si>
    <t>AJ</t>
  </si>
  <si>
    <t>AJ Evangelista</t>
  </si>
  <si>
    <t>Coates</t>
  </si>
  <si>
    <t>Gendron</t>
  </si>
  <si>
    <t>Judith</t>
  </si>
  <si>
    <t>Hallyburton</t>
  </si>
  <si>
    <t>John Hallyburton</t>
  </si>
  <si>
    <t>Hexter</t>
  </si>
  <si>
    <t>Massey</t>
  </si>
  <si>
    <t>Ming</t>
  </si>
  <si>
    <t>Ming Lee</t>
  </si>
  <si>
    <t>Pap</t>
  </si>
  <si>
    <t>Edson</t>
  </si>
  <si>
    <t>Edson Pap</t>
  </si>
  <si>
    <t>Keenan</t>
  </si>
  <si>
    <t>Cusson</t>
  </si>
  <si>
    <t>Leo</t>
  </si>
  <si>
    <t>Connie</t>
  </si>
  <si>
    <t>Bergmann</t>
  </si>
  <si>
    <t>Todd Bergmann</t>
  </si>
  <si>
    <t>Stephen Rosenblatt</t>
  </si>
  <si>
    <t>Segovia</t>
  </si>
  <si>
    <t>John Segovia</t>
  </si>
  <si>
    <t>Behrens</t>
  </si>
  <si>
    <t>Jeff Behrens</t>
  </si>
  <si>
    <t>Bonaguro</t>
  </si>
  <si>
    <t>John Bonaguro</t>
  </si>
  <si>
    <t>Jones</t>
  </si>
  <si>
    <t>Lee Jones</t>
  </si>
  <si>
    <t>Richard</t>
  </si>
  <si>
    <t>Richard Goodridge</t>
  </si>
  <si>
    <t>Sikorski</t>
  </si>
  <si>
    <t>Paul Sikorski</t>
  </si>
  <si>
    <t>Chris Mecklin</t>
  </si>
  <si>
    <t>PLO Shootout</t>
  </si>
  <si>
    <t>Ron Lyons</t>
  </si>
  <si>
    <t>Josephson</t>
  </si>
  <si>
    <t>Greg</t>
  </si>
  <si>
    <t>Daiell</t>
  </si>
  <si>
    <t>Noah</t>
  </si>
  <si>
    <t>Noah Daiell</t>
  </si>
  <si>
    <t>Natkins</t>
  </si>
  <si>
    <t>Jeanne David</t>
  </si>
  <si>
    <t>Lloyd</t>
  </si>
  <si>
    <t>John Lloyd</t>
  </si>
  <si>
    <t>Kittock</t>
  </si>
  <si>
    <t>James</t>
  </si>
  <si>
    <t>James Kittock</t>
  </si>
  <si>
    <t>Bierman</t>
  </si>
  <si>
    <t>6 Handed No Limit Holdem</t>
  </si>
  <si>
    <t>Sun</t>
  </si>
  <si>
    <t>Spencer</t>
  </si>
  <si>
    <t>Pilchman</t>
  </si>
  <si>
    <t>Margaret</t>
  </si>
  <si>
    <t>Margaret Pilchman</t>
  </si>
  <si>
    <t>Donna</t>
  </si>
  <si>
    <t>Hammer</t>
  </si>
  <si>
    <t>Lenox</t>
  </si>
  <si>
    <t>William</t>
  </si>
  <si>
    <t>Thomas Valledolmo</t>
  </si>
  <si>
    <t>Williams</t>
  </si>
  <si>
    <t>Travis</t>
  </si>
  <si>
    <t>Cegielski</t>
  </si>
  <si>
    <t>Michael Cegielski</t>
  </si>
  <si>
    <t>Alaura</t>
  </si>
  <si>
    <t>Chris Alaura</t>
  </si>
  <si>
    <t>Howard Jackson</t>
  </si>
  <si>
    <t>Seltzer</t>
  </si>
  <si>
    <t>Erik</t>
  </si>
  <si>
    <t>Erik Seltzer</t>
  </si>
  <si>
    <t>Didonato</t>
  </si>
  <si>
    <t>Trubow</t>
  </si>
  <si>
    <t>Randy Trubow</t>
  </si>
  <si>
    <t>Lopez</t>
  </si>
  <si>
    <t>Russell Lopez</t>
  </si>
  <si>
    <t>LHE</t>
  </si>
  <si>
    <t>Sharon</t>
  </si>
  <si>
    <t>Sharon Goldman</t>
  </si>
  <si>
    <t>Irons</t>
  </si>
  <si>
    <t>Bob Irons</t>
  </si>
  <si>
    <t>Springman</t>
  </si>
  <si>
    <t>Darlene</t>
  </si>
  <si>
    <t>Erin</t>
  </si>
  <si>
    <t>Iwamoto</t>
  </si>
  <si>
    <t>Scott Byron</t>
  </si>
  <si>
    <t>Boyett</t>
  </si>
  <si>
    <t>Drew</t>
  </si>
  <si>
    <t>Chuck</t>
  </si>
  <si>
    <t>Chuck Humphrey</t>
  </si>
  <si>
    <t xml:space="preserve">Limit 6 Game </t>
  </si>
  <si>
    <t>Guy</t>
  </si>
  <si>
    <t>Anderson</t>
  </si>
  <si>
    <t>Reed</t>
  </si>
  <si>
    <t>Stine</t>
  </si>
  <si>
    <t>Tim</t>
  </si>
  <si>
    <t>Pisciotta</t>
  </si>
  <si>
    <t>Leonard</t>
  </si>
  <si>
    <t>Nussbaum</t>
  </si>
  <si>
    <t>Dan Nussbaum</t>
  </si>
  <si>
    <t>Hack</t>
  </si>
  <si>
    <t>Edmund</t>
  </si>
  <si>
    <t>Edmund Hack</t>
  </si>
  <si>
    <t>McLaughlin</t>
  </si>
  <si>
    <t>Matthews</t>
  </si>
  <si>
    <t>Cliff</t>
  </si>
  <si>
    <t>Connie Kellers</t>
  </si>
  <si>
    <t>Sherman</t>
  </si>
  <si>
    <t>Steve Sherman</t>
  </si>
  <si>
    <t>O'Grady</t>
  </si>
  <si>
    <t>Herlien</t>
  </si>
  <si>
    <t>Bob Herlien</t>
  </si>
  <si>
    <t>Goldstein</t>
  </si>
  <si>
    <t>Brian Goldstein</t>
  </si>
  <si>
    <t>Moser</t>
  </si>
  <si>
    <t>John Moser</t>
  </si>
  <si>
    <t>Haddad Jr.</t>
  </si>
  <si>
    <t>Haddad Sr.</t>
  </si>
  <si>
    <t>Scavetta</t>
  </si>
  <si>
    <t>Rocco</t>
  </si>
  <si>
    <t>Khirallah</t>
  </si>
  <si>
    <t>Hemstock</t>
  </si>
  <si>
    <t>Barylick</t>
  </si>
  <si>
    <t>Anne</t>
  </si>
  <si>
    <t>HORSE</t>
  </si>
  <si>
    <t>Conlon</t>
  </si>
  <si>
    <t>Kevin Conlon</t>
  </si>
  <si>
    <t>David Coates</t>
  </si>
  <si>
    <t>Umansky</t>
  </si>
  <si>
    <t>Kenneth</t>
  </si>
  <si>
    <t>Schenkel</t>
  </si>
  <si>
    <t>Leslie</t>
  </si>
  <si>
    <t>Leslie Schenkel</t>
  </si>
  <si>
    <t>Lorusso</t>
  </si>
  <si>
    <t>Nickerson</t>
  </si>
  <si>
    <t>Glenn</t>
  </si>
  <si>
    <t>Glenn Nickerson</t>
  </si>
  <si>
    <t>Worm</t>
  </si>
  <si>
    <t>Geraldine</t>
  </si>
  <si>
    <t>Geraldine Worm</t>
  </si>
  <si>
    <t>William Lewis</t>
  </si>
  <si>
    <t>Hennessey</t>
  </si>
  <si>
    <t>Charles Hennessey</t>
  </si>
  <si>
    <t>Morris</t>
  </si>
  <si>
    <t>Michael Morris</t>
  </si>
  <si>
    <t>Greco</t>
  </si>
  <si>
    <t>James Greco</t>
  </si>
  <si>
    <t>Cohen</t>
  </si>
  <si>
    <t>Stephen Cohen</t>
  </si>
  <si>
    <t>Stud8</t>
  </si>
  <si>
    <t>MARGE</t>
  </si>
  <si>
    <t>PLO8</t>
  </si>
  <si>
    <t>Pickels</t>
  </si>
  <si>
    <t>John Pickels</t>
  </si>
  <si>
    <t>Mark Hughes</t>
  </si>
  <si>
    <t>Bruegger</t>
  </si>
  <si>
    <t>Frank Bruegger</t>
  </si>
  <si>
    <t>Tim White</t>
  </si>
  <si>
    <t>Badugi</t>
  </si>
  <si>
    <t>6-Game</t>
  </si>
  <si>
    <t>Trombley</t>
  </si>
  <si>
    <t>Mark Trombley</t>
  </si>
  <si>
    <t>Straghalis</t>
  </si>
  <si>
    <t>Chris Straghalis</t>
  </si>
  <si>
    <t>Krieger</t>
  </si>
  <si>
    <t>Lou</t>
  </si>
  <si>
    <t>Lou Krieger</t>
  </si>
  <si>
    <t>Grapenthien</t>
  </si>
  <si>
    <t>Bullard</t>
  </si>
  <si>
    <t>Jim Bullard</t>
  </si>
  <si>
    <t>Devenport</t>
  </si>
  <si>
    <t>Jordan</t>
  </si>
  <si>
    <t>Winter</t>
  </si>
  <si>
    <t>Stephen Winter</t>
  </si>
  <si>
    <t>LowBall</t>
  </si>
  <si>
    <t>Kuntz</t>
  </si>
  <si>
    <t>Brod</t>
  </si>
  <si>
    <t>Deron</t>
  </si>
  <si>
    <t>Deron Brod</t>
  </si>
  <si>
    <t>Lion</t>
  </si>
  <si>
    <t>Aaron Lion</t>
  </si>
  <si>
    <t>Foust</t>
  </si>
  <si>
    <t>John Foust</t>
  </si>
  <si>
    <t>Horn</t>
  </si>
  <si>
    <t>Alan Horn</t>
  </si>
  <si>
    <t>Weinstock</t>
  </si>
  <si>
    <t>Chuck Weinstock</t>
  </si>
  <si>
    <t>Kenny Shei</t>
  </si>
  <si>
    <t>Trinidad</t>
  </si>
  <si>
    <t>David Trinidad</t>
  </si>
  <si>
    <t>Forcash</t>
  </si>
  <si>
    <t>Steve Forcash</t>
  </si>
  <si>
    <t>Green</t>
  </si>
  <si>
    <t>David Green</t>
  </si>
  <si>
    <t>Anderson-Goldman</t>
  </si>
  <si>
    <t>Josh Anderson-Goldman</t>
  </si>
  <si>
    <t>Tanenbaum</t>
  </si>
  <si>
    <t>Betty</t>
  </si>
  <si>
    <t>Betty Tanenbaum</t>
  </si>
  <si>
    <t>Mike Haddad Jr.</t>
  </si>
  <si>
    <t>Peck</t>
  </si>
  <si>
    <t>Charlie</t>
  </si>
  <si>
    <t>Charlie Peck</t>
  </si>
  <si>
    <t>Thompson</t>
  </si>
  <si>
    <t>Noah Thompson</t>
  </si>
  <si>
    <t>Botwin</t>
  </si>
  <si>
    <t>Michael Botwin</t>
  </si>
  <si>
    <t>Robinson</t>
  </si>
  <si>
    <t>Larry Robinson</t>
  </si>
  <si>
    <t>DeRose</t>
  </si>
  <si>
    <t>John DeRose</t>
  </si>
  <si>
    <t>Ed</t>
  </si>
  <si>
    <t>Baker</t>
  </si>
  <si>
    <t>Henriques</t>
  </si>
  <si>
    <t>Connie Henriques</t>
  </si>
  <si>
    <t>Gomes</t>
  </si>
  <si>
    <t>Luisa</t>
  </si>
  <si>
    <t>Luisa Gomes</t>
  </si>
  <si>
    <t>Anne Barylick</t>
  </si>
  <si>
    <t>Thomas Aprea</t>
  </si>
  <si>
    <t>Brown</t>
  </si>
  <si>
    <t>Gloria</t>
  </si>
  <si>
    <t>Gloria Brown</t>
  </si>
  <si>
    <t>Taylor</t>
  </si>
  <si>
    <t>Don Taylor</t>
  </si>
  <si>
    <t>Benditt</t>
  </si>
  <si>
    <t>Tanya</t>
  </si>
  <si>
    <t>Mitz</t>
  </si>
  <si>
    <t>Gregory</t>
  </si>
  <si>
    <t>Jonathan</t>
  </si>
  <si>
    <t>Jonathan Green</t>
  </si>
  <si>
    <t>Hwang</t>
  </si>
  <si>
    <t>Robert</t>
  </si>
  <si>
    <t>Robert Hwang</t>
  </si>
  <si>
    <t>McGraham</t>
  </si>
  <si>
    <t>Colleen</t>
  </si>
  <si>
    <t>Colleen McGraham</t>
  </si>
  <si>
    <t>Matteo</t>
  </si>
  <si>
    <t>David Matteo</t>
  </si>
  <si>
    <t>Burns</t>
  </si>
  <si>
    <t>Jazbo</t>
  </si>
  <si>
    <t>Jazbo Burns</t>
  </si>
  <si>
    <t>H.O.R.S.E</t>
  </si>
  <si>
    <t>Dianne</t>
  </si>
  <si>
    <t>Dianne Pickels</t>
  </si>
  <si>
    <t>Fleming</t>
  </si>
  <si>
    <t>John Fleming</t>
  </si>
  <si>
    <t>Omaha/8 Mixed</t>
  </si>
  <si>
    <t>Valentino</t>
  </si>
  <si>
    <t>Spears</t>
  </si>
  <si>
    <t>Brandon Spears</t>
  </si>
  <si>
    <t>Bayne</t>
  </si>
  <si>
    <t>Chuck Bayne</t>
  </si>
  <si>
    <t>Bounds</t>
  </si>
  <si>
    <t>Debra</t>
  </si>
  <si>
    <t>Debra Bounds</t>
  </si>
  <si>
    <t>Forsyth</t>
  </si>
  <si>
    <t>Len Forsyth</t>
  </si>
  <si>
    <t>Courchval</t>
  </si>
  <si>
    <t>Monbourquette</t>
  </si>
  <si>
    <t>Rick Monbourquette</t>
  </si>
  <si>
    <t>J P</t>
  </si>
  <si>
    <t>J P Massar</t>
  </si>
  <si>
    <t>Draw Lobah</t>
  </si>
  <si>
    <t>Bevan</t>
  </si>
  <si>
    <t>Rick Bevan</t>
  </si>
  <si>
    <t>Bartnyk</t>
  </si>
  <si>
    <t>Slick</t>
  </si>
  <si>
    <t>Bryan</t>
  </si>
  <si>
    <t>Simpson</t>
  </si>
  <si>
    <t>Bart</t>
  </si>
  <si>
    <t>Stud Shoot-Out</t>
  </si>
  <si>
    <t>Monnin</t>
  </si>
  <si>
    <t>Serrina</t>
  </si>
  <si>
    <t>Angotti</t>
  </si>
  <si>
    <t>James Angotti</t>
  </si>
  <si>
    <t>Overton</t>
  </si>
  <si>
    <t>Gibboney</t>
  </si>
  <si>
    <t>Kirwan</t>
  </si>
  <si>
    <t>mcBride</t>
  </si>
  <si>
    <t>Jepsen</t>
  </si>
  <si>
    <t>Showalter</t>
  </si>
  <si>
    <t>Person</t>
  </si>
  <si>
    <t>Walker</t>
  </si>
  <si>
    <t>Ben</t>
  </si>
  <si>
    <t>Robert Jones</t>
  </si>
  <si>
    <t>Stone</t>
  </si>
  <si>
    <t>Larry Stone</t>
  </si>
  <si>
    <t>Tall</t>
  </si>
  <si>
    <t>Dave Tall</t>
  </si>
  <si>
    <t>Mary Massey</t>
  </si>
  <si>
    <t>Schuck</t>
  </si>
  <si>
    <t>Merlynn</t>
  </si>
  <si>
    <t>Merlynn Schuck</t>
  </si>
  <si>
    <t>Means</t>
  </si>
  <si>
    <t>Corey Means</t>
  </si>
  <si>
    <t>Tristan</t>
  </si>
  <si>
    <t>Tristan Hall</t>
  </si>
  <si>
    <t>Calkins</t>
  </si>
  <si>
    <t>Lauri</t>
  </si>
  <si>
    <t>Lauri Calkins</t>
  </si>
  <si>
    <t>Kyburz</t>
  </si>
  <si>
    <t>Aubrey</t>
  </si>
  <si>
    <t>Aubrey Kyburz</t>
  </si>
  <si>
    <t>Lawrence</t>
  </si>
  <si>
    <t>Lawrence Larson</t>
  </si>
  <si>
    <t>Hadley</t>
  </si>
  <si>
    <t>Joan</t>
  </si>
  <si>
    <t>Joan Hadley</t>
  </si>
  <si>
    <t>Klatte</t>
  </si>
  <si>
    <t>David Klatte</t>
  </si>
  <si>
    <t>Alexander</t>
  </si>
  <si>
    <t>Usticke</t>
  </si>
  <si>
    <t>Alec</t>
  </si>
  <si>
    <t>Alec Usticke</t>
  </si>
  <si>
    <t>Sias</t>
  </si>
  <si>
    <t>Robert Catlett</t>
  </si>
  <si>
    <t>Brennan</t>
  </si>
  <si>
    <t>Michael Brennan</t>
  </si>
  <si>
    <t>Lepinski</t>
  </si>
  <si>
    <t>Carl</t>
  </si>
  <si>
    <t>Carl Lepinski</t>
  </si>
  <si>
    <t>Bruce Kramer</t>
  </si>
  <si>
    <t>Derkatch</t>
  </si>
  <si>
    <t>Lon</t>
  </si>
  <si>
    <t>Lon Derkatch</t>
  </si>
  <si>
    <t>Luzarraga</t>
  </si>
  <si>
    <t>Victor</t>
  </si>
  <si>
    <t>Victor Luzarraga</t>
  </si>
  <si>
    <t>Carbonara</t>
  </si>
  <si>
    <t>Stephen Carbonara</t>
  </si>
  <si>
    <t>Ankenman</t>
  </si>
  <si>
    <t>Michelle</t>
  </si>
  <si>
    <t>Michelle Ankenman</t>
  </si>
  <si>
    <t>Michael Simpson</t>
  </si>
  <si>
    <t>Matthew</t>
  </si>
  <si>
    <t>Bright</t>
  </si>
  <si>
    <t>TOC</t>
  </si>
  <si>
    <t>Garman</t>
  </si>
  <si>
    <t>Puleo</t>
  </si>
  <si>
    <t>Altner</t>
  </si>
  <si>
    <t>Skoulikas</t>
  </si>
  <si>
    <t>Richardson</t>
  </si>
  <si>
    <t>Mark Richardson</t>
  </si>
  <si>
    <t>Wisniewski</t>
  </si>
  <si>
    <t>Mark Wisniewski</t>
  </si>
  <si>
    <t>Joshua</t>
  </si>
  <si>
    <t>Joshua Long</t>
  </si>
  <si>
    <t>Drangula</t>
  </si>
  <si>
    <t>Dennis</t>
  </si>
  <si>
    <t>Dennis Drangula</t>
  </si>
  <si>
    <t>Campbell</t>
  </si>
  <si>
    <t>Robert Campbell</t>
  </si>
  <si>
    <t>West</t>
  </si>
  <si>
    <t>Alvin</t>
  </si>
  <si>
    <t>Alvin West</t>
  </si>
  <si>
    <t>Holtman</t>
  </si>
  <si>
    <t>Eric Holtman</t>
  </si>
  <si>
    <t>Angello</t>
  </si>
  <si>
    <t>Richard Angello</t>
  </si>
  <si>
    <t>Keeling</t>
  </si>
  <si>
    <t>Keenan Keeling</t>
  </si>
  <si>
    <t>Connolly</t>
  </si>
  <si>
    <t>Brian Connolly</t>
  </si>
  <si>
    <t>Stud 7/8</t>
  </si>
  <si>
    <t>Lipschutz</t>
  </si>
  <si>
    <t>Martin</t>
  </si>
  <si>
    <t>Lomaha</t>
  </si>
  <si>
    <t>Farver</t>
  </si>
  <si>
    <t>Rick Farver</t>
  </si>
  <si>
    <t>williams</t>
  </si>
  <si>
    <t>Barrett</t>
  </si>
  <si>
    <t>Ed Barrett</t>
  </si>
  <si>
    <t>Barry Tanenbaum</t>
  </si>
  <si>
    <t>Gilutin</t>
  </si>
  <si>
    <t>Marc</t>
  </si>
  <si>
    <t>Tom Goodwin</t>
  </si>
  <si>
    <t>Brodie</t>
  </si>
  <si>
    <t>Kaloustian</t>
  </si>
  <si>
    <t>Raffy</t>
  </si>
  <si>
    <t>Borzomati</t>
  </si>
  <si>
    <t>Mcguiness</t>
  </si>
  <si>
    <t>Sean</t>
  </si>
  <si>
    <t>Mcvay</t>
  </si>
  <si>
    <t>Stud SO</t>
  </si>
  <si>
    <t>Nissman</t>
  </si>
  <si>
    <t>Steve Nissman</t>
  </si>
  <si>
    <t>Pappas</t>
  </si>
  <si>
    <t>Smith</t>
  </si>
  <si>
    <t>Gavin</t>
  </si>
  <si>
    <t>Gavin Smith</t>
  </si>
  <si>
    <t>Clayton</t>
  </si>
  <si>
    <t>Sprankle</t>
  </si>
  <si>
    <t>Kelly</t>
  </si>
  <si>
    <t>Evans</t>
  </si>
  <si>
    <t>Steven Evans</t>
  </si>
  <si>
    <t>Logan</t>
  </si>
  <si>
    <t>Murray</t>
  </si>
  <si>
    <t>Woods</t>
  </si>
  <si>
    <t>Jeff Woods</t>
  </si>
  <si>
    <t>Mcbride</t>
  </si>
  <si>
    <t>Ed Baker</t>
  </si>
  <si>
    <t>Draw Low Ball</t>
  </si>
  <si>
    <t>Grout</t>
  </si>
  <si>
    <t>John Grout</t>
  </si>
  <si>
    <t>NL SO to HORSE</t>
  </si>
  <si>
    <t>Chevrie</t>
  </si>
  <si>
    <t>Dan Chevrie</t>
  </si>
  <si>
    <t>Rafn</t>
  </si>
  <si>
    <t>Mark Rafn</t>
  </si>
  <si>
    <t>Fred</t>
  </si>
  <si>
    <t>Fred Lawful</t>
  </si>
  <si>
    <t>Patrick Kirwan</t>
  </si>
  <si>
    <t>Donald</t>
  </si>
  <si>
    <t>Newitt</t>
  </si>
  <si>
    <t>Jason</t>
  </si>
  <si>
    <t>Jason Newitt</t>
  </si>
  <si>
    <t>Schwartz</t>
  </si>
  <si>
    <t>Mordecai</t>
  </si>
  <si>
    <t>Mordecai Schwartz</t>
  </si>
  <si>
    <t>Talvola</t>
  </si>
  <si>
    <t>Geoffery</t>
  </si>
  <si>
    <t>Robin</t>
  </si>
  <si>
    <t>Robin Walker</t>
  </si>
  <si>
    <t>O'Boyle</t>
  </si>
  <si>
    <t>Quintiliani</t>
  </si>
  <si>
    <t>Kristopher</t>
  </si>
  <si>
    <t>Peou</t>
  </si>
  <si>
    <t>Rith</t>
  </si>
  <si>
    <t>Kelley</t>
  </si>
  <si>
    <t>Thomas Kelley</t>
  </si>
  <si>
    <t>Bennett</t>
  </si>
  <si>
    <t>Muldon</t>
  </si>
  <si>
    <t>Matros</t>
  </si>
  <si>
    <t>Matt Matros</t>
  </si>
  <si>
    <t>Mastroianni</t>
  </si>
  <si>
    <t>Claudia Mastroianni</t>
  </si>
  <si>
    <t>Woodbury</t>
  </si>
  <si>
    <t>Hannah</t>
  </si>
  <si>
    <t>Marie</t>
  </si>
  <si>
    <t>Marie Hannah</t>
  </si>
  <si>
    <t>Ginty</t>
  </si>
  <si>
    <t>John Ginty</t>
  </si>
  <si>
    <t>Connelly</t>
  </si>
  <si>
    <t>James Connelly</t>
  </si>
  <si>
    <t>Chesser</t>
  </si>
  <si>
    <t>John Chesser</t>
  </si>
  <si>
    <t>Johnson</t>
  </si>
  <si>
    <t>Debra Johnson</t>
  </si>
  <si>
    <t>Sawyer</t>
  </si>
  <si>
    <t>Valimahomed</t>
  </si>
  <si>
    <t>Salim</t>
  </si>
  <si>
    <t>Faeth</t>
  </si>
  <si>
    <t>John Faeth</t>
  </si>
  <si>
    <t>Chic</t>
  </si>
  <si>
    <t>Chic Natkins</t>
  </si>
  <si>
    <t>Spies</t>
  </si>
  <si>
    <t>Perry</t>
  </si>
  <si>
    <t>Perry Spies</t>
  </si>
  <si>
    <t>Jeff Calkins</t>
  </si>
  <si>
    <t>ESCARGO</t>
  </si>
  <si>
    <t>PLOH</t>
  </si>
  <si>
    <t>Maher</t>
  </si>
  <si>
    <t>Singer</t>
  </si>
  <si>
    <t>Mark Singer</t>
  </si>
  <si>
    <t>Baldwin</t>
  </si>
  <si>
    <t>Harry</t>
  </si>
  <si>
    <t>Harry Baldwin</t>
  </si>
  <si>
    <t>Jerrod</t>
  </si>
  <si>
    <t>Jerrod Ankenman</t>
  </si>
  <si>
    <t>Harker</t>
  </si>
  <si>
    <t>Scott Harker</t>
  </si>
  <si>
    <t>NLHESOMP</t>
  </si>
  <si>
    <t>Osborne</t>
  </si>
  <si>
    <t>Mike Osborne</t>
  </si>
  <si>
    <t>Joo</t>
  </si>
  <si>
    <t>Paul Joo</t>
  </si>
  <si>
    <t>Chamberlain</t>
  </si>
  <si>
    <t>Fern</t>
  </si>
  <si>
    <t>Fern Chamberlain</t>
  </si>
  <si>
    <t>NLHERB</t>
  </si>
  <si>
    <t>Karen Adams</t>
  </si>
  <si>
    <t>Tarrant</t>
  </si>
  <si>
    <t>Mike Tarrant</t>
  </si>
  <si>
    <t>Russell Fox</t>
  </si>
  <si>
    <t>HOE</t>
  </si>
  <si>
    <t>Allnight</t>
  </si>
  <si>
    <t>Jeffrey</t>
  </si>
  <si>
    <t>Greg Mitz</t>
  </si>
  <si>
    <t>Devitto</t>
  </si>
  <si>
    <t>Terakawa</t>
  </si>
  <si>
    <t>Tatsuya</t>
  </si>
  <si>
    <t>Tatsuya Terakawa</t>
  </si>
  <si>
    <t>Centeno</t>
  </si>
  <si>
    <t>Jay</t>
  </si>
  <si>
    <t>Jay Centeno</t>
  </si>
  <si>
    <t>Higgins</t>
  </si>
  <si>
    <t>Thomas Higgins</t>
  </si>
  <si>
    <t>Sorenson</t>
  </si>
  <si>
    <t>Scott Sorenson</t>
  </si>
  <si>
    <t>Heyneman</t>
  </si>
  <si>
    <t>Peter Heyneman</t>
  </si>
  <si>
    <t>Ernest</t>
  </si>
  <si>
    <t>Ernest Martin</t>
  </si>
  <si>
    <t>Menges</t>
  </si>
  <si>
    <t>Paul Menges</t>
  </si>
  <si>
    <t>Curtis</t>
  </si>
  <si>
    <t>Ryan Curtis</t>
  </si>
  <si>
    <t>Neufeld</t>
  </si>
  <si>
    <t>Jodi</t>
  </si>
  <si>
    <t>Jodi Neufeld</t>
  </si>
  <si>
    <t>7 Stud</t>
  </si>
  <si>
    <t>DiDonato</t>
  </si>
  <si>
    <t>Ray</t>
  </si>
  <si>
    <t>Chan</t>
  </si>
  <si>
    <t>Terrence</t>
  </si>
  <si>
    <t>Terrence Chan</t>
  </si>
  <si>
    <t>Treasure</t>
  </si>
  <si>
    <t>Omaha 8</t>
  </si>
  <si>
    <t>Craig</t>
  </si>
  <si>
    <t>Kaplan   </t>
  </si>
  <si>
    <t>Leatherwood   </t>
  </si>
  <si>
    <t>Terry</t>
  </si>
  <si>
    <t>Delaino   </t>
  </si>
  <si>
    <t>Tom Delaino   </t>
  </si>
  <si>
    <t>Bloch</t>
  </si>
  <si>
    <t>Andy Bloch</t>
  </si>
  <si>
    <t>Harkness</t>
  </si>
  <si>
    <t>John Harkness</t>
  </si>
  <si>
    <t>7 Stud SO</t>
  </si>
  <si>
    <t>Tran</t>
  </si>
  <si>
    <t>Chieu</t>
  </si>
  <si>
    <t>McBride</t>
  </si>
  <si>
    <t>Mike McBride</t>
  </si>
  <si>
    <t>Bernstein</t>
  </si>
  <si>
    <t>Juliano</t>
  </si>
  <si>
    <t>Bryan Juliano</t>
  </si>
  <si>
    <t>Pisor</t>
  </si>
  <si>
    <t>Brett</t>
  </si>
  <si>
    <t>Condit</t>
  </si>
  <si>
    <t>Don Condit</t>
  </si>
  <si>
    <t>Brabec</t>
  </si>
  <si>
    <t>Frank Brabec</t>
  </si>
  <si>
    <t>Hunter</t>
  </si>
  <si>
    <t>Michael Hunter</t>
  </si>
  <si>
    <t>Lozano</t>
  </si>
  <si>
    <t>Hector</t>
  </si>
  <si>
    <t>Hector Lozano</t>
  </si>
  <si>
    <t>Gerner</t>
  </si>
  <si>
    <t>Jerry</t>
  </si>
  <si>
    <t>Jerry Gerner</t>
  </si>
  <si>
    <t>Canning</t>
  </si>
  <si>
    <t>Peter Canning</t>
  </si>
  <si>
    <t>Tim Woodbury</t>
  </si>
  <si>
    <t>Ken Sias</t>
  </si>
  <si>
    <t>Donald Hemstock</t>
  </si>
  <si>
    <t>DiFante</t>
  </si>
  <si>
    <t>Derek DiFante</t>
  </si>
  <si>
    <t>Gerard</t>
  </si>
  <si>
    <t>Gerard Greenberg</t>
  </si>
  <si>
    <t>Savarese</t>
  </si>
  <si>
    <t>Ron Savarese</t>
  </si>
  <si>
    <t>MET</t>
  </si>
  <si>
    <t>Buchholz</t>
  </si>
  <si>
    <t>Bill Chen</t>
  </si>
  <si>
    <t>PLOHL</t>
  </si>
  <si>
    <t>McGuiness</t>
  </si>
  <si>
    <t>Pal</t>
  </si>
  <si>
    <t>Joo Pal</t>
  </si>
  <si>
    <t>Sims</t>
  </si>
  <si>
    <t>Jan</t>
  </si>
  <si>
    <t>Bankston</t>
  </si>
  <si>
    <t>Jennifer</t>
  </si>
  <si>
    <t>Jaffray</t>
  </si>
  <si>
    <t>Alan Jaffray</t>
  </si>
  <si>
    <t>Kursar</t>
  </si>
  <si>
    <t>Matthew Kursar</t>
  </si>
  <si>
    <t>Gallamore</t>
  </si>
  <si>
    <t>Barbara</t>
  </si>
  <si>
    <t>Barbara Gallamore</t>
  </si>
  <si>
    <t>Madrigal</t>
  </si>
  <si>
    <t>NLHEFRB</t>
  </si>
  <si>
    <t>Liebster</t>
  </si>
  <si>
    <t>Jeff Liebster</t>
  </si>
  <si>
    <t>DeVitto</t>
  </si>
  <si>
    <t>Gabe</t>
  </si>
  <si>
    <t>Rob</t>
  </si>
  <si>
    <t>Wilson</t>
  </si>
  <si>
    <t>Firestone</t>
  </si>
  <si>
    <t>Mitch</t>
  </si>
  <si>
    <t>Mitch Firestone</t>
  </si>
  <si>
    <t>Melbourne</t>
  </si>
  <si>
    <t>Dan Melbourne</t>
  </si>
  <si>
    <t>Hammond</t>
  </si>
  <si>
    <t>Joe Hammond</t>
  </si>
  <si>
    <t>Kinstler</t>
  </si>
  <si>
    <t>Jay Kinstler</t>
  </si>
  <si>
    <t>Abell</t>
  </si>
  <si>
    <t>Jason Abell</t>
  </si>
  <si>
    <t>Cosgrove</t>
  </si>
  <si>
    <t>Pat</t>
  </si>
  <si>
    <t>Pat Cosgrove</t>
  </si>
  <si>
    <t>Hawrilenko</t>
  </si>
  <si>
    <t>Matt Hawrilenko</t>
  </si>
  <si>
    <t>Mitch Kramer</t>
  </si>
  <si>
    <t>Raimondi</t>
  </si>
  <si>
    <t>Chris Raimondi</t>
  </si>
  <si>
    <t>Zak</t>
  </si>
  <si>
    <t>Eric Zak</t>
  </si>
  <si>
    <t>Collins</t>
  </si>
  <si>
    <t>Doug Collins</t>
  </si>
  <si>
    <t>Michael McCall</t>
  </si>
  <si>
    <t>Albis</t>
  </si>
  <si>
    <t>David Albis</t>
  </si>
  <si>
    <t>Lazy Pinapple</t>
  </si>
  <si>
    <t>Coles</t>
  </si>
  <si>
    <t>Eugene</t>
  </si>
  <si>
    <t>Eileen</t>
  </si>
  <si>
    <t>Low Ball</t>
  </si>
  <si>
    <t>Mlinarich</t>
  </si>
  <si>
    <t>Crocker</t>
  </si>
  <si>
    <t>Lee Crocker</t>
  </si>
  <si>
    <t>Campion</t>
  </si>
  <si>
    <t>Tony Goldstein</t>
  </si>
  <si>
    <t>Lumley</t>
  </si>
  <si>
    <t>Landgraf</t>
  </si>
  <si>
    <t>Lykins</t>
  </si>
  <si>
    <t>Abraham</t>
  </si>
  <si>
    <t>Barzamati</t>
  </si>
  <si>
    <t>Bobo</t>
  </si>
  <si>
    <t>Kuttig</t>
  </si>
  <si>
    <t>Fein</t>
  </si>
  <si>
    <t>David Heller</t>
  </si>
  <si>
    <t>Repinski</t>
  </si>
  <si>
    <t>Matt Repinski</t>
  </si>
  <si>
    <t>Tom Overton</t>
  </si>
  <si>
    <t>Huberman</t>
  </si>
  <si>
    <t>David Huberman</t>
  </si>
  <si>
    <t>Castagna</t>
  </si>
  <si>
    <t>Frank Castagna</t>
  </si>
  <si>
    <t>Sam</t>
  </si>
  <si>
    <t>Don Perry</t>
  </si>
  <si>
    <t>Shapiro</t>
  </si>
  <si>
    <t>Oldenburg</t>
  </si>
  <si>
    <t>Mark Oldenburg</t>
  </si>
  <si>
    <t>Raymer</t>
  </si>
  <si>
    <t>Greg Raymer</t>
  </si>
  <si>
    <t>Rosenblum</t>
  </si>
  <si>
    <t>Russell Rosenblum</t>
  </si>
  <si>
    <t>Sager</t>
  </si>
  <si>
    <t>Guild</t>
  </si>
  <si>
    <t>Jay Guild</t>
  </si>
  <si>
    <t>Jeremy</t>
  </si>
  <si>
    <t>Jeremy Miller</t>
  </si>
  <si>
    <t>Kodavanti</t>
  </si>
  <si>
    <t>Sesh</t>
  </si>
  <si>
    <t>Sesh Kodavanti</t>
  </si>
  <si>
    <t>Hafey</t>
  </si>
  <si>
    <t>Tom Hafey</t>
  </si>
  <si>
    <t>Weber</t>
  </si>
  <si>
    <t>Al</t>
  </si>
  <si>
    <t>Al Weber</t>
  </si>
  <si>
    <t>Tom O'Boyle</t>
  </si>
  <si>
    <t>Jim Rogers</t>
  </si>
  <si>
    <t>Lilie</t>
  </si>
  <si>
    <t>David Lilie</t>
  </si>
  <si>
    <t>POE</t>
  </si>
  <si>
    <t>Phillips</t>
  </si>
  <si>
    <t>Brentt</t>
  </si>
  <si>
    <t>Artigues</t>
  </si>
  <si>
    <t>Reeves</t>
  </si>
  <si>
    <t>John Reeves</t>
  </si>
  <si>
    <t>Starks</t>
  </si>
  <si>
    <t>Ellis</t>
  </si>
  <si>
    <t>Ellis Starks</t>
  </si>
  <si>
    <t>David Russell</t>
  </si>
  <si>
    <t>Bosserman</t>
  </si>
  <si>
    <t>Tim Bosserman</t>
  </si>
  <si>
    <t>Juang</t>
  </si>
  <si>
    <t>Oliver</t>
  </si>
  <si>
    <t>Oliver Juang</t>
  </si>
  <si>
    <t>Shepard</t>
  </si>
  <si>
    <t>Haggard</t>
  </si>
  <si>
    <t>Crystal</t>
  </si>
  <si>
    <t>Crystal Haggard</t>
  </si>
  <si>
    <t>Huard</t>
  </si>
  <si>
    <t>Noelle</t>
  </si>
  <si>
    <t>Noelle Huard</t>
  </si>
  <si>
    <t>Savitsky</t>
  </si>
  <si>
    <t>Tom Savitsky</t>
  </si>
  <si>
    <t>Conrad</t>
  </si>
  <si>
    <t>Stacy</t>
  </si>
  <si>
    <t>Stacy Conrad</t>
  </si>
  <si>
    <t>Tolliver</t>
  </si>
  <si>
    <t>Meier</t>
  </si>
  <si>
    <t>Fred Meier</t>
  </si>
  <si>
    <t>Constandino</t>
  </si>
  <si>
    <t>William Constandino</t>
  </si>
  <si>
    <t>Francis</t>
  </si>
  <si>
    <t>George Francis</t>
  </si>
  <si>
    <t>DeBoo</t>
  </si>
  <si>
    <t>Joshua DeBoo</t>
  </si>
  <si>
    <t>Bob Kelly</t>
  </si>
  <si>
    <t>Kim</t>
  </si>
  <si>
    <t>Peter Kim</t>
  </si>
  <si>
    <t>Chase</t>
  </si>
  <si>
    <t>Scott Chase</t>
  </si>
  <si>
    <t>Barnes</t>
  </si>
  <si>
    <t>Billy</t>
  </si>
  <si>
    <t>Billy Barnes</t>
  </si>
  <si>
    <t>Balter</t>
  </si>
  <si>
    <t>Schmidt</t>
  </si>
  <si>
    <t>Mike Schmidt</t>
  </si>
  <si>
    <t>Suffecool</t>
  </si>
  <si>
    <t>Kevin Suffecool</t>
  </si>
  <si>
    <t>Carstens</t>
  </si>
  <si>
    <t>Dieter</t>
  </si>
  <si>
    <t>Diamondhead</t>
  </si>
  <si>
    <t>Mathis</t>
  </si>
  <si>
    <t>Zino</t>
  </si>
  <si>
    <t>Charles Zino</t>
  </si>
  <si>
    <t>Mordock</t>
  </si>
  <si>
    <t>Craig Mordock</t>
  </si>
  <si>
    <t>Mabile</t>
  </si>
  <si>
    <t>Shane</t>
  </si>
  <si>
    <t>Shane Mabile</t>
  </si>
  <si>
    <t>Averill</t>
  </si>
  <si>
    <t>John Averill</t>
  </si>
  <si>
    <t>Favret</t>
  </si>
  <si>
    <t>Neal</t>
  </si>
  <si>
    <t>Neal Favret</t>
  </si>
  <si>
    <t>Harman</t>
  </si>
  <si>
    <t>Mark Harman</t>
  </si>
  <si>
    <t>Omaha Pot Limit</t>
  </si>
  <si>
    <t>Boston</t>
  </si>
  <si>
    <t>Sarah</t>
  </si>
  <si>
    <t>Schaeffer</t>
  </si>
  <si>
    <t>Hunt</t>
  </si>
  <si>
    <t>Walter</t>
  </si>
  <si>
    <t>Zuzelo</t>
  </si>
  <si>
    <t>Paul Stine</t>
  </si>
  <si>
    <t>McVay</t>
  </si>
  <si>
    <t>Day</t>
  </si>
  <si>
    <t>Steve Day</t>
  </si>
  <si>
    <t>Gamble</t>
  </si>
  <si>
    <t>Ben Gamble</t>
  </si>
  <si>
    <t>Lieberman</t>
  </si>
  <si>
    <t>Jonathon</t>
  </si>
  <si>
    <t>Jonathon Lieberman</t>
  </si>
  <si>
    <t>Burrington</t>
  </si>
  <si>
    <t>Scott Burrington</t>
  </si>
  <si>
    <t>Leahy</t>
  </si>
  <si>
    <t>Lawrence Leahy</t>
  </si>
  <si>
    <t>Gresh</t>
  </si>
  <si>
    <t>Trent</t>
  </si>
  <si>
    <t>Trent Gresh</t>
  </si>
  <si>
    <t>Stilling</t>
  </si>
  <si>
    <t>Marty</t>
  </si>
  <si>
    <t>Hodosh</t>
  </si>
  <si>
    <t>Lauderdale</t>
  </si>
  <si>
    <t>Shawn</t>
  </si>
  <si>
    <t>Beardsley</t>
  </si>
  <si>
    <t>Grant</t>
  </si>
  <si>
    <t>Swalm</t>
  </si>
  <si>
    <t>Gordy</t>
  </si>
  <si>
    <t>Kovach</t>
  </si>
  <si>
    <t>Newberry</t>
  </si>
  <si>
    <t>Zavison</t>
  </si>
  <si>
    <t>Braud</t>
  </si>
  <si>
    <t>Jewett</t>
  </si>
  <si>
    <t>PLHOH</t>
  </si>
  <si>
    <t>Wurster</t>
  </si>
  <si>
    <t>NLHESTM</t>
  </si>
  <si>
    <t>Goetz</t>
  </si>
  <si>
    <t>CHOWAHA</t>
  </si>
  <si>
    <t>Jerome</t>
  </si>
  <si>
    <t>SARGE</t>
  </si>
  <si>
    <t>Bowen</t>
  </si>
  <si>
    <t>OHL</t>
  </si>
  <si>
    <t>Wright</t>
  </si>
  <si>
    <t>J.</t>
  </si>
  <si>
    <t>Bjordammen</t>
  </si>
  <si>
    <t>Verzera</t>
  </si>
  <si>
    <t>Lemons</t>
  </si>
  <si>
    <t>Edmonds</t>
  </si>
  <si>
    <t>Brad</t>
  </si>
  <si>
    <t>Portano</t>
  </si>
  <si>
    <t>Desmond</t>
  </si>
  <si>
    <t>Merritt</t>
  </si>
  <si>
    <t>Fontinelli</t>
  </si>
  <si>
    <t>Zang</t>
  </si>
  <si>
    <t>Scanlon</t>
  </si>
  <si>
    <t>Porco</t>
  </si>
  <si>
    <t>Emilio</t>
  </si>
  <si>
    <t>Benton</t>
  </si>
  <si>
    <t>Ballario</t>
  </si>
  <si>
    <t>Ralph</t>
  </si>
  <si>
    <t>Hermes</t>
  </si>
  <si>
    <t>Oberling</t>
  </si>
  <si>
    <t>Triple Draw</t>
  </si>
  <si>
    <t>Orr</t>
  </si>
  <si>
    <t>Friedman</t>
  </si>
  <si>
    <t>Tiger</t>
  </si>
  <si>
    <t>Judd</t>
  </si>
  <si>
    <t>Sarhadian</t>
  </si>
  <si>
    <t>Sassoun</t>
  </si>
  <si>
    <t>Roemer</t>
  </si>
  <si>
    <t>Siegal</t>
  </si>
  <si>
    <t>Watson</t>
  </si>
  <si>
    <t>Christopher Smith</t>
  </si>
  <si>
    <t>Rick Charles</t>
  </si>
  <si>
    <t>Richman</t>
  </si>
  <si>
    <t>Andrew Richman</t>
  </si>
  <si>
    <t>Matt Treasure</t>
  </si>
  <si>
    <t>Steve Zang</t>
  </si>
  <si>
    <t>Greenstein</t>
  </si>
  <si>
    <t>Bennett Greenstein</t>
  </si>
  <si>
    <t>Stratton</t>
  </si>
  <si>
    <t>S</t>
  </si>
  <si>
    <t>Franham</t>
  </si>
  <si>
    <t>M</t>
  </si>
  <si>
    <t>Mazziotta</t>
  </si>
  <si>
    <t>Mike Mazziotta</t>
  </si>
  <si>
    <t>Desmond Portano</t>
  </si>
  <si>
    <t>Snow</t>
  </si>
  <si>
    <t>Tom Snow</t>
  </si>
  <si>
    <t>James Tolliver</t>
  </si>
  <si>
    <t>Margaret Phillips</t>
  </si>
  <si>
    <t>Jason Klein</t>
  </si>
  <si>
    <t>Bill Matros</t>
  </si>
  <si>
    <t>Brestak</t>
  </si>
  <si>
    <t>Roger</t>
  </si>
  <si>
    <t>Roger Brestak</t>
  </si>
  <si>
    <t>Vogel</t>
  </si>
  <si>
    <t>Phil</t>
  </si>
  <si>
    <t>Phil Vogel</t>
  </si>
  <si>
    <t>Jack</t>
  </si>
  <si>
    <t>Blau</t>
  </si>
  <si>
    <t>Seth</t>
  </si>
  <si>
    <t>Seth Blau</t>
  </si>
  <si>
    <t>Steve Jewett</t>
  </si>
  <si>
    <t>Nicholas Matros</t>
  </si>
  <si>
    <t>Tedesco</t>
  </si>
  <si>
    <t>Kathleen</t>
  </si>
  <si>
    <t>Kathleen Tedesco</t>
  </si>
  <si>
    <t>Meeks</t>
  </si>
  <si>
    <t>Marciano</t>
  </si>
  <si>
    <t>Mary Marciano</t>
  </si>
  <si>
    <t>Purcell</t>
  </si>
  <si>
    <t>David Purcell</t>
  </si>
  <si>
    <t>Paolella</t>
  </si>
  <si>
    <t>Marc Paolella</t>
  </si>
  <si>
    <t>Fradet</t>
  </si>
  <si>
    <t>Nicolas</t>
  </si>
  <si>
    <t>Nicolas Fradet</t>
  </si>
  <si>
    <t>Cheng</t>
  </si>
  <si>
    <t>Dylan</t>
  </si>
  <si>
    <t>Dylan Cheng</t>
  </si>
  <si>
    <t>Quinn</t>
  </si>
  <si>
    <t>Jim Quinn</t>
  </si>
  <si>
    <t>Foley</t>
  </si>
  <si>
    <t>Jim Foley</t>
  </si>
  <si>
    <t>Len Marciano</t>
  </si>
  <si>
    <t>Furness</t>
  </si>
  <si>
    <t>Gary Furness</t>
  </si>
  <si>
    <t>Loncarcic</t>
  </si>
  <si>
    <t>Darryl</t>
  </si>
  <si>
    <t>NLHE SO-MP</t>
  </si>
  <si>
    <t>Davis</t>
  </si>
  <si>
    <t>John Davis</t>
  </si>
  <si>
    <t>Neeley</t>
  </si>
  <si>
    <t>Sharon Neeley</t>
  </si>
  <si>
    <t>Yin</t>
  </si>
  <si>
    <t>Te-Kan</t>
  </si>
  <si>
    <t>Te-Kan Yin</t>
  </si>
  <si>
    <t>Pizzarello</t>
  </si>
  <si>
    <t>Edward</t>
  </si>
  <si>
    <t>Edward Pizzarello</t>
  </si>
  <si>
    <t>Croson</t>
  </si>
  <si>
    <t>David Croson</t>
  </si>
  <si>
    <t>Kolstad</t>
  </si>
  <si>
    <t>Mark Kolstad</t>
  </si>
  <si>
    <t>PLHE-PLOH</t>
  </si>
  <si>
    <t>Turner</t>
  </si>
  <si>
    <t>Even</t>
  </si>
  <si>
    <t>Beth</t>
  </si>
  <si>
    <t>Mikulen</t>
  </si>
  <si>
    <t>Jamison</t>
  </si>
  <si>
    <t>Jim Jamison</t>
  </si>
  <si>
    <t>Mike Davis</t>
  </si>
  <si>
    <t>Brad Edmonds</t>
  </si>
  <si>
    <t>Eric Rosenberg</t>
  </si>
  <si>
    <t>David Newberry</t>
  </si>
  <si>
    <t>Grant Beardsley</t>
  </si>
  <si>
    <t>STUD HL</t>
  </si>
  <si>
    <t>TCO</t>
  </si>
  <si>
    <t>Alonso</t>
  </si>
  <si>
    <t>Busch</t>
  </si>
  <si>
    <t>Marion</t>
  </si>
  <si>
    <t>Marion Busch</t>
  </si>
  <si>
    <t>Hankins</t>
  </si>
  <si>
    <t>James Hankins</t>
  </si>
  <si>
    <t>Skerston</t>
  </si>
  <si>
    <t>Jack Skerston</t>
  </si>
  <si>
    <t>Frederick</t>
  </si>
  <si>
    <t>Chet</t>
  </si>
  <si>
    <t>Chet Frederick</t>
  </si>
  <si>
    <t>Springfield</t>
  </si>
  <si>
    <t>Abe</t>
  </si>
  <si>
    <t>Morales</t>
  </si>
  <si>
    <t>Cindy</t>
  </si>
  <si>
    <t>Widdows</t>
  </si>
  <si>
    <t>Vinnie</t>
  </si>
  <si>
    <t>Werthwein</t>
  </si>
  <si>
    <t>Steve Bjordammen</t>
  </si>
  <si>
    <t>Rich Barrett</t>
  </si>
  <si>
    <t>Peg</t>
  </si>
  <si>
    <t>Peg Smith</t>
  </si>
  <si>
    <t>Mike Becker</t>
  </si>
  <si>
    <t>McKnight</t>
  </si>
  <si>
    <t>Tim McKnight</t>
  </si>
  <si>
    <t>Chosky</t>
  </si>
  <si>
    <t>Marvin</t>
  </si>
  <si>
    <t>Marvin Chosky</t>
  </si>
  <si>
    <t>OMAHA HILO</t>
  </si>
  <si>
    <t>Tilley</t>
  </si>
  <si>
    <t>Wes</t>
  </si>
  <si>
    <t>Mike Miller</t>
  </si>
  <si>
    <t>Robert A.</t>
  </si>
  <si>
    <t>Robert A. Jacobs</t>
  </si>
  <si>
    <t>Santella</t>
  </si>
  <si>
    <t>Art</t>
  </si>
  <si>
    <t>Art Santella</t>
  </si>
  <si>
    <t>Kevin Maurer</t>
  </si>
  <si>
    <t>Lober</t>
  </si>
  <si>
    <t>Nels</t>
  </si>
  <si>
    <t>Nels Lober</t>
  </si>
  <si>
    <t>David Taylor</t>
  </si>
  <si>
    <t>Toft</t>
  </si>
  <si>
    <t>Bo</t>
  </si>
  <si>
    <t>Bo Toft</t>
  </si>
  <si>
    <t>Marks</t>
  </si>
  <si>
    <t>Scott Marks</t>
  </si>
  <si>
    <t>Edivan</t>
  </si>
  <si>
    <t>Peter Edivan</t>
  </si>
  <si>
    <t>Stephen Benton</t>
  </si>
  <si>
    <t>Graham</t>
  </si>
  <si>
    <t>Graham Martin</t>
  </si>
  <si>
    <t>Ron Wilson</t>
  </si>
  <si>
    <t>Stefan</t>
  </si>
  <si>
    <t>Stefan Adams</t>
  </si>
  <si>
    <t>Gilman</t>
  </si>
  <si>
    <t>Norm</t>
  </si>
  <si>
    <t>Norm Gilman</t>
  </si>
  <si>
    <t>Schifter</t>
  </si>
  <si>
    <t>Josh Schifter</t>
  </si>
  <si>
    <t>Hackney</t>
  </si>
  <si>
    <t>Bert</t>
  </si>
  <si>
    <t>Bert Hackney</t>
  </si>
  <si>
    <t>Pilser</t>
  </si>
  <si>
    <t>Ira</t>
  </si>
  <si>
    <t>Ira Pilser</t>
  </si>
  <si>
    <t>Bragg</t>
  </si>
  <si>
    <t>Dennis Bragg</t>
  </si>
  <si>
    <t>Debnam</t>
  </si>
  <si>
    <t>Mike Debnam</t>
  </si>
  <si>
    <t>Jonathan Cohen</t>
  </si>
  <si>
    <t>Klatzkin</t>
  </si>
  <si>
    <t>Adam Klatzkin</t>
  </si>
  <si>
    <t>John Charles</t>
  </si>
  <si>
    <t>John Charles Taylor</t>
  </si>
  <si>
    <t>Kirisits</t>
  </si>
  <si>
    <t>Matt Kirisits</t>
  </si>
  <si>
    <t>Turcotte</t>
  </si>
  <si>
    <t>Phil Turcotte</t>
  </si>
  <si>
    <t>HoP</t>
  </si>
  <si>
    <t>Perry Friedman</t>
  </si>
  <si>
    <t>Louie</t>
  </si>
  <si>
    <t>Shelly</t>
  </si>
  <si>
    <t>Paul Person</t>
  </si>
  <si>
    <t>Corral</t>
  </si>
  <si>
    <t>Tony Corral</t>
  </si>
  <si>
    <t>Marshall</t>
  </si>
  <si>
    <t>Dave Marshall</t>
  </si>
  <si>
    <t>Caryl Aronson</t>
  </si>
  <si>
    <t>Waters</t>
  </si>
  <si>
    <t>Dean Waters</t>
  </si>
  <si>
    <t>Paul White</t>
  </si>
  <si>
    <t>McEvoy</t>
  </si>
  <si>
    <t>Tom McEvoy</t>
  </si>
  <si>
    <t>Zarifes</t>
  </si>
  <si>
    <t>Ken Zarifes</t>
  </si>
  <si>
    <t>Haynes</t>
  </si>
  <si>
    <t>Charles Haynes</t>
  </si>
  <si>
    <t>Grand Total</t>
  </si>
  <si>
    <t>Generic Game</t>
  </si>
  <si>
    <t>NL</t>
  </si>
  <si>
    <t>Mixed</t>
  </si>
  <si>
    <t>Pinapple</t>
  </si>
  <si>
    <t>Other</t>
  </si>
  <si>
    <t>O8</t>
  </si>
  <si>
    <t>Stud 8</t>
  </si>
  <si>
    <t>Sum of Points</t>
  </si>
  <si>
    <t>Total</t>
  </si>
  <si>
    <t>Fujita</t>
  </si>
  <si>
    <t>D'Amaro</t>
  </si>
  <si>
    <t>Palmucci</t>
  </si>
  <si>
    <t>Stud8/Stud7</t>
  </si>
  <si>
    <t>Limit HORSE</t>
  </si>
  <si>
    <t>Wu</t>
  </si>
  <si>
    <t>NLHE Bounty</t>
  </si>
  <si>
    <t>Polly</t>
  </si>
  <si>
    <t>Garrett</t>
  </si>
  <si>
    <t>Conner</t>
  </si>
  <si>
    <t>C</t>
  </si>
  <si>
    <t>Christian</t>
  </si>
  <si>
    <t>Wyle</t>
  </si>
  <si>
    <t>T</t>
  </si>
  <si>
    <t>Betsy</t>
  </si>
  <si>
    <t>Torrente</t>
  </si>
  <si>
    <t>Levy</t>
  </si>
  <si>
    <t>Salah</t>
  </si>
  <si>
    <t>6-Max</t>
  </si>
  <si>
    <t>Shawna</t>
  </si>
  <si>
    <t>Shawna Madrigal</t>
  </si>
  <si>
    <t>Gilbert</t>
  </si>
  <si>
    <t>Ramsay</t>
  </si>
  <si>
    <t>Wolfram</t>
  </si>
  <si>
    <t>Andreas</t>
  </si>
  <si>
    <t>Andreas Wolfram</t>
  </si>
  <si>
    <t>Eric Rosenberger</t>
  </si>
  <si>
    <t>Pete Segal</t>
  </si>
  <si>
    <t>N</t>
  </si>
  <si>
    <t>(All)</t>
  </si>
  <si>
    <t>Alan Tiger</t>
  </si>
  <si>
    <t>Barbara Garrett</t>
  </si>
  <si>
    <t>Brian Goetz</t>
  </si>
  <si>
    <t>Brian Judd</t>
  </si>
  <si>
    <t>Christian Jones</t>
  </si>
  <si>
    <t>Dave Roemer</t>
  </si>
  <si>
    <t>David Torrente</t>
  </si>
  <si>
    <t>Dean Kerl</t>
  </si>
  <si>
    <t>Dennis Scanlon</t>
  </si>
  <si>
    <t>Emilio Porco</t>
  </si>
  <si>
    <t>Eric Selzer</t>
  </si>
  <si>
    <t>Frank Bowen</t>
  </si>
  <si>
    <t>Gregory Merritt</t>
  </si>
  <si>
    <t>Gus Ruggieri</t>
  </si>
  <si>
    <t>Ike Porter</t>
  </si>
  <si>
    <t>Jeff Palmucci</t>
  </si>
  <si>
    <t>Jeff Siegal</t>
  </si>
  <si>
    <t>Jerry D'Amaro</t>
  </si>
  <si>
    <t>Jim Lemons</t>
  </si>
  <si>
    <t>Jim Watson</t>
  </si>
  <si>
    <t>Jody Dunne</t>
  </si>
  <si>
    <t>John Fontinelli</t>
  </si>
  <si>
    <t>Len Parness</t>
  </si>
  <si>
    <t>Marc Howard</t>
  </si>
  <si>
    <t>Marty Stilling</t>
  </si>
  <si>
    <t>Michael Jacobs</t>
  </si>
  <si>
    <t>Mike Haddad Sr.</t>
  </si>
  <si>
    <t>Mike Zavison</t>
  </si>
  <si>
    <t>Polly Wu</t>
  </si>
  <si>
    <t>Rob Verzera</t>
  </si>
  <si>
    <t>Salah Levy</t>
  </si>
  <si>
    <t>Sassoun Sarhadian</t>
  </si>
  <si>
    <t>Stephen Braud</t>
  </si>
  <si>
    <t>Stephen Lewin-Berlin</t>
  </si>
  <si>
    <t>Tom Hummel</t>
  </si>
  <si>
    <t>Tony Jeff</t>
  </si>
  <si>
    <t>Rank</t>
  </si>
  <si>
    <t>Milligan</t>
  </si>
  <si>
    <t>Markowitz</t>
  </si>
  <si>
    <t>25-Game Mixed</t>
  </si>
  <si>
    <t>Rokitka</t>
  </si>
  <si>
    <t>NLHE Jam or Fold</t>
  </si>
  <si>
    <t>Hess</t>
  </si>
  <si>
    <t>Nathan</t>
  </si>
  <si>
    <t>POFCP</t>
  </si>
  <si>
    <t>Connors</t>
  </si>
  <si>
    <t>Hayden</t>
  </si>
  <si>
    <t>Melissa</t>
  </si>
  <si>
    <t>Morrow</t>
  </si>
  <si>
    <t>Lori</t>
  </si>
  <si>
    <t>Shahade</t>
  </si>
  <si>
    <t>Caldwell</t>
  </si>
  <si>
    <t>Blackstock</t>
  </si>
  <si>
    <t>Freedman</t>
  </si>
  <si>
    <t>Wendy</t>
  </si>
  <si>
    <t>Jordan Devenport</t>
  </si>
  <si>
    <t>Jennifer Shahade</t>
  </si>
  <si>
    <t>Bree Goldman</t>
  </si>
  <si>
    <t>John Caldwell</t>
  </si>
  <si>
    <t>Ron Grossberg</t>
  </si>
  <si>
    <t>Stephen Blackstock</t>
  </si>
  <si>
    <t>Steven Markowitz</t>
  </si>
  <si>
    <t>Arthur Goltz</t>
  </si>
  <si>
    <t>Wendy Freedman</t>
  </si>
  <si>
    <t>Doug Maher</t>
  </si>
  <si>
    <t>Dave O'Grady</t>
  </si>
  <si>
    <t>Simon</t>
  </si>
  <si>
    <t>Dan Loncarcic</t>
  </si>
  <si>
    <t>David Low</t>
  </si>
  <si>
    <t>Richard Brodie</t>
  </si>
  <si>
    <t>Doug Grismore</t>
  </si>
  <si>
    <t>Erin Ramsay</t>
  </si>
  <si>
    <t>Cliff Matthews</t>
  </si>
  <si>
    <t>Chris Jepsen</t>
  </si>
  <si>
    <t>Sabyl Landrum</t>
  </si>
  <si>
    <t>David Aronson</t>
  </si>
  <si>
    <t>Derek Gomez</t>
  </si>
  <si>
    <t>Steven McLaughlin</t>
  </si>
  <si>
    <t>John Reed</t>
  </si>
  <si>
    <t>Chris Mlinarich</t>
  </si>
  <si>
    <t>Tim Showalter</t>
  </si>
  <si>
    <t>Bryan Slick</t>
  </si>
  <si>
    <t>Alan Veach</t>
  </si>
  <si>
    <t>Andy Hughes</t>
  </si>
  <si>
    <t>Paul Zuzelo</t>
  </si>
  <si>
    <t>Matt Grapenthien</t>
  </si>
  <si>
    <t>Steve Watanabe</t>
  </si>
  <si>
    <t>Greg Pappas</t>
  </si>
  <si>
    <t>Leslie Walker</t>
  </si>
  <si>
    <t>Steve Clayton</t>
  </si>
  <si>
    <t>James Hammer</t>
  </si>
  <si>
    <t>Walter Hunt</t>
  </si>
  <si>
    <t>Drew Boyett</t>
  </si>
  <si>
    <t>Christopher Kuntz</t>
  </si>
  <si>
    <t>Jeff Landgraf</t>
  </si>
  <si>
    <t>Marc Gilutin</t>
  </si>
  <si>
    <t>Larry Bierman</t>
  </si>
  <si>
    <t>Brian O'Grady</t>
  </si>
  <si>
    <t>Mike Connors</t>
  </si>
  <si>
    <t>Alan Bernstein</t>
  </si>
  <si>
    <t>Bill Campion</t>
  </si>
  <si>
    <t>Tim Stine</t>
  </si>
  <si>
    <t>Daniel Lykins</t>
  </si>
  <si>
    <t>Sharon Lewis</t>
  </si>
  <si>
    <t>Melissa Hayden</t>
  </si>
  <si>
    <t>Dave Orr</t>
  </si>
  <si>
    <t>Leonard Pisciotta</t>
  </si>
  <si>
    <t>Brandon Schaeffer</t>
  </si>
  <si>
    <t>Murray Logan</t>
  </si>
  <si>
    <t>Chieu Tran</t>
  </si>
  <si>
    <t>Steve Bartnyk</t>
  </si>
  <si>
    <t>Chris Kluchman</t>
  </si>
  <si>
    <t>Sarah Boston</t>
  </si>
  <si>
    <t>Paul Fischman</t>
  </si>
  <si>
    <t>Bruce Iwamoto</t>
  </si>
  <si>
    <t>Shelly Louie</t>
  </si>
  <si>
    <t>Bob Gilbert</t>
  </si>
  <si>
    <t>Paul Gibboney</t>
  </si>
  <si>
    <t>George Wattman</t>
  </si>
  <si>
    <t>Larry Lumley</t>
  </si>
  <si>
    <t>Tom Abraham</t>
  </si>
  <si>
    <t>Shelly Pierce</t>
  </si>
  <si>
    <t>Jim Anderson</t>
  </si>
  <si>
    <t>Raffy Kaloustian</t>
  </si>
  <si>
    <t>Beth Even</t>
  </si>
  <si>
    <t>Eugene Coles</t>
  </si>
  <si>
    <t>Asya Kamsky</t>
  </si>
  <si>
    <t>Robert Borzomati</t>
  </si>
  <si>
    <t>Brett Pisor</t>
  </si>
  <si>
    <t>Darlene Springman</t>
  </si>
  <si>
    <t>Aaron Rich</t>
  </si>
  <si>
    <t>Serrina Monnin</t>
  </si>
  <si>
    <t>Kelly Sprankle</t>
  </si>
  <si>
    <t>Nathan Hess</t>
  </si>
  <si>
    <t>John Anderson</t>
  </si>
  <si>
    <t>Bart Simpson</t>
  </si>
  <si>
    <t>Sean Morrow</t>
  </si>
  <si>
    <t>Janie McIntosh</t>
  </si>
  <si>
    <t>Richard Korbin</t>
  </si>
  <si>
    <t>Stephen Rokitka</t>
  </si>
  <si>
    <t>Lori Miller</t>
  </si>
  <si>
    <t>Mark Fein</t>
  </si>
  <si>
    <t>Tim Gomes</t>
  </si>
  <si>
    <t>Bobo Barzamati</t>
  </si>
  <si>
    <t>Andrew Kuttig</t>
  </si>
  <si>
    <t>Chris Richards</t>
  </si>
  <si>
    <t>Kevin Knourek</t>
  </si>
  <si>
    <t>Donna Kracinovich</t>
  </si>
  <si>
    <t>Shawn Lauderdale</t>
  </si>
  <si>
    <t>Thomas Kracinovich</t>
  </si>
  <si>
    <t>Sandra Benditt</t>
  </si>
  <si>
    <t>Chuck Artigues</t>
  </si>
  <si>
    <t>Bob Maher</t>
  </si>
  <si>
    <t>Stephen Jacobs</t>
  </si>
  <si>
    <t>Jan Pierce</t>
  </si>
  <si>
    <t>Tom Valentino</t>
  </si>
  <si>
    <t>Bill Keenan</t>
  </si>
  <si>
    <t>Mike Fujita</t>
  </si>
  <si>
    <t>Mark Wileczek</t>
  </si>
  <si>
    <t>David Lee</t>
  </si>
  <si>
    <t>Alexander Sam</t>
  </si>
  <si>
    <t>Terry Leatherwood   </t>
  </si>
  <si>
    <t>Daniel Gerard</t>
  </si>
  <si>
    <t>Nicholas Mecca</t>
  </si>
  <si>
    <t>Mitch Jacobs</t>
  </si>
  <si>
    <t>Adam Buchholz</t>
  </si>
  <si>
    <t>Rith Peou</t>
  </si>
  <si>
    <t>Patricia Yannuzzi</t>
  </si>
  <si>
    <t>Jim Hexter</t>
  </si>
  <si>
    <t>J. Wright</t>
  </si>
  <si>
    <t>Helen Rogers</t>
  </si>
  <si>
    <t>Ralph Ballario</t>
  </si>
  <si>
    <t>Charlie Mathis</t>
  </si>
  <si>
    <t>Chris Sims</t>
  </si>
  <si>
    <t>Lawrence Wu</t>
  </si>
  <si>
    <t>Howard Kaplan   </t>
  </si>
  <si>
    <t>Scott Hermes</t>
  </si>
  <si>
    <t>Chris Wilson</t>
  </si>
  <si>
    <t>Brentt Phillips</t>
  </si>
  <si>
    <t>Gloria Lorusso</t>
  </si>
  <si>
    <t>Christopher Garman</t>
  </si>
  <si>
    <t>Rob Shepard</t>
  </si>
  <si>
    <t>Ryan Ohu</t>
  </si>
  <si>
    <t>William Lenox</t>
  </si>
  <si>
    <t>Troy Miller</t>
  </si>
  <si>
    <t>Jason Balter</t>
  </si>
  <si>
    <t>Allnight Adam</t>
  </si>
  <si>
    <t>Martin Lipschutz</t>
  </si>
  <si>
    <t>Keith Wurster</t>
  </si>
  <si>
    <t>Kenneth Umansky</t>
  </si>
  <si>
    <t>Charles Sawyer</t>
  </si>
  <si>
    <t>Brandon Oberling</t>
  </si>
  <si>
    <t>C Conner</t>
  </si>
  <si>
    <t>Richard Puleo</t>
  </si>
  <si>
    <t>Dominic Colfer</t>
  </si>
  <si>
    <t>Jeffrey Baxter</t>
  </si>
  <si>
    <t>Richard Bright</t>
  </si>
  <si>
    <t>Bob Alonso</t>
  </si>
  <si>
    <t>Frank Jerome</t>
  </si>
  <si>
    <t>John Stewart</t>
  </si>
  <si>
    <t>Chris Carstens</t>
  </si>
  <si>
    <t>Frank Lorusso</t>
  </si>
  <si>
    <t>Don Adams</t>
  </si>
  <si>
    <t>Jennifer Bankston</t>
  </si>
  <si>
    <t>Bruce Altner</t>
  </si>
  <si>
    <t>Barbara Bowen</t>
  </si>
  <si>
    <t>Greg Josephson</t>
  </si>
  <si>
    <t>James Skoulikas</t>
  </si>
  <si>
    <t>Salim Valimahomed</t>
  </si>
  <si>
    <t>Chip Rosenberg</t>
  </si>
  <si>
    <t>Louise Russell</t>
  </si>
  <si>
    <t>Gordy Swalm</t>
  </si>
  <si>
    <t>T Wyle</t>
  </si>
  <si>
    <t>Dieter Martin</t>
  </si>
  <si>
    <t>Steve Kovach</t>
  </si>
  <si>
    <t>Geoffery Talvola</t>
  </si>
  <si>
    <t>Judith Gendron</t>
  </si>
  <si>
    <t>Betsy Wilson</t>
  </si>
  <si>
    <t>Adam Shapiro</t>
  </si>
  <si>
    <t>Larry Khirallah</t>
  </si>
  <si>
    <t>Paul Hodosh</t>
  </si>
  <si>
    <t>Darryl Osborne</t>
  </si>
  <si>
    <t>Robert Turner</t>
  </si>
  <si>
    <t>Kristopher Quintiliani</t>
  </si>
  <si>
    <t>John Diamondhead</t>
  </si>
  <si>
    <t>Maggie Desmond-Rowan</t>
  </si>
  <si>
    <t>John Rowan</t>
  </si>
  <si>
    <t>Steven Sager</t>
  </si>
  <si>
    <t>Rocco Scavetta</t>
  </si>
  <si>
    <t>Abe Springfield</t>
  </si>
  <si>
    <t>Danny Hofer</t>
  </si>
  <si>
    <t>S Stratton</t>
  </si>
  <si>
    <t>Leo Cusson</t>
  </si>
  <si>
    <t>Cindy Morales</t>
  </si>
  <si>
    <t>Karl Zipple</t>
  </si>
  <si>
    <t>Peter Mikulen</t>
  </si>
  <si>
    <t>Wes Tilley</t>
  </si>
  <si>
    <t>Connie Hackett</t>
  </si>
  <si>
    <t>Steven Bennett</t>
  </si>
  <si>
    <t>Joseph Muldon</t>
  </si>
  <si>
    <t>Vinnie Widdows</t>
  </si>
  <si>
    <t>John Werthwein</t>
  </si>
  <si>
    <t>M Franham</t>
  </si>
  <si>
    <t>Scott Simon</t>
  </si>
  <si>
    <t>1998 BARGE</t>
  </si>
  <si>
    <t>Agresta</t>
  </si>
  <si>
    <t>Alspach</t>
  </si>
  <si>
    <t>Augustine</t>
  </si>
  <si>
    <t>Lenny</t>
  </si>
  <si>
    <t>Axelband</t>
  </si>
  <si>
    <t>Behrman</t>
  </si>
  <si>
    <t>Bentkower</t>
  </si>
  <si>
    <t>Berentsen</t>
  </si>
  <si>
    <t>Bergondy</t>
  </si>
  <si>
    <t>Bernhardt</t>
  </si>
  <si>
    <t>Sherri</t>
  </si>
  <si>
    <t>Bonner</t>
  </si>
  <si>
    <t>Brecher</t>
  </si>
  <si>
    <t>Bronson</t>
  </si>
  <si>
    <t>Caro</t>
  </si>
  <si>
    <t>Chow</t>
  </si>
  <si>
    <t>Suzan</t>
  </si>
  <si>
    <t>Colby</t>
  </si>
  <si>
    <t>Cote</t>
  </si>
  <si>
    <t>Kimberly</t>
  </si>
  <si>
    <t>Denny</t>
  </si>
  <si>
    <t>Rachel</t>
  </si>
  <si>
    <t>Doyle</t>
  </si>
  <si>
    <t>Duchin</t>
  </si>
  <si>
    <t>Dunbar</t>
  </si>
  <si>
    <t>Emerling</t>
  </si>
  <si>
    <t>Fagen</t>
  </si>
  <si>
    <t>Feiger</t>
  </si>
  <si>
    <t>Fuchs</t>
  </si>
  <si>
    <t>Furst</t>
  </si>
  <si>
    <t>Rafe</t>
  </si>
  <si>
    <t>Gabrysch</t>
  </si>
  <si>
    <t>Galicia</t>
  </si>
  <si>
    <t>Geroncio</t>
  </si>
  <si>
    <t>Kevan</t>
  </si>
  <si>
    <t>Geary</t>
  </si>
  <si>
    <t>Geiger</t>
  </si>
  <si>
    <t>Les</t>
  </si>
  <si>
    <t>Gifford</t>
  </si>
  <si>
    <t>Goodman</t>
  </si>
  <si>
    <t>Goshen</t>
  </si>
  <si>
    <t>Shmuel</t>
  </si>
  <si>
    <t>Granowetter</t>
  </si>
  <si>
    <t>Maryann</t>
  </si>
  <si>
    <t>Tonda</t>
  </si>
  <si>
    <t>Hartman</t>
  </si>
  <si>
    <t>Hayek</t>
  </si>
  <si>
    <t>Herdan</t>
  </si>
  <si>
    <t>Horowitz</t>
  </si>
  <si>
    <t>Jacob</t>
  </si>
  <si>
    <t>Horwitz</t>
  </si>
  <si>
    <t>Huang</t>
  </si>
  <si>
    <t>Nate</t>
  </si>
  <si>
    <t>Irwin</t>
  </si>
  <si>
    <t>Janowski</t>
  </si>
  <si>
    <t>Kipilman</t>
  </si>
  <si>
    <t>Krein</t>
  </si>
  <si>
    <t>Kullmann</t>
  </si>
  <si>
    <t>Lambert</t>
  </si>
  <si>
    <t>Langdon</t>
  </si>
  <si>
    <t>Latto</t>
  </si>
  <si>
    <t>Lindquist</t>
  </si>
  <si>
    <t>Leroy</t>
  </si>
  <si>
    <t>Luckini</t>
  </si>
  <si>
    <t>Markus</t>
  </si>
  <si>
    <t>Shyam</t>
  </si>
  <si>
    <t>Ernst</t>
  </si>
  <si>
    <t>Maughan</t>
  </si>
  <si>
    <t>McClenny</t>
  </si>
  <si>
    <t>McGarvey</t>
  </si>
  <si>
    <t>McNerney</t>
  </si>
  <si>
    <t>Morley</t>
  </si>
  <si>
    <t>Morrison</t>
  </si>
  <si>
    <t>Murphy</t>
  </si>
  <si>
    <t>Nagy</t>
  </si>
  <si>
    <t>Andras</t>
  </si>
  <si>
    <t>Olson</t>
  </si>
  <si>
    <t>Clark</t>
  </si>
  <si>
    <t>Peters</t>
  </si>
  <si>
    <t>Pfeifer</t>
  </si>
  <si>
    <t>Piazza</t>
  </si>
  <si>
    <t>Anthony</t>
  </si>
  <si>
    <t>Piercy</t>
  </si>
  <si>
    <t>Pivnik</t>
  </si>
  <si>
    <t>Poirier</t>
  </si>
  <si>
    <t>Russ</t>
  </si>
  <si>
    <t>Prigge</t>
  </si>
  <si>
    <t>Propp</t>
  </si>
  <si>
    <t>Resnick</t>
  </si>
  <si>
    <t>Rice</t>
  </si>
  <si>
    <t>Saustrup</t>
  </si>
  <si>
    <t>Steffen</t>
  </si>
  <si>
    <t>Scharf</t>
  </si>
  <si>
    <t>Sembay</t>
  </si>
  <si>
    <t>Sue</t>
  </si>
  <si>
    <t>Swiencicki</t>
  </si>
  <si>
    <t>Talcott</t>
  </si>
  <si>
    <t>Tatay</t>
  </si>
  <si>
    <t>Rudy</t>
  </si>
  <si>
    <t>Tripamer</t>
  </si>
  <si>
    <t>Veneroso</t>
  </si>
  <si>
    <t>Wallenstein</t>
  </si>
  <si>
    <t>Weideman</t>
  </si>
  <si>
    <t>Wiesenberg</t>
  </si>
  <si>
    <t>Wohletz</t>
  </si>
  <si>
    <t>Zimmerman</t>
  </si>
  <si>
    <t>Zimmers</t>
  </si>
  <si>
    <t>1999 BARGE</t>
  </si>
  <si>
    <t>Allison</t>
  </si>
  <si>
    <t>Jane</t>
  </si>
  <si>
    <t>Barnstuble</t>
  </si>
  <si>
    <t>Bauer</t>
  </si>
  <si>
    <t>Harris</t>
  </si>
  <si>
    <t>Blum</t>
  </si>
  <si>
    <t>Debbie</t>
  </si>
  <si>
    <t>Burkhead</t>
  </si>
  <si>
    <t xml:space="preserve">joseph </t>
  </si>
  <si>
    <t>carta</t>
  </si>
  <si>
    <t>Wade</t>
  </si>
  <si>
    <t>Coody</t>
  </si>
  <si>
    <t xml:space="preserve">Nolan </t>
  </si>
  <si>
    <t>Derossi</t>
  </si>
  <si>
    <t>Dombro</t>
  </si>
  <si>
    <t>Etchemendy</t>
  </si>
  <si>
    <t>Patri</t>
  </si>
  <si>
    <t>Gentry</t>
  </si>
  <si>
    <t>Guidoboni</t>
  </si>
  <si>
    <t>Harrington</t>
  </si>
  <si>
    <t>Lisa</t>
  </si>
  <si>
    <t>Haupert</t>
  </si>
  <si>
    <t xml:space="preserve">Melissa </t>
  </si>
  <si>
    <t>Hudson</t>
  </si>
  <si>
    <t>Susie</t>
  </si>
  <si>
    <t>Isaacs</t>
  </si>
  <si>
    <t xml:space="preserve">Linda             </t>
  </si>
  <si>
    <t xml:space="preserve">Ken </t>
  </si>
  <si>
    <t>Karlinski</t>
  </si>
  <si>
    <t>Kimball</t>
  </si>
  <si>
    <t>Quang</t>
  </si>
  <si>
    <t>Le</t>
  </si>
  <si>
    <t>K.J.</t>
  </si>
  <si>
    <t>Lynch</t>
  </si>
  <si>
    <t>E. Stephen</t>
  </si>
  <si>
    <t>Mack</t>
  </si>
  <si>
    <t>Ernst-Dieter</t>
  </si>
  <si>
    <t>JP</t>
  </si>
  <si>
    <t>massey</t>
  </si>
  <si>
    <t>Mastors</t>
  </si>
  <si>
    <t>Clifford</t>
  </si>
  <si>
    <t>Mombourquette</t>
  </si>
  <si>
    <t>Munzer</t>
  </si>
  <si>
    <t>Spiney</t>
  </si>
  <si>
    <t>Norman</t>
  </si>
  <si>
    <t>Samuel</t>
  </si>
  <si>
    <t>Paik</t>
  </si>
  <si>
    <t>Pizio</t>
  </si>
  <si>
    <t>Rankin</t>
  </si>
  <si>
    <t xml:space="preserve">John </t>
  </si>
  <si>
    <t>Rhodes</t>
  </si>
  <si>
    <t>bret</t>
  </si>
  <si>
    <t>roth</t>
  </si>
  <si>
    <t>Smart</t>
  </si>
  <si>
    <t>Tarvin</t>
  </si>
  <si>
    <t>Tofte</t>
  </si>
  <si>
    <t>Raymond</t>
  </si>
  <si>
    <t>Walline</t>
  </si>
  <si>
    <t>Zwiers</t>
  </si>
  <si>
    <t>2000 BARGE</t>
  </si>
  <si>
    <t>anderson</t>
  </si>
  <si>
    <t>Bartoszewicz</t>
  </si>
  <si>
    <t>Berwager</t>
  </si>
  <si>
    <t>Carter</t>
  </si>
  <si>
    <t>Casteel</t>
  </si>
  <si>
    <t>Cervanyk</t>
  </si>
  <si>
    <t>Charleston</t>
  </si>
  <si>
    <t>Clements</t>
  </si>
  <si>
    <t>Compton</t>
  </si>
  <si>
    <t>Ferguson</t>
  </si>
  <si>
    <t>goshen</t>
  </si>
  <si>
    <t>Hamilton</t>
  </si>
  <si>
    <t>hartman</t>
  </si>
  <si>
    <t>hayden</t>
  </si>
  <si>
    <t>Hill</t>
  </si>
  <si>
    <t>hollan</t>
  </si>
  <si>
    <t>Kuhler</t>
  </si>
  <si>
    <t>LeClair</t>
  </si>
  <si>
    <t>lehrmann</t>
  </si>
  <si>
    <t>Locklear</t>
  </si>
  <si>
    <t>Manning</t>
  </si>
  <si>
    <t>martin</t>
  </si>
  <si>
    <t>Mazzola</t>
  </si>
  <si>
    <t>McCracken</t>
  </si>
  <si>
    <t>McGee</t>
  </si>
  <si>
    <t>mcguiness</t>
  </si>
  <si>
    <t>morrison</t>
  </si>
  <si>
    <t>Newcomb</t>
  </si>
  <si>
    <t>ogus</t>
  </si>
  <si>
    <t>Okamoto</t>
  </si>
  <si>
    <t>Pelt</t>
  </si>
  <si>
    <t>Roman</t>
  </si>
  <si>
    <t>rosenblum</t>
  </si>
  <si>
    <t>Rulla</t>
  </si>
  <si>
    <t>S.</t>
  </si>
  <si>
    <t>sander</t>
  </si>
  <si>
    <t>Settle</t>
  </si>
  <si>
    <t>stine</t>
  </si>
  <si>
    <t>Strohn</t>
  </si>
  <si>
    <t>Teresi</t>
  </si>
  <si>
    <t>Zaragoza</t>
  </si>
  <si>
    <t>john</t>
  </si>
  <si>
    <t>Chadd</t>
  </si>
  <si>
    <t>Mel</t>
  </si>
  <si>
    <t xml:space="preserve">Clay </t>
  </si>
  <si>
    <t xml:space="preserve">Nancy </t>
  </si>
  <si>
    <t>Ellen</t>
  </si>
  <si>
    <t>Kristi</t>
  </si>
  <si>
    <t xml:space="preserve">Bill </t>
  </si>
  <si>
    <t xml:space="preserve">Ava </t>
  </si>
  <si>
    <t>Janice</t>
  </si>
  <si>
    <t>Marieta</t>
  </si>
  <si>
    <t>Elizabeth A.</t>
  </si>
  <si>
    <t>shmuel</t>
  </si>
  <si>
    <t>chris</t>
  </si>
  <si>
    <t>melissa</t>
  </si>
  <si>
    <t xml:space="preserve">kristy </t>
  </si>
  <si>
    <t>Amy</t>
  </si>
  <si>
    <t>Jeri</t>
  </si>
  <si>
    <t>Shirley</t>
  </si>
  <si>
    <t xml:space="preserve">Lou </t>
  </si>
  <si>
    <t xml:space="preserve">Ming </t>
  </si>
  <si>
    <t>sharla</t>
  </si>
  <si>
    <t>Darrell</t>
  </si>
  <si>
    <t>Heather</t>
  </si>
  <si>
    <t>Shelley</t>
  </si>
  <si>
    <t>Melanie</t>
  </si>
  <si>
    <t xml:space="preserve">Anne </t>
  </si>
  <si>
    <t>sean</t>
  </si>
  <si>
    <t>Beverly</t>
  </si>
  <si>
    <t>jeff</t>
  </si>
  <si>
    <t xml:space="preserve">Don </t>
  </si>
  <si>
    <t>Marilynn</t>
  </si>
  <si>
    <t xml:space="preserve">Steve </t>
  </si>
  <si>
    <t>louis</t>
  </si>
  <si>
    <t>Nancy</t>
  </si>
  <si>
    <t>Adrianne</t>
  </si>
  <si>
    <t>Carrie</t>
  </si>
  <si>
    <t xml:space="preserve">Jeannie </t>
  </si>
  <si>
    <t>Max</t>
  </si>
  <si>
    <t>russell</t>
  </si>
  <si>
    <t>warren</t>
  </si>
  <si>
    <t>Susan</t>
  </si>
  <si>
    <t>timothy</t>
  </si>
  <si>
    <t>Jo Ann</t>
  </si>
  <si>
    <t xml:space="preserve">Betty </t>
  </si>
  <si>
    <t>Rudolph</t>
  </si>
  <si>
    <t>Cathy</t>
  </si>
  <si>
    <t xml:space="preserve">Howard </t>
  </si>
  <si>
    <t xml:space="preserve">Ramona </t>
  </si>
  <si>
    <t>Lynn</t>
  </si>
  <si>
    <t>Sal</t>
  </si>
  <si>
    <t>Fuentes</t>
  </si>
  <si>
    <t>beadles</t>
  </si>
  <si>
    <t>Berkowitz</t>
  </si>
  <si>
    <t>Bostick</t>
  </si>
  <si>
    <t>Bunch</t>
  </si>
  <si>
    <t>Nelson</t>
  </si>
  <si>
    <t>Cooke</t>
  </si>
  <si>
    <t>Evanoff</t>
  </si>
  <si>
    <t>Schenk</t>
  </si>
  <si>
    <t>Felder</t>
  </si>
  <si>
    <t>Gardella</t>
  </si>
  <si>
    <t>Gore</t>
  </si>
  <si>
    <t>Gelman</t>
  </si>
  <si>
    <t>Gustafson</t>
  </si>
  <si>
    <t>Ann</t>
  </si>
  <si>
    <t>Hellmuth Jr.</t>
  </si>
  <si>
    <t>Hellmuth</t>
  </si>
  <si>
    <t>Jennings</t>
  </si>
  <si>
    <t>Kannegeiser</t>
  </si>
  <si>
    <t>LOZANO</t>
  </si>
  <si>
    <t>Hannett</t>
  </si>
  <si>
    <t>Quach</t>
  </si>
  <si>
    <t>Potter</t>
  </si>
  <si>
    <t>Ritchie</t>
  </si>
  <si>
    <t>mcevoy</t>
  </si>
  <si>
    <t>tucker</t>
  </si>
  <si>
    <t>bowman</t>
  </si>
  <si>
    <t>Shulman</t>
  </si>
  <si>
    <t>Ratner</t>
  </si>
  <si>
    <t>Sullivan</t>
  </si>
  <si>
    <t>Ticehurst</t>
  </si>
  <si>
    <t>valimahomed</t>
  </si>
  <si>
    <t>Lennie</t>
  </si>
  <si>
    <t>Theresa</t>
  </si>
  <si>
    <t xml:space="preserve">Debbie </t>
  </si>
  <si>
    <t>patti</t>
  </si>
  <si>
    <t>Sheri</t>
  </si>
  <si>
    <t xml:space="preserve">John A. D. </t>
  </si>
  <si>
    <t xml:space="preserve">Roy </t>
  </si>
  <si>
    <t>Lee Daniel</t>
  </si>
  <si>
    <t>Rhonda</t>
  </si>
  <si>
    <t>Peggy</t>
  </si>
  <si>
    <t xml:space="preserve">Beth </t>
  </si>
  <si>
    <t>Geoffrey</t>
  </si>
  <si>
    <t xml:space="preserve">Edmund </t>
  </si>
  <si>
    <t>Kathy</t>
  </si>
  <si>
    <t xml:space="preserve">Ed </t>
  </si>
  <si>
    <t xml:space="preserve">Bruce </t>
  </si>
  <si>
    <t xml:space="preserve">Doug </t>
  </si>
  <si>
    <t>HECTOR</t>
  </si>
  <si>
    <t>June</t>
  </si>
  <si>
    <t>E.Dieter</t>
  </si>
  <si>
    <t>jeffrey</t>
  </si>
  <si>
    <t>Diane</t>
  </si>
  <si>
    <t xml:space="preserve">Don        </t>
  </si>
  <si>
    <t>Janace</t>
  </si>
  <si>
    <t>D.</t>
  </si>
  <si>
    <t>Burton</t>
  </si>
  <si>
    <t xml:space="preserve">tom </t>
  </si>
  <si>
    <t xml:space="preserve">teri </t>
  </si>
  <si>
    <t xml:space="preserve">renee </t>
  </si>
  <si>
    <t xml:space="preserve">Barry </t>
  </si>
  <si>
    <t>Bonnie</t>
  </si>
  <si>
    <t xml:space="preserve">Susan </t>
  </si>
  <si>
    <t xml:space="preserve">tim </t>
  </si>
  <si>
    <t>salim</t>
  </si>
  <si>
    <t>2001 BARGE</t>
  </si>
  <si>
    <t>2002 BARGE Callcutta</t>
  </si>
  <si>
    <t>Mark Loewenstern and Edward Pizzarello (Pizza)</t>
  </si>
  <si>
    <t>Glenn Millar (laglenn) and John Miller</t>
  </si>
  <si>
    <t>Scott Harker (ADV Scottro) and John Harkness (Dead Money)</t>
  </si>
  <si>
    <t xml:space="preserve">David Huberman (/david) and Jeff Woods (ADBjester) </t>
  </si>
  <si>
    <t>Pete Segal (TrayRacer) and Rich Strauss</t>
  </si>
  <si>
    <t>Len Greenberg (LenG) and Margaret Phillips</t>
  </si>
  <si>
    <t>Frank Castagna (Frank) and Jay Sipelstein (sippy)</t>
  </si>
  <si>
    <t>Ming Lee and David Tahajian (davet)</t>
  </si>
  <si>
    <t>Eric Holtman (Jaeger) and Paul McMullin (prm)</t>
  </si>
  <si>
    <t>Gillian Groves and Connie Kellers (baguette)</t>
  </si>
  <si>
    <t>Michael McBride (Howler) and Ken Tarvin (bahnzo)</t>
  </si>
  <si>
    <t>Marc Howard and Mike Osborne (ADB Oz)</t>
  </si>
  <si>
    <t>Dan Chevrie (Doo Dah Man) and Kevin Knourek (Kevin Un)</t>
  </si>
  <si>
    <t>Steven Eisenstein (Ice) and Michael Maurer (pygmyhipo)</t>
  </si>
  <si>
    <t>Mitch Firestone (ADB BFB) and Dan Goldman (smalltalkdan)</t>
  </si>
  <si>
    <t>David Croson (Dave!) and Kelly Felder (Hoss)</t>
  </si>
  <si>
    <t>Harry Baldwin and Cliff Matthews (dh2)</t>
  </si>
  <si>
    <t>Barry Tanenbaum and Betty Tanenbaum</t>
  </si>
  <si>
    <t>Tim Bosserman (Darth Dice) and John Reed (JRX)</t>
  </si>
  <si>
    <t>Jeff Davenport (jeffdamack) and Dean Waters (POTTH)</t>
  </si>
  <si>
    <t>Tony Goldstein (Karma) and Thomas Hummel (Aardvark)</t>
  </si>
  <si>
    <t>Jerrod Ankenman and Chris Straghalis (ADB Ploink)</t>
  </si>
  <si>
    <t>Johnny Davis (JohnnyD) and Paul Stine (Aggie83)</t>
  </si>
  <si>
    <t>Richard Kuhler and Fred Lawful</t>
  </si>
  <si>
    <t>russell rosenblum (russ) and Chieu Tran (C5)</t>
  </si>
  <si>
    <t>Steve Pierce and Steve Watanabe (stevew)</t>
  </si>
  <si>
    <t>Michael Hunter and David Lawful (sam_6)</t>
  </si>
  <si>
    <t>Barry Kornspan (BarryK) and sean mcguiness (oscar)</t>
  </si>
  <si>
    <t>Geroncio Galicia (Jalapeno) and Tracey Martin (Babette)</t>
  </si>
  <si>
    <t>Mary Massey (MadMary) and Andrew Prock</t>
  </si>
  <si>
    <t>Beth Even (ADV Beth) and Arthur Reber (Lord Palin)</t>
  </si>
  <si>
    <t>Steve Brecher (brec) and Johnny Brown (Downtown)</t>
  </si>
  <si>
    <t>louis ogus (bob o) and Arthur Santella (Arty)</t>
  </si>
  <si>
    <t>Jeff Jennings and Shelley Louie</t>
  </si>
  <si>
    <t>Nick Christenson and George Wattman</t>
  </si>
  <si>
    <t>Charles Haynes (ADBChaz) and Gavin Smith</t>
  </si>
  <si>
    <t>Guy Berentsen (grizz) and David Horwitz (Quick)</t>
  </si>
  <si>
    <t>Steve Johnson (aces4me) and Al Weber (Big_Al)</t>
  </si>
  <si>
    <t>Nolan Dalla (ADB Darkside) and Andrew Latto (Andy)</t>
  </si>
  <si>
    <t>Scott Byron (Bwana) and Mike Chow</t>
  </si>
  <si>
    <t>Patti Beadles (Patti) and Keith Fichtemaier (ADB fich)</t>
  </si>
  <si>
    <t>Masanobu Fujioka (Masa) and Dan Nussbaum</t>
  </si>
  <si>
    <t>Janace Pierce (Jan) and Peter Secor (Foldem)</t>
  </si>
  <si>
    <t>Tom Goodwin (Lucky Rebuy) and Robert Hwang (ActionBob)</t>
  </si>
  <si>
    <t>Rick Bevan (Zbigniew) and rickie kerndt (stubing)</t>
  </si>
  <si>
    <t>David Heller (Heldar) and Eric Shirk</t>
  </si>
  <si>
    <t>Jim Bullard (Bullbert) and Warren Sander</t>
  </si>
  <si>
    <t>Andy Hughes and Brian Wass (Wassymac)</t>
  </si>
  <si>
    <t>Stevan Goldman (goldiefish) and charles natkins (Garnishmensch)</t>
  </si>
  <si>
    <t>Lee Crocker (bowtie) and Jeffrey Siegal</t>
  </si>
  <si>
    <t>E.Dieter Martin and Tim McGarvey (ADB Timmy)</t>
  </si>
  <si>
    <t>Patrick Milligan (ADV Patrick) and Mark Rafn (Dagon)</t>
  </si>
  <si>
    <t>Jay Johnson (underflow) and david orr</t>
  </si>
  <si>
    <t>Adam Bachrach (Allknight) and Corey Imsdahl</t>
  </si>
  <si>
    <t>Rick Charles (ADB DaVoice) and Randy Collack (Mitch)</t>
  </si>
  <si>
    <t>Steve Jacobs and Charles Weinstock (Chuck)</t>
  </si>
  <si>
    <t>Walter Hunt and Larry Weinberg</t>
  </si>
  <si>
    <t>Roger Barbour and Edmund Hack (RktSci)</t>
  </si>
  <si>
    <t>Lennie Augustine (bananfish) and Bruce Hayek (Space Cadet)</t>
  </si>
  <si>
    <t>Scott Burrington (nfh) and Gerald Petersen (gerdog)</t>
  </si>
  <si>
    <t>HECTOR LOZANO and Martin Maughan</t>
  </si>
  <si>
    <t>Robert Bronston (Rob) and Wendy Rafn</t>
  </si>
  <si>
    <t>Stephen Daniel (Crunch) and Len Granowetter</t>
  </si>
  <si>
    <t>Stephen Carbonara (IFSATG) and Lou Krieger</t>
  </si>
  <si>
    <t>David McVay and Paul Person (Sunfish)</t>
  </si>
  <si>
    <t>john anderson (coming) and Daniel Loncaric (Dan)</t>
  </si>
  <si>
    <t>Linda Johnson (Now, Let's Play Poker) and Doug Langdon (redrockblue)</t>
  </si>
  <si>
    <t>Marc Gilutin (The Occupant) and Steve Nissman (Steve BIA)</t>
  </si>
  <si>
    <t>Gregory Dinkin and Ken Kubey (QB)</t>
  </si>
  <si>
    <t>Frank Brabec (NUT-Z) and Sheri Brabec (lorframag)</t>
  </si>
  <si>
    <t>Bill Chen and Suzan Cohen (Sabyl)</t>
  </si>
  <si>
    <t>Ellen Gore (LfromHell) and Michael Patterson (mickdog)</t>
  </si>
  <si>
    <t>James Chacon and Aaron Rich (adrich)</t>
  </si>
  <si>
    <t>Phil Gustafson (phil) and Stephen Landrum</t>
  </si>
  <si>
    <t>Robert Irons (MadisonBob) and John Reeves (JohnR)</t>
  </si>
  <si>
    <t>James Massar (JP) and Peter Stephenson</t>
  </si>
  <si>
    <t>Oliver Juang and Mike Reichert</t>
  </si>
  <si>
    <t>Brian Goetz and Marc Kolstad</t>
  </si>
  <si>
    <t>Dave Roemer (Hitman)</t>
  </si>
  <si>
    <t>Bob Herlien (Blues)</t>
  </si>
  <si>
    <t>Peter Caldes (Taki)</t>
  </si>
  <si>
    <t>Nathan Hess (Woodstock)</t>
  </si>
  <si>
    <t>Don Rieck (Bingo)</t>
  </si>
  <si>
    <t>John Fleming (panfried)</t>
  </si>
  <si>
    <t>Russell Fox (Russ)</t>
  </si>
  <si>
    <t>1998 FARGO</t>
  </si>
  <si>
    <t>Alson</t>
  </si>
  <si>
    <t>Boyd</t>
  </si>
  <si>
    <t>Butler</t>
  </si>
  <si>
    <t>Casale</t>
  </si>
  <si>
    <t>Courtney</t>
  </si>
  <si>
    <t>Craft</t>
  </si>
  <si>
    <t>Dechant</t>
  </si>
  <si>
    <t>DeLuca</t>
  </si>
  <si>
    <t>Frampton</t>
  </si>
  <si>
    <t>Fritz</t>
  </si>
  <si>
    <t>Garner</t>
  </si>
  <si>
    <t>Giansanti</t>
  </si>
  <si>
    <t>Heck</t>
  </si>
  <si>
    <t>Jessell</t>
  </si>
  <si>
    <t>Kessler</t>
  </si>
  <si>
    <t>Irv</t>
  </si>
  <si>
    <t>King</t>
  </si>
  <si>
    <t>Klarman</t>
  </si>
  <si>
    <t>Klotz</t>
  </si>
  <si>
    <t>Kulju</t>
  </si>
  <si>
    <t>Lucht</t>
  </si>
  <si>
    <t>Mancini</t>
  </si>
  <si>
    <t>Romy</t>
  </si>
  <si>
    <t>McHugh</t>
  </si>
  <si>
    <t>Miyake</t>
  </si>
  <si>
    <t>Musto</t>
  </si>
  <si>
    <t>Nugent</t>
  </si>
  <si>
    <t>Paquin</t>
  </si>
  <si>
    <t xml:space="preserve">Chris </t>
  </si>
  <si>
    <t>Price</t>
  </si>
  <si>
    <t>Sadowski</t>
  </si>
  <si>
    <t>Schoen</t>
  </si>
  <si>
    <t>Jelle</t>
  </si>
  <si>
    <t>Seymour</t>
  </si>
  <si>
    <t>Silberstein</t>
  </si>
  <si>
    <t>Silver</t>
  </si>
  <si>
    <t>Nat</t>
  </si>
  <si>
    <t>Sudkin</t>
  </si>
  <si>
    <t>Tollman</t>
  </si>
  <si>
    <t>Walsh</t>
  </si>
  <si>
    <t>Watkins</t>
  </si>
  <si>
    <t>Wohlgemuth</t>
  </si>
  <si>
    <t>Julian</t>
  </si>
  <si>
    <t>Zagieboylo</t>
  </si>
  <si>
    <t>1999 FARGO</t>
  </si>
  <si>
    <t>Newjane</t>
  </si>
  <si>
    <t xml:space="preserve"> Bill</t>
  </si>
  <si>
    <t>Allen</t>
  </si>
  <si>
    <t xml:space="preserve"> Herb</t>
  </si>
  <si>
    <t xml:space="preserve"> Patti</t>
  </si>
  <si>
    <t xml:space="preserve"> Peter</t>
  </si>
  <si>
    <t xml:space="preserve"> Ed</t>
  </si>
  <si>
    <t xml:space="preserve"> Ken</t>
  </si>
  <si>
    <t xml:space="preserve"> Scott</t>
  </si>
  <si>
    <t xml:space="preserve"> Pete</t>
  </si>
  <si>
    <t xml:space="preserve"> Jeff</t>
  </si>
  <si>
    <t>Chacon</t>
  </si>
  <si>
    <t xml:space="preserve"> James</t>
  </si>
  <si>
    <t xml:space="preserve"> Don</t>
  </si>
  <si>
    <t xml:space="preserve"> Nolan</t>
  </si>
  <si>
    <t xml:space="preserve"> Steve</t>
  </si>
  <si>
    <t xml:space="preserve"> Dan</t>
  </si>
  <si>
    <t>DelBorrel</t>
  </si>
  <si>
    <t xml:space="preserve"> Bart</t>
  </si>
  <si>
    <t xml:space="preserve"> Ray</t>
  </si>
  <si>
    <t>Fitzgerald</t>
  </si>
  <si>
    <t xml:space="preserve"> Kevin</t>
  </si>
  <si>
    <t xml:space="preserve"> Jim</t>
  </si>
  <si>
    <t xml:space="preserve"> Al</t>
  </si>
  <si>
    <t xml:space="preserve"> Barry</t>
  </si>
  <si>
    <t xml:space="preserve"> Jerry</t>
  </si>
  <si>
    <t>Giles</t>
  </si>
  <si>
    <t xml:space="preserve"> Dave</t>
  </si>
  <si>
    <t xml:space="preserve"> Sue</t>
  </si>
  <si>
    <t xml:space="preserve"> Tony</t>
  </si>
  <si>
    <t xml:space="preserve"> Tom</t>
  </si>
  <si>
    <t xml:space="preserve"> Joan</t>
  </si>
  <si>
    <t xml:space="preserve"> John</t>
  </si>
  <si>
    <t xml:space="preserve"> Eric</t>
  </si>
  <si>
    <t xml:space="preserve"> Thomas</t>
  </si>
  <si>
    <t xml:space="preserve"> Robert</t>
  </si>
  <si>
    <t>Kearns</t>
  </si>
  <si>
    <t xml:space="preserve"> Larry</t>
  </si>
  <si>
    <t>Kirkham</t>
  </si>
  <si>
    <t xml:space="preserve"> Roger</t>
  </si>
  <si>
    <t xml:space="preserve"> Jason</t>
  </si>
  <si>
    <t xml:space="preserve"> Michael</t>
  </si>
  <si>
    <t xml:space="preserve"> Bruce</t>
  </si>
  <si>
    <t xml:space="preserve"> Andy</t>
  </si>
  <si>
    <t xml:space="preserve"> Ming</t>
  </si>
  <si>
    <t xml:space="preserve"> Linda</t>
  </si>
  <si>
    <t>Luther</t>
  </si>
  <si>
    <t xml:space="preserve"> Frank</t>
  </si>
  <si>
    <t xml:space="preserve"> Romy</t>
  </si>
  <si>
    <t>Manvell</t>
  </si>
  <si>
    <t xml:space="preserve"> Mike</t>
  </si>
  <si>
    <t xml:space="preserve"> Len</t>
  </si>
  <si>
    <t xml:space="preserve"> Mary</t>
  </si>
  <si>
    <t>McDermott</t>
  </si>
  <si>
    <t xml:space="preserve"> Alan</t>
  </si>
  <si>
    <t>Mogal</t>
  </si>
  <si>
    <t>Moore</t>
  </si>
  <si>
    <t xml:space="preserve"> Matthew</t>
  </si>
  <si>
    <t xml:space="preserve"> Mark</t>
  </si>
  <si>
    <t xml:space="preserve"> Greg</t>
  </si>
  <si>
    <t xml:space="preserve"> Chris</t>
  </si>
  <si>
    <t>Polansky</t>
  </si>
  <si>
    <t xml:space="preserve"> Joe</t>
  </si>
  <si>
    <t xml:space="preserve"> Warren</t>
  </si>
  <si>
    <t xml:space="preserve"> Art</t>
  </si>
  <si>
    <t>Sheedy</t>
  </si>
  <si>
    <t xml:space="preserve"> Martin</t>
  </si>
  <si>
    <t xml:space="preserve"> David</t>
  </si>
  <si>
    <t>Threadgould</t>
  </si>
  <si>
    <t xml:space="preserve"> Richard</t>
  </si>
  <si>
    <t xml:space="preserve"> Matt</t>
  </si>
  <si>
    <t xml:space="preserve"> Phil</t>
  </si>
  <si>
    <t xml:space="preserve"> Salim</t>
  </si>
  <si>
    <t xml:space="preserve"> Chuck</t>
  </si>
  <si>
    <t xml:space="preserve"> Tim</t>
  </si>
  <si>
    <t>2000 FARGO</t>
  </si>
  <si>
    <t>Brownstein</t>
  </si>
  <si>
    <t>DeBellis</t>
  </si>
  <si>
    <t>Johar</t>
  </si>
  <si>
    <t>Kensek</t>
  </si>
  <si>
    <t>Keohan</t>
  </si>
  <si>
    <t>Luzzaraga</t>
  </si>
  <si>
    <t>McElroy</t>
  </si>
  <si>
    <t>McIntyre</t>
  </si>
  <si>
    <t>Partenope</t>
  </si>
  <si>
    <t>Paturzo</t>
  </si>
  <si>
    <t>Rutkowski</t>
  </si>
  <si>
    <t>Valimohomed</t>
  </si>
  <si>
    <t>Vindigni</t>
  </si>
  <si>
    <t>Sandeep</t>
  </si>
  <si>
    <t>Nina</t>
  </si>
  <si>
    <t>Deno</t>
  </si>
  <si>
    <t>2001 FARGO</t>
  </si>
  <si>
    <t>Elizabeth</t>
  </si>
  <si>
    <t>Burwick</t>
  </si>
  <si>
    <t>Debellis</t>
  </si>
  <si>
    <t>Lepore</t>
  </si>
  <si>
    <t>Vince</t>
  </si>
  <si>
    <t>LLew</t>
  </si>
  <si>
    <t>Lohr</t>
  </si>
  <si>
    <t>Select</t>
  </si>
  <si>
    <t>David Meeks</t>
  </si>
  <si>
    <t>HOSE</t>
  </si>
  <si>
    <t>Paradise Pick'em</t>
  </si>
  <si>
    <t>Pot Limit H2O</t>
  </si>
  <si>
    <t>Binglaha</t>
  </si>
  <si>
    <t>PLBO/SS8</t>
  </si>
  <si>
    <t>Chapman</t>
  </si>
  <si>
    <t>Kenyon</t>
  </si>
  <si>
    <t>Mary-Ellen</t>
  </si>
  <si>
    <t>Mercer</t>
  </si>
  <si>
    <t>Diana</t>
  </si>
  <si>
    <t>Jett</t>
  </si>
  <si>
    <t>Karina</t>
  </si>
  <si>
    <t>Pennington</t>
  </si>
  <si>
    <t>Antoinett</t>
  </si>
  <si>
    <t>Sobieski</t>
  </si>
  <si>
    <t>Andrew Chapman</t>
  </si>
  <si>
    <t>Kenyon Lewin-Berlin</t>
  </si>
  <si>
    <t>Mary-Ellen Meltzer</t>
  </si>
  <si>
    <t>Diana Mercer</t>
  </si>
  <si>
    <t>Karina Jett</t>
  </si>
  <si>
    <t>Antoinett Pennington</t>
  </si>
  <si>
    <t>Mark Sobieski</t>
  </si>
  <si>
    <t>NLHE 6-Max Shootout</t>
  </si>
  <si>
    <t>John Campbell</t>
  </si>
  <si>
    <t>26 Mixed Game</t>
  </si>
  <si>
    <t>Quan</t>
  </si>
  <si>
    <t>Chris Quan</t>
  </si>
  <si>
    <t>Rodman</t>
  </si>
  <si>
    <t>Blair</t>
  </si>
  <si>
    <t>Blair Rodman</t>
  </si>
  <si>
    <t>Low Ball/2-7 TD</t>
  </si>
  <si>
    <t>Triple Super Stud</t>
  </si>
  <si>
    <t>Hennemuth</t>
  </si>
  <si>
    <t>Randal</t>
  </si>
  <si>
    <t>Randal Hennemuth</t>
  </si>
  <si>
    <t>Justin</t>
  </si>
  <si>
    <t>Justin Hammer</t>
  </si>
  <si>
    <t>CP PL WTB</t>
  </si>
  <si>
    <t>Wiedman</t>
  </si>
  <si>
    <t>Ira Wiedman</t>
  </si>
  <si>
    <t>Zangaro</t>
  </si>
  <si>
    <t>Barbara Zangaro</t>
  </si>
  <si>
    <t>Susan Abraham</t>
  </si>
  <si>
    <t>Carol Anderson</t>
  </si>
  <si>
    <t>Davidson</t>
  </si>
  <si>
    <t>Martin Davidson</t>
  </si>
  <si>
    <t>NL Ante Only</t>
  </si>
  <si>
    <t>Jared</t>
  </si>
  <si>
    <t>Jared Anderson</t>
  </si>
  <si>
    <t>Mulcahy</t>
  </si>
  <si>
    <t>Higgs-Iwamoto</t>
  </si>
  <si>
    <t>Higgs</t>
  </si>
  <si>
    <t>Nathaniel</t>
  </si>
  <si>
    <t>Triple Stud</t>
  </si>
  <si>
    <t>Mary Mulcahy</t>
  </si>
  <si>
    <t>Nathaniel Higgs</t>
  </si>
  <si>
    <t>Pot Limit Binglaha</t>
  </si>
  <si>
    <t>NLHE 14th</t>
  </si>
  <si>
    <t>NLHE 15th</t>
  </si>
  <si>
    <t>NLHE 16th</t>
  </si>
  <si>
    <t>Razz/Lowball 5th</t>
  </si>
  <si>
    <t>Reber</t>
  </si>
  <si>
    <t>Tad</t>
  </si>
  <si>
    <t>Hennenuth</t>
  </si>
  <si>
    <t>Randall</t>
  </si>
  <si>
    <t>Sean McGuiness</t>
  </si>
  <si>
    <t>Dave McVay</t>
  </si>
  <si>
    <t>Randall Hennenuth</t>
  </si>
  <si>
    <t>Gabe DeVitto</t>
  </si>
  <si>
    <t>Patrick Milligan</t>
  </si>
  <si>
    <t>Ray DiDonato</t>
  </si>
  <si>
    <t>Travis williams</t>
  </si>
  <si>
    <t>Kevan Garrett</t>
  </si>
  <si>
    <t>ATLARGE NLHE 15th</t>
  </si>
  <si>
    <t>ATLARGE NLHE 14th</t>
  </si>
  <si>
    <t>ATLARGE NLHE 16th</t>
  </si>
  <si>
    <t>Richard Bremer</t>
  </si>
  <si>
    <t>Tad Perry</t>
  </si>
  <si>
    <t>Arthur Reber</t>
  </si>
  <si>
    <t>ATLARGE Razz/Lowball 5th</t>
  </si>
  <si>
    <t>Paul Swiencicki</t>
  </si>
  <si>
    <t>8-Game</t>
  </si>
  <si>
    <t>Pot Limit Courchevel</t>
  </si>
  <si>
    <t>NLHE Escalator</t>
  </si>
  <si>
    <t>HALT Win the Button</t>
  </si>
  <si>
    <t>NL Survivor</t>
  </si>
  <si>
    <t>27-Game Mix</t>
  </si>
  <si>
    <t>LHE Roll Your Own River</t>
  </si>
  <si>
    <t>Dealer Choice</t>
  </si>
  <si>
    <t>2-Way Chowaha</t>
  </si>
  <si>
    <t>Silk</t>
  </si>
  <si>
    <t>Shari</t>
  </si>
  <si>
    <t>Capps</t>
  </si>
  <si>
    <t>Jesse</t>
  </si>
  <si>
    <t>Haman</t>
  </si>
  <si>
    <t>Beauregard</t>
  </si>
  <si>
    <t>Manitzas</t>
  </si>
  <si>
    <t>Gregorich</t>
  </si>
  <si>
    <t>Mark Gregorich</t>
  </si>
  <si>
    <t>Jesse Capps</t>
  </si>
  <si>
    <t>Ronquillo</t>
  </si>
  <si>
    <t>Voltaire</t>
  </si>
  <si>
    <t>Voltaire Ronquillo</t>
  </si>
  <si>
    <t>Michael Chow</t>
  </si>
  <si>
    <t>Mark Todd</t>
  </si>
  <si>
    <t>Mark Manitzas</t>
  </si>
  <si>
    <t>Shari Silk</t>
  </si>
  <si>
    <t>Ryan Beauregard</t>
  </si>
  <si>
    <t>Adam Haman</t>
  </si>
  <si>
    <t>Eileen Milligan</t>
  </si>
  <si>
    <t>Lynsy</t>
  </si>
  <si>
    <t>Lynsy Higgs-Iwamoto</t>
  </si>
  <si>
    <t>Nathan Lloyd</t>
  </si>
  <si>
    <t>Winchester</t>
  </si>
  <si>
    <t>Winchester Brown</t>
  </si>
  <si>
    <t>Bergman</t>
  </si>
  <si>
    <t>Robert Bergman</t>
  </si>
  <si>
    <t>HORSEdugi</t>
  </si>
  <si>
    <t>Vanderhooft</t>
  </si>
  <si>
    <t>David Vanderhooft</t>
  </si>
  <si>
    <t>NL 6+</t>
  </si>
  <si>
    <t>Jodi Shapiro</t>
  </si>
  <si>
    <t>Beck</t>
  </si>
  <si>
    <t>Kent Beck</t>
  </si>
  <si>
    <t>PLVBO8</t>
  </si>
  <si>
    <t>Robertson</t>
  </si>
  <si>
    <t>Nancy Robertson</t>
  </si>
  <si>
    <t>NL BB+A</t>
  </si>
  <si>
    <t>Chang</t>
  </si>
  <si>
    <t>Kathy Chang</t>
  </si>
  <si>
    <t>HASTE</t>
  </si>
  <si>
    <t>Stephen Kracinovich</t>
  </si>
  <si>
    <t>Myers</t>
  </si>
  <si>
    <t>John Myers</t>
  </si>
  <si>
    <t>PLBO8</t>
  </si>
  <si>
    <t>Diaz</t>
  </si>
  <si>
    <t>Russell Diaz</t>
  </si>
  <si>
    <t>ARGEM</t>
  </si>
  <si>
    <t>Mather</t>
  </si>
  <si>
    <t>Mike Mather</t>
  </si>
  <si>
    <t>Aguirre</t>
  </si>
  <si>
    <t>John Aguirre</t>
  </si>
  <si>
    <t>Reeve</t>
  </si>
  <si>
    <t>Brian Reeve</t>
  </si>
  <si>
    <t>BigO PLO/PLO8</t>
  </si>
  <si>
    <t>McGlynn</t>
  </si>
  <si>
    <t>Dennis McGlynn</t>
  </si>
  <si>
    <t>Thai</t>
  </si>
  <si>
    <t>Thanh</t>
  </si>
  <si>
    <t>Thanh Thai</t>
  </si>
  <si>
    <t>NLHE-RB</t>
  </si>
  <si>
    <t>Teng</t>
  </si>
  <si>
    <t>Jensen</t>
  </si>
  <si>
    <t>Jensen Teng</t>
  </si>
  <si>
    <t>6H-DC</t>
  </si>
  <si>
    <t>Sarett</t>
  </si>
  <si>
    <t>Gail</t>
  </si>
  <si>
    <t>Gail Sarett</t>
  </si>
  <si>
    <t>PL-MS</t>
  </si>
  <si>
    <t>Haroldson</t>
  </si>
  <si>
    <t>Mark Haroldson</t>
  </si>
  <si>
    <t>Ogden</t>
  </si>
  <si>
    <t>Jaydon</t>
  </si>
  <si>
    <t>HORSEB</t>
  </si>
  <si>
    <t>Sheri Brabec</t>
  </si>
  <si>
    <t>Lewis-Berlin</t>
  </si>
  <si>
    <t>Steve Lewis-Berlin</t>
  </si>
  <si>
    <t>Esparo</t>
  </si>
  <si>
    <t>Vito</t>
  </si>
  <si>
    <t>Vito Esparo</t>
  </si>
  <si>
    <t>Painter</t>
  </si>
  <si>
    <t>Bogan</t>
  </si>
  <si>
    <t>Bogan Painter</t>
  </si>
  <si>
    <t>Midnight Madness</t>
  </si>
  <si>
    <t>Stud7/Sud8</t>
  </si>
  <si>
    <t>Spenser</t>
  </si>
  <si>
    <t>Spenser Sun</t>
  </si>
  <si>
    <t>2-7 Triple draw</t>
  </si>
  <si>
    <t>Hoai</t>
  </si>
  <si>
    <t>Han</t>
  </si>
  <si>
    <t>NL Bounty Only</t>
  </si>
  <si>
    <t>Axel</t>
  </si>
  <si>
    <t>David Chan</t>
  </si>
  <si>
    <t>Klemm</t>
  </si>
  <si>
    <t>Richard Klemm</t>
  </si>
  <si>
    <t>Bento</t>
  </si>
  <si>
    <t>Jeff Bento</t>
  </si>
  <si>
    <t>Berman</t>
  </si>
  <si>
    <t>Joe Berman</t>
  </si>
  <si>
    <t>Short Deck NL</t>
  </si>
  <si>
    <t>Birchem</t>
  </si>
  <si>
    <t>Sam Birchem</t>
  </si>
  <si>
    <t>Stern</t>
  </si>
  <si>
    <t>Allen Stern</t>
  </si>
  <si>
    <t>Raszewski</t>
  </si>
  <si>
    <t>Dave Raszewski</t>
  </si>
  <si>
    <t>PL BigO/8</t>
  </si>
  <si>
    <t>Perlmutter</t>
  </si>
  <si>
    <t>Michael Perlmutter</t>
  </si>
  <si>
    <t>Soussn</t>
  </si>
  <si>
    <t>David Soussn</t>
  </si>
  <si>
    <t>Ludlow</t>
  </si>
  <si>
    <t>Ben Ludlow</t>
  </si>
  <si>
    <t>Schneller</t>
  </si>
  <si>
    <t>Eric Schneller</t>
  </si>
  <si>
    <t>Dealers Choice</t>
  </si>
  <si>
    <t>TESLA</t>
  </si>
  <si>
    <t>Pot Limit HORSE</t>
  </si>
  <si>
    <t>Oklahoma</t>
  </si>
  <si>
    <t>Korean</t>
  </si>
  <si>
    <t>Parks</t>
  </si>
  <si>
    <t>Corky</t>
  </si>
  <si>
    <t>Corky Parks</t>
  </si>
  <si>
    <t>Lynsy Iwamoto</t>
  </si>
  <si>
    <t>Win the Button</t>
  </si>
  <si>
    <t>NLNE</t>
  </si>
  <si>
    <t>Roy</t>
  </si>
  <si>
    <t>Roy Cooke</t>
  </si>
  <si>
    <t>(blank)</t>
  </si>
  <si>
    <t>Han Hoai</t>
  </si>
  <si>
    <t>Dennis Axel</t>
  </si>
  <si>
    <t>Randy Hudson</t>
  </si>
  <si>
    <t>Count of Place</t>
  </si>
  <si>
    <t>McCallum</t>
  </si>
  <si>
    <t>Duncan</t>
  </si>
  <si>
    <t>Duncan McCallum</t>
  </si>
  <si>
    <t>Pot Limit, Short Deck, Jam or Fold</t>
  </si>
  <si>
    <t>Bex</t>
  </si>
  <si>
    <t>Bex Kerl</t>
  </si>
  <si>
    <t>Hiltz</t>
  </si>
  <si>
    <t>Lori Hiltz</t>
  </si>
  <si>
    <t>Melissa Robertson</t>
  </si>
  <si>
    <t>6-Handed  NL</t>
  </si>
  <si>
    <t>Irish</t>
  </si>
  <si>
    <t>Limit 6 Game</t>
  </si>
  <si>
    <t>6 Handed NLHE</t>
  </si>
  <si>
    <t>Scott Lewis</t>
  </si>
  <si>
    <t>MB2</t>
  </si>
  <si>
    <t>Lennie Augustine</t>
  </si>
  <si>
    <t>Peck-Devenport</t>
  </si>
  <si>
    <t>Tanya Peck-Devenport</t>
  </si>
  <si>
    <t>Brennan </t>
  </si>
  <si>
    <t>Michael Brennan </t>
  </si>
  <si>
    <t>Triple Action Stud</t>
  </si>
  <si>
    <t>Mixed Omaha/8</t>
  </si>
  <si>
    <t>Tim McGarvey</t>
  </si>
  <si>
    <t>Ted</t>
  </si>
  <si>
    <t>Ted Hennessey</t>
  </si>
  <si>
    <t>HOSER</t>
  </si>
  <si>
    <t>Limit Holdem Shoot-Out</t>
  </si>
  <si>
    <t>Mixed Single Draw</t>
  </si>
  <si>
    <t>NLHE Musical Chairs</t>
  </si>
  <si>
    <t>MASK</t>
  </si>
  <si>
    <t>Bomb Pot, NL</t>
  </si>
  <si>
    <t>Paradise Road Pick'em</t>
  </si>
  <si>
    <t>California Low Ball NL</t>
  </si>
  <si>
    <t>Binglaha PL 6-H</t>
  </si>
  <si>
    <t>Dramaha 49</t>
  </si>
  <si>
    <t>6-Game Limit</t>
  </si>
  <si>
    <t>SOHE</t>
  </si>
  <si>
    <t>BIGOE</t>
  </si>
  <si>
    <t>Redman</t>
  </si>
  <si>
    <t>Travis Redman</t>
  </si>
  <si>
    <t>Vehlow</t>
  </si>
  <si>
    <t>Rich Vehlow</t>
  </si>
  <si>
    <t>Guy Berentsen</t>
  </si>
  <si>
    <t>O’Connor</t>
  </si>
  <si>
    <t>Chris O’Connor</t>
  </si>
  <si>
    <t>Roberts</t>
  </si>
  <si>
    <t>Jeff Roberts</t>
  </si>
  <si>
    <t>Hayes</t>
  </si>
  <si>
    <t>Billy Hayes</t>
  </si>
  <si>
    <t>Canalichio</t>
  </si>
  <si>
    <t>Scott Canalichio</t>
  </si>
  <si>
    <t>Linda Johnson</t>
  </si>
  <si>
    <t>Holly</t>
  </si>
  <si>
    <t>Holly Jones</t>
  </si>
  <si>
    <t>Cole</t>
  </si>
  <si>
    <t>Cole Stewart</t>
  </si>
  <si>
    <t>Ben Imsdahl</t>
  </si>
  <si>
    <t>Primiano</t>
  </si>
  <si>
    <t>Pete Primiano</t>
  </si>
  <si>
    <t>Puskarich</t>
  </si>
  <si>
    <t>Mike Puskarich</t>
  </si>
  <si>
    <t>Studley</t>
  </si>
  <si>
    <t>Andrew Studley</t>
  </si>
  <si>
    <t>Ruthie</t>
  </si>
  <si>
    <t>Ruthie Primiano</t>
  </si>
  <si>
    <t>Wonky-Donkey</t>
  </si>
  <si>
    <t>PLO/PLO8</t>
  </si>
  <si>
    <t>RESORTS</t>
  </si>
  <si>
    <t>Musical Chairs Mix Max NL</t>
  </si>
  <si>
    <t>Triple Triple Draw</t>
  </si>
  <si>
    <t>Mystery Bounty NL</t>
  </si>
  <si>
    <t>Pot Limit Oklahoma</t>
  </si>
  <si>
    <t>HR Derby</t>
  </si>
  <si>
    <t>DJ</t>
  </si>
  <si>
    <t>DJ Coates</t>
  </si>
  <si>
    <t>Jaoude</t>
  </si>
  <si>
    <t>Roy Jaoude</t>
  </si>
  <si>
    <t>Santagata</t>
  </si>
  <si>
    <t>Joe Santagata</t>
  </si>
  <si>
    <t>Terreri</t>
  </si>
  <si>
    <t>Dominic Terreri</t>
  </si>
  <si>
    <t>Daniel Fox</t>
  </si>
  <si>
    <t>Kojak</t>
  </si>
  <si>
    <t>Chris Kojak</t>
  </si>
  <si>
    <t>Robert Altner</t>
  </si>
  <si>
    <t>Portnoy</t>
  </si>
  <si>
    <t>Matthew Portnoy</t>
  </si>
  <si>
    <t>Holliday</t>
  </si>
  <si>
    <t>Edwards</t>
  </si>
  <si>
    <t>Edwards Holliday</t>
  </si>
  <si>
    <t>Chung</t>
  </si>
  <si>
    <t>Sam Chung</t>
  </si>
  <si>
    <t>Cunningham</t>
  </si>
  <si>
    <t>Cory</t>
  </si>
  <si>
    <t>Cory Cunningham</t>
  </si>
  <si>
    <t>Oliver Allen</t>
  </si>
  <si>
    <t>5 Card Draw Quick Quads</t>
  </si>
  <si>
    <t>OE</t>
  </si>
  <si>
    <t>CART before HORSE</t>
  </si>
  <si>
    <t>PLO x or Better</t>
  </si>
  <si>
    <t>NLHE Win The Button</t>
  </si>
  <si>
    <t>BOE 6-Handed</t>
  </si>
  <si>
    <t>Pot Limit BigO8</t>
  </si>
  <si>
    <t>NL CrapShoot</t>
  </si>
  <si>
    <t>Limint 6-Game</t>
  </si>
  <si>
    <t>NL GTD Bounty</t>
  </si>
  <si>
    <t>NL 3 Hands</t>
  </si>
  <si>
    <t>KoMex</t>
  </si>
  <si>
    <t>ToC 2</t>
  </si>
  <si>
    <t>Sipelstein</t>
  </si>
  <si>
    <t>Jay Sipelstein</t>
  </si>
  <si>
    <t>James Ernest</t>
  </si>
  <si>
    <t>Sprung</t>
  </si>
  <si>
    <t>Danny Sprung</t>
  </si>
  <si>
    <t>Im</t>
  </si>
  <si>
    <t>Jiyoung</t>
  </si>
  <si>
    <t>Jiyoung Im</t>
  </si>
  <si>
    <t>Dilworth</t>
  </si>
  <si>
    <t>BG</t>
  </si>
  <si>
    <t>BG Dilworth</t>
  </si>
  <si>
    <t>Marler</t>
  </si>
  <si>
    <t>Jason Marler</t>
  </si>
  <si>
    <t>Nieman</t>
  </si>
  <si>
    <t>Seth Nieman</t>
  </si>
  <si>
    <t>Tung</t>
  </si>
  <si>
    <t>Steve Tung</t>
  </si>
  <si>
    <t>Hatakeyama</t>
  </si>
  <si>
    <t>Shinichiro</t>
  </si>
  <si>
    <t>Shinichiro Hatakeyama</t>
  </si>
  <si>
    <t>Tysor</t>
  </si>
  <si>
    <t>Stephen Tysor</t>
  </si>
  <si>
    <t>Stillman</t>
  </si>
  <si>
    <t>Charles Stillman</t>
  </si>
  <si>
    <t>Skywalker</t>
  </si>
  <si>
    <t>Laurie</t>
  </si>
  <si>
    <t>Laurie Skywalker</t>
  </si>
  <si>
    <t>Reid</t>
  </si>
  <si>
    <t>Terrance</t>
  </si>
  <si>
    <t>Terrance Reid</t>
  </si>
  <si>
    <t>Jaglarski</t>
  </si>
  <si>
    <t>Richard Jaglarski</t>
  </si>
  <si>
    <t>Terry Jaglarski</t>
  </si>
  <si>
    <t>Maschmann</t>
  </si>
  <si>
    <t>Christin</t>
  </si>
  <si>
    <t>Christin Maschmann</t>
  </si>
  <si>
    <t>Regashus</t>
  </si>
  <si>
    <t>Jon Regashus</t>
  </si>
  <si>
    <t>Sam Scheinberg</t>
  </si>
  <si>
    <t>Fisher</t>
  </si>
  <si>
    <t>Jan Fisher</t>
  </si>
  <si>
    <t>Kania</t>
  </si>
  <si>
    <t>Kelly Kania</t>
  </si>
  <si>
    <t>Stimson</t>
  </si>
  <si>
    <t>Sheila</t>
  </si>
  <si>
    <t>Sheila Stimson</t>
  </si>
  <si>
    <t>Sum of Money</t>
  </si>
  <si>
    <t>Annual All ARGE BAAP Winners</t>
  </si>
  <si>
    <t>Number of Cashes</t>
  </si>
  <si>
    <t>PeterBARGE23</t>
  </si>
  <si>
    <t>6-Handed ToC</t>
  </si>
  <si>
    <t>World Championship Chowaha</t>
  </si>
  <si>
    <t>Double Board PLO</t>
  </si>
  <si>
    <t>DGCB NLHE</t>
  </si>
  <si>
    <t>B.O.S.S.</t>
  </si>
  <si>
    <t>DBPLO</t>
  </si>
  <si>
    <t>Pot Limit BigO</t>
  </si>
  <si>
    <t>Whiteley</t>
  </si>
  <si>
    <t>Connor</t>
  </si>
  <si>
    <t>Jeong</t>
  </si>
  <si>
    <t>Un</t>
  </si>
  <si>
    <t>Kimble</t>
  </si>
  <si>
    <t>Sachsen</t>
  </si>
  <si>
    <t>Olav</t>
  </si>
  <si>
    <t>Amasaki</t>
  </si>
  <si>
    <t>Stricker</t>
  </si>
  <si>
    <t>Andrews</t>
  </si>
  <si>
    <t>Sheriff</t>
  </si>
  <si>
    <t>Stack</t>
  </si>
  <si>
    <t>Andy Latto</t>
  </si>
  <si>
    <t>Connor Whiteley</t>
  </si>
  <si>
    <t>Gerald Jeong</t>
  </si>
  <si>
    <t>Kevin Un</t>
  </si>
  <si>
    <t>Helen Kimble</t>
  </si>
  <si>
    <t>Olav Sachsen</t>
  </si>
  <si>
    <t>Donald Adams</t>
  </si>
  <si>
    <t>Jeff Amasaki</t>
  </si>
  <si>
    <t>George Stricker</t>
  </si>
  <si>
    <t>James Rogers</t>
  </si>
  <si>
    <t>Kyle Andrews</t>
  </si>
  <si>
    <t>Jeff Davis</t>
  </si>
  <si>
    <t>Charles Stack</t>
  </si>
  <si>
    <t>Jaydon Ogden</t>
  </si>
  <si>
    <t>David Sheriff</t>
  </si>
  <si>
    <t>Number of Finishes</t>
  </si>
  <si>
    <t>NL/PLO/2BP</t>
  </si>
  <si>
    <t>DramaDigi</t>
  </si>
  <si>
    <t>NL Fun Book</t>
  </si>
  <si>
    <t>Buijs</t>
  </si>
  <si>
    <t>Cornelius</t>
  </si>
  <si>
    <t>Cornelius Buijs</t>
  </si>
  <si>
    <t>Fried</t>
  </si>
  <si>
    <t>Ellen Fried</t>
  </si>
  <si>
    <t>Triple Stud Shootout</t>
  </si>
  <si>
    <t>Dave Spencer</t>
  </si>
  <si>
    <t>PLO5</t>
  </si>
  <si>
    <t>Rick Mombourquette</t>
  </si>
  <si>
    <t>Troy Lee</t>
  </si>
  <si>
    <t>No Limit Hold'em</t>
  </si>
  <si>
    <t>H.O.T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</si>
</sst>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#,##0.0"/>
  </numFmts>
  <fonts count="7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33">
    <xf numFmtId="0" fontId="0" fillId="0" borderId="0" xfId="0"/>
    <xf numFmtId="164" fontId="0" fillId="0" borderId="0" xfId="1" applyNumberFormat="1" applyFont="1" applyAlignment="1">
      <alignment horizontal="left"/>
    </xf>
    <xf numFmtId="164" fontId="0" fillId="0" borderId="0" xfId="1" applyNumberFormat="1" applyFont="1"/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2" applyFont="1"/>
    <xf numFmtId="0" fontId="0" fillId="0" borderId="0" xfId="0" pivotButton="1"/>
    <xf numFmtId="0" fontId="2" fillId="3" borderId="0" xfId="0" applyFont="1" applyFill="1"/>
    <xf numFmtId="3" fontId="0" fillId="0" borderId="0" xfId="0" applyNumberFormat="1"/>
    <xf numFmtId="0" fontId="5" fillId="0" borderId="0" xfId="0" pivotButton="1" applyFont="1"/>
    <xf numFmtId="43" fontId="0" fillId="0" borderId="0" xfId="1" applyFont="1"/>
    <xf numFmtId="165" fontId="0" fillId="0" borderId="0" xfId="1" applyNumberFormat="1" applyFont="1"/>
    <xf numFmtId="3" fontId="0" fillId="0" borderId="1" xfId="0" applyNumberFormat="1" applyBorder="1"/>
    <xf numFmtId="165" fontId="3" fillId="0" borderId="0" xfId="1" applyNumberFormat="1" applyFont="1"/>
    <xf numFmtId="0" fontId="5" fillId="0" borderId="0" xfId="0" applyFont="1"/>
    <xf numFmtId="165" fontId="2" fillId="2" borderId="0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164" fontId="3" fillId="0" borderId="0" xfId="1" applyNumberFormat="1" applyFont="1"/>
    <xf numFmtId="164" fontId="4" fillId="0" borderId="0" xfId="1" applyNumberFormat="1" applyFont="1"/>
    <xf numFmtId="0" fontId="0" fillId="0" borderId="0" xfId="0" applyAlignment="1">
      <alignment horizontal="left"/>
    </xf>
    <xf numFmtId="3" fontId="0" fillId="4" borderId="0" xfId="0" applyNumberFormat="1" applyFill="1"/>
    <xf numFmtId="164" fontId="0" fillId="0" borderId="0" xfId="0" applyNumberFormat="1"/>
    <xf numFmtId="164" fontId="0" fillId="0" borderId="1" xfId="0" applyNumberFormat="1" applyBorder="1"/>
    <xf numFmtId="166" fontId="0" fillId="0" borderId="0" xfId="0" applyNumberFormat="1"/>
    <xf numFmtId="0" fontId="2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0" xfId="0" applyNumberFormat="1"/>
    <xf numFmtId="0" fontId="0" fillId="0" borderId="0" xfId="0" applyFill="1"/>
    <xf numFmtId="0" fontId="0" fillId="0" borderId="1" xfId="0" applyFill="1" applyBorder="1"/>
    <xf numFmtId="164" fontId="0" fillId="0" borderId="0" xfId="0" applyNumberFormat="1" applyBorder="1"/>
    <xf numFmtId="0" fontId="0" fillId="0" borderId="0" xfId="0" applyFill="1" applyBorder="1"/>
    <xf numFmtId="3" fontId="0" fillId="0" borderId="0" xfId="0" applyNumberFormat="1" applyBorder="1"/>
    <xf numFmtId="3" fontId="0" fillId="4" borderId="0" xfId="0" applyNumberFormat="1" applyFill="1" applyBorder="1"/>
  </cellXfs>
  <cellStyles count="3">
    <cellStyle name="Comma" xfId="1" builtinId="3"/>
    <cellStyle name="Normal" xfId="0" builtinId="0"/>
    <cellStyle name="Normal_NLHE2003BustOutList" xfId="2" xr:uid="{00000000-0005-0000-0000-000003000000}"/>
  </cellStyles>
  <dxfs count="127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solid"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</dxf>
    <dxf>
      <border>
        <horizontal/>
      </border>
    </dxf>
    <dxf>
      <border>
        <horizontal/>
      </border>
    </dxf>
    <dxf>
      <font>
        <color rgb="FFFF0000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font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border>
        <horizontal/>
      </border>
    </dxf>
    <dxf>
      <border>
        <horizontal/>
      </border>
    </dxf>
    <dxf>
      <fill>
        <patternFill patternType="none">
          <bgColor auto="1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en Daniel" refreshedDate="45574.969521296298" createdVersion="4" refreshedVersion="8" minRefreshableVersion="3" recordCount="3968" xr:uid="{00000000-000A-0000-FFFF-FFFF79000000}">
  <cacheSource type="worksheet">
    <worksheetSource name="_xlnm.Database"/>
  </cacheSource>
  <cacheFields count="10">
    <cacheField name="Year" numFmtId="0">
      <sharedItems containsString="0" containsBlank="1" containsNumber="1" containsInteger="1" minValue="2003" maxValue="2024" count="23"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m/>
      </sharedItems>
    </cacheField>
    <cacheField name="Event" numFmtId="0">
      <sharedItems containsBlank="1" count="11">
        <s v="ATLARGE"/>
        <s v="BARGE"/>
        <s v="ESCARGO"/>
        <s v="FARGO"/>
        <s v="MARGE"/>
        <s v="SARGE"/>
        <s v="EMBARGO"/>
        <s v="ARGEM"/>
        <s v="PeterBARGE23"/>
        <m/>
        <s v="ESCARGOT" u="1"/>
      </sharedItems>
    </cacheField>
    <cacheField name="Game" numFmtId="0">
      <sharedItems containsBlank="1" count="175">
        <s v="7 Stud"/>
        <s v="HOE"/>
        <s v="NLHE"/>
        <s v="HoP"/>
        <s v="LHE"/>
        <s v="ToC"/>
        <s v="NLHE SO-MP"/>
        <s v="PLHE-PLOH"/>
        <s v="MET"/>
        <s v="STUD HL"/>
        <s v="TCO"/>
        <s v="OMAHA HILO"/>
        <s v="Stud SO"/>
        <s v="Triple Draw"/>
        <s v="CHOWAHA"/>
        <s v="NLHESTM"/>
        <s v="PLHOH"/>
        <s v="PAIRS"/>
        <s v="OHL"/>
        <s v="7 Stud SO"/>
        <s v="Low Ball"/>
        <s v="Omaha Pot Limit"/>
        <s v="NLHESOMP"/>
        <s v="POE"/>
        <s v="Lazy Pinapple"/>
        <s v="NLHEFRB"/>
        <s v="PLOHL"/>
        <s v="Draw Lobah"/>
        <s v="Stud 7/8"/>
        <s v="NLHERB"/>
        <s v="PLOH"/>
        <s v="FIHUPT"/>
        <s v="HORSE"/>
        <s v="Omaha 8"/>
        <s v="Draw Low Ball"/>
        <s v="NL SO to HORSE"/>
        <s v="Lomaha"/>
        <s v="Stud8"/>
        <s v="Courchval"/>
        <s v="Stud Shoot-Out"/>
        <s v="H.O.R.S.E"/>
        <s v="Omaha/8 Mixed"/>
        <s v="6-Game"/>
        <s v="Badugi"/>
        <s v="LowBall"/>
        <s v="PLO8"/>
        <s v="PLO"/>
        <s v="Limit 6 Game "/>
        <s v="6 Handed No Limit Holdem"/>
        <s v="Dealer's Choice"/>
        <s v="World Chowaha Championship"/>
        <s v="PLO Shootout"/>
        <s v="Razz/Lowball"/>
        <s v="Limit 6-Game"/>
        <s v="Pot Limit Binglaha"/>
        <s v="PLO/8"/>
        <s v="HOSE/PLHE"/>
        <s v="Pot Limit Omaha"/>
        <s v="HUDENL"/>
        <s v="HOSE/PLO"/>
        <s v="6-Max"/>
        <s v="Limit HORSE"/>
        <s v="NLHE Bounty"/>
        <s v="Stud8/Stud7"/>
        <s v="25-Game Mixed"/>
        <s v="Dramaha"/>
        <s v="NLHE Jam or Fold"/>
        <s v="POFCP"/>
        <s v="Kanasa City LowBall"/>
        <s v="Limit EBOLA"/>
        <s v="NLHE Mix Max"/>
        <s v="Big O/Badugi "/>
        <s v="PLBO/SS8"/>
        <s v="26 Mixed Game"/>
        <s v="CP PL WTB"/>
        <s v="Low Ball/2-7 TD"/>
        <s v="NL"/>
        <s v="NL Ante Only"/>
        <s v="NLHE 6-Max Shootout"/>
        <s v="Triple Super Stud"/>
        <s v="Binglaha"/>
        <s v="Paradise Pick'em"/>
        <s v="Pot Limit H2O"/>
        <s v="HOSE"/>
        <s v="27-Game Mix"/>
        <s v="2-Way Chowaha"/>
        <s v="Dealer Choice"/>
        <s v="LHE Roll Your Own River"/>
        <s v="NL Survivor"/>
        <s v="8-Game"/>
        <s v="HALT Win the Button"/>
        <s v="NLHE Escalator"/>
        <s v="Pot Limit Courchevel"/>
        <s v="Triple Stud"/>
        <s v="BigO PLO/PLO8"/>
        <s v="PLBO8"/>
        <s v="6H-DC"/>
        <s v="HORSEB"/>
        <s v="NLHE-RB"/>
        <s v="PL-MS"/>
        <s v="HASTE"/>
        <s v="NL 6+"/>
        <s v="NL BB+A"/>
        <s v="PLVBO8"/>
        <s v="HORSEdugi"/>
        <s v="PL BigO/8"/>
        <s v="Short Deck NL"/>
        <s v="Dealers Choice"/>
        <s v="Korean"/>
        <s v="NLNE"/>
        <s v="Oklahoma"/>
        <s v="Pot Limit HORSE"/>
        <s v="TESLA"/>
        <s v="Win the Button"/>
        <s v="2-7 Triple draw"/>
        <s v="NL Bounty Only"/>
        <s v="Midnight Madness"/>
        <s v="Stud7/Sud8"/>
        <s v="6 Handed NLHE"/>
        <s v="Limit 6 Game"/>
        <s v="MB2"/>
        <s v="Mixed Omaha/8"/>
        <s v="Triple Action Stud"/>
        <s v="6-Handed  NL"/>
        <s v="Irish"/>
        <s v="Pot Limit, Short Deck, Jam or Fold"/>
        <s v="6-Game Limit"/>
        <s v="BIGOE"/>
        <s v="Binglaha PL 6-H"/>
        <s v="Bomb Pot, NL"/>
        <s v="California Low Ball NL"/>
        <s v="Dramaha 49"/>
        <s v="Paradise Road Pick'em"/>
        <s v="SOHE"/>
        <s v="Limit Holdem Shoot-Out"/>
        <s v="MASK"/>
        <s v="Mixed Single Draw"/>
        <s v="NLHE Musical Chairs"/>
        <s v="HOSER"/>
        <s v="5 Card Draw Quick Quads"/>
        <s v="HR Derby"/>
        <s v="Musical Chairs Mix Max NL"/>
        <s v="Mystery Bounty NL"/>
        <s v="Pot Limit Oklahoma"/>
        <s v="Triple Triple Draw"/>
        <s v="PLO/PLO8"/>
        <s v="RESORTS"/>
        <s v="Wonky-Donkey"/>
        <s v="Pot Limit BigO8"/>
        <s v="KoMex"/>
        <s v="Limint 6-Game"/>
        <s v="NL 3 Hands"/>
        <s v="NL CrapShoot"/>
        <s v="NL GTD Bounty"/>
        <s v="ToC 2"/>
        <s v="BOE 6-Handed"/>
        <s v="CART before HORSE"/>
        <s v="NLHE Win The Button"/>
        <s v="PLO x or Better"/>
        <s v="OE"/>
        <s v="Pot Limit BigO"/>
        <s v="DBPLO"/>
        <s v="6-Handed ToC"/>
        <s v="B.O.S.S."/>
        <s v="DGCB NLHE"/>
        <s v="Double Board PLO"/>
        <s v="World Championship Chowaha"/>
        <s v="NL/PLO/2BP"/>
        <s v="DramaDigi"/>
        <s v="NL Fun Book"/>
        <s v="Triple Stud Shootout"/>
        <s v="PLO5"/>
        <s v="No Limit Hold'em"/>
        <s v="H.O.T"/>
        <m/>
      </sharedItems>
    </cacheField>
    <cacheField name="Generic Game" numFmtId="0">
      <sharedItems containsBlank="1" count="15">
        <s v="7 Stud"/>
        <s v="Mixed"/>
        <s v="NL"/>
        <s v="LHE"/>
        <s v="PLO"/>
        <s v="Stud 8"/>
        <s v="O8"/>
        <s v="Other"/>
        <s v="Low Ball"/>
        <s v="Pinapple"/>
        <s v="Badugi"/>
        <s v="Dramaha"/>
        <s v="Triple Draw"/>
        <s v="ToC"/>
        <m/>
      </sharedItems>
    </cacheField>
    <cacheField name="Money" numFmtId="164">
      <sharedItems containsString="0" containsBlank="1" containsNumber="1" minValue="0" maxValue="6630"/>
    </cacheField>
    <cacheField name="Place" numFmtId="164">
      <sharedItems containsString="0" containsBlank="1" containsNumber="1" minValue="1" maxValue="90" count="1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4.5"/>
        <n v="10.5"/>
        <n v="14.5"/>
        <n v="20.5"/>
        <n v="52.5"/>
        <n v="1.5"/>
        <n v="15.583333333333334"/>
        <n v="6.5"/>
        <n v="5.5"/>
        <m/>
      </sharedItems>
    </cacheField>
    <cacheField name="Last" numFmtId="0">
      <sharedItems containsBlank="1" count="828">
        <s v="Ankenman"/>
        <s v="McMullin"/>
        <s v="Schwartz"/>
        <s v="Miller"/>
        <s v="Daniel"/>
        <s v="Sander"/>
        <s v="Nickerson"/>
        <s v="Raimondi"/>
        <s v="Kramer"/>
        <s v="Fox"/>
        <s v="Poppel"/>
        <s v="Kelley"/>
        <s v="Chen"/>
        <s v="Fruchter"/>
        <s v="Burns"/>
        <s v="Becker"/>
        <s v="Jacobs"/>
        <s v="Milligan"/>
        <s v="Chan"/>
        <s v="Hadley"/>
        <s v="Santella"/>
        <s v="Klein"/>
        <s v="Byron"/>
        <s v="Hwang"/>
        <s v="Tiger"/>
        <s v="Bonaguro"/>
        <s v="Calkins"/>
        <s v="Maurer"/>
        <s v="Segal"/>
        <s v="Schmidt"/>
        <s v="Treasure"/>
        <s v="Landrum"/>
        <s v="Kornspan"/>
        <s v="Suffecool"/>
        <s v="Richman"/>
        <s v="Zang"/>
        <s v="Fichtemaier"/>
        <s v="Edmonds"/>
        <s v="Woods"/>
        <s v="Snow"/>
        <s v="Lewis"/>
        <s v="DiDonato"/>
        <s v="Natkins"/>
        <s v="Matros"/>
        <s v="Lober"/>
        <s v="Goldman"/>
        <s v="Weber"/>
        <s v="Taylor"/>
        <s v="Mitz"/>
        <s v="Kuznick"/>
        <s v="Toft"/>
        <s v="Stuart"/>
        <s v="O’Connor"/>
        <s v="Marks"/>
        <s v="Firestone"/>
        <s v="Flynn"/>
        <s v="Portano"/>
        <s v="Edivan"/>
        <s v="Benton"/>
        <s v="Martin"/>
        <s v="Croson"/>
        <s v="Wilson"/>
        <s v="Adams"/>
        <s v="McCall"/>
        <s v="Gilman"/>
        <s v="Marciano"/>
        <s v="Schifter"/>
        <s v="Hackney"/>
        <s v="Carbonara"/>
        <s v="Pilser"/>
        <s v="Pizzarello"/>
        <s v="Bragg"/>
        <s v="Fontinelli"/>
        <s v="Debnam"/>
        <s v="Cohen"/>
        <s v="Klatzkin"/>
        <s v="Rosenblum"/>
        <s v="Kirisits"/>
        <s v="Kirwan"/>
        <s v="Vogel"/>
        <s v="Perry"/>
        <s v="Turcotte"/>
        <s v="Hemstock"/>
        <s v="Greenberg"/>
        <s v="Gerner"/>
        <s v="Friedman"/>
        <s v="Weinstock"/>
        <s v="Kubey"/>
        <s v="Caldes"/>
        <s v="Hummel"/>
        <s v="Loncarcic"/>
        <s v="McBride"/>
        <s v="Louie"/>
        <s v="Pierce"/>
        <s v="Lee"/>
        <s v="Rich"/>
        <s v="Kellers"/>
        <s v="Hunt"/>
        <s v="Person"/>
        <s v="Beadles"/>
        <s v="Davis"/>
        <s v="Corral"/>
        <s v="Goodwin"/>
        <s v="Kolstad"/>
        <s v="Marshall"/>
        <s v="Paley"/>
        <s v="Aronson"/>
        <s v="Waters"/>
        <s v="White"/>
        <s v="Baldwin"/>
        <s v="Bloch"/>
        <s v="Tanenbaum"/>
        <s v="McEvoy"/>
        <s v="Zarifes"/>
        <s v="Haynes"/>
        <s v="Smith"/>
        <s v="Groves"/>
        <s v="Huberman"/>
        <s v="Watanabe"/>
        <s v="McManus"/>
        <s v="Secor"/>
        <s v="Even"/>
        <s v="Nutt"/>
        <s v="Maher"/>
        <s v="Stephenson"/>
        <s v="Bevan"/>
        <s v="Minnis"/>
        <s v="Artigues"/>
        <s v="Patterson"/>
        <s v="Reeves"/>
        <s v="Furness"/>
        <s v="Osborne"/>
        <s v="Madrigal"/>
        <s v="Starks"/>
        <s v="Hee"/>
        <s v="Neeley"/>
        <s v="Krieger"/>
        <s v="Yin"/>
        <s v="Straghalis"/>
        <s v="Chamberlain"/>
        <s v="Bachrach"/>
        <s v="Massey"/>
        <s v="Humphrey"/>
        <s v="Turner"/>
        <s v="Nissman"/>
        <s v="Mikulen"/>
        <s v="Canning"/>
        <s v="Sikorski"/>
        <s v="Hallyburton"/>
        <s v="Charles"/>
        <s v="Woodbury"/>
        <s v="Bruegger"/>
        <s v="Brown"/>
        <s v="Eisenstein"/>
        <s v="Greenstein"/>
        <s v="Stratton"/>
        <s v="Franham"/>
        <s v="Mazziotta"/>
        <s v="Pap"/>
        <s v="Tolliver"/>
        <s v="Irons"/>
        <s v="Khirallah"/>
        <s v="Phillips"/>
        <s v="Raymer"/>
        <s v="Tahajian"/>
        <s v="Goodridge"/>
        <s v="O'Boyle"/>
        <s v="Simon"/>
        <s v="Stilling"/>
        <s v="Brestak"/>
        <s v="Chesser"/>
        <s v="Holtman"/>
        <s v="DeRose"/>
        <s v="Gonzalez"/>
        <s v="Blau"/>
        <s v="Jewett"/>
        <s v="Rogers"/>
        <s v="Shei"/>
        <s v="Oldenburg"/>
        <s v="Sordi"/>
        <s v="Tedesco"/>
        <s v="Meeks"/>
        <s v="Purcell"/>
        <s v="Francis"/>
        <s v="Paolella"/>
        <s v="Fradet"/>
        <s v="Cheng"/>
        <s v="Quinn"/>
        <s v="Foley"/>
        <s v="Jamison"/>
        <s v="Rosenberg"/>
        <s v="Newberry"/>
        <s v="Averill"/>
        <s v="Beardsley"/>
        <s v="Lauderdale"/>
        <s v="McIntosh"/>
        <s v="Ogus"/>
        <s v="Bullard"/>
        <s v="Hughes"/>
        <s v="Alonso"/>
        <s v="Barrett"/>
        <s v="Forsyth"/>
        <s v="Busch"/>
        <s v="Hankins"/>
        <s v="Skerston"/>
        <s v="Collack"/>
        <s v="Frederick"/>
        <s v="Springfield"/>
        <s v="Morales"/>
        <s v="Leatherwood   "/>
        <s v="Widdows"/>
        <s v="Werthwein"/>
        <s v="Bjordammen"/>
        <s v="Bayne"/>
        <s v="McKnight"/>
        <s v="Stine"/>
        <s v="Chosky"/>
        <s v="Tilley"/>
        <s v="Ballario"/>
        <s v="Hermes"/>
        <s v="Oberling"/>
        <s v="Lilie"/>
        <s v="Merritt"/>
        <s v="West"/>
        <s v="Harker"/>
        <s v="Scanlon"/>
        <s v="Porco"/>
        <s v="Brabec"/>
        <s v="Nussbaum"/>
        <s v="Goldstein"/>
        <s v="Howard"/>
        <s v="Judd"/>
        <s v="Sarhadian"/>
        <s v="Roemer"/>
        <s v="Siegal"/>
        <s v="Watson"/>
        <s v="Evans"/>
        <s v="Crocker"/>
        <s v="Zuzelo"/>
        <s v="Herlien"/>
        <s v="Bernstein"/>
        <s v="Massar"/>
        <s v="Orr"/>
        <s v="Day"/>
        <s v="Jerome"/>
        <s v="Condit"/>
        <s v="Prock"/>
        <s v="Grout"/>
        <s v="Petersen"/>
        <s v="Christenson"/>
        <s v="Goetz"/>
        <s v="Wurster"/>
        <s v="Hodosh"/>
        <s v="Zino"/>
        <s v="Valentino"/>
        <s v="Imsdahl"/>
        <s v="Overton"/>
        <s v="Zavison"/>
        <s v="Delaino   "/>
        <s v="Braud"/>
        <s v="Jeff"/>
        <s v="Mabile"/>
        <s v="Swalm"/>
        <s v="Kovach"/>
        <s v="Bowen"/>
        <s v="Harkness"/>
        <s v="Verzera"/>
        <s v="Lemons"/>
        <s v="Wright"/>
        <s v="Catlett"/>
        <s v="Ivester"/>
        <s v="Balter"/>
        <s v="Conlon"/>
        <s v="Shepard"/>
        <s v="Peou"/>
        <s v="Luzarraga"/>
        <s v="McGuiness"/>
        <s v="Haggard"/>
        <s v="Huard"/>
        <s v="Savitsky"/>
        <s v="Albis"/>
        <s v="Conrad"/>
        <s v="Meier"/>
        <s v="Constandino"/>
        <s v="Guild"/>
        <s v="DeBoo"/>
        <s v="Kelly"/>
        <s v="Kim"/>
        <s v="Chase"/>
        <s v="Barnes"/>
        <s v="Rieck"/>
        <s v="Pappas"/>
        <s v="Ziselman"/>
        <s v="Trombley"/>
        <s v="McVay"/>
        <s v="Gamble"/>
        <s v="Lieberman"/>
        <s v="Burrington"/>
        <s v="Leahy"/>
        <s v="Gresh"/>
        <s v="Lloyd"/>
        <s v="Juliano"/>
        <s v="Berentsen"/>
        <s v="Boston"/>
        <s v="Kursar"/>
        <s v="Dalla"/>
        <s v="Monbourquette"/>
        <s v="Schaeffer"/>
        <s v="Mlinarich"/>
        <s v="Matthews"/>
        <s v="Juang"/>
        <s v="Samarel"/>
        <s v="Russell"/>
        <s v="Bosserman"/>
        <s v="Oshiro"/>
        <s v="Gerard"/>
        <s v="Sam"/>
        <s v="Kodavanti"/>
        <s v="Sias"/>
        <s v="Donovan"/>
        <s v="Simpson"/>
        <s v="Hafey"/>
        <s v="Schenkel"/>
        <s v="Klatte"/>
        <s v="Shapiro"/>
        <s v="Sager"/>
        <s v="Carstens"/>
        <s v="Diamondhead"/>
        <s v="Mordock"/>
        <s v="Favret"/>
        <s v="Harman"/>
        <s v="Mathis"/>
        <s v="Neufeld"/>
        <s v="DeVitto"/>
        <s v="Coates"/>
        <s v="Sorenson"/>
        <s v="Melbourne"/>
        <s v="Hammond"/>
        <s v="Kinstler"/>
        <s v="Abell"/>
        <s v="Cosgrove"/>
        <s v="Hawrilenko"/>
        <s v="Zak"/>
        <s v="Collins"/>
        <s v="Landgraf"/>
        <s v="Lykins"/>
        <s v="Abraham"/>
        <s v="Barzamati"/>
        <s v="Fein"/>
        <s v="Gomes"/>
        <s v="Kuttig"/>
        <s v="Logan"/>
        <s v="Troell"/>
        <s v="Carlson"/>
        <s v="Coles"/>
        <s v="Bremer"/>
        <s v="Jones"/>
        <s v="Brodie"/>
        <s v="Heller"/>
        <s v="Hack"/>
        <s v="Repinski"/>
        <s v="Castagna"/>
        <s v="Forcash"/>
        <s v="Campion"/>
        <s v="Walker"/>
        <s v="Lumley"/>
        <s v="Sims"/>
        <s v="Bankston"/>
        <s v="Jaffray"/>
        <s v="Liebster"/>
        <s v="Gallamore"/>
        <s v="Pal"/>
        <s v="Buchholz"/>
        <s v="Lepinski"/>
        <s v="DiFante"/>
        <s v="Savarese"/>
        <s v="Morrissette"/>
        <s v="Lauria"/>
        <s v="Ciotti"/>
        <s v="Lyons"/>
        <s v="Adam"/>
        <s v="Baxter"/>
        <s v="Valledolmo"/>
        <s v="Terakawa"/>
        <s v="Centeno"/>
        <s v="Higgins"/>
        <s v="Heyneman"/>
        <s v="Menges"/>
        <s v="Curtis"/>
        <s v="Tran"/>
        <s v="Long"/>
        <s v="Pickels"/>
        <s v="Trinidad"/>
        <s v="Higgs-Iwamoto"/>
        <s v="Hunter"/>
        <s v="Moser"/>
        <s v="Lozano"/>
        <s v="Showalter"/>
        <s v="O'Grady"/>
        <s v="Grismore"/>
        <s v="Pisor"/>
        <s v="Brennan"/>
        <s v="Singer"/>
        <s v="Tarrant"/>
        <s v="Joo"/>
        <s v="Faeth"/>
        <s v="Spies"/>
        <s v="Hall"/>
        <s v="Starr"/>
        <s v="Sawyer"/>
        <s v="Valimahomed"/>
        <s v="Mastroianni"/>
        <s v="Hannah"/>
        <s v="Ginty"/>
        <s v="Connelly"/>
        <s v="Johnson"/>
        <s v="Hackett"/>
        <s v="Talvola"/>
        <s v="Quintiliani"/>
        <s v="Evangelista"/>
        <s v="Aprea"/>
        <s v="Bennett"/>
        <s v="Muldon"/>
        <s v="Fleming"/>
        <s v="Farver"/>
        <s v="Kaplan   "/>
        <s v="Bergmann"/>
        <s v="Larson"/>
        <s v="Richardson"/>
        <s v="Wisniewski"/>
        <s v="Drangula"/>
        <s v="Campbell"/>
        <s v="Farrar"/>
        <s v="Angello"/>
        <s v="Keeling"/>
        <s v="Connolly"/>
        <s v="Lipschutz"/>
        <s v="Peck-Devenport"/>
        <s v="Rosenblatt"/>
        <s v="Garman"/>
        <s v="Puleo"/>
        <s v="Altner"/>
        <s v="Skoulikas"/>
        <s v="Mecklin"/>
        <s v="Clayton"/>
        <s v="Anderson"/>
        <s v="Low"/>
        <s v="Jepsen"/>
        <s v="Kamsky"/>
        <s v="Chevrie"/>
        <s v="Rafn"/>
        <s v="Baker"/>
        <s v="Strauss"/>
        <s v="Lawful"/>
        <s v="Newitt"/>
        <s v="Green"/>
        <s v="Fujioka"/>
        <s v="McLaughlin"/>
        <s v="Sprankle"/>
        <s v="Mowrey"/>
        <s v="Kuntz"/>
        <s v="Gilutin"/>
        <s v="Grossberg"/>
        <s v="Schuck"/>
        <s v="Hammer"/>
        <s v="Kaloustian"/>
        <s v="Borzomati"/>
        <s v="Soussan"/>
        <s v="Kyburz"/>
        <s v="Lahoski"/>
        <s v="Usticke"/>
        <s v="Bright"/>
        <s v="Kluchman"/>
        <s v="Wasserman"/>
        <s v="Derkatch"/>
        <s v="Bounds"/>
        <s v="williams"/>
        <s v="McGraham"/>
        <s v="Matteo"/>
        <s v="Timm"/>
        <s v="Benditt"/>
        <s v="Holtzman"/>
        <s v="Bessoir"/>
        <s v="Richards"/>
        <s v="Deitch"/>
        <s v="David"/>
        <s v="Bartnyk"/>
        <s v="Reed"/>
        <s v="Slick"/>
        <s v="Kittock"/>
        <s v="Angotti"/>
        <s v="Brod"/>
        <s v="Stone"/>
        <s v="Tall"/>
        <s v="Means"/>
        <s v="Grapenthien"/>
        <s v="Monnin"/>
        <s v="Ramsay"/>
        <s v="Gibboney"/>
        <s v="Haddad Jr."/>
        <s v="Haddad Sr."/>
        <s v="Chakoian"/>
        <s v="Peck"/>
        <s v="Botwin"/>
        <s v="Thompson"/>
        <s v="Lobato"/>
        <s v="Henriques"/>
        <s v="Barylick"/>
        <s v="Robinson"/>
        <s v="Spears"/>
        <s v="Worm"/>
        <s v="Hennessey"/>
        <s v="Morris"/>
        <s v="Greco"/>
        <s v="Umansky"/>
        <s v="Lorusso"/>
        <s v="Kracinovich"/>
        <s v="Kline"/>
        <s v="Troll"/>
        <s v="Winter"/>
        <s v="Lion"/>
        <s v="Foust"/>
        <s v="Horn"/>
        <s v="Anderson-Goldman"/>
        <s v="Devenport"/>
        <s v="Vining"/>
        <s v="Keenan"/>
        <s v="Koepke"/>
        <s v="Daiell"/>
        <s v="Scavetta"/>
        <s v="Cegielski"/>
        <s v="Alaura"/>
        <s v="Jackson"/>
        <s v="Seltzer"/>
        <s v="Trubow"/>
        <s v="Pilchman"/>
        <s v="Lopez"/>
        <s v="Lenox"/>
        <s v="Springman"/>
        <s v="Sun"/>
        <s v="Goltz"/>
        <s v="Boyett"/>
        <s v="Sherman"/>
        <s v="Scheinberg"/>
        <s v="Lewin-Berlin"/>
        <s v="Pisciotta"/>
        <s v="Bierman"/>
        <s v="D'Anna"/>
        <s v="Buono"/>
        <s v="Segovia"/>
        <s v="Behrens"/>
        <s v="Maren"/>
        <s v="Sysko"/>
        <s v="Gendron"/>
        <s v="Hexter"/>
        <s v="Cusson"/>
        <s v="Kent"/>
        <s v="Armistead"/>
        <s v="Josephson"/>
        <s v="Porter"/>
        <s v="Selzer"/>
        <s v="Dunne"/>
        <s v="NLHE 14th"/>
        <s v="NLHE 15th"/>
        <s v="NLHE 16th"/>
        <s v="Razz/Lowball 5th"/>
        <s v="Yannuzzi"/>
        <s v="Ohu"/>
        <s v="Wileczek"/>
        <s v="Wattman"/>
        <s v="Reber"/>
        <s v="Hennenuth"/>
        <s v="Garrett"/>
        <s v="Kerl"/>
        <s v="Swiencicki"/>
        <s v="Christensen"/>
        <s v="Knourek"/>
        <s v="Lanphier"/>
        <s v="Kallio"/>
        <s v="Hofer"/>
        <s v="Ilagan"/>
        <s v="Meltzer"/>
        <s v="Gassen"/>
        <s v="Gerson"/>
        <s v="Yannette"/>
        <s v="Stewart"/>
        <s v="Mecca"/>
        <s v="Korbin"/>
        <s v="Terauds"/>
        <s v="Bryson"/>
        <s v="Crane"/>
        <s v="Fischman"/>
        <s v="Veach"/>
        <s v="Gomez"/>
        <s v="Musco"/>
        <s v="Colfer"/>
        <s v="Desmond-Rowan"/>
        <s v="Rowan"/>
        <s v="Torrente"/>
        <s v="Levy"/>
        <s v="Fujita"/>
        <s v="Conner"/>
        <s v="Wyle"/>
        <s v="Gilbert"/>
        <s v="Wolfram"/>
        <s v="Rosenberger"/>
        <s v="Iwamoto"/>
        <s v="Wu"/>
        <s v="D'Amaro"/>
        <s v="Palmucci"/>
        <s v="Bartalone"/>
        <s v="Rokitka"/>
        <s v="Shahade"/>
        <s v="Caldwell"/>
        <s v="Blackstock"/>
        <s v="Freedman"/>
        <s v="Markowitz"/>
        <s v="Hess"/>
        <s v="Connors"/>
        <s v="Hayden"/>
        <s v="Morrow"/>
        <s v="Ruggieri"/>
        <s v="Parness"/>
        <s v="Zipple"/>
        <s v="Sobieski"/>
        <s v="Pennington"/>
        <s v="Quan"/>
        <s v="Rodman"/>
        <s v="Wiedman"/>
        <s v="Davidson"/>
        <s v="Hennemuth"/>
        <s v="Zangaro"/>
        <s v="Mercer"/>
        <s v="Jett"/>
        <s v="Chapman"/>
        <s v="Manitzas"/>
        <s v="Gregorich"/>
        <s v="Capps"/>
        <s v="Chow"/>
        <s v="Todd"/>
        <s v="Ronquillo"/>
        <s v="Silk"/>
        <s v="Beauregard"/>
        <s v="Haman"/>
        <s v="Mulcahy"/>
        <s v="Higgs"/>
        <s v="Aguirre"/>
        <s v="McGlynn"/>
        <s v="Thai"/>
        <s v="Mather"/>
        <s v="Reeve"/>
        <s v="Myers"/>
        <s v="Diaz"/>
        <s v="Sarett"/>
        <s v="Haroldson"/>
        <s v="Ogden"/>
        <s v="Beck"/>
        <s v="Teng"/>
        <s v="Robertson"/>
        <s v="Chang"/>
        <s v="Vanderhooft"/>
        <s v="Bergman"/>
        <s v="Bento"/>
        <s v="Berman"/>
        <s v="Perlmutter"/>
        <s v="Birchem"/>
        <s v="Stern"/>
        <s v="Raszewski"/>
        <s v="Klemm"/>
        <s v="Ludlow"/>
        <s v="Parks"/>
        <s v="Cooke"/>
        <s v="Soussn"/>
        <s v="Schneller"/>
        <s v="Hoai"/>
        <s v="Hudson"/>
        <s v="Axel"/>
        <s v="Esparo"/>
        <s v="Painter"/>
        <s v="Lewis-Berlin"/>
        <s v="Augustine"/>
        <s v="McGarvey"/>
        <s v="Brennan "/>
        <s v="Hiltz"/>
        <s v="McCallum"/>
        <s v="Hayes"/>
        <s v="Canalichio"/>
        <s v="Primiano"/>
        <s v="Puskarich"/>
        <s v="Studley"/>
        <s v="Roberts"/>
        <s v="Vehlow"/>
        <s v="Redman"/>
        <s v="Kojak"/>
        <s v="Portnoy"/>
        <s v="Holliday"/>
        <s v="Allen"/>
        <s v="Chung"/>
        <s v="Cunningham"/>
        <s v="Santagata"/>
        <s v="Terreri"/>
        <s v="Jaoude"/>
        <s v="Marler"/>
        <s v="Nieman"/>
        <s v="Tung"/>
        <s v="Dilworth"/>
        <s v="Reid"/>
        <s v="Stillman"/>
        <s v="Skywalker"/>
        <s v="Regashus"/>
        <s v="Hatakeyama"/>
        <s v="Tysor"/>
        <s v="Jaglarski"/>
        <s v="Maschmann"/>
        <s v="Stimson"/>
        <s v="Fisher"/>
        <s v="Kania"/>
        <s v="Sprung"/>
        <s v="Im"/>
        <s v="Ernest"/>
        <s v="Sipelstein"/>
        <s v="Sheriff"/>
        <s v="Stack"/>
        <s v="Andrews"/>
        <s v="Stricker"/>
        <s v="Amasaki"/>
        <s v="Sachsen"/>
        <s v="Kimble"/>
        <s v="Whiteley"/>
        <s v="Latto"/>
        <s v="Jeong"/>
        <s v="Un"/>
        <s v="Buijs"/>
        <s v="Fried"/>
        <s v="Spencer"/>
        <s v="Mombourquette"/>
        <m/>
        <s v="O'Connor" u="1"/>
        <s v="Hankns" u="1"/>
        <s v="Meredith" u="1"/>
        <s v="Dean" u="1"/>
        <s v="14th" u="1"/>
        <s v="Unknown" u="1"/>
        <s v="Peterson" u="1"/>
        <s v="Ryan" u="1"/>
        <s v="Haddad Sr" u="1"/>
        <s v="Straus" u="1"/>
        <s v="White       " u="1"/>
        <s v="Heldar" u="1"/>
        <s v="Hughes   " u="1"/>
        <s v="Carbonera" u="1"/>
        <s v="Khirallah L" u="1"/>
        <s v="ATLARGE" u="1"/>
        <s v="Herlein" u="1"/>
        <s v="Mahlig Higgs" u="1"/>
        <s v="Tom" u="1"/>
        <s v="Ramsey" u="1"/>
        <s v="Gonzales" u="1"/>
        <s v="Christiansen" u="1"/>
        <s v="Randy" u="1"/>
        <s v="Ivestor" u="1"/>
        <s v="Kramer." u="1"/>
        <s v="Watanabi" u="1"/>
        <s v="Adler" u="1"/>
        <s v="Warren" u="1"/>
        <s v="Delaino" u="1"/>
        <s v="Valentino   " u="1"/>
        <s v="Farver       " u="1"/>
        <s v="15th" u="1"/>
        <s v="Berenstein" u="1"/>
        <s v="Pickles" u="1"/>
        <s v="Ganble" u="1"/>
        <s v="McLoughlin" u="1"/>
        <s v="Baynes   " u="1"/>
        <s v="OConnor" u="1"/>
        <s v="Hummer" u="1"/>
        <s v="Ronquallo" u="1"/>
        <s v="Eric" u="1"/>
        <s v="Chris" u="1"/>
        <s v="Mastroiani" u="1"/>
        <s v="Brentsen" u="1"/>
        <s v="Leatherwood" u="1"/>
        <s v="Simon Scott" u="1"/>
        <s v="Hertlien" u="1"/>
        <s v="Claude" u="1"/>
        <s v="Benditt " u="1"/>
        <s v="Fontinell" u="1"/>
        <s v="Lancaric" u="1"/>
        <s v="Llew Lewis" u="1"/>
        <s v="16th" u="1"/>
        <s v="Mordock   " u="1"/>
        <s v="Mark" u="1"/>
        <s v="Barry" u="1"/>
        <s v="Tiger123" u="1"/>
        <s v="Hummell" u="1"/>
        <s v="Ike" u="1"/>
        <s v="Stephen" u="1"/>
        <s v="Larry" u="1"/>
        <s v="Momborquette" u="1"/>
        <s v="Patricia" u="1"/>
        <s v="5th" u="1"/>
        <s v="Lancaster" u="1"/>
        <s v="Kornspan " u="1"/>
        <s v="Tiger 123" u="1"/>
        <s v="Fitchemeier" u="1"/>
        <s v="George" u="1"/>
        <s v="Ed" u="1"/>
        <s v="Klein Mich" u="1"/>
        <s v="Linda" u="1"/>
        <s v="Pickels " u="1"/>
        <s v="Ross" u="1"/>
        <s v="Jr." u="1"/>
        <s v="Dave" u="1"/>
        <s v="Brabac" u="1"/>
        <s v="Sharpiro" u="1"/>
        <s v="Fleming   " u="1"/>
        <s v="Jepson" u="1"/>
        <s v="Ogus       " u="1"/>
        <s v="Pete" u="1"/>
        <s v="Forsythe" u="1"/>
        <s v="Jody" u="1"/>
        <s v="Cary" u="1"/>
        <s v="Gary" u="1"/>
        <s v="Loncaric" u="1"/>
        <s v="Bruce" u="1"/>
        <s v="Bill" u="1"/>
        <s v="Beven" u="1"/>
        <s v="Milligan  " u="1"/>
      </sharedItems>
    </cacheField>
    <cacheField name="First" numFmtId="0">
      <sharedItems containsBlank="1" count="457">
        <s v="Jerrod"/>
        <s v="Paul"/>
        <s v="Mordecai"/>
        <s v="Mike"/>
        <s v="Steve"/>
        <s v="Warren"/>
        <s v="Glenn"/>
        <s v="Chris"/>
        <s v="Mitch"/>
        <s v="Russell"/>
        <s v="Ross"/>
        <s v="Thomas"/>
        <s v="Bill"/>
        <s v="David"/>
        <s v="Jazbo"/>
        <s v="Rick"/>
        <s v="Robert A."/>
        <s v="Patrick"/>
        <s v="Terrence"/>
        <s v="Joan"/>
        <s v="Art"/>
        <s v="Michael"/>
        <s v="Scott"/>
        <s v="Robert"/>
        <s v="Alan"/>
        <s v="John"/>
        <s v="Jeff"/>
        <s v="Kevin"/>
        <s v="Pete"/>
        <s v="Bruce"/>
        <s v="Matt"/>
        <s v="Tracy"/>
        <s v="Sabyl"/>
        <s v="Barry"/>
        <s v="Andrew"/>
        <s v="Keith"/>
        <s v="Brad"/>
        <s v="Tom"/>
        <s v="Linda"/>
        <s v="Ray"/>
        <s v="Chic"/>
        <s v="Nels"/>
        <s v="Stevan"/>
        <s v="Al"/>
        <s v="Greg"/>
        <s v="Bo"/>
        <s v="Jessica"/>
        <s v="Cary"/>
        <s v="Desmond"/>
        <s v="Peter"/>
        <s v="Stephen"/>
        <s v="Lauri"/>
        <s v="Graham"/>
        <s v="Ron"/>
        <s v="Stefan"/>
        <s v="Norm"/>
        <s v="Mary"/>
        <s v="Len"/>
        <s v="Josh"/>
        <s v="Bert"/>
        <s v="Ira"/>
        <s v="Edward"/>
        <s v="Dennis"/>
        <s v="Jonathan"/>
        <s v="Adam"/>
        <s v="John Charles"/>
        <s v="Phil"/>
        <s v="Don"/>
        <s v="Donald"/>
        <s v="Jerry"/>
        <s v="Perry"/>
        <s v="Chuck"/>
        <s v="Ken"/>
        <s v="Dan"/>
        <s v="Shelly"/>
        <s v="Ming"/>
        <s v="Aaron"/>
        <s v="Connie"/>
        <s v="Walter"/>
        <s v="Patti"/>
        <s v="Tony"/>
        <s v="Mark"/>
        <s v="Dave"/>
        <s v="Caryl"/>
        <s v="Dean"/>
        <s v="Harry"/>
        <s v="Andy"/>
        <s v="Charles"/>
        <s v="Gavin"/>
        <s v="Gillian"/>
        <s v="Beth"/>
        <s v="Ronald"/>
        <s v="Bob"/>
        <s v="Kyle"/>
        <s v="Gary"/>
        <s v="Darryl"/>
        <s v="Shawna"/>
        <s v="Ellis"/>
        <s v="Nolan"/>
        <s v="Sharon"/>
        <s v="Lou"/>
        <s v="Te-Kan"/>
        <s v="Fern"/>
        <s v="Christopher"/>
        <s v="Tim"/>
        <s v="Frank"/>
        <s v="Gloria"/>
        <s v="Steven"/>
        <s v="Bennett"/>
        <s v="S"/>
        <s v="M"/>
        <s v="Edson"/>
        <s v="James"/>
        <s v="Larry"/>
        <s v="Margaret"/>
        <s v="Richard"/>
        <s v="Jason"/>
        <s v="Marty"/>
        <s v="Roger"/>
        <s v="Michelle"/>
        <s v="Eric"/>
        <s v="Tina"/>
        <s v="Seth"/>
        <s v="Jim"/>
        <s v="Nicholas"/>
        <s v="Kenny"/>
        <s v="Sally"/>
        <s v="Kathleen"/>
        <s v="George"/>
        <s v="Marc"/>
        <s v="Nicolas"/>
        <s v="Dylan"/>
        <s v="Grant"/>
        <s v="Shawn"/>
        <s v="Janie"/>
        <s v="Ed"/>
        <s v="Marion"/>
        <s v="Jack"/>
        <s v="Randy"/>
        <s v="Chet"/>
        <s v="Abe"/>
        <s v="Cindy"/>
        <s v="Terry"/>
        <s v="Vinnie"/>
        <s v="Rich"/>
        <s v="Peg"/>
        <s v="Marvin"/>
        <s v="Wes"/>
        <s v="Ralph"/>
        <s v="Brandon"/>
        <s v="Gregory"/>
        <s v="Alvin"/>
        <s v="Emilio"/>
        <s v="Brian"/>
        <s v="Sassoun"/>
        <s v="Lee"/>
        <s v="J P"/>
        <s v="Jan"/>
        <s v="Gerald"/>
        <s v="Nick"/>
        <s v="Corey"/>
        <s v="Shane"/>
        <s v="Gordy"/>
        <s v="Barbara"/>
        <s v="Rob"/>
        <s v="J."/>
        <s v="Rith"/>
        <s v="Victor"/>
        <s v="Sean"/>
        <s v="Crystal"/>
        <s v="Noelle"/>
        <s v="Stacy"/>
        <s v="Fred"/>
        <s v="William"/>
        <s v="Jay"/>
        <s v="Joshua"/>
        <s v="Billy"/>
        <s v="Alex"/>
        <s v="Ben"/>
        <s v="Jonathon"/>
        <s v="Lawrence"/>
        <s v="Trent"/>
        <s v="Bryan"/>
        <s v="Guy"/>
        <s v="Sarah"/>
        <s v="Matthew"/>
        <s v="Cliff"/>
        <s v="Brentt"/>
        <s v="Oliver"/>
        <s v="Kirk"/>
        <s v="Daniel"/>
        <s v="Alexander"/>
        <s v="Sesh"/>
        <s v="Regis"/>
        <s v="Leslie"/>
        <s v="Jeremy"/>
        <s v="Dieter"/>
        <s v="Craig"/>
        <s v="Neal"/>
        <s v="Charlie"/>
        <s v="Jodi"/>
        <s v="Gabe"/>
        <s v="Joe"/>
        <s v="Pat"/>
        <s v="Doug"/>
        <s v="Bobo"/>
        <s v="Murray"/>
        <s v="Claude"/>
        <s v="Eugene"/>
        <s v="Eileen"/>
        <s v="Edmund"/>
        <s v="Jennifer"/>
        <s v="Joo"/>
        <s v="Carl"/>
        <s v="Ashley"/>
        <s v="Derek"/>
        <s v="Gerard"/>
        <s v="Joyce"/>
        <s v="Ernest"/>
        <s v="Allnight"/>
        <s v="Jeffrey"/>
        <s v="Tatsuya"/>
        <s v="Ryan"/>
        <s v="Chieu"/>
        <s v="Bree"/>
        <s v="Lynsy"/>
        <s v="Hector"/>
        <s v="Brett"/>
        <s v="Karen"/>
        <s v="Salim"/>
        <s v="Luisa"/>
        <s v="Claudia"/>
        <s v="Robin"/>
        <s v="Marie"/>
        <s v="Debra"/>
        <s v="Geoffery"/>
        <s v="Kristopher"/>
        <s v="AJ"/>
        <s v="Joseph"/>
        <s v="Howard"/>
        <s v="Todd"/>
        <s v="Keenan"/>
        <s v="Martin"/>
        <s v="Tanya"/>
        <s v="Betty"/>
        <s v="Asya"/>
        <s v="Masanobu"/>
        <s v="Kelly"/>
        <s v="Brenda"/>
        <s v="Merlynn"/>
        <s v="Raffy"/>
        <s v="Rodney"/>
        <s v="Tristan"/>
        <s v="Aubrey"/>
        <s v="Alec"/>
        <s v="Stephanie"/>
        <s v="Lon"/>
        <s v="Travis"/>
        <s v="Dianne"/>
        <s v="Colleen"/>
        <s v="Sandra"/>
        <s v="Meredith"/>
        <s v="Jeanne"/>
        <s v="Bart"/>
        <s v="Deron"/>
        <s v="Serrina"/>
        <s v="Erin"/>
        <s v="Noah"/>
        <s v="Carlos"/>
        <s v="Anne"/>
        <s v="Geraldine"/>
        <s v="Kenneth"/>
        <s v="Donna"/>
        <s v="Carol"/>
        <s v="Jordan"/>
        <s v="Candy"/>
        <s v="Helen"/>
        <s v="Rocco"/>
        <s v="Erik"/>
        <s v="Katie"/>
        <s v="Darlene"/>
        <s v="Spenser"/>
        <s v="Arthur"/>
        <s v="Drew"/>
        <s v="Leonard"/>
        <s v="Jon"/>
        <s v="Judith"/>
        <s v="Chip"/>
        <s v="Leo"/>
        <s v="Tedford"/>
        <s v="Ike"/>
        <s v="Jody"/>
        <s v="ATLARGE"/>
        <s v="Patricia"/>
        <s v="Tad"/>
        <s v="Randall"/>
        <s v="Kevan"/>
        <s v="Bex"/>
        <s v="Monte"/>
        <s v="Troy"/>
        <s v="Joel"/>
        <s v="Clinton"/>
        <s v="Alpo"/>
        <s v="Danny"/>
        <s v="Cynthia"/>
        <s v="Marsha"/>
        <s v="Rod"/>
        <s v="Amanda"/>
        <s v="Dominic"/>
        <s v="Maggie"/>
        <s v="Christian"/>
        <s v="Salah"/>
        <s v="C"/>
        <s v="T"/>
        <s v="Betsy"/>
        <s v="Andreas"/>
        <s v="Polly"/>
        <s v="Lori"/>
        <s v="Wendy"/>
        <s v="Nathan"/>
        <s v="Melissa"/>
        <s v="Gus"/>
        <s v="Louise"/>
        <s v="Karl"/>
        <s v="Antoinett"/>
        <s v="Blair"/>
        <s v="Susan"/>
        <s v="Jared"/>
        <s v="Randal"/>
        <s v="Justin"/>
        <s v="Diana"/>
        <s v="Karina"/>
        <s v="Kenyon"/>
        <s v="Mary-Ellen"/>
        <s v="Jesse"/>
        <s v="Voltaire"/>
        <s v="Shari"/>
        <s v="Nathaniel"/>
        <s v="Thanh"/>
        <s v="Gail"/>
        <s v="Jaydon"/>
        <s v="Kent"/>
        <s v="Sheri"/>
        <s v="Jensen"/>
        <s v="Nancy"/>
        <s v="Kathy"/>
        <s v="Winchester"/>
        <s v="Sam"/>
        <s v="Allen"/>
        <s v="Corky"/>
        <s v="Roy"/>
        <s v="Han"/>
        <s v="Vito"/>
        <s v="Bogan"/>
        <s v="Ted"/>
        <s v="Lennie"/>
        <s v="Duncan"/>
        <s v="Holly"/>
        <s v="Cole"/>
        <s v="Ruthie"/>
        <s v="Edwards"/>
        <s v="Cory"/>
        <s v="DJ"/>
        <s v="BG"/>
        <s v="Terrance"/>
        <s v="Laurie"/>
        <s v="Shinichiro"/>
        <s v="Christin"/>
        <s v="Sheila"/>
        <s v="Jiyoung"/>
        <s v="Olav"/>
        <s v="Connor"/>
        <s v="Cornelius"/>
        <s v="Ellen"/>
        <m/>
        <s v="Gerry" u="1"/>
        <s v="" u="1"/>
        <s v="J.P." u="1"/>
        <s v="Wattman" u="1"/>
        <s v="Timothy" u="1"/>
        <s v="NLHE 14th" u="1"/>
        <s v="Christine" u="1"/>
        <s v="14th" u="1"/>
        <s v="Chen" u="1"/>
        <s v="NLHE 15th" u="1"/>
        <s v="Russ" u="1"/>
        <s v="Selzer" u="1"/>
        <s v="Holtzman" u="1"/>
        <s v="Janie Kate" u="1"/>
        <s v="Razz/Lowball 5th" u="1"/>
        <s v="16th" u="1"/>
        <s v="Mad Mary" u="1"/>
        <s v="Sandi" u="1"/>
        <s v="NLHE 16th" u="1"/>
        <s v="Collack" u="1"/>
        <s v="M. Lee" u="1"/>
        <s v="5th" u="1"/>
        <s v="Larson" u="1"/>
        <s v="Spencer" u="1"/>
        <s v="Sander" u="1"/>
        <s v="Linda M." u="1"/>
        <s v="Fruchter" u="1"/>
        <s v="Ohu" u="1"/>
        <s v="Clint" u="1"/>
        <s v="JK" u="1"/>
        <s v="Lynne" u="1"/>
        <s v="Cannie" u="1"/>
        <s v="Kornspan" u="1"/>
        <s v="O'connor" u="1"/>
        <s v="Thomas J" u="1"/>
        <s v="Yannuzzi" u="1"/>
        <s v="Mich" u="1"/>
        <s v="Raymond" u="1"/>
        <s v="David T." u="1"/>
        <s v="Baker" u="1"/>
        <s v="White" u="1"/>
        <s v="Ricky" u="1"/>
        <s v="Valledolmo" u="1"/>
        <s v="Michio" u="1"/>
        <s v="Tommy" u="1"/>
        <s v="Kramer" u="1"/>
        <s v="Lewis" u="1"/>
        <s v="Janace" u="1"/>
        <s v="Anthony" u="1"/>
        <s v="Rebecca " u="1"/>
        <s v="Richardson" u="1"/>
        <s v="Jacobs" u="1"/>
        <s v="Jackson" u="1"/>
        <s v="Bartholomew" u="1"/>
        <s v="Jayden" u="1"/>
        <s v="Gabriel" u="1"/>
        <s v="15th" u="1"/>
        <s v="Lynsey" u="1"/>
        <s v="Kuznick" u="1"/>
        <s v="Louis" u="1"/>
        <s v="Alfredo" u="1"/>
        <s v="S.M." u="1"/>
        <s v="Wileczek" u="1"/>
        <s v="Shauna" u="1"/>
        <s v="Goodwin" u="1"/>
        <s v="Glenn R." u="1"/>
        <s v="Landrum" u="1"/>
        <s v="Nich" u="1"/>
        <s v="Porter" u="1"/>
        <s v="Mordecia" u="1"/>
        <s v="Rebecca" u="1"/>
        <s v="C.J." u="1"/>
        <s v="Dunne" u="1"/>
        <s v="Segal" u="1"/>
        <s v="Unknown" u="1"/>
        <s v="Scottro" u="1"/>
        <s v="Poppel" u="1"/>
        <s v="Starr" u="1"/>
        <s v="Thomas F." u="1"/>
        <s v="Carlson" u="1"/>
        <s v="JP" u="1"/>
        <s v="Flynn" u="1"/>
      </sharedItems>
    </cacheField>
    <cacheField name="Points" numFmtId="0">
      <sharedItems containsString="0" containsBlank="1" containsNumber="1" minValue="0" maxValue="2340.4441148401183"/>
    </cacheField>
    <cacheField name="Name" numFmtId="0">
      <sharedItems containsBlank="1" count="939">
        <s v="Jerrod Ankenman"/>
        <s v="Paul McMullin"/>
        <s v="Mordecai Schwartz"/>
        <s v="Mike Miller"/>
        <s v="Steve Daniel"/>
        <s v="Warren Sander"/>
        <s v="Glenn Nickerson"/>
        <s v="Chris Raimondi"/>
        <s v="Mitch Kramer"/>
        <s v="Russell Fox"/>
        <s v="Ross Poppel"/>
        <s v="Thomas Kelley"/>
        <s v="Bill Chen"/>
        <s v="David Fruchter"/>
        <s v="Jazbo Burns"/>
        <s v="Rick Becker"/>
        <s v="Robert A. Jacobs"/>
        <s v="Patrick Milligan"/>
        <s v="Terrence Chan"/>
        <s v="Joan Hadley"/>
        <s v="Art Santella"/>
        <s v="Michael Klein"/>
        <s v="Scott Byron"/>
        <s v="Robert Hwang"/>
        <s v="Alan Tiger"/>
        <s v="John Bonaguro"/>
        <s v="Jeff Calkins"/>
        <s v="Kevin Maurer"/>
        <s v="Pete Segal"/>
        <s v="Bruce Kramer"/>
        <s v="Mike Schmidt"/>
        <s v="Matt Treasure"/>
        <s v="Tracy Becker"/>
        <s v="Sabyl Landrum"/>
        <s v="Barry Kornspan"/>
        <s v="Kevin Suffecool"/>
        <s v="Andrew Richman"/>
        <s v="Steve Zang"/>
        <s v="Keith Fichtemaier"/>
        <s v="Brad Edmonds"/>
        <s v="Jeff Woods"/>
        <s v="Tom Snow"/>
        <s v="Linda Lewis"/>
        <s v="Ray DiDonato"/>
        <s v="Chic Natkins"/>
        <s v="Matt Matros"/>
        <s v="Nels Lober"/>
        <s v="Stevan Goldman"/>
        <s v="Al Weber"/>
        <s v="David Taylor"/>
        <s v="Greg Mitz"/>
        <s v="David Kuznick"/>
        <s v="Bo Toft"/>
        <s v="Alan Stuart"/>
        <s v="Jessica Kuznick"/>
        <s v="Chris O’Connor"/>
        <s v="Scott Marks"/>
        <s v="Mitch Firestone"/>
        <s v="Cary Flynn"/>
        <s v="Desmond Portano"/>
        <s v="Peter Edivan"/>
        <s v="Stephen Benton"/>
        <s v="Lauri Calkins"/>
        <s v="Graham Martin"/>
        <s v="David Croson"/>
        <s v="Ron Wilson"/>
        <s v="Stefan Adams"/>
        <s v="Michael McCall"/>
        <s v="Norm Gilman"/>
        <s v="Mary Marciano"/>
        <s v="Len Marciano"/>
        <s v="Josh Schifter"/>
        <s v="Bert Hackney"/>
        <s v="Stephen Carbonara"/>
        <s v="Ira Pilser"/>
        <s v="Edward Pizzarello"/>
        <s v="Dennis Bragg"/>
        <s v="John Fontinelli"/>
        <s v="Mike Debnam"/>
        <s v="Jonathan Cohen"/>
        <s v="Adam Klatzkin"/>
        <s v="Russell Rosenblum"/>
        <s v="John Charles Taylor"/>
        <s v="Matt Kirisits"/>
        <s v="Patrick Kirwan"/>
        <s v="Phil Vogel"/>
        <s v="Don Perry"/>
        <s v="Phil Turcotte"/>
        <s v="Donald Hemstock"/>
        <s v="Len Greenberg"/>
        <s v="Jerry Gerner"/>
        <s v="Michael Maurer"/>
        <s v="Perry Friedman"/>
        <s v="Chuck Weinstock"/>
        <s v="Ken Kubey"/>
        <s v="Peter Caldes"/>
        <s v="Tom Hummel"/>
        <s v="Dan Loncarcic"/>
        <s v="Mike McBride"/>
        <s v="Shelly Louie"/>
        <s v="Shelly Pierce"/>
        <s v="Ming Lee"/>
        <s v="Aaron Rich"/>
        <s v="Connie Kellers"/>
        <s v="Walter Hunt"/>
        <s v="Paul Person"/>
        <s v="Patti Beadles"/>
        <s v="John Davis"/>
        <s v="Tony Corral"/>
        <s v="Tom Goodwin"/>
        <s v="Mark Kolstad"/>
        <s v="Dave Marshall"/>
        <s v="Josh Paley"/>
        <s v="Caryl Aronson"/>
        <s v="Dean Waters"/>
        <s v="Paul White"/>
        <s v="Harry Baldwin"/>
        <s v="Andy Bloch"/>
        <s v="Barry Tanenbaum"/>
        <s v="Tom McEvoy"/>
        <s v="Ken Zarifes"/>
        <s v="Charles Haynes"/>
        <s v="Gavin Smith"/>
        <s v="Gillian Groves"/>
        <s v="David Huberman"/>
        <s v="Steve Watanabe"/>
        <s v="Mike McManus"/>
        <s v="Peter Secor"/>
        <s v="Beth Even"/>
        <s v="Ronald Nutt"/>
        <s v="Bob Maher"/>
        <s v="Peter Stephenson"/>
        <s v="Rick Bevan"/>
        <s v="Kyle Minnis"/>
        <s v="Chuck Artigues"/>
        <s v="Michael Patterson"/>
        <s v="John Reeves"/>
        <s v="Gary Furness"/>
        <s v="Darryl Osborne"/>
        <s v="Shawna Madrigal"/>
        <s v="Dan Goldman"/>
        <s v="Ellis Starks"/>
        <s v="Nolan Hee"/>
        <s v="Sharon Neeley"/>
        <s v="Steve Pierce"/>
        <s v="Lou Krieger"/>
        <s v="Te-Kan Yin"/>
        <s v="Mike Osborne"/>
        <s v="Chris Straghalis"/>
        <s v="Fern Chamberlain"/>
        <s v="Adam Bachrach"/>
        <s v="Mary Massey"/>
        <s v="Chuck Humphrey"/>
        <s v="Robert Turner"/>
        <s v="Steve Nissman"/>
        <s v="Peter Mikulen"/>
        <s v="Christopher Smith"/>
        <s v="Peter Canning"/>
        <s v="Paul Sikorski"/>
        <s v="John Hallyburton"/>
        <s v="Rick Charles"/>
        <s v="Tim Woodbury"/>
        <s v="Frank Bruegger"/>
        <s v="Don Taylor"/>
        <s v="Gloria Brown"/>
        <s v="Steven Eisenstein"/>
        <s v="Bennett Greenstein"/>
        <s v="S Stratton"/>
        <s v="M Franham"/>
        <s v="Mike Mazziotta"/>
        <s v="Edson Pap"/>
        <s v="James Tolliver"/>
        <s v="Bob Irons"/>
        <s v="Larry Khirallah"/>
        <s v="Margaret Phillips"/>
        <s v="Greg Raymer"/>
        <s v="Dave Tahajian"/>
        <s v="Richard Goodridge"/>
        <s v="Jason Klein"/>
        <s v="Bill Matros"/>
        <s v="Tom O'Boyle"/>
        <s v="Scott Simon"/>
        <s v="Marty Stilling"/>
        <s v="Roger Brestak"/>
        <s v="Michelle Ankenman"/>
        <s v="John Chesser"/>
        <s v="Eric Holtman"/>
        <s v="John DeRose"/>
        <s v="Tina Gonzalez"/>
        <s v="Seth Blau"/>
        <s v="Steve Jewett"/>
        <s v="Jim Rogers"/>
        <s v="Nicholas Matros"/>
        <s v="Kenny Shei"/>
        <s v="Mark Oldenburg"/>
        <s v="Frank Sordi"/>
        <s v="Sally Rogers"/>
        <s v="Kathleen Tedesco"/>
        <s v="David Meeks"/>
        <s v="David Purcell"/>
        <s v="George Francis"/>
        <s v="Marc Paolella"/>
        <s v="Nicolas Fradet"/>
        <s v="Dylan Cheng"/>
        <s v="Jim Quinn"/>
        <s v="Jim Foley"/>
        <s v="Jim Jamison"/>
        <s v="Mike Davis"/>
        <s v="Eric Rosenberg"/>
        <s v="David Newberry"/>
        <s v="John Averill"/>
        <s v="Grant Beardsley"/>
        <s v="Shawn Lauderdale"/>
        <s v="Janie McIntosh"/>
        <s v="Bob Ogus"/>
        <s v="Jim Bullard"/>
        <s v="Mark Hughes"/>
        <s v="Bob Alonso"/>
        <s v="Ed Barrett"/>
        <s v="Len Forsyth"/>
        <s v="Marion Busch"/>
        <s v="James Hankins"/>
        <s v="Jack Skerston"/>
        <s v="Randy Collack"/>
        <s v="Chet Frederick"/>
        <s v="Abe Springfield"/>
        <s v="Cindy Morales"/>
        <s v="Terry Leatherwood   "/>
        <s v="Vinnie Widdows"/>
        <s v="John Werthwein"/>
        <s v="Mitch Jacobs"/>
        <s v="Steve Bjordammen"/>
        <s v="Rich Barrett"/>
        <s v="Peg Smith"/>
        <s v="Mike Becker"/>
        <s v="Tom White"/>
        <s v="Chuck Bayne"/>
        <s v="Tim McKnight"/>
        <s v="Paul Stine"/>
        <s v="Marvin Chosky"/>
        <s v="Wes Tilley"/>
        <s v="Ralph Ballario"/>
        <s v="Scott Hermes"/>
        <s v="Brandon Oberling"/>
        <s v="David Lilie"/>
        <s v="Gregory Merritt"/>
        <s v="Alvin West"/>
        <s v="Scott Harker"/>
        <s v="Dennis Scanlon"/>
        <s v="Emilio Porco"/>
        <s v="Frank Brabec"/>
        <s v="Dan Nussbaum"/>
        <s v="Tony Goldstein"/>
        <s v="Marc Howard"/>
        <s v="Brian Judd"/>
        <s v="Sassoun Sarhadian"/>
        <s v="Dave Roemer"/>
        <s v="Jeff Siegal"/>
        <s v="Jim Watson"/>
        <s v="Steven Evans"/>
        <s v="Lee Crocker"/>
        <s v="Stephen Cohen"/>
        <s v="Paul Zuzelo"/>
        <s v="Bob Herlien"/>
        <s v="Alan Bernstein"/>
        <s v="J P Massar"/>
        <s v="Dave Orr"/>
        <s v="Steve Day"/>
        <s v="Frank Jerome"/>
        <s v="Don Condit"/>
        <s v="Andrew Prock"/>
        <s v="John Grout"/>
        <s v="Jan Pierce"/>
        <s v="Stephen Landrum"/>
        <s v="Gerald Petersen"/>
        <s v="Nick Christenson"/>
        <s v="Brian Goetz"/>
        <s v="Keith Wurster"/>
        <s v="Paul Hodosh"/>
        <s v="Charles Zino"/>
        <s v="David Lee"/>
        <s v="Tom Valentino"/>
        <s v="Corey Imsdahl"/>
        <s v="Tom Overton"/>
        <s v="Mike Zavison"/>
        <s v="Tom Delaino   "/>
        <s v="Stephen Braud"/>
        <s v="Tony Jeff"/>
        <s v="Shane Mabile"/>
        <s v="Gordy Swalm"/>
        <s v="Steve Kovach"/>
        <s v="Barbara Bowen"/>
        <s v="Frank Bowen"/>
        <s v="John Harkness"/>
        <s v="Rob Verzera"/>
        <s v="Jim Lemons"/>
        <s v="J. Wright"/>
        <s v="Robert Catlett"/>
        <s v="Matt Ivester"/>
        <s v="Jason Balter"/>
        <s v="Kevin Conlon"/>
        <s v="Rob Shepard"/>
        <s v="Rith Peou"/>
        <s v="Victor Luzarraga"/>
        <s v="Sean McGuiness"/>
        <s v="Crystal Haggard"/>
        <s v="Noelle Huard"/>
        <s v="Tom Savitsky"/>
        <s v="David Albis"/>
        <s v="Stacy Conrad"/>
        <s v="Fred Meier"/>
        <s v="William Constandino"/>
        <s v="Jay Guild"/>
        <s v="Joshua DeBoo"/>
        <s v="Bob Kelly"/>
        <s v="Peter Kim"/>
        <s v="Scott Chase"/>
        <s v="Billy Barnes"/>
        <s v="Don Rieck"/>
        <s v="Greg Pappas"/>
        <s v="Alex Ziselman"/>
        <s v="Mark Trombley"/>
        <s v="Dave McVay"/>
        <s v="Ben Gamble"/>
        <s v="Jonathon Lieberman"/>
        <s v="Scott Burrington"/>
        <s v="Lawrence Leahy"/>
        <s v="Trent Gresh"/>
        <s v="John Lloyd"/>
        <s v="Bryan Juliano"/>
        <s v="Guy Berentsen"/>
        <s v="Sarah Boston"/>
        <s v="Matthew Kursar"/>
        <s v="Nolan Dalla"/>
        <s v="Rick Monbourquette"/>
        <s v="Brandon Schaeffer"/>
        <s v="Chris Mlinarich"/>
        <s v="Cliff Matthews"/>
        <s v="Brentt Phillips"/>
        <s v="Oliver Juang"/>
        <s v="Scott Samarel"/>
        <s v="David Russell"/>
        <s v="Tim Bosserman"/>
        <s v="Sharon Goldman"/>
        <s v="Kirk Oshiro"/>
        <s v="Daniel Gerard"/>
        <s v="Alexander Sam"/>
        <s v="Sesh Kodavanti"/>
        <s v="Ken Sias"/>
        <s v="Regis Donovan"/>
        <s v="Michael Simpson"/>
        <s v="Tom Hafey"/>
        <s v="Leslie Schenkel"/>
        <s v="David Klatte"/>
        <s v="Jeremy Miller"/>
        <s v="Adam Shapiro"/>
        <s v="Steven Sager"/>
        <s v="Chris Carstens"/>
        <s v="Dieter Martin"/>
        <s v="John Diamondhead"/>
        <s v="Craig Mordock"/>
        <s v="Neal Favret"/>
        <s v="Mark Harman"/>
        <s v="Charlie Mathis"/>
        <s v="Jodi Neufeld"/>
        <s v="Gabe DeVitto"/>
        <s v="Chris Wilson"/>
        <s v="David Coates"/>
        <s v="Stephen Jacobs"/>
        <s v="Scott Sorenson"/>
        <s v="Dan Melbourne"/>
        <s v="Joe Hammond"/>
        <s v="Jay Kinstler"/>
        <s v="Jason Abell"/>
        <s v="Pat Cosgrove"/>
        <s v="Matt Hawrilenko"/>
        <s v="Eric Zak"/>
        <s v="Doug Collins"/>
        <s v="Jeff Landgraf"/>
        <s v="Daniel Lykins"/>
        <s v="Tom Abraham"/>
        <s v="Bobo Barzamati"/>
        <s v="Mark Fein"/>
        <s v="Tim Gomes"/>
        <s v="Andrew Kuttig"/>
        <s v="Murray Logan"/>
        <s v="Keith Troell"/>
        <s v="Claude Carlson"/>
        <s v="Eugene Coles"/>
        <s v="Richard Bremer"/>
        <s v="Eileen Milligan"/>
        <s v="Robert Jones"/>
        <s v="Richard Brodie"/>
        <s v="David Heller"/>
        <s v="Edmund Hack"/>
        <s v="Matt Repinski"/>
        <s v="Frank Castagna"/>
        <s v="Steve Forcash"/>
        <s v="Bill Campion"/>
        <s v="Leslie Walker"/>
        <s v="Larry Lumley"/>
        <s v="Chris Sims"/>
        <s v="Jennifer Bankston"/>
        <s v="Alan Jaffray"/>
        <s v="Jeff Liebster"/>
        <s v="Barbara Gallamore"/>
        <s v="Joo Pal"/>
        <s v="Adam Buchholz"/>
        <s v="Carl Lepinski"/>
        <s v="Ashley Adams"/>
        <s v="Derek DiFante"/>
        <s v="Gerard Greenberg"/>
        <s v="Ron Savarese"/>
        <s v="Joe Morrissette"/>
        <s v="Bob Lauria"/>
        <s v="Joyce Ciotti"/>
        <s v="Ernest Martin"/>
        <s v="Ron Lyons"/>
        <s v="Allnight Adam"/>
        <s v="Jeffrey Baxter"/>
        <s v="Thomas Valledolmo"/>
        <s v="Tatsuya Terakawa"/>
        <s v="Jay Centeno"/>
        <s v="Thomas Higgins"/>
        <s v="Peter Heyneman"/>
        <s v="Paul Menges"/>
        <s v="Ryan Curtis"/>
        <s v="Chieu Tran"/>
        <s v="Joe Long"/>
        <s v="Bree Goldman"/>
        <s v="John Pickels"/>
        <s v="David Trinidad"/>
        <s v="Lynsy Higgs-Iwamoto"/>
        <s v="Michael Hunter"/>
        <s v="John Moser"/>
        <s v="Hector Lozano"/>
        <s v="Tim Showalter"/>
        <s v="Dave O'Grady"/>
        <s v="Doug Grismore"/>
        <s v="Brett Pisor"/>
        <s v="Michael Brennan"/>
        <s v="Mark Singer"/>
        <s v="Karen Adams"/>
        <s v="Mike Tarrant"/>
        <s v="Paul Joo"/>
        <s v="John Faeth"/>
        <s v="Perry Spies"/>
        <s v="Mary Hall"/>
        <s v="Gary Starr"/>
        <s v="Charles Sawyer"/>
        <s v="Salim Valimahomed"/>
        <s v="Luisa Gomes"/>
        <s v="Claudia Mastroianni"/>
        <s v="Robin Walker"/>
        <s v="Marie Hannah"/>
        <s v="John Ginty"/>
        <s v="James Connelly"/>
        <s v="Debra Johnson"/>
        <s v="Brian Hackett"/>
        <s v="Geoffery Talvola"/>
        <s v="Kristopher Quintiliani"/>
        <s v="AJ Evangelista"/>
        <s v="Thomas Aprea"/>
        <s v="Steven Bennett"/>
        <s v="Joseph Muldon"/>
        <s v="John Fleming"/>
        <s v="Rick Farver"/>
        <s v="Howard Kaplan   "/>
        <s v="Todd Bergmann"/>
        <s v="Lawrence Larson"/>
        <s v="Mark Richardson"/>
        <s v="Mark Wisniewski"/>
        <s v="Joshua Long"/>
        <s v="Dennis Drangula"/>
        <s v="Robert Campbell"/>
        <s v="Ronald Farrar"/>
        <s v="Richard Angello"/>
        <s v="Keenan Keeling"/>
        <s v="Brian Connolly"/>
        <s v="Martin Lipschutz"/>
        <s v="Tanya Peck-Devenport"/>
        <s v="Stephen Rosenblatt"/>
        <s v="Christopher Garman"/>
        <s v="Richard Puleo"/>
        <s v="Bruce Altner"/>
        <s v="James Skoulikas"/>
        <s v="Chris Mecklin"/>
        <s v="Steve Clayton"/>
        <s v="Jim Anderson"/>
        <s v="Betty Tanenbaum"/>
        <s v="David Low"/>
        <s v="Chris Jepsen"/>
        <s v="Asya Kamsky"/>
        <s v="Dan Chevrie"/>
        <s v="Mark Rafn"/>
        <s v="Ed Baker"/>
        <s v="Rich Strauss"/>
        <s v="Fred Lawful"/>
        <s v="Jason Newitt"/>
        <s v="David Green"/>
        <s v="Masanobu Fujioka"/>
        <s v="Steven McLaughlin"/>
        <s v="Kelly Sprankle"/>
        <s v="Brenda Mowrey"/>
        <s v="Christopher Kuntz"/>
        <s v="Marc Gilutin"/>
        <s v="Ron Grossberg"/>
        <s v="Merlynn Schuck"/>
        <s v="James Hammer"/>
        <s v="Raffy Kaloustian"/>
        <s v="Robert Borzomati"/>
        <s v="David Soussan"/>
        <s v="Rodney Chen"/>
        <s v="Tristan Hall"/>
        <s v="Aubrey Kyburz"/>
        <s v="Alex Lahoski"/>
        <s v="Alec Usticke"/>
        <s v="Richard Bright"/>
        <s v="David Kluchman"/>
        <s v="Stephanie Wasserman"/>
        <s v="Lon Derkatch"/>
        <s v="Debra Bounds"/>
        <s v="Travis williams"/>
        <s v="Dianne Pickels"/>
        <s v="Colleen McGraham"/>
        <s v="David Matteo"/>
        <s v="John Timm"/>
        <s v="Jonathan Green"/>
        <s v="Sandra Benditt"/>
        <s v="Meredith Holtzman"/>
        <s v="Tom Bessoir"/>
        <s v="Chris Richards"/>
        <s v="Jeff Deitch"/>
        <s v="Jeanne David"/>
        <s v="Steve Bartnyk"/>
        <s v="John Reed"/>
        <s v="Bryan Slick"/>
        <s v="Bart Simpson"/>
        <s v="James Kittock"/>
        <s v="James Angotti"/>
        <s v="Deron Brod"/>
        <s v="Larry Stone"/>
        <s v="Dave Tall"/>
        <s v="Corey Means"/>
        <s v="Matt Grapenthien"/>
        <s v="Serrina Monnin"/>
        <s v="Erin Ramsay"/>
        <s v="Paul Gibboney"/>
        <s v="Mike Haddad Jr."/>
        <s v="Mike Haddad Sr."/>
        <s v="Paul Chakoian"/>
        <s v="Charlie Peck"/>
        <s v="Michael Botwin"/>
        <s v="Noah Thompson"/>
        <s v="Carlos Lobato"/>
        <s v="Dean White"/>
        <s v="Connie Henriques"/>
        <s v="Anne Barylick"/>
        <s v="Larry Robinson"/>
        <s v="Brandon Spears"/>
        <s v="Geraldine Worm"/>
        <s v="William Lewis"/>
        <s v="Charles Hennessey"/>
        <s v="Michael Morris"/>
        <s v="James Greco"/>
        <s v="Kenneth Umansky"/>
        <s v="Frank Lorusso"/>
        <s v="Donna Kracinovich"/>
        <s v="Carol Kline"/>
        <s v="Ryan Troll"/>
        <s v="Stephen Winter"/>
        <s v="Aaron Lion"/>
        <s v="John Foust"/>
        <s v="Alan Horn"/>
        <s v="Josh Anderson-Goldman"/>
        <s v="David Aronson"/>
        <s v="Jordan Devenport"/>
        <s v="Matt Vining"/>
        <s v="Bill Keenan"/>
        <s v="Candy Koepke"/>
        <s v="Noah Daiell"/>
        <s v="Helen Rogers"/>
        <s v="Rocco Scavetta"/>
        <s v="Tim White"/>
        <s v="Michael Cegielski"/>
        <s v="Chris Alaura"/>
        <s v="Howard Jackson"/>
        <s v="Erik Seltzer"/>
        <s v="Randy Trubow"/>
        <s v="Katie Baxter"/>
        <s v="Margaret Pilchman"/>
        <s v="Russell Lopez"/>
        <s v="William Lenox"/>
        <s v="Darlene Springman"/>
        <s v="Spenser Sun"/>
        <s v="Arthur Goltz"/>
        <s v="John Anderson"/>
        <s v="Drew Boyett"/>
        <s v="Steve Sherman"/>
        <s v="Brian Goldstein"/>
        <s v="John Scheinberg"/>
        <s v="Stephen Lewin-Berlin"/>
        <s v="Tim Stine"/>
        <s v="Leonard Pisciotta"/>
        <s v="Larry Bierman"/>
        <s v="Tony D'Anna"/>
        <s v="Mike Buono"/>
        <s v="John Segovia"/>
        <s v="Jeff Behrens"/>
        <s v="Jon Maren"/>
        <s v="Lee Jones"/>
        <s v="Rick Sysko"/>
        <s v="Judith Gendron"/>
        <s v="Jim Hexter"/>
        <s v="Chip Rosenberg"/>
        <s v="Leo Cusson"/>
        <s v="Connie Hackett"/>
        <s v="David Kent"/>
        <s v="Tedford Armistead"/>
        <s v="Greg Josephson"/>
        <s v="Ike Porter"/>
        <s v="Eric Selzer"/>
        <s v="Jody Dunne"/>
        <s v="ATLARGE NLHE 14th"/>
        <s v="ATLARGE NLHE 15th"/>
        <s v="ATLARGE NLHE 16th"/>
        <s v="ATLARGE Razz/Lowball 5th"/>
        <s v="Patricia Yannuzzi"/>
        <s v="Ryan Ohu"/>
        <s v="Mark Wileczek"/>
        <s v="George Wattman"/>
        <s v="Arthur Reber"/>
        <s v="Tad Perry"/>
        <s v="Doug Maher"/>
        <s v="Randall Hennenuth"/>
        <s v="Kevan Garrett"/>
        <s v="Bex Kerl"/>
        <s v="Dean Kerl"/>
        <s v="Paul Swiencicki"/>
        <s v="Monte Christensen"/>
        <s v="Kevin Knourek"/>
        <s v="Troy Miller"/>
        <s v="Joel Catlett"/>
        <s v="Clinton Lanphier"/>
        <s v="Alpo Kallio"/>
        <s v="Danny Hofer"/>
        <s v="Lee Ilagan"/>
        <s v="Barry Meltzer"/>
        <s v="Barry Gassen"/>
        <s v="Brandon Gerson"/>
        <s v="Thomas Kracinovich"/>
        <s v="Cynthia Yannette"/>
        <s v="Marsha Segal"/>
        <s v="John Stewart"/>
        <s v="Nicholas Mecca"/>
        <s v="David Lawful"/>
        <s v="Andy Hughes"/>
        <s v="Richard Korbin"/>
        <s v="Sandra Terauds"/>
        <s v="Todd Bryson"/>
        <s v="Rod Crane"/>
        <s v="Paul Fischman"/>
        <s v="Alan Veach"/>
        <s v="Derek Gomez"/>
        <s v="Mark Musco"/>
        <s v="Aaron McCall"/>
        <s v="Amanda Richards"/>
        <s v="Dominic Colfer"/>
        <s v="Maggie Desmond-Rowan"/>
        <s v="John Rowan"/>
        <s v="David Torrente"/>
        <s v="Michael Jacobs"/>
        <s v="Christian Jones"/>
        <s v="Salah Levy"/>
        <s v="Mike Fujita"/>
        <s v="Gloria Lorusso"/>
        <s v="Chris Kluchman"/>
        <s v="C Conner"/>
        <s v="T Wyle"/>
        <s v="Betsy Wilson"/>
        <s v="Bob Gilbert"/>
        <s v="Sharon Lewis"/>
        <s v="Andreas Wolfram"/>
        <s v="Eric Rosenberger"/>
        <s v="Brian O'Grady"/>
        <s v="Bruce Iwamoto"/>
        <s v="Lawrence Wu"/>
        <s v="Polly Wu"/>
        <s v="Barbara Garrett"/>
        <s v="Jerry D'Amaro"/>
        <s v="Jeff Palmucci"/>
        <s v="Andy Bartalone"/>
        <s v="Stephen Rokitka"/>
        <s v="Lori Miller"/>
        <s v="Jennifer Shahade"/>
        <s v="John Caldwell"/>
        <s v="Stephen Blackstock"/>
        <s v="Wendy Freedman"/>
        <s v="Steven Markowitz"/>
        <s v="Nathan Hess"/>
        <s v="Mike Connors"/>
        <s v="Melissa Hayden"/>
        <s v="Sean Morrow"/>
        <s v="Don Adams"/>
        <s v="Gus Ruggieri"/>
        <s v="Len Parness"/>
        <s v="Louise Russell"/>
        <s v="Karl Zipple"/>
        <s v="Mark Sobieski"/>
        <s v="Antoinett Pennington"/>
        <s v="Chris Quan"/>
        <s v="Blair Rodman"/>
        <s v="Ira Wiedman"/>
        <s v="Susan Abraham"/>
        <s v="John Campbell"/>
        <s v="Carol Anderson"/>
        <s v="Martin Davidson"/>
        <s v="Jared Anderson"/>
        <s v="Randal Hennemuth"/>
        <s v="Justin Hammer"/>
        <s v="Barbara Zangaro"/>
        <s v="Diana Mercer"/>
        <s v="Karina Jett"/>
        <s v="Kenyon Lewin-Berlin"/>
        <s v="Mary-Ellen Meltzer"/>
        <s v="Andrew Chapman"/>
        <s v="Mark Manitzas"/>
        <s v="Mark Gregorich"/>
        <s v="Jesse Capps"/>
        <s v="Michael Chow"/>
        <s v="Mark Todd"/>
        <s v="Voltaire Ronquillo"/>
        <s v="Shari Silk"/>
        <s v="Ryan Beauregard"/>
        <s v="Adam Haman"/>
        <s v="Mary Mulcahy"/>
        <s v="Nathaniel Higgs"/>
        <s v="John Aguirre"/>
        <s v="Dennis McGlynn"/>
        <s v="Thanh Thai"/>
        <s v="Mike Mather"/>
        <s v="Brian Reeve"/>
        <s v="Stephen Kracinovich"/>
        <s v="John Myers"/>
        <s v="Russell Diaz"/>
        <s v="Gail Sarett"/>
        <s v="Mark Haroldson"/>
        <s v="Jaydon Ogden"/>
        <s v="Kent Beck"/>
        <s v="Sheri Brabec"/>
        <s v="Jensen Teng"/>
        <s v="Nancy Robertson"/>
        <s v="Jodi Shapiro"/>
        <s v="Kathy Chang"/>
        <s v="Nathan Lloyd"/>
        <s v="David Vanderhooft"/>
        <s v="Robert Bergman"/>
        <s v="Winchester Brown"/>
        <s v="Jeff Bento"/>
        <s v="Joe Berman"/>
        <s v="Michael Perlmutter"/>
        <s v="Sam Birchem"/>
        <s v="Allen Stern"/>
        <s v="Dave Raszewski"/>
        <s v="David Chan"/>
        <s v="Richard Klemm"/>
        <s v="Ben Ludlow"/>
        <s v="Corky Parks"/>
        <s v="Roy Cooke"/>
        <s v="David Soussn"/>
        <s v="Eric Schneller"/>
        <s v="Lynsy Iwamoto"/>
        <s v="Han Hoai"/>
        <s v="Randy Hudson"/>
        <s v="Dennis Axel"/>
        <s v="Vito Esparo"/>
        <s v="Bogan Painter"/>
        <s v="Steve Lewis-Berlin"/>
        <s v="Ted Hennessey"/>
        <s v="Scott Lewis"/>
        <s v="Lennie Augustine"/>
        <s v="Tim McGarvey"/>
        <s v="Michael Brennan "/>
        <s v="Melissa Robertson"/>
        <s v="Lori Hiltz"/>
        <s v="Duncan McCallum"/>
        <s v="Linda Johnson"/>
        <s v="Holly Jones"/>
        <s v="Cole Stewart"/>
        <s v="Billy Hayes"/>
        <s v="Scott Canalichio"/>
        <s v="Ben Imsdahl"/>
        <s v="Pete Primiano"/>
        <s v="Mike Puskarich"/>
        <s v="Ruthie Primiano"/>
        <s v="Andrew Studley"/>
        <s v="Jeff Roberts"/>
        <s v="Rich Vehlow"/>
        <s v="Travis Redman"/>
        <s v="Daniel Fox"/>
        <s v="Chris Kojak"/>
        <s v="Robert Altner"/>
        <s v="Matthew Portnoy"/>
        <s v="Edwards Holliday"/>
        <s v="Oliver Allen"/>
        <s v="Sam Chung"/>
        <s v="Cory Cunningham"/>
        <s v="Joe Santagata"/>
        <s v="Dominic Terreri"/>
        <s v="Roy Jaoude"/>
        <s v="DJ Coates"/>
        <s v="Jason Marler"/>
        <s v="Seth Nieman"/>
        <s v="Steve Tung"/>
        <s v="BG Dilworth"/>
        <s v="Terrance Reid"/>
        <s v="Charles Stillman"/>
        <s v="Laurie Skywalker"/>
        <s v="Jon Regashus"/>
        <s v="Sam Scheinberg"/>
        <s v="Shinichiro Hatakeyama"/>
        <s v="Stephen Tysor"/>
        <s v="Richard Jaglarski"/>
        <s v="Terry Jaglarski"/>
        <s v="Christin Maschmann"/>
        <s v="Sheila Stimson"/>
        <s v="Jan Fisher"/>
        <s v="Kelly Kania"/>
        <s v="Danny Sprung"/>
        <s v="Jiyoung Im"/>
        <s v="James Ernest"/>
        <s v="Jay Sipelstein"/>
        <s v="David Sheriff"/>
        <s v="Jeff Davis"/>
        <s v="Charles Stack"/>
        <s v="Kyle Andrews"/>
        <s v="George Stricker"/>
        <s v="James Rogers"/>
        <s v="Jeff Amasaki"/>
        <s v="Olav Sachsen"/>
        <s v="Donald Adams"/>
        <s v="Helen Kimble"/>
        <s v="Connor Whiteley"/>
        <s v="Andy Latto"/>
        <s v="Gerald Jeong"/>
        <s v="Kevin Un"/>
        <s v="Cornelius Buijs"/>
        <s v="Ellen Fried"/>
        <s v="Dave Spencer"/>
        <s v="Rick Mombourquette"/>
        <s v="Troy Lee"/>
        <m/>
        <s v="Gerry Petersen" u="1"/>
        <s v="Dave Low" u="1"/>
        <s v="Chris Kuntz" u="1"/>
        <s v="Chris O'Connor" u="1"/>
        <s v="Jayden Ogden" u="1"/>
        <s v="The Ref" u="1"/>
        <s v="Peter Segal" u="1"/>
        <s v="Robert Lauria" u="1"/>
        <s v="Larry Larson" u="1"/>
        <s v="Alfredo Evangelista" u="1"/>
        <s v="Lynne Mahlig Higgs" u="1"/>
        <s v="Chris OConnor" u="1"/>
        <s v="Voltaire Ronquallo" u="1"/>
        <s v="David Heldar" u="1"/>
        <s v="Rebecca  Kerl" u="1"/>
        <s v="Tina Gonzales" u="1"/>
        <s v="Joseph Morrissette" u="1"/>
        <s v="Rebecca Kerl" u="1"/>
        <s v="Unknown 16th" u="1"/>
        <s v="Christopher Mecklin" u="1"/>
        <s v="Steve Lewin-Berlin" u="1"/>
        <s v="Mike Klein" u="1"/>
        <s v="Unknown 15th" u="1"/>
        <s v="Unknown 14th" u="1"/>
        <s v="John Fontinell" u="1"/>
        <s v="Michio Fujita" u="1"/>
        <s v="Lynsey Iwamoto" u="1"/>
        <s v="Lynsey Higgs-Iwamoto" u="1"/>
        <s v="Steven McLoughlin" u="1"/>
        <s v="JK Scheinberg" u="1"/>
        <s v="Tom Valentino   " u="1"/>
        <s v="Mich Klein" u="1"/>
        <s v="Dave Fruchter" u="1"/>
        <s v="Patrick Milligan  " u="1"/>
        <s v="Dave Trinidad" u="1"/>
        <s v="Rich Goodridge" u="1"/>
        <s v="Pete Stephenson" u="1"/>
        <s v="Ronald Jr." u="1"/>
        <s v="Louis Ogus" u="1"/>
        <s v="JP Massar" u="1"/>
        <s v="Dave Lawful" u="1"/>
        <s v="Anthony Goldstein" u="1"/>
        <s v="Ken Goodridge" u="1"/>
        <s v="Thomas Hummel" u="1"/>
        <s v="David T. Meeks" u="1"/>
        <s v="Steve Watanabi" u="1"/>
        <s v="Mark Hughes   " u="1"/>
        <s v="Sabyl Cohen" u="1"/>
        <s v="Charles Natkins" u="1"/>
        <s v="Jessica Adler" u="1"/>
        <s v="David O'Grady" u="1"/>
        <s v="Kramer Bruce" u="1"/>
        <s v="Tom Valledolmo" u="1"/>
        <s v="Tommy Aprea" u="1"/>
        <s v="Claudia Mastroiani" u="1"/>
        <s v="Charles Humphrey" u="1"/>
        <s v="Dan Lancaric" u="1"/>
        <s v="Tanya Devenport" u="1"/>
        <s v="Nick Christensen" u="1"/>
        <s v="Guy Berenstein" u="1"/>
        <s v="Unknown 5th" u="1"/>
        <s v="Richardson Mark" u="1"/>
        <s v="John Pickels " u="1"/>
        <s v="Tanya Peck" u="1"/>
        <s v="John Pickles" u="1"/>
        <s v="Thomas Goodwin" u="1"/>
        <s v="Carol Klein" u="1"/>
        <s v="Leonard Greenberg" u="1"/>
        <s v="Scottro Harker" u="1"/>
        <s v="Jodi Sharpiro" u="1"/>
        <s v="Steve Eisenstein" u="1"/>
        <s v="Thomas Hummer" u="1"/>
        <s v="Rich Korbin" u="1"/>
        <s v="Dave Kent" u="1"/>
        <s v=" Simon Scott" u="1"/>
        <s v="Sander Warren" u="1"/>
        <s v="Donald Rieck" u="1"/>
        <s v="Richard Vehlow" u="1"/>
        <s v="Tom Kelley" u="1"/>
        <s v="Russ Fox" u="1"/>
        <s v="Fruchter Dave" u="1"/>
        <s v="Eileen Milligan  " u="1"/>
        <s v="James Massar" u="1"/>
        <s v="Spencer Sun" u="1"/>
        <s v="Janace Pierce" u="1"/>
        <s v="Stephen Daniel" u="1"/>
        <s v="Rich Breme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8">
  <r>
    <x v="0"/>
    <x v="0"/>
    <x v="0"/>
    <x v="0"/>
    <m/>
    <x v="0"/>
    <x v="0"/>
    <x v="0"/>
    <n v="1716.0033436347992"/>
    <x v="0"/>
  </r>
  <r>
    <x v="0"/>
    <x v="0"/>
    <x v="0"/>
    <x v="0"/>
    <m/>
    <x v="1"/>
    <x v="1"/>
    <x v="1"/>
    <n v="1414.9733479708179"/>
    <x v="1"/>
  </r>
  <r>
    <x v="0"/>
    <x v="0"/>
    <x v="0"/>
    <x v="0"/>
    <m/>
    <x v="2"/>
    <x v="2"/>
    <x v="2"/>
    <n v="1238.8820889151368"/>
    <x v="2"/>
  </r>
  <r>
    <x v="0"/>
    <x v="0"/>
    <x v="0"/>
    <x v="0"/>
    <m/>
    <x v="3"/>
    <x v="3"/>
    <x v="3"/>
    <n v="1113.9433523068369"/>
    <x v="3"/>
  </r>
  <r>
    <x v="0"/>
    <x v="0"/>
    <x v="0"/>
    <x v="0"/>
    <m/>
    <x v="4"/>
    <x v="4"/>
    <x v="4"/>
    <n v="1017.0333392987802"/>
    <x v="4"/>
  </r>
  <r>
    <x v="0"/>
    <x v="0"/>
    <x v="0"/>
    <x v="0"/>
    <m/>
    <x v="5"/>
    <x v="5"/>
    <x v="5"/>
    <n v="937.85209325115557"/>
    <x v="5"/>
  </r>
  <r>
    <x v="0"/>
    <x v="0"/>
    <x v="0"/>
    <x v="0"/>
    <m/>
    <x v="6"/>
    <x v="6"/>
    <x v="6"/>
    <n v="870.90530362054244"/>
    <x v="6"/>
  </r>
  <r>
    <x v="0"/>
    <x v="0"/>
    <x v="0"/>
    <x v="0"/>
    <m/>
    <x v="7"/>
    <x v="7"/>
    <x v="7"/>
    <n v="812.91335664285566"/>
    <x v="7"/>
  </r>
  <r>
    <x v="0"/>
    <x v="0"/>
    <x v="0"/>
    <x v="0"/>
    <m/>
    <x v="8"/>
    <x v="8"/>
    <x v="8"/>
    <n v="761.76083419547433"/>
    <x v="8"/>
  </r>
  <r>
    <x v="0"/>
    <x v="0"/>
    <x v="0"/>
    <x v="0"/>
    <m/>
    <x v="9"/>
    <x v="9"/>
    <x v="9"/>
    <n v="716.00334363479919"/>
    <x v="9"/>
  </r>
  <r>
    <x v="0"/>
    <x v="0"/>
    <x v="0"/>
    <x v="0"/>
    <m/>
    <x v="10"/>
    <x v="10"/>
    <x v="10"/>
    <n v="674.61065847657414"/>
    <x v="10"/>
  </r>
  <r>
    <x v="0"/>
    <x v="0"/>
    <x v="0"/>
    <x v="0"/>
    <m/>
    <x v="11"/>
    <x v="11"/>
    <x v="11"/>
    <n v="636.82209758717431"/>
    <x v="11"/>
  </r>
  <r>
    <x v="0"/>
    <x v="0"/>
    <x v="0"/>
    <x v="0"/>
    <m/>
    <x v="12"/>
    <x v="12"/>
    <x v="12"/>
    <n v="602.05999132796251"/>
    <x v="12"/>
  </r>
  <r>
    <x v="0"/>
    <x v="0"/>
    <x v="0"/>
    <x v="0"/>
    <m/>
    <x v="13"/>
    <x v="13"/>
    <x v="13"/>
    <n v="569.8753079565613"/>
    <x v="13"/>
  </r>
  <r>
    <x v="0"/>
    <x v="0"/>
    <x v="0"/>
    <x v="0"/>
    <m/>
    <x v="14"/>
    <x v="14"/>
    <x v="14"/>
    <n v="539.91208457911785"/>
    <x v="14"/>
  </r>
  <r>
    <x v="0"/>
    <x v="0"/>
    <x v="0"/>
    <x v="0"/>
    <m/>
    <x v="15"/>
    <x v="15"/>
    <x v="15"/>
    <n v="511.88336097887441"/>
    <x v="15"/>
  </r>
  <r>
    <x v="0"/>
    <x v="0"/>
    <x v="0"/>
    <x v="0"/>
    <m/>
    <x v="16"/>
    <x v="16"/>
    <x v="16"/>
    <n v="485.55442225652536"/>
    <x v="16"/>
  </r>
  <r>
    <x v="0"/>
    <x v="0"/>
    <x v="0"/>
    <x v="0"/>
    <m/>
    <x v="17"/>
    <x v="17"/>
    <x v="17"/>
    <n v="460.73083853149319"/>
    <x v="17"/>
  </r>
  <r>
    <x v="0"/>
    <x v="0"/>
    <x v="0"/>
    <x v="0"/>
    <m/>
    <x v="18"/>
    <x v="18"/>
    <x v="18"/>
    <n v="437.24974268197036"/>
    <x v="18"/>
  </r>
  <r>
    <x v="0"/>
    <x v="0"/>
    <x v="0"/>
    <x v="0"/>
    <m/>
    <x v="19"/>
    <x v="19"/>
    <x v="19"/>
    <n v="414.973347970818"/>
    <x v="19"/>
  </r>
  <r>
    <x v="0"/>
    <x v="0"/>
    <x v="0"/>
    <x v="0"/>
    <m/>
    <x v="20"/>
    <x v="20"/>
    <x v="20"/>
    <n v="393.78404890087995"/>
    <x v="20"/>
  </r>
  <r>
    <x v="0"/>
    <x v="0"/>
    <x v="0"/>
    <x v="0"/>
    <m/>
    <x v="21"/>
    <x v="21"/>
    <x v="21"/>
    <n v="373.58066281259306"/>
    <x v="21"/>
  </r>
  <r>
    <x v="0"/>
    <x v="0"/>
    <x v="0"/>
    <x v="0"/>
    <m/>
    <x v="22"/>
    <x v="22"/>
    <x v="22"/>
    <n v="354.27550761720636"/>
    <x v="22"/>
  </r>
  <r>
    <x v="0"/>
    <x v="0"/>
    <x v="0"/>
    <x v="0"/>
    <m/>
    <x v="23"/>
    <x v="23"/>
    <x v="23"/>
    <n v="335.79210192319329"/>
    <x v="23"/>
  </r>
  <r>
    <x v="0"/>
    <x v="0"/>
    <x v="0"/>
    <x v="0"/>
    <m/>
    <x v="24"/>
    <x v="24"/>
    <x v="24"/>
    <n v="318.06333496276153"/>
    <x v="24"/>
  </r>
  <r>
    <x v="0"/>
    <x v="0"/>
    <x v="0"/>
    <x v="0"/>
    <m/>
    <x v="25"/>
    <x v="25"/>
    <x v="25"/>
    <n v="301.02999566398125"/>
    <x v="25"/>
  </r>
  <r>
    <x v="0"/>
    <x v="0"/>
    <x v="0"/>
    <x v="0"/>
    <m/>
    <x v="26"/>
    <x v="26"/>
    <x v="26"/>
    <n v="284.63957947581184"/>
    <x v="26"/>
  </r>
  <r>
    <x v="0"/>
    <x v="0"/>
    <x v="0"/>
    <x v="0"/>
    <m/>
    <x v="27"/>
    <x v="27"/>
    <x v="27"/>
    <n v="268.84531229258005"/>
    <x v="27"/>
  </r>
  <r>
    <x v="0"/>
    <x v="0"/>
    <x v="0"/>
    <x v="0"/>
    <m/>
    <x v="28"/>
    <x v="28"/>
    <x v="28"/>
    <n v="253.60534573584314"/>
    <x v="28"/>
  </r>
  <r>
    <x v="0"/>
    <x v="0"/>
    <x v="0"/>
    <x v="0"/>
    <m/>
    <x v="29"/>
    <x v="8"/>
    <x v="29"/>
    <n v="238.88208891513685"/>
    <x v="29"/>
  </r>
  <r>
    <x v="0"/>
    <x v="0"/>
    <x v="0"/>
    <x v="0"/>
    <m/>
    <x v="30"/>
    <x v="29"/>
    <x v="3"/>
    <n v="224.64164980052658"/>
    <x v="30"/>
  </r>
  <r>
    <x v="0"/>
    <x v="0"/>
    <x v="0"/>
    <x v="0"/>
    <m/>
    <x v="31"/>
    <x v="30"/>
    <x v="30"/>
    <n v="210.85336531489318"/>
    <x v="31"/>
  </r>
  <r>
    <x v="0"/>
    <x v="0"/>
    <x v="0"/>
    <x v="0"/>
    <m/>
    <x v="32"/>
    <x v="15"/>
    <x v="31"/>
    <n v="197.48940375691171"/>
    <x v="32"/>
  </r>
  <r>
    <x v="0"/>
    <x v="0"/>
    <x v="0"/>
    <x v="0"/>
    <m/>
    <x v="33"/>
    <x v="31"/>
    <x v="32"/>
    <n v="184.5244265925441"/>
    <x v="33"/>
  </r>
  <r>
    <x v="0"/>
    <x v="0"/>
    <x v="0"/>
    <x v="0"/>
    <m/>
    <x v="34"/>
    <x v="32"/>
    <x v="33"/>
    <n v="171.93529928452355"/>
    <x v="34"/>
  </r>
  <r>
    <x v="0"/>
    <x v="0"/>
    <x v="0"/>
    <x v="0"/>
    <m/>
    <x v="35"/>
    <x v="33"/>
    <x v="27"/>
    <n v="159.70084286751197"/>
    <x v="35"/>
  </r>
  <r>
    <x v="0"/>
    <x v="0"/>
    <x v="0"/>
    <x v="0"/>
    <m/>
    <x v="36"/>
    <x v="34"/>
    <x v="34"/>
    <n v="147.80161956780424"/>
    <x v="36"/>
  </r>
  <r>
    <x v="0"/>
    <x v="0"/>
    <x v="0"/>
    <x v="0"/>
    <m/>
    <x v="37"/>
    <x v="35"/>
    <x v="4"/>
    <n v="136.21974701798911"/>
    <x v="37"/>
  </r>
  <r>
    <x v="0"/>
    <x v="0"/>
    <x v="0"/>
    <x v="0"/>
    <m/>
    <x v="38"/>
    <x v="36"/>
    <x v="35"/>
    <n v="124.93873660830013"/>
    <x v="38"/>
  </r>
  <r>
    <x v="0"/>
    <x v="0"/>
    <x v="0"/>
    <x v="0"/>
    <m/>
    <x v="39"/>
    <x v="37"/>
    <x v="36"/>
    <n v="113.94335230683694"/>
    <x v="39"/>
  </r>
  <r>
    <x v="0"/>
    <x v="0"/>
    <x v="0"/>
    <x v="0"/>
    <m/>
    <x v="40"/>
    <x v="38"/>
    <x v="26"/>
    <n v="103.21948691506377"/>
    <x v="40"/>
  </r>
  <r>
    <x v="0"/>
    <x v="0"/>
    <x v="0"/>
    <x v="0"/>
    <m/>
    <x v="41"/>
    <x v="39"/>
    <x v="37"/>
    <n v="92.75405323689867"/>
    <x v="41"/>
  </r>
  <r>
    <x v="0"/>
    <x v="0"/>
    <x v="0"/>
    <x v="0"/>
    <m/>
    <x v="42"/>
    <x v="40"/>
    <x v="38"/>
    <n v="82.534888055212804"/>
    <x v="42"/>
  </r>
  <r>
    <x v="0"/>
    <x v="0"/>
    <x v="0"/>
    <x v="0"/>
    <m/>
    <x v="43"/>
    <x v="41"/>
    <x v="39"/>
    <n v="72.550667148611808"/>
    <x v="43"/>
  </r>
  <r>
    <x v="0"/>
    <x v="0"/>
    <x v="0"/>
    <x v="0"/>
    <m/>
    <x v="44"/>
    <x v="42"/>
    <x v="40"/>
    <n v="62.790829859455499"/>
    <x v="44"/>
  </r>
  <r>
    <x v="0"/>
    <x v="0"/>
    <x v="0"/>
    <x v="0"/>
    <m/>
    <x v="45"/>
    <x v="43"/>
    <x v="30"/>
    <n v="53.245511953225133"/>
    <x v="45"/>
  </r>
  <r>
    <x v="0"/>
    <x v="0"/>
    <x v="0"/>
    <x v="0"/>
    <m/>
    <x v="46"/>
    <x v="44"/>
    <x v="41"/>
    <n v="43.905485699081702"/>
    <x v="46"/>
  </r>
  <r>
    <x v="0"/>
    <x v="0"/>
    <x v="0"/>
    <x v="0"/>
    <m/>
    <x v="47"/>
    <x v="45"/>
    <x v="42"/>
    <n v="34.762106259212054"/>
    <x v="47"/>
  </r>
  <r>
    <x v="0"/>
    <x v="0"/>
    <x v="0"/>
    <x v="0"/>
    <m/>
    <x v="48"/>
    <x v="46"/>
    <x v="43"/>
    <n v="25.807263606285602"/>
    <x v="48"/>
  </r>
  <r>
    <x v="0"/>
    <x v="0"/>
    <x v="0"/>
    <x v="0"/>
    <m/>
    <x v="49"/>
    <x v="47"/>
    <x v="13"/>
    <n v="17.033339298780483"/>
    <x v="49"/>
  </r>
  <r>
    <x v="0"/>
    <x v="0"/>
    <x v="0"/>
    <x v="0"/>
    <m/>
    <x v="50"/>
    <x v="48"/>
    <x v="44"/>
    <n v="8.4331675368629622"/>
    <x v="50"/>
  </r>
  <r>
    <x v="0"/>
    <x v="0"/>
    <x v="0"/>
    <x v="0"/>
    <m/>
    <x v="51"/>
    <x v="49"/>
    <x v="13"/>
    <n v="0"/>
    <x v="51"/>
  </r>
  <r>
    <x v="0"/>
    <x v="0"/>
    <x v="1"/>
    <x v="1"/>
    <m/>
    <x v="0"/>
    <x v="50"/>
    <x v="45"/>
    <n v="1732.3937598229686"/>
    <x v="52"/>
  </r>
  <r>
    <x v="0"/>
    <x v="0"/>
    <x v="1"/>
    <x v="1"/>
    <m/>
    <x v="1"/>
    <x v="51"/>
    <x v="24"/>
    <n v="1431.3637641589874"/>
    <x v="53"/>
  </r>
  <r>
    <x v="0"/>
    <x v="0"/>
    <x v="1"/>
    <x v="1"/>
    <m/>
    <x v="2"/>
    <x v="4"/>
    <x v="4"/>
    <n v="1255.2725051033062"/>
    <x v="4"/>
  </r>
  <r>
    <x v="0"/>
    <x v="0"/>
    <x v="1"/>
    <x v="1"/>
    <m/>
    <x v="3"/>
    <x v="37"/>
    <x v="36"/>
    <n v="1130.3337684950061"/>
    <x v="39"/>
  </r>
  <r>
    <x v="0"/>
    <x v="0"/>
    <x v="1"/>
    <x v="1"/>
    <m/>
    <x v="4"/>
    <x v="8"/>
    <x v="29"/>
    <n v="1033.4237554869499"/>
    <x v="29"/>
  </r>
  <r>
    <x v="0"/>
    <x v="0"/>
    <x v="1"/>
    <x v="1"/>
    <m/>
    <x v="5"/>
    <x v="31"/>
    <x v="32"/>
    <n v="954.24250943932498"/>
    <x v="33"/>
  </r>
  <r>
    <x v="0"/>
    <x v="0"/>
    <x v="1"/>
    <x v="1"/>
    <m/>
    <x v="6"/>
    <x v="12"/>
    <x v="12"/>
    <n v="887.29571980871185"/>
    <x v="12"/>
  </r>
  <r>
    <x v="0"/>
    <x v="0"/>
    <x v="1"/>
    <x v="1"/>
    <m/>
    <x v="7"/>
    <x v="23"/>
    <x v="23"/>
    <n v="829.30377283102507"/>
    <x v="23"/>
  </r>
  <r>
    <x v="0"/>
    <x v="0"/>
    <x v="1"/>
    <x v="1"/>
    <m/>
    <x v="8"/>
    <x v="49"/>
    <x v="13"/>
    <n v="778.15125038364374"/>
    <x v="51"/>
  </r>
  <r>
    <x v="0"/>
    <x v="0"/>
    <x v="1"/>
    <x v="1"/>
    <m/>
    <x v="9"/>
    <x v="40"/>
    <x v="38"/>
    <n v="732.3937598229686"/>
    <x v="42"/>
  </r>
  <r>
    <x v="0"/>
    <x v="0"/>
    <x v="1"/>
    <x v="1"/>
    <m/>
    <x v="10"/>
    <x v="19"/>
    <x v="19"/>
    <n v="691.00107466474344"/>
    <x v="19"/>
  </r>
  <r>
    <x v="0"/>
    <x v="0"/>
    <x v="1"/>
    <x v="1"/>
    <m/>
    <x v="11"/>
    <x v="49"/>
    <x v="46"/>
    <n v="653.21251377534372"/>
    <x v="54"/>
  </r>
  <r>
    <x v="0"/>
    <x v="0"/>
    <x v="1"/>
    <x v="1"/>
    <m/>
    <x v="12"/>
    <x v="33"/>
    <x v="27"/>
    <n v="618.45040751613192"/>
    <x v="35"/>
  </r>
  <r>
    <x v="0"/>
    <x v="0"/>
    <x v="1"/>
    <x v="1"/>
    <m/>
    <x v="13"/>
    <x v="30"/>
    <x v="30"/>
    <n v="586.26572414473071"/>
    <x v="31"/>
  </r>
  <r>
    <x v="0"/>
    <x v="0"/>
    <x v="1"/>
    <x v="1"/>
    <m/>
    <x v="14"/>
    <x v="52"/>
    <x v="7"/>
    <n v="556.30250076728726"/>
    <x v="55"/>
  </r>
  <r>
    <x v="0"/>
    <x v="0"/>
    <x v="1"/>
    <x v="1"/>
    <m/>
    <x v="15"/>
    <x v="36"/>
    <x v="35"/>
    <n v="528.27377716704382"/>
    <x v="38"/>
  </r>
  <r>
    <x v="0"/>
    <x v="0"/>
    <x v="1"/>
    <x v="1"/>
    <m/>
    <x v="16"/>
    <x v="44"/>
    <x v="41"/>
    <n v="501.94483844469471"/>
    <x v="46"/>
  </r>
  <r>
    <x v="0"/>
    <x v="0"/>
    <x v="1"/>
    <x v="1"/>
    <m/>
    <x v="17"/>
    <x v="53"/>
    <x v="22"/>
    <n v="477.1212547196626"/>
    <x v="56"/>
  </r>
  <r>
    <x v="0"/>
    <x v="0"/>
    <x v="1"/>
    <x v="1"/>
    <m/>
    <x v="18"/>
    <x v="3"/>
    <x v="3"/>
    <n v="453.64015887013977"/>
    <x v="3"/>
  </r>
  <r>
    <x v="0"/>
    <x v="0"/>
    <x v="1"/>
    <x v="1"/>
    <m/>
    <x v="19"/>
    <x v="54"/>
    <x v="8"/>
    <n v="431.36376415898735"/>
    <x v="57"/>
  </r>
  <r>
    <x v="0"/>
    <x v="0"/>
    <x v="1"/>
    <x v="1"/>
    <m/>
    <x v="20"/>
    <x v="9"/>
    <x v="9"/>
    <n v="410.17446508904931"/>
    <x v="9"/>
  </r>
  <r>
    <x v="0"/>
    <x v="0"/>
    <x v="1"/>
    <x v="1"/>
    <m/>
    <x v="21"/>
    <x v="41"/>
    <x v="39"/>
    <n v="389.97107900076242"/>
    <x v="43"/>
  </r>
  <r>
    <x v="0"/>
    <x v="0"/>
    <x v="1"/>
    <x v="1"/>
    <m/>
    <x v="22"/>
    <x v="15"/>
    <x v="15"/>
    <n v="370.66592380537577"/>
    <x v="15"/>
  </r>
  <r>
    <x v="0"/>
    <x v="0"/>
    <x v="1"/>
    <x v="1"/>
    <m/>
    <x v="23"/>
    <x v="38"/>
    <x v="26"/>
    <n v="352.1825181113627"/>
    <x v="40"/>
  </r>
  <r>
    <x v="0"/>
    <x v="0"/>
    <x v="1"/>
    <x v="1"/>
    <m/>
    <x v="24"/>
    <x v="39"/>
    <x v="37"/>
    <n v="334.45375115093088"/>
    <x v="41"/>
  </r>
  <r>
    <x v="0"/>
    <x v="0"/>
    <x v="1"/>
    <x v="1"/>
    <m/>
    <x v="25"/>
    <x v="13"/>
    <x v="13"/>
    <n v="317.42041185215066"/>
    <x v="13"/>
  </r>
  <r>
    <x v="0"/>
    <x v="0"/>
    <x v="1"/>
    <x v="1"/>
    <m/>
    <x v="26"/>
    <x v="20"/>
    <x v="20"/>
    <n v="301.02999566398125"/>
    <x v="20"/>
  </r>
  <r>
    <x v="0"/>
    <x v="0"/>
    <x v="1"/>
    <x v="1"/>
    <m/>
    <x v="27"/>
    <x v="1"/>
    <x v="1"/>
    <n v="285.2357284807494"/>
    <x v="1"/>
  </r>
  <r>
    <x v="0"/>
    <x v="0"/>
    <x v="1"/>
    <x v="1"/>
    <m/>
    <x v="28"/>
    <x v="55"/>
    <x v="47"/>
    <n v="269.99576192401253"/>
    <x v="58"/>
  </r>
  <r>
    <x v="0"/>
    <x v="0"/>
    <x v="1"/>
    <x v="1"/>
    <m/>
    <x v="29"/>
    <x v="10"/>
    <x v="10"/>
    <n v="255.27250510330623"/>
    <x v="10"/>
  </r>
  <r>
    <x v="0"/>
    <x v="0"/>
    <x v="1"/>
    <x v="1"/>
    <m/>
    <x v="30"/>
    <x v="7"/>
    <x v="7"/>
    <n v="241.03206598869599"/>
    <x v="7"/>
  </r>
  <r>
    <x v="0"/>
    <x v="0"/>
    <x v="1"/>
    <x v="1"/>
    <m/>
    <x v="31"/>
    <x v="56"/>
    <x v="48"/>
    <n v="227.24378150306256"/>
    <x v="59"/>
  </r>
  <r>
    <x v="0"/>
    <x v="0"/>
    <x v="1"/>
    <x v="1"/>
    <m/>
    <x v="32"/>
    <x v="6"/>
    <x v="6"/>
    <n v="213.8798199450811"/>
    <x v="6"/>
  </r>
  <r>
    <x v="0"/>
    <x v="0"/>
    <x v="1"/>
    <x v="1"/>
    <m/>
    <x v="33"/>
    <x v="0"/>
    <x v="0"/>
    <n v="200.91484278071349"/>
    <x v="0"/>
  </r>
  <r>
    <x v="0"/>
    <x v="0"/>
    <x v="1"/>
    <x v="1"/>
    <m/>
    <x v="34"/>
    <x v="57"/>
    <x v="49"/>
    <n v="188.32571547269293"/>
    <x v="60"/>
  </r>
  <r>
    <x v="0"/>
    <x v="0"/>
    <x v="1"/>
    <x v="1"/>
    <m/>
    <x v="35"/>
    <x v="43"/>
    <x v="30"/>
    <n v="176.09125905568135"/>
    <x v="45"/>
  </r>
  <r>
    <x v="0"/>
    <x v="0"/>
    <x v="1"/>
    <x v="1"/>
    <m/>
    <x v="36"/>
    <x v="58"/>
    <x v="50"/>
    <n v="164.19203575597362"/>
    <x v="61"/>
  </r>
  <r>
    <x v="0"/>
    <x v="0"/>
    <x v="1"/>
    <x v="1"/>
    <m/>
    <x v="37"/>
    <x v="42"/>
    <x v="40"/>
    <n v="152.61016320615849"/>
    <x v="44"/>
  </r>
  <r>
    <x v="0"/>
    <x v="0"/>
    <x v="1"/>
    <x v="1"/>
    <m/>
    <x v="38"/>
    <x v="24"/>
    <x v="24"/>
    <n v="141.32915279646951"/>
    <x v="24"/>
  </r>
  <r>
    <x v="0"/>
    <x v="0"/>
    <x v="1"/>
    <x v="1"/>
    <m/>
    <x v="39"/>
    <x v="26"/>
    <x v="51"/>
    <n v="130.33376849500632"/>
    <x v="62"/>
  </r>
  <r>
    <x v="0"/>
    <x v="0"/>
    <x v="1"/>
    <x v="1"/>
    <m/>
    <x v="40"/>
    <x v="59"/>
    <x v="52"/>
    <n v="119.60990310323317"/>
    <x v="63"/>
  </r>
  <r>
    <x v="0"/>
    <x v="0"/>
    <x v="1"/>
    <x v="1"/>
    <m/>
    <x v="41"/>
    <x v="22"/>
    <x v="22"/>
    <n v="109.14446942506805"/>
    <x v="22"/>
  </r>
  <r>
    <x v="0"/>
    <x v="0"/>
    <x v="1"/>
    <x v="1"/>
    <m/>
    <x v="42"/>
    <x v="32"/>
    <x v="33"/>
    <n v="98.9253042433822"/>
    <x v="34"/>
  </r>
  <r>
    <x v="0"/>
    <x v="0"/>
    <x v="1"/>
    <x v="1"/>
    <m/>
    <x v="43"/>
    <x v="60"/>
    <x v="13"/>
    <n v="88.94108333678119"/>
    <x v="64"/>
  </r>
  <r>
    <x v="0"/>
    <x v="0"/>
    <x v="1"/>
    <x v="1"/>
    <m/>
    <x v="44"/>
    <x v="61"/>
    <x v="53"/>
    <n v="79.181246047624882"/>
    <x v="65"/>
  </r>
  <r>
    <x v="0"/>
    <x v="0"/>
    <x v="1"/>
    <x v="1"/>
    <m/>
    <x v="45"/>
    <x v="46"/>
    <x v="43"/>
    <n v="69.635928141394515"/>
    <x v="48"/>
  </r>
  <r>
    <x v="0"/>
    <x v="0"/>
    <x v="1"/>
    <x v="1"/>
    <m/>
    <x v="46"/>
    <x v="47"/>
    <x v="13"/>
    <n v="60.295901887251091"/>
    <x v="49"/>
  </r>
  <r>
    <x v="0"/>
    <x v="0"/>
    <x v="1"/>
    <x v="1"/>
    <m/>
    <x v="47"/>
    <x v="17"/>
    <x v="17"/>
    <n v="51.152522447381443"/>
    <x v="17"/>
  </r>
  <r>
    <x v="0"/>
    <x v="0"/>
    <x v="1"/>
    <x v="1"/>
    <m/>
    <x v="48"/>
    <x v="5"/>
    <x v="5"/>
    <n v="42.197679794454992"/>
    <x v="5"/>
  </r>
  <r>
    <x v="0"/>
    <x v="0"/>
    <x v="1"/>
    <x v="1"/>
    <m/>
    <x v="49"/>
    <x v="26"/>
    <x v="26"/>
    <n v="33.423755486949872"/>
    <x v="26"/>
  </r>
  <r>
    <x v="0"/>
    <x v="0"/>
    <x v="1"/>
    <x v="1"/>
    <m/>
    <x v="50"/>
    <x v="18"/>
    <x v="18"/>
    <n v="24.82358372503235"/>
    <x v="18"/>
  </r>
  <r>
    <x v="0"/>
    <x v="0"/>
    <x v="1"/>
    <x v="1"/>
    <m/>
    <x v="51"/>
    <x v="45"/>
    <x v="42"/>
    <n v="16.390416188169389"/>
    <x v="47"/>
  </r>
  <r>
    <x v="0"/>
    <x v="0"/>
    <x v="1"/>
    <x v="1"/>
    <m/>
    <x v="52"/>
    <x v="48"/>
    <x v="44"/>
    <n v="8.11789022217968"/>
    <x v="50"/>
  </r>
  <r>
    <x v="0"/>
    <x v="0"/>
    <x v="1"/>
    <x v="1"/>
    <m/>
    <x v="53"/>
    <x v="28"/>
    <x v="28"/>
    <n v="0"/>
    <x v="28"/>
  </r>
  <r>
    <x v="0"/>
    <x v="0"/>
    <x v="2"/>
    <x v="2"/>
    <m/>
    <x v="0"/>
    <x v="47"/>
    <x v="13"/>
    <n v="1954.242509439325"/>
    <x v="49"/>
  </r>
  <r>
    <x v="0"/>
    <x v="0"/>
    <x v="2"/>
    <x v="2"/>
    <m/>
    <x v="1"/>
    <x v="18"/>
    <x v="18"/>
    <n v="1653.2125137753437"/>
    <x v="18"/>
  </r>
  <r>
    <x v="0"/>
    <x v="0"/>
    <x v="2"/>
    <x v="2"/>
    <m/>
    <x v="2"/>
    <x v="48"/>
    <x v="44"/>
    <n v="1477.1212547196626"/>
    <x v="50"/>
  </r>
  <r>
    <x v="0"/>
    <x v="0"/>
    <x v="2"/>
    <x v="2"/>
    <m/>
    <x v="3"/>
    <x v="37"/>
    <x v="36"/>
    <n v="1352.1825181113627"/>
    <x v="39"/>
  </r>
  <r>
    <x v="0"/>
    <x v="0"/>
    <x v="2"/>
    <x v="2"/>
    <m/>
    <x v="4"/>
    <x v="26"/>
    <x v="26"/>
    <n v="1255.272505103306"/>
    <x v="26"/>
  </r>
  <r>
    <x v="0"/>
    <x v="0"/>
    <x v="2"/>
    <x v="2"/>
    <m/>
    <x v="5"/>
    <x v="34"/>
    <x v="34"/>
    <n v="1176.0912590556813"/>
    <x v="36"/>
  </r>
  <r>
    <x v="0"/>
    <x v="0"/>
    <x v="2"/>
    <x v="2"/>
    <m/>
    <x v="6"/>
    <x v="0"/>
    <x v="0"/>
    <n v="1109.1444694250683"/>
    <x v="0"/>
  </r>
  <r>
    <x v="0"/>
    <x v="0"/>
    <x v="2"/>
    <x v="2"/>
    <m/>
    <x v="7"/>
    <x v="17"/>
    <x v="17"/>
    <n v="1051.1525224473814"/>
    <x v="17"/>
  </r>
  <r>
    <x v="0"/>
    <x v="0"/>
    <x v="2"/>
    <x v="2"/>
    <m/>
    <x v="8"/>
    <x v="23"/>
    <x v="23"/>
    <n v="1000"/>
    <x v="23"/>
  </r>
  <r>
    <x v="0"/>
    <x v="0"/>
    <x v="2"/>
    <x v="2"/>
    <m/>
    <x v="9"/>
    <x v="59"/>
    <x v="52"/>
    <n v="954.24250943932498"/>
    <x v="63"/>
  </r>
  <r>
    <x v="0"/>
    <x v="0"/>
    <x v="2"/>
    <x v="2"/>
    <m/>
    <x v="10"/>
    <x v="62"/>
    <x v="54"/>
    <n v="912.84982428109981"/>
    <x v="66"/>
  </r>
  <r>
    <x v="0"/>
    <x v="0"/>
    <x v="2"/>
    <x v="2"/>
    <m/>
    <x v="11"/>
    <x v="9"/>
    <x v="9"/>
    <n v="875.06126339170009"/>
    <x v="9"/>
  </r>
  <r>
    <x v="0"/>
    <x v="0"/>
    <x v="2"/>
    <x v="2"/>
    <m/>
    <x v="12"/>
    <x v="41"/>
    <x v="39"/>
    <n v="840.29915713248829"/>
    <x v="43"/>
  </r>
  <r>
    <x v="0"/>
    <x v="0"/>
    <x v="2"/>
    <x v="2"/>
    <m/>
    <x v="13"/>
    <x v="15"/>
    <x v="15"/>
    <n v="808.11447376108708"/>
    <x v="15"/>
  </r>
  <r>
    <x v="0"/>
    <x v="0"/>
    <x v="2"/>
    <x v="2"/>
    <m/>
    <x v="14"/>
    <x v="3"/>
    <x v="3"/>
    <n v="778.15125038364363"/>
    <x v="3"/>
  </r>
  <r>
    <x v="0"/>
    <x v="0"/>
    <x v="2"/>
    <x v="2"/>
    <m/>
    <x v="15"/>
    <x v="4"/>
    <x v="4"/>
    <n v="750.12252678340019"/>
    <x v="4"/>
  </r>
  <r>
    <x v="0"/>
    <x v="0"/>
    <x v="2"/>
    <x v="2"/>
    <m/>
    <x v="16"/>
    <x v="63"/>
    <x v="21"/>
    <n v="723.79358806105108"/>
    <x v="67"/>
  </r>
  <r>
    <x v="0"/>
    <x v="0"/>
    <x v="2"/>
    <x v="2"/>
    <m/>
    <x v="17"/>
    <x v="21"/>
    <x v="21"/>
    <n v="698.97000433601897"/>
    <x v="21"/>
  </r>
  <r>
    <x v="0"/>
    <x v="0"/>
    <x v="2"/>
    <x v="2"/>
    <m/>
    <x v="18"/>
    <x v="16"/>
    <x v="16"/>
    <n v="675.48890848649614"/>
    <x v="16"/>
  </r>
  <r>
    <x v="0"/>
    <x v="0"/>
    <x v="2"/>
    <x v="2"/>
    <m/>
    <x v="19"/>
    <x v="31"/>
    <x v="32"/>
    <n v="653.21251377534372"/>
    <x v="33"/>
  </r>
  <r>
    <x v="0"/>
    <x v="0"/>
    <x v="2"/>
    <x v="2"/>
    <m/>
    <x v="20"/>
    <x v="8"/>
    <x v="29"/>
    <n v="632.02321470540574"/>
    <x v="29"/>
  </r>
  <r>
    <x v="0"/>
    <x v="0"/>
    <x v="2"/>
    <x v="2"/>
    <m/>
    <x v="21"/>
    <x v="49"/>
    <x v="13"/>
    <n v="611.81982861711879"/>
    <x v="51"/>
  </r>
  <r>
    <x v="0"/>
    <x v="0"/>
    <x v="2"/>
    <x v="2"/>
    <m/>
    <x v="22"/>
    <x v="5"/>
    <x v="5"/>
    <n v="592.51467342173214"/>
    <x v="5"/>
  </r>
  <r>
    <x v="0"/>
    <x v="0"/>
    <x v="2"/>
    <x v="2"/>
    <m/>
    <x v="23"/>
    <x v="8"/>
    <x v="8"/>
    <n v="574.03126772771907"/>
    <x v="8"/>
  </r>
  <r>
    <x v="0"/>
    <x v="0"/>
    <x v="2"/>
    <x v="2"/>
    <m/>
    <x v="24"/>
    <x v="64"/>
    <x v="55"/>
    <n v="556.30250076728726"/>
    <x v="68"/>
  </r>
  <r>
    <x v="0"/>
    <x v="0"/>
    <x v="2"/>
    <x v="2"/>
    <m/>
    <x v="25"/>
    <x v="19"/>
    <x v="19"/>
    <n v="539.26916146850704"/>
    <x v="19"/>
  </r>
  <r>
    <x v="0"/>
    <x v="0"/>
    <x v="2"/>
    <x v="2"/>
    <m/>
    <x v="26"/>
    <x v="65"/>
    <x v="56"/>
    <n v="522.87874528033763"/>
    <x v="69"/>
  </r>
  <r>
    <x v="0"/>
    <x v="0"/>
    <x v="2"/>
    <x v="2"/>
    <m/>
    <x v="27"/>
    <x v="53"/>
    <x v="22"/>
    <n v="507.08447809710577"/>
    <x v="56"/>
  </r>
  <r>
    <x v="0"/>
    <x v="0"/>
    <x v="2"/>
    <x v="2"/>
    <m/>
    <x v="28"/>
    <x v="65"/>
    <x v="57"/>
    <n v="491.8445115403689"/>
    <x v="70"/>
  </r>
  <r>
    <x v="0"/>
    <x v="0"/>
    <x v="2"/>
    <x v="2"/>
    <m/>
    <x v="29"/>
    <x v="12"/>
    <x v="12"/>
    <n v="477.1212547196626"/>
    <x v="12"/>
  </r>
  <r>
    <x v="0"/>
    <x v="0"/>
    <x v="2"/>
    <x v="2"/>
    <m/>
    <x v="30"/>
    <x v="66"/>
    <x v="58"/>
    <n v="462.88081560505236"/>
    <x v="71"/>
  </r>
  <r>
    <x v="0"/>
    <x v="0"/>
    <x v="2"/>
    <x v="2"/>
    <m/>
    <x v="31"/>
    <x v="67"/>
    <x v="59"/>
    <n v="449.09253111941894"/>
    <x v="72"/>
  </r>
  <r>
    <x v="0"/>
    <x v="0"/>
    <x v="2"/>
    <x v="2"/>
    <m/>
    <x v="32"/>
    <x v="40"/>
    <x v="38"/>
    <n v="435.72856956143744"/>
    <x v="42"/>
  </r>
  <r>
    <x v="0"/>
    <x v="0"/>
    <x v="2"/>
    <x v="2"/>
    <m/>
    <x v="33"/>
    <x v="54"/>
    <x v="8"/>
    <n v="422.76359239706983"/>
    <x v="57"/>
  </r>
  <r>
    <x v="0"/>
    <x v="0"/>
    <x v="2"/>
    <x v="2"/>
    <m/>
    <x v="34"/>
    <x v="39"/>
    <x v="37"/>
    <n v="410.17446508904931"/>
    <x v="41"/>
  </r>
  <r>
    <x v="0"/>
    <x v="0"/>
    <x v="2"/>
    <x v="2"/>
    <m/>
    <x v="35"/>
    <x v="26"/>
    <x v="51"/>
    <n v="397.94000867203772"/>
    <x v="62"/>
  </r>
  <r>
    <x v="0"/>
    <x v="0"/>
    <x v="2"/>
    <x v="2"/>
    <m/>
    <x v="36"/>
    <x v="68"/>
    <x v="50"/>
    <n v="386.04078537232999"/>
    <x v="73"/>
  </r>
  <r>
    <x v="0"/>
    <x v="0"/>
    <x v="2"/>
    <x v="2"/>
    <m/>
    <x v="37"/>
    <x v="69"/>
    <x v="60"/>
    <n v="374.45891282251489"/>
    <x v="74"/>
  </r>
  <r>
    <x v="0"/>
    <x v="0"/>
    <x v="2"/>
    <x v="2"/>
    <m/>
    <x v="38"/>
    <x v="52"/>
    <x v="7"/>
    <n v="363.17790241282586"/>
    <x v="55"/>
  </r>
  <r>
    <x v="0"/>
    <x v="0"/>
    <x v="2"/>
    <x v="2"/>
    <m/>
    <x v="39"/>
    <x v="36"/>
    <x v="35"/>
    <n v="352.1825181113627"/>
    <x v="38"/>
  </r>
  <r>
    <x v="0"/>
    <x v="0"/>
    <x v="2"/>
    <x v="2"/>
    <m/>
    <x v="40"/>
    <x v="33"/>
    <x v="27"/>
    <n v="341.45865271958951"/>
    <x v="35"/>
  </r>
  <r>
    <x v="0"/>
    <x v="0"/>
    <x v="2"/>
    <x v="2"/>
    <m/>
    <x v="41"/>
    <x v="70"/>
    <x v="61"/>
    <n v="330.99321904142442"/>
    <x v="75"/>
  </r>
  <r>
    <x v="0"/>
    <x v="0"/>
    <x v="2"/>
    <x v="2"/>
    <m/>
    <x v="42"/>
    <x v="27"/>
    <x v="27"/>
    <n v="320.77405385973856"/>
    <x v="27"/>
  </r>
  <r>
    <x v="0"/>
    <x v="0"/>
    <x v="2"/>
    <x v="2"/>
    <m/>
    <x v="43"/>
    <x v="25"/>
    <x v="25"/>
    <n v="310.78983295313753"/>
    <x v="25"/>
  </r>
  <r>
    <x v="0"/>
    <x v="0"/>
    <x v="2"/>
    <x v="2"/>
    <m/>
    <x v="44"/>
    <x v="10"/>
    <x v="10"/>
    <n v="301.02999566398125"/>
    <x v="10"/>
  </r>
  <r>
    <x v="0"/>
    <x v="0"/>
    <x v="2"/>
    <x v="2"/>
    <m/>
    <x v="45"/>
    <x v="14"/>
    <x v="14"/>
    <n v="291.48467775775089"/>
    <x v="14"/>
  </r>
  <r>
    <x v="0"/>
    <x v="0"/>
    <x v="2"/>
    <x v="2"/>
    <m/>
    <x v="46"/>
    <x v="7"/>
    <x v="7"/>
    <n v="282.14465150360746"/>
    <x v="7"/>
  </r>
  <r>
    <x v="0"/>
    <x v="0"/>
    <x v="2"/>
    <x v="2"/>
    <m/>
    <x v="47"/>
    <x v="35"/>
    <x v="4"/>
    <n v="273.00127206373782"/>
    <x v="37"/>
  </r>
  <r>
    <x v="0"/>
    <x v="0"/>
    <x v="2"/>
    <x v="2"/>
    <m/>
    <x v="48"/>
    <x v="55"/>
    <x v="47"/>
    <n v="264.04642941081136"/>
    <x v="58"/>
  </r>
  <r>
    <x v="0"/>
    <x v="0"/>
    <x v="2"/>
    <x v="2"/>
    <m/>
    <x v="49"/>
    <x v="20"/>
    <x v="20"/>
    <n v="255.27250510330623"/>
    <x v="20"/>
  </r>
  <r>
    <x v="0"/>
    <x v="0"/>
    <x v="2"/>
    <x v="2"/>
    <m/>
    <x v="50"/>
    <x v="58"/>
    <x v="50"/>
    <n v="246.67233334138871"/>
    <x v="61"/>
  </r>
  <r>
    <x v="0"/>
    <x v="0"/>
    <x v="2"/>
    <x v="2"/>
    <m/>
    <x v="51"/>
    <x v="56"/>
    <x v="48"/>
    <n v="238.23916580452575"/>
    <x v="59"/>
  </r>
  <r>
    <x v="0"/>
    <x v="0"/>
    <x v="2"/>
    <x v="2"/>
    <m/>
    <x v="52"/>
    <x v="71"/>
    <x v="62"/>
    <n v="229.96663983853605"/>
    <x v="76"/>
  </r>
  <r>
    <x v="0"/>
    <x v="0"/>
    <x v="2"/>
    <x v="2"/>
    <m/>
    <x v="53"/>
    <x v="28"/>
    <x v="28"/>
    <n v="221.84874961635637"/>
    <x v="28"/>
  </r>
  <r>
    <x v="0"/>
    <x v="0"/>
    <x v="2"/>
    <x v="2"/>
    <m/>
    <x v="54"/>
    <x v="72"/>
    <x v="25"/>
    <n v="213.8798199450811"/>
    <x v="77"/>
  </r>
  <r>
    <x v="0"/>
    <x v="0"/>
    <x v="2"/>
    <x v="2"/>
    <m/>
    <x v="55"/>
    <x v="73"/>
    <x v="3"/>
    <n v="206.05448243312452"/>
    <x v="78"/>
  </r>
  <r>
    <x v="0"/>
    <x v="0"/>
    <x v="2"/>
    <x v="2"/>
    <m/>
    <x v="56"/>
    <x v="22"/>
    <x v="22"/>
    <n v="198.36765376683351"/>
    <x v="22"/>
  </r>
  <r>
    <x v="0"/>
    <x v="0"/>
    <x v="2"/>
    <x v="2"/>
    <m/>
    <x v="57"/>
    <x v="44"/>
    <x v="41"/>
    <n v="190.81451587638765"/>
    <x v="46"/>
  </r>
  <r>
    <x v="0"/>
    <x v="0"/>
    <x v="2"/>
    <x v="2"/>
    <m/>
    <x v="58"/>
    <x v="30"/>
    <x v="30"/>
    <n v="183.39049779718076"/>
    <x v="31"/>
  </r>
  <r>
    <x v="0"/>
    <x v="0"/>
    <x v="2"/>
    <x v="2"/>
    <m/>
    <x v="59"/>
    <x v="74"/>
    <x v="63"/>
    <n v="176.09125905568135"/>
    <x v="79"/>
  </r>
  <r>
    <x v="0"/>
    <x v="0"/>
    <x v="2"/>
    <x v="2"/>
    <m/>
    <x v="60"/>
    <x v="75"/>
    <x v="64"/>
    <n v="168.91267442855784"/>
    <x v="80"/>
  </r>
  <r>
    <x v="0"/>
    <x v="0"/>
    <x v="2"/>
    <x v="2"/>
    <m/>
    <x v="61"/>
    <x v="29"/>
    <x v="3"/>
    <n v="161.85081994107108"/>
    <x v="30"/>
  </r>
  <r>
    <x v="0"/>
    <x v="0"/>
    <x v="2"/>
    <x v="2"/>
    <m/>
    <x v="62"/>
    <x v="2"/>
    <x v="2"/>
    <n v="154.9019599857433"/>
    <x v="2"/>
  </r>
  <r>
    <x v="0"/>
    <x v="0"/>
    <x v="2"/>
    <x v="2"/>
    <m/>
    <x v="63"/>
    <x v="76"/>
    <x v="9"/>
    <n v="148.06253545543791"/>
    <x v="81"/>
  </r>
  <r>
    <x v="0"/>
    <x v="0"/>
    <x v="2"/>
    <x v="2"/>
    <m/>
    <x v="64"/>
    <x v="47"/>
    <x v="65"/>
    <n v="141.32915279646951"/>
    <x v="82"/>
  </r>
  <r>
    <x v="0"/>
    <x v="0"/>
    <x v="2"/>
    <x v="2"/>
    <m/>
    <x v="65"/>
    <x v="77"/>
    <x v="30"/>
    <n v="134.69857389745621"/>
    <x v="83"/>
  </r>
  <r>
    <x v="0"/>
    <x v="0"/>
    <x v="2"/>
    <x v="2"/>
    <m/>
    <x v="66"/>
    <x v="49"/>
    <x v="46"/>
    <n v="128.16770673849854"/>
    <x v="54"/>
  </r>
  <r>
    <x v="0"/>
    <x v="0"/>
    <x v="2"/>
    <x v="2"/>
    <m/>
    <x v="67"/>
    <x v="78"/>
    <x v="17"/>
    <n v="121.73359673308859"/>
    <x v="84"/>
  </r>
  <r>
    <x v="0"/>
    <x v="0"/>
    <x v="2"/>
    <x v="2"/>
    <m/>
    <x v="68"/>
    <x v="6"/>
    <x v="6"/>
    <n v="115.39341870206977"/>
    <x v="6"/>
  </r>
  <r>
    <x v="0"/>
    <x v="0"/>
    <x v="2"/>
    <x v="2"/>
    <m/>
    <x v="69"/>
    <x v="61"/>
    <x v="53"/>
    <n v="109.14446942506805"/>
    <x v="65"/>
  </r>
  <r>
    <x v="0"/>
    <x v="0"/>
    <x v="2"/>
    <x v="2"/>
    <m/>
    <x v="70"/>
    <x v="57"/>
    <x v="49"/>
    <n v="102.98416072024975"/>
    <x v="60"/>
  </r>
  <r>
    <x v="0"/>
    <x v="0"/>
    <x v="2"/>
    <x v="2"/>
    <m/>
    <x v="71"/>
    <x v="13"/>
    <x v="13"/>
    <n v="96.910013008056467"/>
    <x v="13"/>
  </r>
  <r>
    <x v="0"/>
    <x v="0"/>
    <x v="2"/>
    <x v="2"/>
    <m/>
    <x v="72"/>
    <x v="46"/>
    <x v="43"/>
    <n v="90.919649318869091"/>
    <x v="48"/>
  </r>
  <r>
    <x v="0"/>
    <x v="0"/>
    <x v="2"/>
    <x v="2"/>
    <m/>
    <x v="73"/>
    <x v="79"/>
    <x v="66"/>
    <n v="85.010789708348739"/>
    <x v="85"/>
  </r>
  <r>
    <x v="0"/>
    <x v="0"/>
    <x v="2"/>
    <x v="2"/>
    <m/>
    <x v="74"/>
    <x v="50"/>
    <x v="45"/>
    <n v="79.181246047624882"/>
    <x v="52"/>
  </r>
  <r>
    <x v="0"/>
    <x v="0"/>
    <x v="2"/>
    <x v="2"/>
    <m/>
    <x v="75"/>
    <x v="1"/>
    <x v="1"/>
    <n v="73.428917158533608"/>
    <x v="1"/>
  </r>
  <r>
    <x v="0"/>
    <x v="0"/>
    <x v="2"/>
    <x v="2"/>
    <m/>
    <x v="76"/>
    <x v="32"/>
    <x v="33"/>
    <n v="67.751784266843146"/>
    <x v="34"/>
  </r>
  <r>
    <x v="0"/>
    <x v="0"/>
    <x v="2"/>
    <x v="2"/>
    <m/>
    <x v="77"/>
    <x v="80"/>
    <x v="67"/>
    <n v="62.147906748844626"/>
    <x v="86"/>
  </r>
  <r>
    <x v="0"/>
    <x v="0"/>
    <x v="2"/>
    <x v="2"/>
    <m/>
    <x v="78"/>
    <x v="42"/>
    <x v="40"/>
    <n v="56.615418148883599"/>
    <x v="44"/>
  </r>
  <r>
    <x v="0"/>
    <x v="0"/>
    <x v="2"/>
    <x v="2"/>
    <m/>
    <x v="79"/>
    <x v="60"/>
    <x v="13"/>
    <n v="51.152522447381443"/>
    <x v="64"/>
  </r>
  <r>
    <x v="0"/>
    <x v="0"/>
    <x v="2"/>
    <x v="2"/>
    <m/>
    <x v="80"/>
    <x v="81"/>
    <x v="66"/>
    <n v="45.757490560675237"/>
    <x v="87"/>
  </r>
  <r>
    <x v="0"/>
    <x v="0"/>
    <x v="2"/>
    <x v="2"/>
    <m/>
    <x v="81"/>
    <x v="11"/>
    <x v="11"/>
    <n v="40.428657055608276"/>
    <x v="11"/>
  </r>
  <r>
    <x v="0"/>
    <x v="0"/>
    <x v="2"/>
    <x v="2"/>
    <m/>
    <x v="82"/>
    <x v="51"/>
    <x v="24"/>
    <n v="35.164417063251022"/>
    <x v="53"/>
  </r>
  <r>
    <x v="0"/>
    <x v="0"/>
    <x v="2"/>
    <x v="2"/>
    <m/>
    <x v="83"/>
    <x v="82"/>
    <x v="68"/>
    <n v="29.963223377443391"/>
    <x v="88"/>
  </r>
  <r>
    <x v="0"/>
    <x v="0"/>
    <x v="2"/>
    <x v="2"/>
    <m/>
    <x v="84"/>
    <x v="43"/>
    <x v="30"/>
    <n v="24.82358372503235"/>
    <x v="45"/>
  </r>
  <r>
    <x v="0"/>
    <x v="0"/>
    <x v="2"/>
    <x v="2"/>
    <m/>
    <x v="85"/>
    <x v="15"/>
    <x v="31"/>
    <n v="19.744058195757308"/>
    <x v="32"/>
  </r>
  <r>
    <x v="0"/>
    <x v="0"/>
    <x v="2"/>
    <x v="2"/>
    <m/>
    <x v="86"/>
    <x v="45"/>
    <x v="42"/>
    <n v="14.723256820706521"/>
    <x v="47"/>
  </r>
  <r>
    <x v="0"/>
    <x v="0"/>
    <x v="2"/>
    <x v="2"/>
    <m/>
    <x v="87"/>
    <x v="83"/>
    <x v="57"/>
    <n v="9.7598372891563034"/>
    <x v="89"/>
  </r>
  <r>
    <x v="0"/>
    <x v="0"/>
    <x v="2"/>
    <x v="2"/>
    <m/>
    <x v="88"/>
    <x v="84"/>
    <x v="69"/>
    <n v="4.8525027944121835"/>
    <x v="90"/>
  </r>
  <r>
    <x v="0"/>
    <x v="0"/>
    <x v="2"/>
    <x v="2"/>
    <m/>
    <x v="89"/>
    <x v="38"/>
    <x v="26"/>
    <n v="0"/>
    <x v="40"/>
  </r>
  <r>
    <x v="0"/>
    <x v="1"/>
    <x v="3"/>
    <x v="1"/>
    <m/>
    <x v="0"/>
    <x v="27"/>
    <x v="21"/>
    <n v="1919.078092376074"/>
    <x v="91"/>
  </r>
  <r>
    <x v="0"/>
    <x v="1"/>
    <x v="3"/>
    <x v="1"/>
    <m/>
    <x v="1"/>
    <x v="85"/>
    <x v="70"/>
    <n v="1618.0480967120927"/>
    <x v="92"/>
  </r>
  <r>
    <x v="0"/>
    <x v="1"/>
    <x v="3"/>
    <x v="1"/>
    <m/>
    <x v="2"/>
    <x v="0"/>
    <x v="0"/>
    <n v="1441.9568376564116"/>
    <x v="0"/>
  </r>
  <r>
    <x v="0"/>
    <x v="1"/>
    <x v="3"/>
    <x v="1"/>
    <m/>
    <x v="3"/>
    <x v="86"/>
    <x v="71"/>
    <n v="1317.0181010481117"/>
    <x v="93"/>
  </r>
  <r>
    <x v="0"/>
    <x v="1"/>
    <x v="3"/>
    <x v="1"/>
    <m/>
    <x v="4"/>
    <x v="87"/>
    <x v="72"/>
    <n v="1220.108088040055"/>
    <x v="94"/>
  </r>
  <r>
    <x v="0"/>
    <x v="1"/>
    <x v="3"/>
    <x v="1"/>
    <m/>
    <x v="5"/>
    <x v="88"/>
    <x v="49"/>
    <n v="1140.9268419924304"/>
    <x v="95"/>
  </r>
  <r>
    <x v="0"/>
    <x v="1"/>
    <x v="3"/>
    <x v="1"/>
    <m/>
    <x v="6"/>
    <x v="89"/>
    <x v="37"/>
    <n v="1073.9800523618173"/>
    <x v="96"/>
  </r>
  <r>
    <x v="0"/>
    <x v="1"/>
    <x v="3"/>
    <x v="1"/>
    <m/>
    <x v="7"/>
    <x v="90"/>
    <x v="73"/>
    <n v="1015.9881053841304"/>
    <x v="97"/>
  </r>
  <r>
    <x v="0"/>
    <x v="1"/>
    <x v="4"/>
    <x v="3"/>
    <m/>
    <x v="0"/>
    <x v="36"/>
    <x v="35"/>
    <n v="1939.5192526186186"/>
    <x v="38"/>
  </r>
  <r>
    <x v="0"/>
    <x v="1"/>
    <x v="4"/>
    <x v="3"/>
    <m/>
    <x v="1"/>
    <x v="24"/>
    <x v="24"/>
    <n v="1638.4892569546373"/>
    <x v="24"/>
  </r>
  <r>
    <x v="0"/>
    <x v="1"/>
    <x v="4"/>
    <x v="3"/>
    <m/>
    <x v="2"/>
    <x v="91"/>
    <x v="3"/>
    <n v="1462.3979978989562"/>
    <x v="98"/>
  </r>
  <r>
    <x v="0"/>
    <x v="1"/>
    <x v="4"/>
    <x v="3"/>
    <m/>
    <x v="3"/>
    <x v="92"/>
    <x v="74"/>
    <n v="1337.4592612906563"/>
    <x v="99"/>
  </r>
  <r>
    <x v="0"/>
    <x v="1"/>
    <x v="4"/>
    <x v="3"/>
    <m/>
    <x v="4"/>
    <x v="93"/>
    <x v="74"/>
    <n v="1240.5492482825996"/>
    <x v="100"/>
  </r>
  <r>
    <x v="0"/>
    <x v="1"/>
    <x v="4"/>
    <x v="3"/>
    <m/>
    <x v="5"/>
    <x v="94"/>
    <x v="75"/>
    <n v="1161.3680022349749"/>
    <x v="101"/>
  </r>
  <r>
    <x v="0"/>
    <x v="1"/>
    <x v="4"/>
    <x v="3"/>
    <m/>
    <x v="6"/>
    <x v="95"/>
    <x v="76"/>
    <n v="1094.4212126043617"/>
    <x v="102"/>
  </r>
  <r>
    <x v="0"/>
    <x v="1"/>
    <x v="4"/>
    <x v="3"/>
    <m/>
    <x v="7"/>
    <x v="96"/>
    <x v="77"/>
    <n v="1036.429265626675"/>
    <x v="103"/>
  </r>
  <r>
    <x v="0"/>
    <x v="1"/>
    <x v="4"/>
    <x v="3"/>
    <m/>
    <x v="8"/>
    <x v="97"/>
    <x v="78"/>
    <n v="985.27674317929359"/>
    <x v="104"/>
  </r>
  <r>
    <x v="0"/>
    <x v="1"/>
    <x v="2"/>
    <x v="2"/>
    <m/>
    <x v="0"/>
    <x v="98"/>
    <x v="1"/>
    <n v="2255.2725051033062"/>
    <x v="105"/>
  </r>
  <r>
    <x v="0"/>
    <x v="1"/>
    <x v="2"/>
    <x v="2"/>
    <m/>
    <x v="1"/>
    <x v="99"/>
    <x v="79"/>
    <n v="1954.2425094393247"/>
    <x v="106"/>
  </r>
  <r>
    <x v="0"/>
    <x v="1"/>
    <x v="2"/>
    <x v="2"/>
    <m/>
    <x v="2"/>
    <x v="100"/>
    <x v="25"/>
    <n v="1778.1512503836436"/>
    <x v="107"/>
  </r>
  <r>
    <x v="0"/>
    <x v="1"/>
    <x v="2"/>
    <x v="2"/>
    <m/>
    <x v="3"/>
    <x v="101"/>
    <x v="80"/>
    <n v="1653.2125137753435"/>
    <x v="108"/>
  </r>
  <r>
    <x v="0"/>
    <x v="1"/>
    <x v="2"/>
    <x v="2"/>
    <m/>
    <x v="4"/>
    <x v="102"/>
    <x v="37"/>
    <n v="1556.3025007672873"/>
    <x v="109"/>
  </r>
  <r>
    <x v="0"/>
    <x v="1"/>
    <x v="2"/>
    <x v="2"/>
    <m/>
    <x v="5"/>
    <x v="103"/>
    <x v="81"/>
    <n v="1477.1212547196624"/>
    <x v="110"/>
  </r>
  <r>
    <x v="0"/>
    <x v="1"/>
    <x v="2"/>
    <x v="2"/>
    <m/>
    <x v="6"/>
    <x v="104"/>
    <x v="82"/>
    <n v="1410.1744650890491"/>
    <x v="111"/>
  </r>
  <r>
    <x v="0"/>
    <x v="1"/>
    <x v="2"/>
    <x v="2"/>
    <m/>
    <x v="7"/>
    <x v="105"/>
    <x v="58"/>
    <n v="1352.1825181113625"/>
    <x v="112"/>
  </r>
  <r>
    <x v="0"/>
    <x v="1"/>
    <x v="2"/>
    <x v="2"/>
    <m/>
    <x v="8"/>
    <x v="106"/>
    <x v="83"/>
    <n v="1301.0299956639813"/>
    <x v="113"/>
  </r>
  <r>
    <x v="0"/>
    <x v="1"/>
    <x v="2"/>
    <x v="2"/>
    <m/>
    <x v="9"/>
    <x v="107"/>
    <x v="84"/>
    <n v="1255.272505103306"/>
    <x v="114"/>
  </r>
  <r>
    <x v="0"/>
    <x v="1"/>
    <x v="2"/>
    <x v="2"/>
    <m/>
    <x v="10"/>
    <x v="108"/>
    <x v="1"/>
    <n v="1213.879819945081"/>
    <x v="115"/>
  </r>
  <r>
    <x v="0"/>
    <x v="1"/>
    <x v="2"/>
    <x v="2"/>
    <m/>
    <x v="11"/>
    <x v="109"/>
    <x v="85"/>
    <n v="1176.0912590556811"/>
    <x v="116"/>
  </r>
  <r>
    <x v="0"/>
    <x v="1"/>
    <x v="2"/>
    <x v="2"/>
    <m/>
    <x v="12"/>
    <x v="36"/>
    <x v="35"/>
    <n v="1141.3291527964693"/>
    <x v="38"/>
  </r>
  <r>
    <x v="0"/>
    <x v="1"/>
    <x v="2"/>
    <x v="2"/>
    <m/>
    <x v="13"/>
    <x v="110"/>
    <x v="86"/>
    <n v="1109.1444694250681"/>
    <x v="117"/>
  </r>
  <r>
    <x v="0"/>
    <x v="1"/>
    <x v="2"/>
    <x v="2"/>
    <m/>
    <x v="14"/>
    <x v="111"/>
    <x v="33"/>
    <n v="1079.1812460476247"/>
    <x v="118"/>
  </r>
  <r>
    <x v="0"/>
    <x v="1"/>
    <x v="2"/>
    <x v="2"/>
    <m/>
    <x v="15"/>
    <x v="112"/>
    <x v="37"/>
    <n v="1051.1525224473812"/>
    <x v="119"/>
  </r>
  <r>
    <x v="0"/>
    <x v="1"/>
    <x v="2"/>
    <x v="2"/>
    <m/>
    <x v="16"/>
    <x v="113"/>
    <x v="72"/>
    <n v="1024.8235837250322"/>
    <x v="120"/>
  </r>
  <r>
    <x v="0"/>
    <x v="1"/>
    <x v="2"/>
    <x v="2"/>
    <m/>
    <x v="17"/>
    <x v="114"/>
    <x v="87"/>
    <n v="1000"/>
    <x v="121"/>
  </r>
  <r>
    <x v="0"/>
    <x v="1"/>
    <x v="5"/>
    <x v="1"/>
    <m/>
    <x v="0"/>
    <x v="115"/>
    <x v="88"/>
    <n v="2158.3624920952498"/>
    <x v="122"/>
  </r>
  <r>
    <x v="0"/>
    <x v="1"/>
    <x v="5"/>
    <x v="1"/>
    <m/>
    <x v="1"/>
    <x v="116"/>
    <x v="89"/>
    <n v="1857.3324964312685"/>
    <x v="123"/>
  </r>
  <r>
    <x v="0"/>
    <x v="1"/>
    <x v="5"/>
    <x v="1"/>
    <m/>
    <x v="2"/>
    <x v="117"/>
    <x v="13"/>
    <n v="1681.2412373755874"/>
    <x v="124"/>
  </r>
  <r>
    <x v="0"/>
    <x v="1"/>
    <x v="5"/>
    <x v="1"/>
    <m/>
    <x v="3"/>
    <x v="36"/>
    <x v="35"/>
    <n v="1556.3025007672873"/>
    <x v="38"/>
  </r>
  <r>
    <x v="0"/>
    <x v="1"/>
    <x v="5"/>
    <x v="1"/>
    <m/>
    <x v="4"/>
    <x v="118"/>
    <x v="4"/>
    <n v="1459.392487759231"/>
    <x v="125"/>
  </r>
  <r>
    <x v="0"/>
    <x v="1"/>
    <x v="5"/>
    <x v="1"/>
    <m/>
    <x v="5"/>
    <x v="119"/>
    <x v="3"/>
    <n v="1380.2112417116061"/>
    <x v="126"/>
  </r>
  <r>
    <x v="0"/>
    <x v="1"/>
    <x v="5"/>
    <x v="1"/>
    <m/>
    <x v="6"/>
    <x v="23"/>
    <x v="23"/>
    <n v="1313.2644520809929"/>
    <x v="23"/>
  </r>
  <r>
    <x v="0"/>
    <x v="1"/>
    <x v="5"/>
    <x v="1"/>
    <m/>
    <x v="7"/>
    <x v="120"/>
    <x v="49"/>
    <n v="1255.2725051033062"/>
    <x v="127"/>
  </r>
  <r>
    <x v="0"/>
    <x v="1"/>
    <x v="5"/>
    <x v="1"/>
    <m/>
    <x v="8"/>
    <x v="121"/>
    <x v="90"/>
    <n v="1204.119982655925"/>
    <x v="128"/>
  </r>
  <r>
    <x v="0"/>
    <x v="2"/>
    <x v="4"/>
    <x v="3"/>
    <m/>
    <x v="0"/>
    <x v="9"/>
    <x v="9"/>
    <n v="1763.4279935629374"/>
    <x v="9"/>
  </r>
  <r>
    <x v="0"/>
    <x v="2"/>
    <x v="4"/>
    <x v="3"/>
    <m/>
    <x v="1"/>
    <x v="122"/>
    <x v="91"/>
    <n v="1462.3979978989562"/>
    <x v="129"/>
  </r>
  <r>
    <x v="0"/>
    <x v="2"/>
    <x v="4"/>
    <x v="3"/>
    <m/>
    <x v="2"/>
    <x v="120"/>
    <x v="49"/>
    <n v="1286.3067388432748"/>
    <x v="127"/>
  </r>
  <r>
    <x v="0"/>
    <x v="2"/>
    <x v="4"/>
    <x v="3"/>
    <m/>
    <x v="3"/>
    <x v="123"/>
    <x v="92"/>
    <n v="1161.3680022349749"/>
    <x v="130"/>
  </r>
  <r>
    <x v="0"/>
    <x v="2"/>
    <x v="4"/>
    <x v="3"/>
    <m/>
    <x v="4"/>
    <x v="124"/>
    <x v="49"/>
    <n v="1064.4579892269187"/>
    <x v="131"/>
  </r>
  <r>
    <x v="0"/>
    <x v="2"/>
    <x v="4"/>
    <x v="3"/>
    <m/>
    <x v="5"/>
    <x v="125"/>
    <x v="15"/>
    <n v="985.2767431792937"/>
    <x v="132"/>
  </r>
  <r>
    <x v="0"/>
    <x v="2"/>
    <x v="4"/>
    <x v="3"/>
    <m/>
    <x v="6"/>
    <x v="126"/>
    <x v="93"/>
    <n v="918.32995354868058"/>
    <x v="133"/>
  </r>
  <r>
    <x v="0"/>
    <x v="2"/>
    <x v="4"/>
    <x v="3"/>
    <m/>
    <x v="7"/>
    <x v="127"/>
    <x v="71"/>
    <n v="860.3380065709938"/>
    <x v="134"/>
  </r>
  <r>
    <x v="0"/>
    <x v="2"/>
    <x v="4"/>
    <x v="3"/>
    <m/>
    <x v="8"/>
    <x v="128"/>
    <x v="21"/>
    <n v="809.18548412361247"/>
    <x v="135"/>
  </r>
  <r>
    <x v="0"/>
    <x v="2"/>
    <x v="4"/>
    <x v="3"/>
    <m/>
    <x v="9"/>
    <x v="129"/>
    <x v="25"/>
    <n v="763.42799356293733"/>
    <x v="136"/>
  </r>
  <r>
    <x v="0"/>
    <x v="2"/>
    <x v="4"/>
    <x v="3"/>
    <m/>
    <x v="10"/>
    <x v="111"/>
    <x v="33"/>
    <n v="722.03530840471217"/>
    <x v="118"/>
  </r>
  <r>
    <x v="0"/>
    <x v="2"/>
    <x v="4"/>
    <x v="3"/>
    <m/>
    <x v="11"/>
    <x v="130"/>
    <x v="94"/>
    <n v="684.24674751531245"/>
    <x v="137"/>
  </r>
  <r>
    <x v="0"/>
    <x v="2"/>
    <x v="4"/>
    <x v="3"/>
    <m/>
    <x v="12"/>
    <x v="90"/>
    <x v="73"/>
    <n v="649.48464125610064"/>
    <x v="97"/>
  </r>
  <r>
    <x v="0"/>
    <x v="2"/>
    <x v="4"/>
    <x v="3"/>
    <m/>
    <x v="13"/>
    <x v="119"/>
    <x v="3"/>
    <n v="617.29995788469932"/>
    <x v="126"/>
  </r>
  <r>
    <x v="0"/>
    <x v="2"/>
    <x v="4"/>
    <x v="3"/>
    <m/>
    <x v="14"/>
    <x v="131"/>
    <x v="95"/>
    <n v="587.33673450725598"/>
    <x v="138"/>
  </r>
  <r>
    <x v="0"/>
    <x v="2"/>
    <x v="4"/>
    <x v="3"/>
    <m/>
    <x v="15"/>
    <x v="0"/>
    <x v="0"/>
    <n v="559.30801090701254"/>
    <x v="0"/>
  </r>
  <r>
    <x v="0"/>
    <x v="2"/>
    <x v="4"/>
    <x v="3"/>
    <m/>
    <x v="16"/>
    <x v="109"/>
    <x v="85"/>
    <n v="532.97907218466344"/>
    <x v="116"/>
  </r>
  <r>
    <x v="0"/>
    <x v="2"/>
    <x v="4"/>
    <x v="3"/>
    <m/>
    <x v="17"/>
    <x v="117"/>
    <x v="13"/>
    <n v="508.15548845963133"/>
    <x v="124"/>
  </r>
  <r>
    <x v="0"/>
    <x v="2"/>
    <x v="4"/>
    <x v="3"/>
    <m/>
    <x v="18"/>
    <x v="132"/>
    <x v="96"/>
    <n v="484.6743926101085"/>
    <x v="139"/>
  </r>
  <r>
    <x v="0"/>
    <x v="2"/>
    <x v="4"/>
    <x v="3"/>
    <m/>
    <x v="19"/>
    <x v="45"/>
    <x v="73"/>
    <n v="462.39799789895608"/>
    <x v="140"/>
  </r>
  <r>
    <x v="0"/>
    <x v="2"/>
    <x v="6"/>
    <x v="2"/>
    <m/>
    <x v="0"/>
    <x v="100"/>
    <x v="25"/>
    <n v="1612.7838567197355"/>
    <x v="107"/>
  </r>
  <r>
    <x v="0"/>
    <x v="2"/>
    <x v="6"/>
    <x v="2"/>
    <m/>
    <x v="1"/>
    <x v="133"/>
    <x v="97"/>
    <n v="1311.7538610557542"/>
    <x v="141"/>
  </r>
  <r>
    <x v="0"/>
    <x v="2"/>
    <x v="6"/>
    <x v="2"/>
    <m/>
    <x v="2"/>
    <x v="134"/>
    <x v="98"/>
    <n v="1135.6626020000731"/>
    <x v="142"/>
  </r>
  <r>
    <x v="0"/>
    <x v="2"/>
    <x v="6"/>
    <x v="2"/>
    <m/>
    <x v="90"/>
    <x v="135"/>
    <x v="99"/>
    <n v="959.57134294439174"/>
    <x v="143"/>
  </r>
  <r>
    <x v="0"/>
    <x v="2"/>
    <x v="6"/>
    <x v="2"/>
    <m/>
    <x v="90"/>
    <x v="93"/>
    <x v="4"/>
    <n v="959.57134294439174"/>
    <x v="144"/>
  </r>
  <r>
    <x v="0"/>
    <x v="2"/>
    <x v="6"/>
    <x v="2"/>
    <m/>
    <x v="6"/>
    <x v="109"/>
    <x v="85"/>
    <n v="767.6858167054786"/>
    <x v="116"/>
  </r>
  <r>
    <x v="0"/>
    <x v="2"/>
    <x v="6"/>
    <x v="2"/>
    <m/>
    <x v="6"/>
    <x v="136"/>
    <x v="100"/>
    <n v="767.6858167054786"/>
    <x v="145"/>
  </r>
  <r>
    <x v="0"/>
    <x v="2"/>
    <x v="6"/>
    <x v="2"/>
    <m/>
    <x v="6"/>
    <x v="137"/>
    <x v="101"/>
    <n v="767.6858167054786"/>
    <x v="146"/>
  </r>
  <r>
    <x v="0"/>
    <x v="2"/>
    <x v="6"/>
    <x v="2"/>
    <m/>
    <x v="91"/>
    <x v="99"/>
    <x v="79"/>
    <n v="591.59455764979737"/>
    <x v="106"/>
  </r>
  <r>
    <x v="0"/>
    <x v="2"/>
    <x v="6"/>
    <x v="2"/>
    <m/>
    <x v="91"/>
    <x v="45"/>
    <x v="42"/>
    <n v="591.59455764979737"/>
    <x v="47"/>
  </r>
  <r>
    <x v="0"/>
    <x v="2"/>
    <x v="6"/>
    <x v="2"/>
    <m/>
    <x v="91"/>
    <x v="131"/>
    <x v="3"/>
    <n v="591.59455764979737"/>
    <x v="147"/>
  </r>
  <r>
    <x v="0"/>
    <x v="2"/>
    <x v="6"/>
    <x v="2"/>
    <m/>
    <x v="91"/>
    <x v="138"/>
    <x v="7"/>
    <n v="591.59455764979737"/>
    <x v="148"/>
  </r>
  <r>
    <x v="0"/>
    <x v="2"/>
    <x v="6"/>
    <x v="2"/>
    <m/>
    <x v="92"/>
    <x v="0"/>
    <x v="0"/>
    <n v="451.41585448476064"/>
    <x v="0"/>
  </r>
  <r>
    <x v="0"/>
    <x v="2"/>
    <x v="6"/>
    <x v="2"/>
    <m/>
    <x v="92"/>
    <x v="139"/>
    <x v="102"/>
    <n v="451.41585448476064"/>
    <x v="149"/>
  </r>
  <r>
    <x v="0"/>
    <x v="2"/>
    <x v="6"/>
    <x v="2"/>
    <m/>
    <x v="92"/>
    <x v="9"/>
    <x v="9"/>
    <n v="451.41585448476064"/>
    <x v="9"/>
  </r>
  <r>
    <x v="0"/>
    <x v="2"/>
    <x v="6"/>
    <x v="2"/>
    <m/>
    <x v="92"/>
    <x v="70"/>
    <x v="61"/>
    <n v="451.41585448476064"/>
    <x v="75"/>
  </r>
  <r>
    <x v="0"/>
    <x v="2"/>
    <x v="6"/>
    <x v="2"/>
    <m/>
    <x v="93"/>
    <x v="140"/>
    <x v="64"/>
    <n v="301.02999566398125"/>
    <x v="150"/>
  </r>
  <r>
    <x v="0"/>
    <x v="2"/>
    <x v="6"/>
    <x v="2"/>
    <m/>
    <x v="93"/>
    <x v="60"/>
    <x v="13"/>
    <n v="301.02999566398125"/>
    <x v="64"/>
  </r>
  <r>
    <x v="0"/>
    <x v="2"/>
    <x v="6"/>
    <x v="2"/>
    <m/>
    <x v="93"/>
    <x v="130"/>
    <x v="94"/>
    <n v="301.02999566398125"/>
    <x v="137"/>
  </r>
  <r>
    <x v="0"/>
    <x v="2"/>
    <x v="6"/>
    <x v="2"/>
    <m/>
    <x v="93"/>
    <x v="45"/>
    <x v="73"/>
    <n v="301.02999566398125"/>
    <x v="140"/>
  </r>
  <r>
    <x v="0"/>
    <x v="2"/>
    <x v="6"/>
    <x v="2"/>
    <m/>
    <x v="93"/>
    <x v="103"/>
    <x v="81"/>
    <n v="301.02999566398125"/>
    <x v="110"/>
  </r>
  <r>
    <x v="0"/>
    <x v="2"/>
    <x v="6"/>
    <x v="2"/>
    <m/>
    <x v="93"/>
    <x v="128"/>
    <x v="21"/>
    <n v="301.02999566398125"/>
    <x v="135"/>
  </r>
  <r>
    <x v="0"/>
    <x v="2"/>
    <x v="6"/>
    <x v="2"/>
    <m/>
    <x v="93"/>
    <x v="129"/>
    <x v="25"/>
    <n v="301.02999566398125"/>
    <x v="136"/>
  </r>
  <r>
    <x v="0"/>
    <x v="2"/>
    <x v="6"/>
    <x v="2"/>
    <m/>
    <x v="93"/>
    <x v="111"/>
    <x v="33"/>
    <n v="301.02999566398125"/>
    <x v="118"/>
  </r>
  <r>
    <x v="0"/>
    <x v="2"/>
    <x v="7"/>
    <x v="4"/>
    <m/>
    <x v="0"/>
    <x v="140"/>
    <x v="64"/>
    <n v="1662.7578316815741"/>
    <x v="150"/>
  </r>
  <r>
    <x v="0"/>
    <x v="2"/>
    <x v="7"/>
    <x v="4"/>
    <m/>
    <x v="1"/>
    <x v="31"/>
    <x v="32"/>
    <n v="1361.7278360175928"/>
    <x v="33"/>
  </r>
  <r>
    <x v="0"/>
    <x v="2"/>
    <x v="7"/>
    <x v="4"/>
    <m/>
    <x v="2"/>
    <x v="141"/>
    <x v="56"/>
    <n v="1185.6365769619117"/>
    <x v="151"/>
  </r>
  <r>
    <x v="0"/>
    <x v="2"/>
    <x v="7"/>
    <x v="4"/>
    <m/>
    <x v="3"/>
    <x v="136"/>
    <x v="100"/>
    <n v="1060.6978403536118"/>
    <x v="145"/>
  </r>
  <r>
    <x v="0"/>
    <x v="2"/>
    <x v="7"/>
    <x v="4"/>
    <m/>
    <x v="4"/>
    <x v="120"/>
    <x v="49"/>
    <n v="963.78782734555523"/>
    <x v="127"/>
  </r>
  <r>
    <x v="0"/>
    <x v="2"/>
    <x v="7"/>
    <x v="4"/>
    <m/>
    <x v="5"/>
    <x v="100"/>
    <x v="25"/>
    <n v="884.60658129793046"/>
    <x v="107"/>
  </r>
  <r>
    <x v="0"/>
    <x v="2"/>
    <x v="7"/>
    <x v="4"/>
    <m/>
    <x v="6"/>
    <x v="123"/>
    <x v="92"/>
    <n v="817.65979166731734"/>
    <x v="130"/>
  </r>
  <r>
    <x v="0"/>
    <x v="2"/>
    <x v="7"/>
    <x v="4"/>
    <m/>
    <x v="7"/>
    <x v="138"/>
    <x v="7"/>
    <n v="759.66784468963056"/>
    <x v="148"/>
  </r>
  <r>
    <x v="0"/>
    <x v="2"/>
    <x v="7"/>
    <x v="4"/>
    <m/>
    <x v="8"/>
    <x v="142"/>
    <x v="71"/>
    <n v="708.51532224224923"/>
    <x v="152"/>
  </r>
  <r>
    <x v="0"/>
    <x v="2"/>
    <x v="7"/>
    <x v="4"/>
    <m/>
    <x v="9"/>
    <x v="134"/>
    <x v="98"/>
    <n v="662.75783168157409"/>
    <x v="142"/>
  </r>
  <r>
    <x v="0"/>
    <x v="2"/>
    <x v="7"/>
    <x v="4"/>
    <m/>
    <x v="10"/>
    <x v="128"/>
    <x v="21"/>
    <n v="621.36514652334893"/>
    <x v="135"/>
  </r>
  <r>
    <x v="0"/>
    <x v="2"/>
    <x v="7"/>
    <x v="4"/>
    <m/>
    <x v="11"/>
    <x v="143"/>
    <x v="23"/>
    <n v="583.57658563394921"/>
    <x v="153"/>
  </r>
  <r>
    <x v="0"/>
    <x v="2"/>
    <x v="7"/>
    <x v="4"/>
    <m/>
    <x v="12"/>
    <x v="119"/>
    <x v="3"/>
    <n v="548.8144793747374"/>
    <x v="126"/>
  </r>
  <r>
    <x v="0"/>
    <x v="2"/>
    <x v="7"/>
    <x v="4"/>
    <m/>
    <x v="13"/>
    <x v="121"/>
    <x v="90"/>
    <n v="516.6297960033362"/>
    <x v="128"/>
  </r>
  <r>
    <x v="0"/>
    <x v="2"/>
    <x v="7"/>
    <x v="4"/>
    <m/>
    <x v="14"/>
    <x v="9"/>
    <x v="9"/>
    <n v="486.66657262589274"/>
    <x v="9"/>
  </r>
  <r>
    <x v="0"/>
    <x v="2"/>
    <x v="7"/>
    <x v="4"/>
    <m/>
    <x v="15"/>
    <x v="144"/>
    <x v="4"/>
    <n v="458.6378490256493"/>
    <x v="154"/>
  </r>
  <r>
    <x v="0"/>
    <x v="2"/>
    <x v="7"/>
    <x v="4"/>
    <m/>
    <x v="16"/>
    <x v="90"/>
    <x v="73"/>
    <n v="432.30891030330019"/>
    <x v="97"/>
  </r>
  <r>
    <x v="0"/>
    <x v="2"/>
    <x v="7"/>
    <x v="4"/>
    <m/>
    <x v="17"/>
    <x v="0"/>
    <x v="0"/>
    <n v="407.48532657826809"/>
    <x v="0"/>
  </r>
  <r>
    <x v="0"/>
    <x v="2"/>
    <x v="7"/>
    <x v="4"/>
    <m/>
    <x v="18"/>
    <x v="145"/>
    <x v="49"/>
    <n v="384.00423072874526"/>
    <x v="155"/>
  </r>
  <r>
    <x v="0"/>
    <x v="2"/>
    <x v="7"/>
    <x v="4"/>
    <m/>
    <x v="19"/>
    <x v="127"/>
    <x v="71"/>
    <n v="361.72783601759284"/>
    <x v="134"/>
  </r>
  <r>
    <x v="0"/>
    <x v="3"/>
    <x v="8"/>
    <x v="1"/>
    <m/>
    <x v="0"/>
    <x v="110"/>
    <x v="86"/>
    <n v="1770.8520116421441"/>
    <x v="117"/>
  </r>
  <r>
    <x v="0"/>
    <x v="3"/>
    <x v="8"/>
    <x v="1"/>
    <m/>
    <x v="1"/>
    <x v="32"/>
    <x v="33"/>
    <n v="1469.8220159781629"/>
    <x v="34"/>
  </r>
  <r>
    <x v="0"/>
    <x v="3"/>
    <x v="8"/>
    <x v="1"/>
    <m/>
    <x v="2"/>
    <x v="115"/>
    <x v="103"/>
    <n v="1293.7307569224818"/>
    <x v="156"/>
  </r>
  <r>
    <x v="0"/>
    <x v="3"/>
    <x v="8"/>
    <x v="1"/>
    <m/>
    <x v="3"/>
    <x v="115"/>
    <x v="88"/>
    <n v="1168.7920203141816"/>
    <x v="122"/>
  </r>
  <r>
    <x v="0"/>
    <x v="3"/>
    <x v="8"/>
    <x v="1"/>
    <m/>
    <x v="4"/>
    <x v="146"/>
    <x v="49"/>
    <n v="1071.8820073061254"/>
    <x v="157"/>
  </r>
  <r>
    <x v="0"/>
    <x v="3"/>
    <x v="8"/>
    <x v="1"/>
    <m/>
    <x v="5"/>
    <x v="147"/>
    <x v="1"/>
    <n v="992.70076125850062"/>
    <x v="158"/>
  </r>
  <r>
    <x v="0"/>
    <x v="3"/>
    <x v="8"/>
    <x v="1"/>
    <m/>
    <x v="6"/>
    <x v="148"/>
    <x v="25"/>
    <n v="925.75397162788738"/>
    <x v="159"/>
  </r>
  <r>
    <x v="0"/>
    <x v="3"/>
    <x v="8"/>
    <x v="1"/>
    <m/>
    <x v="7"/>
    <x v="76"/>
    <x v="9"/>
    <n v="867.76202465020071"/>
    <x v="81"/>
  </r>
  <r>
    <x v="0"/>
    <x v="3"/>
    <x v="8"/>
    <x v="1"/>
    <m/>
    <x v="8"/>
    <x v="149"/>
    <x v="15"/>
    <n v="816.60950220281939"/>
    <x v="160"/>
  </r>
  <r>
    <x v="0"/>
    <x v="3"/>
    <x v="8"/>
    <x v="1"/>
    <m/>
    <x v="9"/>
    <x v="102"/>
    <x v="37"/>
    <n v="770.85201164214425"/>
    <x v="109"/>
  </r>
  <r>
    <x v="0"/>
    <x v="3"/>
    <x v="8"/>
    <x v="1"/>
    <m/>
    <x v="10"/>
    <x v="150"/>
    <x v="104"/>
    <n v="729.45932648391909"/>
    <x v="161"/>
  </r>
  <r>
    <x v="0"/>
    <x v="3"/>
    <x v="8"/>
    <x v="1"/>
    <m/>
    <x v="11"/>
    <x v="12"/>
    <x v="12"/>
    <n v="691.67076559451937"/>
    <x v="12"/>
  </r>
  <r>
    <x v="0"/>
    <x v="3"/>
    <x v="8"/>
    <x v="1"/>
    <m/>
    <x v="12"/>
    <x v="22"/>
    <x v="22"/>
    <n v="656.90865933530756"/>
    <x v="22"/>
  </r>
  <r>
    <x v="0"/>
    <x v="3"/>
    <x v="8"/>
    <x v="1"/>
    <m/>
    <x v="13"/>
    <x v="151"/>
    <x v="105"/>
    <n v="624.72397596390624"/>
    <x v="162"/>
  </r>
  <r>
    <x v="0"/>
    <x v="3"/>
    <x v="8"/>
    <x v="1"/>
    <m/>
    <x v="14"/>
    <x v="34"/>
    <x v="34"/>
    <n v="594.7607525864629"/>
    <x v="36"/>
  </r>
  <r>
    <x v="0"/>
    <x v="3"/>
    <x v="8"/>
    <x v="1"/>
    <m/>
    <x v="15"/>
    <x v="30"/>
    <x v="30"/>
    <n v="566.73202898621946"/>
    <x v="31"/>
  </r>
  <r>
    <x v="0"/>
    <x v="3"/>
    <x v="8"/>
    <x v="1"/>
    <m/>
    <x v="16"/>
    <x v="47"/>
    <x v="67"/>
    <n v="540.40309026387035"/>
    <x v="163"/>
  </r>
  <r>
    <x v="0"/>
    <x v="3"/>
    <x v="8"/>
    <x v="1"/>
    <m/>
    <x v="17"/>
    <x v="35"/>
    <x v="4"/>
    <n v="515.57950653883825"/>
    <x v="37"/>
  </r>
  <r>
    <x v="0"/>
    <x v="3"/>
    <x v="8"/>
    <x v="1"/>
    <m/>
    <x v="22"/>
    <x v="152"/>
    <x v="106"/>
    <n v="409.12417562455141"/>
    <x v="164"/>
  </r>
  <r>
    <x v="0"/>
    <x v="3"/>
    <x v="8"/>
    <x v="1"/>
    <m/>
    <x v="22"/>
    <x v="26"/>
    <x v="26"/>
    <n v="409.12417562455141"/>
    <x v="26"/>
  </r>
  <r>
    <x v="0"/>
    <x v="3"/>
    <x v="8"/>
    <x v="1"/>
    <m/>
    <x v="22"/>
    <x v="153"/>
    <x v="107"/>
    <n v="409.12417562455141"/>
    <x v="165"/>
  </r>
  <r>
    <x v="0"/>
    <x v="3"/>
    <x v="8"/>
    <x v="1"/>
    <m/>
    <x v="22"/>
    <x v="154"/>
    <x v="108"/>
    <n v="409.12417562455141"/>
    <x v="166"/>
  </r>
  <r>
    <x v="0"/>
    <x v="3"/>
    <x v="8"/>
    <x v="1"/>
    <m/>
    <x v="22"/>
    <x v="11"/>
    <x v="11"/>
    <n v="409.12417562455141"/>
    <x v="11"/>
  </r>
  <r>
    <x v="0"/>
    <x v="3"/>
    <x v="8"/>
    <x v="1"/>
    <m/>
    <x v="22"/>
    <x v="49"/>
    <x v="46"/>
    <n v="409.12417562455141"/>
    <x v="54"/>
  </r>
  <r>
    <x v="0"/>
    <x v="3"/>
    <x v="8"/>
    <x v="1"/>
    <m/>
    <x v="22"/>
    <x v="94"/>
    <x v="75"/>
    <n v="409.12417562455141"/>
    <x v="101"/>
  </r>
  <r>
    <x v="0"/>
    <x v="3"/>
    <x v="8"/>
    <x v="1"/>
    <m/>
    <x v="22"/>
    <x v="5"/>
    <x v="5"/>
    <n v="409.12417562455141"/>
    <x v="5"/>
  </r>
  <r>
    <x v="0"/>
    <x v="3"/>
    <x v="8"/>
    <x v="1"/>
    <m/>
    <x v="22"/>
    <x v="155"/>
    <x v="109"/>
    <n v="409.12417562455141"/>
    <x v="167"/>
  </r>
  <r>
    <x v="0"/>
    <x v="3"/>
    <x v="8"/>
    <x v="1"/>
    <m/>
    <x v="31"/>
    <x v="15"/>
    <x v="15"/>
    <n v="265.70203332223821"/>
    <x v="15"/>
  </r>
  <r>
    <x v="0"/>
    <x v="3"/>
    <x v="8"/>
    <x v="1"/>
    <m/>
    <x v="31"/>
    <x v="156"/>
    <x v="110"/>
    <n v="265.70203332223821"/>
    <x v="168"/>
  </r>
  <r>
    <x v="0"/>
    <x v="3"/>
    <x v="8"/>
    <x v="1"/>
    <m/>
    <x v="31"/>
    <x v="21"/>
    <x v="21"/>
    <n v="265.70203332223821"/>
    <x v="21"/>
  </r>
  <r>
    <x v="0"/>
    <x v="3"/>
    <x v="8"/>
    <x v="1"/>
    <m/>
    <x v="31"/>
    <x v="157"/>
    <x v="3"/>
    <n v="265.70203332223821"/>
    <x v="169"/>
  </r>
  <r>
    <x v="0"/>
    <x v="3"/>
    <x v="8"/>
    <x v="1"/>
    <m/>
    <x v="31"/>
    <x v="42"/>
    <x v="40"/>
    <n v="265.70203332223821"/>
    <x v="44"/>
  </r>
  <r>
    <x v="0"/>
    <x v="3"/>
    <x v="8"/>
    <x v="1"/>
    <m/>
    <x v="31"/>
    <x v="158"/>
    <x v="111"/>
    <n v="265.70203332223821"/>
    <x v="170"/>
  </r>
  <r>
    <x v="0"/>
    <x v="3"/>
    <x v="8"/>
    <x v="1"/>
    <m/>
    <x v="31"/>
    <x v="56"/>
    <x v="48"/>
    <n v="265.70203332223821"/>
    <x v="59"/>
  </r>
  <r>
    <x v="0"/>
    <x v="3"/>
    <x v="8"/>
    <x v="1"/>
    <m/>
    <x v="31"/>
    <x v="39"/>
    <x v="37"/>
    <n v="265.70203332223821"/>
    <x v="41"/>
  </r>
  <r>
    <x v="0"/>
    <x v="3"/>
    <x v="8"/>
    <x v="1"/>
    <m/>
    <x v="31"/>
    <x v="159"/>
    <x v="112"/>
    <n v="265.70203332223821"/>
    <x v="171"/>
  </r>
  <r>
    <x v="0"/>
    <x v="3"/>
    <x v="8"/>
    <x v="1"/>
    <m/>
    <x v="40"/>
    <x v="4"/>
    <x v="4"/>
    <n v="158.06815492240878"/>
    <x v="4"/>
  </r>
  <r>
    <x v="0"/>
    <x v="3"/>
    <x v="8"/>
    <x v="1"/>
    <m/>
    <x v="40"/>
    <x v="84"/>
    <x v="69"/>
    <n v="158.06815492240878"/>
    <x v="90"/>
  </r>
  <r>
    <x v="0"/>
    <x v="3"/>
    <x v="8"/>
    <x v="1"/>
    <m/>
    <x v="40"/>
    <x v="19"/>
    <x v="19"/>
    <n v="158.06815492240878"/>
    <x v="19"/>
  </r>
  <r>
    <x v="0"/>
    <x v="3"/>
    <x v="8"/>
    <x v="1"/>
    <m/>
    <x v="40"/>
    <x v="160"/>
    <x v="92"/>
    <n v="158.06815492240878"/>
    <x v="172"/>
  </r>
  <r>
    <x v="0"/>
    <x v="3"/>
    <x v="8"/>
    <x v="1"/>
    <m/>
    <x v="40"/>
    <x v="161"/>
    <x v="113"/>
    <n v="158.06815492240878"/>
    <x v="173"/>
  </r>
  <r>
    <x v="0"/>
    <x v="3"/>
    <x v="8"/>
    <x v="1"/>
    <m/>
    <x v="40"/>
    <x v="40"/>
    <x v="38"/>
    <n v="158.06815492240878"/>
    <x v="42"/>
  </r>
  <r>
    <x v="0"/>
    <x v="3"/>
    <x v="8"/>
    <x v="1"/>
    <m/>
    <x v="40"/>
    <x v="162"/>
    <x v="114"/>
    <n v="158.06815492240878"/>
    <x v="174"/>
  </r>
  <r>
    <x v="0"/>
    <x v="3"/>
    <x v="8"/>
    <x v="1"/>
    <m/>
    <x v="40"/>
    <x v="163"/>
    <x v="44"/>
    <n v="158.06815492240878"/>
    <x v="175"/>
  </r>
  <r>
    <x v="0"/>
    <x v="3"/>
    <x v="8"/>
    <x v="1"/>
    <m/>
    <x v="40"/>
    <x v="164"/>
    <x v="82"/>
    <n v="158.06815492240878"/>
    <x v="176"/>
  </r>
  <r>
    <x v="0"/>
    <x v="3"/>
    <x v="8"/>
    <x v="1"/>
    <m/>
    <x v="94"/>
    <x v="88"/>
    <x v="49"/>
    <n v="50.692708236187435"/>
    <x v="95"/>
  </r>
  <r>
    <x v="0"/>
    <x v="3"/>
    <x v="8"/>
    <x v="1"/>
    <m/>
    <x v="94"/>
    <x v="26"/>
    <x v="51"/>
    <n v="50.692708236187435"/>
    <x v="62"/>
  </r>
  <r>
    <x v="0"/>
    <x v="3"/>
    <x v="8"/>
    <x v="1"/>
    <m/>
    <x v="94"/>
    <x v="13"/>
    <x v="13"/>
    <n v="50.692708236187435"/>
    <x v="13"/>
  </r>
  <r>
    <x v="0"/>
    <x v="3"/>
    <x v="8"/>
    <x v="1"/>
    <m/>
    <x v="94"/>
    <x v="165"/>
    <x v="115"/>
    <n v="50.692708236187435"/>
    <x v="177"/>
  </r>
  <r>
    <x v="0"/>
    <x v="3"/>
    <x v="8"/>
    <x v="1"/>
    <m/>
    <x v="94"/>
    <x v="21"/>
    <x v="116"/>
    <n v="50.692708236187435"/>
    <x v="178"/>
  </r>
  <r>
    <x v="0"/>
    <x v="3"/>
    <x v="8"/>
    <x v="1"/>
    <m/>
    <x v="94"/>
    <x v="49"/>
    <x v="13"/>
    <n v="50.692708236187435"/>
    <x v="51"/>
  </r>
  <r>
    <x v="0"/>
    <x v="3"/>
    <x v="8"/>
    <x v="1"/>
    <m/>
    <x v="94"/>
    <x v="141"/>
    <x v="56"/>
    <n v="50.692708236187435"/>
    <x v="151"/>
  </r>
  <r>
    <x v="0"/>
    <x v="3"/>
    <x v="8"/>
    <x v="1"/>
    <m/>
    <x v="94"/>
    <x v="43"/>
    <x v="12"/>
    <n v="50.692708236187435"/>
    <x v="179"/>
  </r>
  <r>
    <x v="0"/>
    <x v="3"/>
    <x v="8"/>
    <x v="1"/>
    <m/>
    <x v="94"/>
    <x v="43"/>
    <x v="30"/>
    <n v="50.692708236187435"/>
    <x v="45"/>
  </r>
  <r>
    <x v="0"/>
    <x v="3"/>
    <x v="8"/>
    <x v="1"/>
    <m/>
    <x v="94"/>
    <x v="17"/>
    <x v="17"/>
    <n v="50.692708236187435"/>
    <x v="17"/>
  </r>
  <r>
    <x v="0"/>
    <x v="3"/>
    <x v="8"/>
    <x v="1"/>
    <m/>
    <x v="94"/>
    <x v="166"/>
    <x v="37"/>
    <n v="50.692708236187435"/>
    <x v="180"/>
  </r>
  <r>
    <x v="0"/>
    <x v="3"/>
    <x v="8"/>
    <x v="1"/>
    <m/>
    <x v="94"/>
    <x v="167"/>
    <x v="22"/>
    <n v="50.692708236187435"/>
    <x v="181"/>
  </r>
  <r>
    <x v="0"/>
    <x v="3"/>
    <x v="8"/>
    <x v="1"/>
    <m/>
    <x v="94"/>
    <x v="168"/>
    <x v="117"/>
    <n v="50.692708236187435"/>
    <x v="182"/>
  </r>
  <r>
    <x v="0"/>
    <x v="3"/>
    <x v="8"/>
    <x v="1"/>
    <m/>
    <x v="94"/>
    <x v="51"/>
    <x v="24"/>
    <n v="50.692708236187435"/>
    <x v="53"/>
  </r>
  <r>
    <x v="0"/>
    <x v="3"/>
    <x v="2"/>
    <x v="2"/>
    <m/>
    <x v="0"/>
    <x v="158"/>
    <x v="111"/>
    <n v="1929.4189257142925"/>
    <x v="170"/>
  </r>
  <r>
    <x v="0"/>
    <x v="3"/>
    <x v="2"/>
    <x v="2"/>
    <m/>
    <x v="1"/>
    <x v="30"/>
    <x v="30"/>
    <n v="1628.3889300503113"/>
    <x v="31"/>
  </r>
  <r>
    <x v="0"/>
    <x v="3"/>
    <x v="2"/>
    <x v="2"/>
    <m/>
    <x v="2"/>
    <x v="164"/>
    <x v="82"/>
    <n v="1452.2976709946302"/>
    <x v="176"/>
  </r>
  <r>
    <x v="0"/>
    <x v="3"/>
    <x v="2"/>
    <x v="2"/>
    <m/>
    <x v="3"/>
    <x v="141"/>
    <x v="56"/>
    <n v="1327.3589343863302"/>
    <x v="151"/>
  </r>
  <r>
    <x v="0"/>
    <x v="3"/>
    <x v="2"/>
    <x v="2"/>
    <m/>
    <x v="4"/>
    <x v="166"/>
    <x v="37"/>
    <n v="1230.4489213782736"/>
    <x v="180"/>
  </r>
  <r>
    <x v="0"/>
    <x v="3"/>
    <x v="2"/>
    <x v="2"/>
    <m/>
    <x v="5"/>
    <x v="169"/>
    <x v="118"/>
    <n v="1151.2676753306489"/>
    <x v="183"/>
  </r>
  <r>
    <x v="0"/>
    <x v="3"/>
    <x v="2"/>
    <x v="2"/>
    <m/>
    <x v="6"/>
    <x v="49"/>
    <x v="13"/>
    <n v="1084.3208857000359"/>
    <x v="51"/>
  </r>
  <r>
    <x v="0"/>
    <x v="3"/>
    <x v="2"/>
    <x v="2"/>
    <m/>
    <x v="7"/>
    <x v="22"/>
    <x v="22"/>
    <n v="1026.328938722349"/>
    <x v="22"/>
  </r>
  <r>
    <x v="0"/>
    <x v="3"/>
    <x v="2"/>
    <x v="2"/>
    <m/>
    <x v="8"/>
    <x v="13"/>
    <x v="13"/>
    <n v="975.17641627496778"/>
    <x v="13"/>
  </r>
  <r>
    <x v="0"/>
    <x v="3"/>
    <x v="2"/>
    <x v="2"/>
    <m/>
    <x v="9"/>
    <x v="79"/>
    <x v="66"/>
    <n v="929.41892571429264"/>
    <x v="85"/>
  </r>
  <r>
    <x v="0"/>
    <x v="3"/>
    <x v="2"/>
    <x v="2"/>
    <m/>
    <x v="10"/>
    <x v="147"/>
    <x v="1"/>
    <n v="888.02624055606748"/>
    <x v="158"/>
  </r>
  <r>
    <x v="0"/>
    <x v="3"/>
    <x v="2"/>
    <x v="2"/>
    <m/>
    <x v="11"/>
    <x v="0"/>
    <x v="119"/>
    <n v="850.23767966666776"/>
    <x v="184"/>
  </r>
  <r>
    <x v="0"/>
    <x v="3"/>
    <x v="2"/>
    <x v="2"/>
    <m/>
    <x v="12"/>
    <x v="170"/>
    <x v="25"/>
    <n v="815.47557340745595"/>
    <x v="185"/>
  </r>
  <r>
    <x v="0"/>
    <x v="3"/>
    <x v="2"/>
    <x v="2"/>
    <m/>
    <x v="13"/>
    <x v="165"/>
    <x v="115"/>
    <n v="783.29089003605463"/>
    <x v="177"/>
  </r>
  <r>
    <x v="0"/>
    <x v="3"/>
    <x v="2"/>
    <x v="2"/>
    <m/>
    <x v="14"/>
    <x v="12"/>
    <x v="12"/>
    <n v="753.32766665861129"/>
    <x v="12"/>
  </r>
  <r>
    <x v="0"/>
    <x v="3"/>
    <x v="2"/>
    <x v="2"/>
    <m/>
    <x v="15"/>
    <x v="115"/>
    <x v="88"/>
    <n v="725.29894305836785"/>
    <x v="122"/>
  </r>
  <r>
    <x v="0"/>
    <x v="3"/>
    <x v="2"/>
    <x v="2"/>
    <m/>
    <x v="16"/>
    <x v="171"/>
    <x v="120"/>
    <n v="698.97000433601875"/>
    <x v="186"/>
  </r>
  <r>
    <x v="0"/>
    <x v="3"/>
    <x v="2"/>
    <x v="2"/>
    <m/>
    <x v="17"/>
    <x v="172"/>
    <x v="25"/>
    <n v="674.14642061098664"/>
    <x v="187"/>
  </r>
  <r>
    <x v="0"/>
    <x v="3"/>
    <x v="2"/>
    <x v="2"/>
    <m/>
    <x v="18"/>
    <x v="26"/>
    <x v="51"/>
    <n v="650.66532476146381"/>
    <x v="62"/>
  </r>
  <r>
    <x v="0"/>
    <x v="3"/>
    <x v="2"/>
    <x v="2"/>
    <m/>
    <x v="19"/>
    <x v="146"/>
    <x v="49"/>
    <n v="628.38893005031139"/>
    <x v="157"/>
  </r>
  <r>
    <x v="0"/>
    <x v="3"/>
    <x v="2"/>
    <x v="2"/>
    <m/>
    <x v="20"/>
    <x v="5"/>
    <x v="5"/>
    <n v="607.19963098037329"/>
    <x v="5"/>
  </r>
  <r>
    <x v="0"/>
    <x v="3"/>
    <x v="2"/>
    <x v="2"/>
    <m/>
    <x v="21"/>
    <x v="49"/>
    <x v="46"/>
    <n v="586.99624489208645"/>
    <x v="54"/>
  </r>
  <r>
    <x v="0"/>
    <x v="3"/>
    <x v="2"/>
    <x v="2"/>
    <m/>
    <x v="22"/>
    <x v="32"/>
    <x v="33"/>
    <n v="567.69108969669981"/>
    <x v="34"/>
  </r>
  <r>
    <x v="0"/>
    <x v="3"/>
    <x v="2"/>
    <x v="2"/>
    <m/>
    <x v="23"/>
    <x v="11"/>
    <x v="11"/>
    <n v="549.20768400268673"/>
    <x v="11"/>
  </r>
  <r>
    <x v="0"/>
    <x v="3"/>
    <x v="2"/>
    <x v="2"/>
    <m/>
    <x v="24"/>
    <x v="173"/>
    <x v="121"/>
    <n v="531.47891704225492"/>
    <x v="188"/>
  </r>
  <r>
    <x v="0"/>
    <x v="3"/>
    <x v="2"/>
    <x v="2"/>
    <m/>
    <x v="25"/>
    <x v="39"/>
    <x v="37"/>
    <n v="514.4455777434747"/>
    <x v="41"/>
  </r>
  <r>
    <x v="0"/>
    <x v="3"/>
    <x v="2"/>
    <x v="2"/>
    <m/>
    <x v="26"/>
    <x v="174"/>
    <x v="122"/>
    <n v="498.05516155530529"/>
    <x v="189"/>
  </r>
  <r>
    <x v="0"/>
    <x v="3"/>
    <x v="2"/>
    <x v="2"/>
    <m/>
    <x v="27"/>
    <x v="68"/>
    <x v="50"/>
    <n v="482.26089437207344"/>
    <x v="73"/>
  </r>
  <r>
    <x v="0"/>
    <x v="3"/>
    <x v="2"/>
    <x v="2"/>
    <m/>
    <x v="28"/>
    <x v="152"/>
    <x v="106"/>
    <n v="467.02092781533656"/>
    <x v="164"/>
  </r>
  <r>
    <x v="0"/>
    <x v="3"/>
    <x v="2"/>
    <x v="2"/>
    <m/>
    <x v="29"/>
    <x v="175"/>
    <x v="4"/>
    <n v="452.29767099463027"/>
    <x v="190"/>
  </r>
  <r>
    <x v="0"/>
    <x v="3"/>
    <x v="2"/>
    <x v="2"/>
    <m/>
    <x v="30"/>
    <x v="110"/>
    <x v="86"/>
    <n v="438.05723188001997"/>
    <x v="117"/>
  </r>
  <r>
    <x v="0"/>
    <x v="3"/>
    <x v="2"/>
    <x v="2"/>
    <m/>
    <x v="31"/>
    <x v="153"/>
    <x v="107"/>
    <n v="424.2689473943866"/>
    <x v="165"/>
  </r>
  <r>
    <x v="0"/>
    <x v="3"/>
    <x v="2"/>
    <x v="2"/>
    <m/>
    <x v="32"/>
    <x v="15"/>
    <x v="15"/>
    <n v="410.9049858364051"/>
    <x v="15"/>
  </r>
  <r>
    <x v="0"/>
    <x v="3"/>
    <x v="2"/>
    <x v="2"/>
    <m/>
    <x v="33"/>
    <x v="47"/>
    <x v="67"/>
    <n v="397.94000867203749"/>
    <x v="163"/>
  </r>
  <r>
    <x v="0"/>
    <x v="3"/>
    <x v="2"/>
    <x v="2"/>
    <m/>
    <x v="34"/>
    <x v="176"/>
    <x v="123"/>
    <n v="385.35088136401697"/>
    <x v="191"/>
  </r>
  <r>
    <x v="0"/>
    <x v="3"/>
    <x v="2"/>
    <x v="2"/>
    <m/>
    <x v="35"/>
    <x v="42"/>
    <x v="40"/>
    <n v="373.11642494700538"/>
    <x v="44"/>
  </r>
  <r>
    <x v="0"/>
    <x v="3"/>
    <x v="2"/>
    <x v="2"/>
    <m/>
    <x v="36"/>
    <x v="43"/>
    <x v="124"/>
    <n v="361.21720164729766"/>
    <x v="192"/>
  </r>
  <r>
    <x v="0"/>
    <x v="3"/>
    <x v="2"/>
    <x v="2"/>
    <m/>
    <x v="37"/>
    <x v="177"/>
    <x v="125"/>
    <n v="349.6353290974825"/>
    <x v="193"/>
  </r>
  <r>
    <x v="0"/>
    <x v="3"/>
    <x v="2"/>
    <x v="2"/>
    <m/>
    <x v="38"/>
    <x v="160"/>
    <x v="92"/>
    <n v="338.35431868779352"/>
    <x v="172"/>
  </r>
  <r>
    <x v="0"/>
    <x v="3"/>
    <x v="2"/>
    <x v="2"/>
    <m/>
    <x v="39"/>
    <x v="26"/>
    <x v="26"/>
    <n v="327.35893438633036"/>
    <x v="26"/>
  </r>
  <r>
    <x v="0"/>
    <x v="3"/>
    <x v="2"/>
    <x v="2"/>
    <m/>
    <x v="40"/>
    <x v="178"/>
    <x v="81"/>
    <n v="316.63506899455717"/>
    <x v="194"/>
  </r>
  <r>
    <x v="0"/>
    <x v="3"/>
    <x v="2"/>
    <x v="2"/>
    <m/>
    <x v="41"/>
    <x v="45"/>
    <x v="42"/>
    <n v="306.16963531639209"/>
    <x v="47"/>
  </r>
  <r>
    <x v="0"/>
    <x v="3"/>
    <x v="2"/>
    <x v="2"/>
    <m/>
    <x v="42"/>
    <x v="149"/>
    <x v="15"/>
    <n v="295.95047013470622"/>
    <x v="160"/>
  </r>
  <r>
    <x v="0"/>
    <x v="3"/>
    <x v="2"/>
    <x v="2"/>
    <m/>
    <x v="43"/>
    <x v="148"/>
    <x v="25"/>
    <n v="285.9662492281052"/>
    <x v="159"/>
  </r>
  <r>
    <x v="0"/>
    <x v="3"/>
    <x v="2"/>
    <x v="2"/>
    <m/>
    <x v="44"/>
    <x v="179"/>
    <x v="105"/>
    <n v="276.20641193894892"/>
    <x v="195"/>
  </r>
  <r>
    <x v="0"/>
    <x v="3"/>
    <x v="2"/>
    <x v="2"/>
    <m/>
    <x v="45"/>
    <x v="154"/>
    <x v="108"/>
    <n v="266.66109403271855"/>
    <x v="166"/>
  </r>
  <r>
    <x v="0"/>
    <x v="3"/>
    <x v="2"/>
    <x v="2"/>
    <m/>
    <x v="46"/>
    <x v="157"/>
    <x v="3"/>
    <n v="257.32106777857513"/>
    <x v="169"/>
  </r>
  <r>
    <x v="0"/>
    <x v="3"/>
    <x v="2"/>
    <x v="2"/>
    <m/>
    <x v="47"/>
    <x v="176"/>
    <x v="126"/>
    <n v="248.17768833870545"/>
    <x v="196"/>
  </r>
  <r>
    <x v="0"/>
    <x v="3"/>
    <x v="2"/>
    <x v="2"/>
    <m/>
    <x v="48"/>
    <x v="35"/>
    <x v="4"/>
    <n v="239.22284568577902"/>
    <x v="37"/>
  </r>
  <r>
    <x v="0"/>
    <x v="3"/>
    <x v="2"/>
    <x v="2"/>
    <m/>
    <x v="49"/>
    <x v="180"/>
    <x v="127"/>
    <n v="230.44892137827389"/>
    <x v="197"/>
  </r>
  <r>
    <x v="0"/>
    <x v="3"/>
    <x v="2"/>
    <x v="2"/>
    <m/>
    <x v="50"/>
    <x v="181"/>
    <x v="13"/>
    <n v="221.84874961635637"/>
    <x v="198"/>
  </r>
  <r>
    <x v="0"/>
    <x v="3"/>
    <x v="2"/>
    <x v="2"/>
    <m/>
    <x v="51"/>
    <x v="17"/>
    <x v="17"/>
    <n v="213.41558207949339"/>
    <x v="17"/>
  </r>
  <r>
    <x v="0"/>
    <x v="3"/>
    <x v="2"/>
    <x v="2"/>
    <m/>
    <x v="52"/>
    <x v="65"/>
    <x v="56"/>
    <n v="205.14305611350369"/>
    <x v="69"/>
  </r>
  <r>
    <x v="0"/>
    <x v="3"/>
    <x v="2"/>
    <x v="2"/>
    <m/>
    <x v="53"/>
    <x v="182"/>
    <x v="13"/>
    <n v="197.02516589132401"/>
    <x v="199"/>
  </r>
  <r>
    <x v="0"/>
    <x v="3"/>
    <x v="2"/>
    <x v="2"/>
    <m/>
    <x v="54"/>
    <x v="43"/>
    <x v="30"/>
    <n v="189.05623622004873"/>
    <x v="45"/>
  </r>
  <r>
    <x v="0"/>
    <x v="3"/>
    <x v="2"/>
    <x v="2"/>
    <m/>
    <x v="55"/>
    <x v="40"/>
    <x v="38"/>
    <n v="181.23089870809218"/>
    <x v="42"/>
  </r>
  <r>
    <x v="0"/>
    <x v="3"/>
    <x v="2"/>
    <x v="2"/>
    <m/>
    <x v="56"/>
    <x v="183"/>
    <x v="128"/>
    <n v="173.54407004180118"/>
    <x v="200"/>
  </r>
  <r>
    <x v="0"/>
    <x v="3"/>
    <x v="2"/>
    <x v="2"/>
    <m/>
    <x v="57"/>
    <x v="184"/>
    <x v="129"/>
    <n v="165.99093215135531"/>
    <x v="201"/>
  </r>
  <r>
    <x v="0"/>
    <x v="3"/>
    <x v="2"/>
    <x v="2"/>
    <m/>
    <x v="58"/>
    <x v="115"/>
    <x v="103"/>
    <n v="158.56691407214839"/>
    <x v="156"/>
  </r>
  <r>
    <x v="0"/>
    <x v="3"/>
    <x v="2"/>
    <x v="2"/>
    <m/>
    <x v="59"/>
    <x v="162"/>
    <x v="114"/>
    <n v="151.26767533064901"/>
    <x v="174"/>
  </r>
  <r>
    <x v="0"/>
    <x v="3"/>
    <x v="2"/>
    <x v="2"/>
    <m/>
    <x v="60"/>
    <x v="102"/>
    <x v="37"/>
    <n v="144.0890907035255"/>
    <x v="109"/>
  </r>
  <r>
    <x v="0"/>
    <x v="3"/>
    <x v="2"/>
    <x v="2"/>
    <m/>
    <x v="61"/>
    <x v="185"/>
    <x v="130"/>
    <n v="137.02723621603874"/>
    <x v="202"/>
  </r>
  <r>
    <x v="0"/>
    <x v="3"/>
    <x v="2"/>
    <x v="2"/>
    <m/>
    <x v="62"/>
    <x v="43"/>
    <x v="12"/>
    <n v="130.07837626071094"/>
    <x v="179"/>
  </r>
  <r>
    <x v="0"/>
    <x v="3"/>
    <x v="2"/>
    <x v="2"/>
    <m/>
    <x v="63"/>
    <x v="186"/>
    <x v="131"/>
    <n v="123.23895173040556"/>
    <x v="203"/>
  </r>
  <r>
    <x v="0"/>
    <x v="3"/>
    <x v="2"/>
    <x v="2"/>
    <m/>
    <x v="64"/>
    <x v="88"/>
    <x v="49"/>
    <n v="116.50556907143717"/>
    <x v="95"/>
  </r>
  <r>
    <x v="0"/>
    <x v="3"/>
    <x v="2"/>
    <x v="2"/>
    <m/>
    <x v="65"/>
    <x v="19"/>
    <x v="19"/>
    <n v="109.87499017242386"/>
    <x v="19"/>
  </r>
  <r>
    <x v="0"/>
    <x v="3"/>
    <x v="2"/>
    <x v="2"/>
    <m/>
    <x v="66"/>
    <x v="187"/>
    <x v="123"/>
    <n v="103.34412301346619"/>
    <x v="204"/>
  </r>
  <r>
    <x v="0"/>
    <x v="3"/>
    <x v="2"/>
    <x v="2"/>
    <m/>
    <x v="67"/>
    <x v="51"/>
    <x v="24"/>
    <n v="96.910013008056239"/>
    <x v="53"/>
  </r>
  <r>
    <x v="0"/>
    <x v="3"/>
    <x v="2"/>
    <x v="2"/>
    <m/>
    <x v="68"/>
    <x v="34"/>
    <x v="34"/>
    <n v="90.569834977037416"/>
    <x v="36"/>
  </r>
  <r>
    <x v="0"/>
    <x v="3"/>
    <x v="2"/>
    <x v="2"/>
    <m/>
    <x v="69"/>
    <x v="76"/>
    <x v="9"/>
    <n v="84.320885700035703"/>
    <x v="81"/>
  </r>
  <r>
    <x v="0"/>
    <x v="3"/>
    <x v="2"/>
    <x v="2"/>
    <m/>
    <x v="70"/>
    <x v="4"/>
    <x v="4"/>
    <n v="78.160576995217383"/>
    <x v="4"/>
  </r>
  <r>
    <x v="0"/>
    <x v="3"/>
    <x v="2"/>
    <x v="2"/>
    <m/>
    <x v="71"/>
    <x v="188"/>
    <x v="123"/>
    <n v="72.086429283024117"/>
    <x v="205"/>
  </r>
  <r>
    <x v="0"/>
    <x v="3"/>
    <x v="2"/>
    <x v="2"/>
    <m/>
    <x v="72"/>
    <x v="168"/>
    <x v="117"/>
    <n v="66.096065593836741"/>
    <x v="182"/>
  </r>
  <r>
    <x v="0"/>
    <x v="3"/>
    <x v="2"/>
    <x v="2"/>
    <m/>
    <x v="73"/>
    <x v="56"/>
    <x v="48"/>
    <n v="60.187205983316396"/>
    <x v="59"/>
  </r>
  <r>
    <x v="0"/>
    <x v="3"/>
    <x v="2"/>
    <x v="2"/>
    <m/>
    <x v="74"/>
    <x v="83"/>
    <x v="57"/>
    <n v="54.357662322592539"/>
    <x v="89"/>
  </r>
  <r>
    <x v="0"/>
    <x v="3"/>
    <x v="2"/>
    <x v="2"/>
    <m/>
    <x v="75"/>
    <x v="41"/>
    <x v="39"/>
    <n v="48.605333433501265"/>
    <x v="43"/>
  </r>
  <r>
    <x v="0"/>
    <x v="3"/>
    <x v="2"/>
    <x v="2"/>
    <m/>
    <x v="76"/>
    <x v="21"/>
    <x v="21"/>
    <n v="42.928200541810789"/>
    <x v="21"/>
  </r>
  <r>
    <x v="0"/>
    <x v="3"/>
    <x v="2"/>
    <x v="2"/>
    <m/>
    <x v="77"/>
    <x v="94"/>
    <x v="75"/>
    <n v="37.324323023812276"/>
    <x v="101"/>
  </r>
  <r>
    <x v="0"/>
    <x v="3"/>
    <x v="2"/>
    <x v="2"/>
    <m/>
    <x v="78"/>
    <x v="163"/>
    <x v="44"/>
    <n v="31.791834423851249"/>
    <x v="175"/>
  </r>
  <r>
    <x v="0"/>
    <x v="3"/>
    <x v="2"/>
    <x v="2"/>
    <m/>
    <x v="79"/>
    <x v="80"/>
    <x v="67"/>
    <n v="26.328938722349093"/>
    <x v="86"/>
  </r>
  <r>
    <x v="0"/>
    <x v="3"/>
    <x v="2"/>
    <x v="2"/>
    <m/>
    <x v="80"/>
    <x v="150"/>
    <x v="104"/>
    <n v="20.93390683564289"/>
    <x v="161"/>
  </r>
  <r>
    <x v="0"/>
    <x v="3"/>
    <x v="2"/>
    <x v="2"/>
    <m/>
    <x v="81"/>
    <x v="65"/>
    <x v="57"/>
    <n v="15.605073330575925"/>
    <x v="70"/>
  </r>
  <r>
    <x v="0"/>
    <x v="3"/>
    <x v="2"/>
    <x v="2"/>
    <m/>
    <x v="82"/>
    <x v="84"/>
    <x v="69"/>
    <n v="10.340833338218669"/>
    <x v="90"/>
  </r>
  <r>
    <x v="0"/>
    <x v="3"/>
    <x v="2"/>
    <x v="2"/>
    <m/>
    <x v="83"/>
    <x v="159"/>
    <x v="112"/>
    <n v="5.1396396524110433"/>
    <x v="171"/>
  </r>
  <r>
    <x v="0"/>
    <x v="3"/>
    <x v="2"/>
    <x v="2"/>
    <m/>
    <x v="84"/>
    <x v="21"/>
    <x v="116"/>
    <n v="0"/>
    <x v="178"/>
  </r>
  <r>
    <x v="0"/>
    <x v="4"/>
    <x v="2"/>
    <x v="2"/>
    <m/>
    <x v="0"/>
    <x v="189"/>
    <x v="123"/>
    <n v="1740.3626894942438"/>
    <x v="206"/>
  </r>
  <r>
    <x v="0"/>
    <x v="4"/>
    <x v="2"/>
    <x v="2"/>
    <m/>
    <x v="1"/>
    <x v="100"/>
    <x v="3"/>
    <n v="1439.3326938302625"/>
    <x v="207"/>
  </r>
  <r>
    <x v="0"/>
    <x v="4"/>
    <x v="2"/>
    <x v="2"/>
    <m/>
    <x v="2"/>
    <x v="37"/>
    <x v="36"/>
    <n v="1263.2414347745814"/>
    <x v="39"/>
  </r>
  <r>
    <x v="0"/>
    <x v="4"/>
    <x v="2"/>
    <x v="2"/>
    <m/>
    <x v="3"/>
    <x v="80"/>
    <x v="67"/>
    <n v="1138.3026981662815"/>
    <x v="86"/>
  </r>
  <r>
    <x v="0"/>
    <x v="4"/>
    <x v="2"/>
    <x v="2"/>
    <m/>
    <x v="4"/>
    <x v="190"/>
    <x v="120"/>
    <n v="1041.3926851582248"/>
    <x v="208"/>
  </r>
  <r>
    <x v="0"/>
    <x v="4"/>
    <x v="2"/>
    <x v="2"/>
    <m/>
    <x v="5"/>
    <x v="9"/>
    <x v="9"/>
    <n v="962.21143911060028"/>
    <x v="9"/>
  </r>
  <r>
    <x v="0"/>
    <x v="4"/>
    <x v="2"/>
    <x v="2"/>
    <m/>
    <x v="6"/>
    <x v="120"/>
    <x v="49"/>
    <n v="895.26464947998704"/>
    <x v="127"/>
  </r>
  <r>
    <x v="0"/>
    <x v="4"/>
    <x v="2"/>
    <x v="2"/>
    <m/>
    <x v="7"/>
    <x v="191"/>
    <x v="13"/>
    <n v="837.27270250230038"/>
    <x v="209"/>
  </r>
  <r>
    <x v="0"/>
    <x v="4"/>
    <x v="2"/>
    <x v="2"/>
    <m/>
    <x v="8"/>
    <x v="192"/>
    <x v="25"/>
    <n v="786.12018005491905"/>
    <x v="210"/>
  </r>
  <r>
    <x v="0"/>
    <x v="4"/>
    <x v="2"/>
    <x v="2"/>
    <m/>
    <x v="9"/>
    <x v="193"/>
    <x v="132"/>
    <n v="740.36268949424391"/>
    <x v="211"/>
  </r>
  <r>
    <x v="0"/>
    <x v="4"/>
    <x v="9"/>
    <x v="5"/>
    <m/>
    <x v="0"/>
    <x v="37"/>
    <x v="36"/>
    <n v="1681.2412373755872"/>
    <x v="39"/>
  </r>
  <r>
    <x v="0"/>
    <x v="4"/>
    <x v="9"/>
    <x v="5"/>
    <m/>
    <x v="1"/>
    <x v="153"/>
    <x v="107"/>
    <n v="1380.2112417116059"/>
    <x v="165"/>
  </r>
  <r>
    <x v="0"/>
    <x v="4"/>
    <x v="9"/>
    <x v="5"/>
    <m/>
    <x v="2"/>
    <x v="194"/>
    <x v="133"/>
    <n v="1204.1199826559248"/>
    <x v="212"/>
  </r>
  <r>
    <x v="0"/>
    <x v="4"/>
    <x v="9"/>
    <x v="5"/>
    <m/>
    <x v="3"/>
    <x v="195"/>
    <x v="134"/>
    <n v="1079.1812460476247"/>
    <x v="213"/>
  </r>
  <r>
    <x v="0"/>
    <x v="4"/>
    <x v="9"/>
    <x v="5"/>
    <m/>
    <x v="4"/>
    <x v="9"/>
    <x v="9"/>
    <n v="982.2712330395683"/>
    <x v="9"/>
  </r>
  <r>
    <x v="0"/>
    <x v="4"/>
    <x v="9"/>
    <x v="5"/>
    <m/>
    <x v="5"/>
    <x v="149"/>
    <x v="15"/>
    <n v="903.08998699194353"/>
    <x v="160"/>
  </r>
  <r>
    <x v="0"/>
    <x v="4"/>
    <x v="9"/>
    <x v="5"/>
    <m/>
    <x v="6"/>
    <x v="196"/>
    <x v="92"/>
    <n v="836.14319736133041"/>
    <x v="214"/>
  </r>
  <r>
    <x v="0"/>
    <x v="4"/>
    <x v="9"/>
    <x v="5"/>
    <m/>
    <x v="7"/>
    <x v="197"/>
    <x v="123"/>
    <n v="778.15125038364363"/>
    <x v="215"/>
  </r>
  <r>
    <x v="0"/>
    <x v="4"/>
    <x v="10"/>
    <x v="1"/>
    <m/>
    <x v="0"/>
    <x v="120"/>
    <x v="49"/>
    <n v="1740.3626894942438"/>
    <x v="127"/>
  </r>
  <r>
    <x v="0"/>
    <x v="4"/>
    <x v="10"/>
    <x v="1"/>
    <m/>
    <x v="1"/>
    <x v="198"/>
    <x v="81"/>
    <n v="1439.3326938302625"/>
    <x v="216"/>
  </r>
  <r>
    <x v="0"/>
    <x v="4"/>
    <x v="10"/>
    <x v="1"/>
    <m/>
    <x v="2"/>
    <x v="153"/>
    <x v="107"/>
    <n v="1263.2414347745814"/>
    <x v="165"/>
  </r>
  <r>
    <x v="0"/>
    <x v="4"/>
    <x v="10"/>
    <x v="1"/>
    <m/>
    <x v="3"/>
    <x v="136"/>
    <x v="100"/>
    <n v="1138.3026981662815"/>
    <x v="145"/>
  </r>
  <r>
    <x v="0"/>
    <x v="4"/>
    <x v="10"/>
    <x v="1"/>
    <m/>
    <x v="4"/>
    <x v="199"/>
    <x v="92"/>
    <n v="1041.3926851582248"/>
    <x v="217"/>
  </r>
  <r>
    <x v="0"/>
    <x v="4"/>
    <x v="10"/>
    <x v="1"/>
    <m/>
    <x v="5"/>
    <x v="192"/>
    <x v="25"/>
    <n v="962.21143911060028"/>
    <x v="210"/>
  </r>
  <r>
    <x v="0"/>
    <x v="4"/>
    <x v="10"/>
    <x v="1"/>
    <m/>
    <x v="6"/>
    <x v="194"/>
    <x v="133"/>
    <n v="895.26464947998704"/>
    <x v="212"/>
  </r>
  <r>
    <x v="0"/>
    <x v="4"/>
    <x v="10"/>
    <x v="1"/>
    <m/>
    <x v="7"/>
    <x v="200"/>
    <x v="135"/>
    <n v="837.27270250230038"/>
    <x v="218"/>
  </r>
  <r>
    <x v="0"/>
    <x v="4"/>
    <x v="10"/>
    <x v="1"/>
    <m/>
    <x v="8"/>
    <x v="36"/>
    <x v="35"/>
    <n v="786.12018005491905"/>
    <x v="38"/>
  </r>
  <r>
    <x v="0"/>
    <x v="5"/>
    <x v="4"/>
    <x v="3"/>
    <m/>
    <x v="0"/>
    <x v="201"/>
    <x v="57"/>
    <n v="1505.149978319906"/>
    <x v="219"/>
  </r>
  <r>
    <x v="0"/>
    <x v="5"/>
    <x v="4"/>
    <x v="3"/>
    <m/>
    <x v="1"/>
    <x v="197"/>
    <x v="123"/>
    <n v="1204.1199826559248"/>
    <x v="215"/>
  </r>
  <r>
    <x v="0"/>
    <x v="5"/>
    <x v="4"/>
    <x v="3"/>
    <m/>
    <x v="2"/>
    <x v="202"/>
    <x v="136"/>
    <n v="1028.0287236002437"/>
    <x v="220"/>
  </r>
  <r>
    <x v="0"/>
    <x v="5"/>
    <x v="4"/>
    <x v="3"/>
    <m/>
    <x v="3"/>
    <x v="200"/>
    <x v="135"/>
    <n v="903.08998699194365"/>
    <x v="218"/>
  </r>
  <r>
    <x v="0"/>
    <x v="5"/>
    <x v="4"/>
    <x v="3"/>
    <m/>
    <x v="4"/>
    <x v="151"/>
    <x v="105"/>
    <n v="806.17997398388718"/>
    <x v="162"/>
  </r>
  <r>
    <x v="0"/>
    <x v="5"/>
    <x v="4"/>
    <x v="3"/>
    <m/>
    <x v="5"/>
    <x v="203"/>
    <x v="112"/>
    <n v="726.99872793626241"/>
    <x v="221"/>
  </r>
  <r>
    <x v="0"/>
    <x v="5"/>
    <x v="4"/>
    <x v="3"/>
    <m/>
    <x v="6"/>
    <x v="204"/>
    <x v="137"/>
    <n v="660.05193830564929"/>
    <x v="222"/>
  </r>
  <r>
    <x v="0"/>
    <x v="5"/>
    <x v="4"/>
    <x v="3"/>
    <m/>
    <x v="7"/>
    <x v="205"/>
    <x v="138"/>
    <n v="602.05999132796251"/>
    <x v="223"/>
  </r>
  <r>
    <x v="0"/>
    <x v="5"/>
    <x v="4"/>
    <x v="3"/>
    <m/>
    <x v="8"/>
    <x v="206"/>
    <x v="139"/>
    <n v="550.90746888058118"/>
    <x v="224"/>
  </r>
  <r>
    <x v="0"/>
    <x v="5"/>
    <x v="4"/>
    <x v="3"/>
    <m/>
    <x v="9"/>
    <x v="203"/>
    <x v="112"/>
    <n v="505.14997831990604"/>
    <x v="221"/>
  </r>
  <r>
    <x v="0"/>
    <x v="5"/>
    <x v="4"/>
    <x v="3"/>
    <m/>
    <x v="10"/>
    <x v="193"/>
    <x v="132"/>
    <n v="463.75729316168088"/>
    <x v="211"/>
  </r>
  <r>
    <x v="0"/>
    <x v="5"/>
    <x v="4"/>
    <x v="3"/>
    <m/>
    <x v="11"/>
    <x v="207"/>
    <x v="140"/>
    <n v="425.96873227228116"/>
    <x v="225"/>
  </r>
  <r>
    <x v="0"/>
    <x v="5"/>
    <x v="4"/>
    <x v="3"/>
    <m/>
    <x v="12"/>
    <x v="208"/>
    <x v="141"/>
    <n v="391.20662601306935"/>
    <x v="226"/>
  </r>
  <r>
    <x v="0"/>
    <x v="5"/>
    <x v="4"/>
    <x v="3"/>
    <m/>
    <x v="13"/>
    <x v="198"/>
    <x v="81"/>
    <n v="359.02194264166809"/>
    <x v="216"/>
  </r>
  <r>
    <x v="0"/>
    <x v="5"/>
    <x v="4"/>
    <x v="3"/>
    <m/>
    <x v="14"/>
    <x v="209"/>
    <x v="142"/>
    <n v="329.05871926422469"/>
    <x v="227"/>
  </r>
  <r>
    <x v="0"/>
    <x v="5"/>
    <x v="4"/>
    <x v="3"/>
    <m/>
    <x v="15"/>
    <x v="210"/>
    <x v="143"/>
    <n v="301.02999566398125"/>
    <x v="228"/>
  </r>
  <r>
    <x v="0"/>
    <x v="5"/>
    <x v="4"/>
    <x v="3"/>
    <m/>
    <x v="16"/>
    <x v="211"/>
    <x v="25"/>
    <n v="274.70105694163215"/>
    <x v="229"/>
  </r>
  <r>
    <x v="0"/>
    <x v="5"/>
    <x v="4"/>
    <x v="3"/>
    <m/>
    <x v="17"/>
    <x v="16"/>
    <x v="8"/>
    <n v="249.87747321660004"/>
    <x v="230"/>
  </r>
  <r>
    <x v="0"/>
    <x v="5"/>
    <x v="4"/>
    <x v="3"/>
    <m/>
    <x v="18"/>
    <x v="212"/>
    <x v="4"/>
    <n v="226.39637736707718"/>
    <x v="231"/>
  </r>
  <r>
    <x v="0"/>
    <x v="5"/>
    <x v="4"/>
    <x v="3"/>
    <m/>
    <x v="19"/>
    <x v="200"/>
    <x v="144"/>
    <n v="204.11998265592479"/>
    <x v="232"/>
  </r>
  <r>
    <x v="0"/>
    <x v="5"/>
    <x v="4"/>
    <x v="3"/>
    <m/>
    <x v="20"/>
    <x v="212"/>
    <x v="4"/>
    <n v="182.93068358598674"/>
    <x v="231"/>
  </r>
  <r>
    <x v="0"/>
    <x v="5"/>
    <x v="4"/>
    <x v="3"/>
    <m/>
    <x v="21"/>
    <x v="200"/>
    <x v="144"/>
    <n v="162.72729749769988"/>
    <x v="232"/>
  </r>
  <r>
    <x v="0"/>
    <x v="5"/>
    <x v="2"/>
    <x v="2"/>
    <m/>
    <x v="0"/>
    <x v="212"/>
    <x v="4"/>
    <n v="1491.3616938342727"/>
    <x v="231"/>
  </r>
  <r>
    <x v="0"/>
    <x v="5"/>
    <x v="2"/>
    <x v="2"/>
    <m/>
    <x v="1"/>
    <x v="191"/>
    <x v="13"/>
    <n v="1190.3316981702915"/>
    <x v="209"/>
  </r>
  <r>
    <x v="0"/>
    <x v="5"/>
    <x v="2"/>
    <x v="2"/>
    <m/>
    <x v="2"/>
    <x v="193"/>
    <x v="132"/>
    <n v="1014.2404391146102"/>
    <x v="211"/>
  </r>
  <r>
    <x v="0"/>
    <x v="5"/>
    <x v="2"/>
    <x v="2"/>
    <m/>
    <x v="3"/>
    <x v="197"/>
    <x v="123"/>
    <n v="889.30170250631022"/>
    <x v="215"/>
  </r>
  <r>
    <x v="0"/>
    <x v="5"/>
    <x v="2"/>
    <x v="2"/>
    <m/>
    <x v="4"/>
    <x v="204"/>
    <x v="137"/>
    <n v="792.39168949825375"/>
    <x v="222"/>
  </r>
  <r>
    <x v="0"/>
    <x v="5"/>
    <x v="2"/>
    <x v="2"/>
    <m/>
    <x v="5"/>
    <x v="115"/>
    <x v="145"/>
    <n v="713.21044345062899"/>
    <x v="233"/>
  </r>
  <r>
    <x v="0"/>
    <x v="5"/>
    <x v="2"/>
    <x v="2"/>
    <m/>
    <x v="6"/>
    <x v="175"/>
    <x v="4"/>
    <n v="646.26365382001586"/>
    <x v="190"/>
  </r>
  <r>
    <x v="0"/>
    <x v="5"/>
    <x v="2"/>
    <x v="2"/>
    <m/>
    <x v="7"/>
    <x v="15"/>
    <x v="3"/>
    <n v="588.27170684232908"/>
    <x v="234"/>
  </r>
  <r>
    <x v="0"/>
    <x v="5"/>
    <x v="2"/>
    <x v="2"/>
    <m/>
    <x v="8"/>
    <x v="202"/>
    <x v="136"/>
    <n v="537.11918439494775"/>
    <x v="220"/>
  </r>
  <r>
    <x v="0"/>
    <x v="5"/>
    <x v="2"/>
    <x v="2"/>
    <m/>
    <x v="9"/>
    <x v="151"/>
    <x v="105"/>
    <n v="491.36169383427261"/>
    <x v="162"/>
  </r>
  <r>
    <x v="0"/>
    <x v="5"/>
    <x v="2"/>
    <x v="2"/>
    <m/>
    <x v="10"/>
    <x v="206"/>
    <x v="139"/>
    <n v="449.96900867604751"/>
    <x v="224"/>
  </r>
  <r>
    <x v="0"/>
    <x v="5"/>
    <x v="2"/>
    <x v="2"/>
    <m/>
    <x v="11"/>
    <x v="203"/>
    <x v="112"/>
    <n v="412.18044778664773"/>
    <x v="221"/>
  </r>
  <r>
    <x v="0"/>
    <x v="5"/>
    <x v="2"/>
    <x v="2"/>
    <m/>
    <x v="12"/>
    <x v="200"/>
    <x v="135"/>
    <n v="377.41834152743593"/>
    <x v="218"/>
  </r>
  <r>
    <x v="0"/>
    <x v="5"/>
    <x v="2"/>
    <x v="2"/>
    <m/>
    <x v="13"/>
    <x v="108"/>
    <x v="37"/>
    <n v="345.23365815603466"/>
    <x v="235"/>
  </r>
  <r>
    <x v="0"/>
    <x v="5"/>
    <x v="2"/>
    <x v="2"/>
    <m/>
    <x v="14"/>
    <x v="200"/>
    <x v="144"/>
    <n v="315.27043477859127"/>
    <x v="232"/>
  </r>
  <r>
    <x v="0"/>
    <x v="5"/>
    <x v="2"/>
    <x v="2"/>
    <m/>
    <x v="15"/>
    <x v="213"/>
    <x v="71"/>
    <n v="287.24171117834783"/>
    <x v="236"/>
  </r>
  <r>
    <x v="0"/>
    <x v="5"/>
    <x v="2"/>
    <x v="2"/>
    <m/>
    <x v="16"/>
    <x v="203"/>
    <x v="112"/>
    <n v="260.91277245599878"/>
    <x v="221"/>
  </r>
  <r>
    <x v="0"/>
    <x v="5"/>
    <x v="2"/>
    <x v="2"/>
    <m/>
    <x v="17"/>
    <x v="214"/>
    <x v="104"/>
    <n v="236.08918873096661"/>
    <x v="237"/>
  </r>
  <r>
    <x v="0"/>
    <x v="5"/>
    <x v="2"/>
    <x v="2"/>
    <m/>
    <x v="18"/>
    <x v="215"/>
    <x v="1"/>
    <n v="212.60809288144378"/>
    <x v="238"/>
  </r>
  <r>
    <x v="0"/>
    <x v="5"/>
    <x v="2"/>
    <x v="2"/>
    <m/>
    <x v="19"/>
    <x v="216"/>
    <x v="146"/>
    <n v="190.33169817029139"/>
    <x v="239"/>
  </r>
  <r>
    <x v="0"/>
    <x v="5"/>
    <x v="11"/>
    <x v="6"/>
    <m/>
    <x v="0"/>
    <x v="197"/>
    <x v="123"/>
    <n v="1447.1580313422191"/>
    <x v="215"/>
  </r>
  <r>
    <x v="0"/>
    <x v="5"/>
    <x v="11"/>
    <x v="6"/>
    <m/>
    <x v="1"/>
    <x v="151"/>
    <x v="105"/>
    <n v="1146.1280356782379"/>
    <x v="162"/>
  </r>
  <r>
    <x v="0"/>
    <x v="5"/>
    <x v="11"/>
    <x v="6"/>
    <m/>
    <x v="2"/>
    <x v="115"/>
    <x v="145"/>
    <n v="970.03677662255677"/>
    <x v="233"/>
  </r>
  <r>
    <x v="0"/>
    <x v="5"/>
    <x v="11"/>
    <x v="6"/>
    <m/>
    <x v="3"/>
    <x v="204"/>
    <x v="137"/>
    <n v="845.09804001425687"/>
    <x v="222"/>
  </r>
  <r>
    <x v="0"/>
    <x v="5"/>
    <x v="11"/>
    <x v="6"/>
    <m/>
    <x v="4"/>
    <x v="205"/>
    <x v="138"/>
    <n v="748.1880270062004"/>
    <x v="223"/>
  </r>
  <r>
    <x v="0"/>
    <x v="5"/>
    <x v="11"/>
    <x v="6"/>
    <m/>
    <x v="5"/>
    <x v="201"/>
    <x v="57"/>
    <n v="669.00678095857552"/>
    <x v="219"/>
  </r>
  <r>
    <x v="0"/>
    <x v="5"/>
    <x v="11"/>
    <x v="6"/>
    <m/>
    <x v="6"/>
    <x v="16"/>
    <x v="8"/>
    <n v="602.05999132796239"/>
    <x v="230"/>
  </r>
  <r>
    <x v="0"/>
    <x v="5"/>
    <x v="11"/>
    <x v="6"/>
    <m/>
    <x v="7"/>
    <x v="216"/>
    <x v="146"/>
    <n v="544.06804435027561"/>
    <x v="239"/>
  </r>
  <r>
    <x v="0"/>
    <x v="5"/>
    <x v="11"/>
    <x v="6"/>
    <m/>
    <x v="8"/>
    <x v="215"/>
    <x v="1"/>
    <n v="492.91552190289434"/>
    <x v="238"/>
  </r>
  <r>
    <x v="0"/>
    <x v="5"/>
    <x v="11"/>
    <x v="6"/>
    <m/>
    <x v="9"/>
    <x v="209"/>
    <x v="142"/>
    <n v="447.1580313422192"/>
    <x v="227"/>
  </r>
  <r>
    <x v="0"/>
    <x v="5"/>
    <x v="11"/>
    <x v="6"/>
    <m/>
    <x v="10"/>
    <x v="175"/>
    <x v="4"/>
    <n v="405.7653461839941"/>
    <x v="190"/>
  </r>
  <r>
    <x v="0"/>
    <x v="5"/>
    <x v="11"/>
    <x v="6"/>
    <m/>
    <x v="11"/>
    <x v="217"/>
    <x v="147"/>
    <n v="367.97678529459432"/>
    <x v="240"/>
  </r>
  <r>
    <x v="0"/>
    <x v="5"/>
    <x v="11"/>
    <x v="6"/>
    <m/>
    <x v="12"/>
    <x v="213"/>
    <x v="71"/>
    <n v="333.21467903538246"/>
    <x v="236"/>
  </r>
  <r>
    <x v="0"/>
    <x v="5"/>
    <x v="11"/>
    <x v="6"/>
    <m/>
    <x v="13"/>
    <x v="198"/>
    <x v="81"/>
    <n v="301.02999566398125"/>
    <x v="216"/>
  </r>
  <r>
    <x v="0"/>
    <x v="5"/>
    <x v="11"/>
    <x v="6"/>
    <m/>
    <x v="14"/>
    <x v="108"/>
    <x v="37"/>
    <n v="271.06677228653786"/>
    <x v="235"/>
  </r>
  <r>
    <x v="0"/>
    <x v="5"/>
    <x v="11"/>
    <x v="6"/>
    <m/>
    <x v="15"/>
    <x v="200"/>
    <x v="144"/>
    <n v="243.03804868629442"/>
    <x v="232"/>
  </r>
  <r>
    <x v="0"/>
    <x v="5"/>
    <x v="11"/>
    <x v="6"/>
    <m/>
    <x v="16"/>
    <x v="15"/>
    <x v="3"/>
    <n v="216.70910996394531"/>
    <x v="234"/>
  </r>
  <r>
    <x v="0"/>
    <x v="5"/>
    <x v="11"/>
    <x v="6"/>
    <m/>
    <x v="17"/>
    <x v="193"/>
    <x v="132"/>
    <n v="191.8855262389132"/>
    <x v="211"/>
  </r>
  <r>
    <x v="0"/>
    <x v="5"/>
    <x v="11"/>
    <x v="6"/>
    <m/>
    <x v="18"/>
    <x v="206"/>
    <x v="139"/>
    <n v="168.40443038939034"/>
    <x v="224"/>
  </r>
  <r>
    <x v="0"/>
    <x v="5"/>
    <x v="11"/>
    <x v="6"/>
    <m/>
    <x v="19"/>
    <x v="203"/>
    <x v="112"/>
    <n v="146.12803567823795"/>
    <x v="221"/>
  </r>
  <r>
    <x v="1"/>
    <x v="0"/>
    <x v="0"/>
    <x v="0"/>
    <n v="1464"/>
    <x v="0"/>
    <x v="49"/>
    <x v="13"/>
    <n v="1785.3298350107671"/>
    <x v="51"/>
  </r>
  <r>
    <x v="1"/>
    <x v="0"/>
    <x v="0"/>
    <x v="0"/>
    <n v="841"/>
    <x v="1"/>
    <x v="218"/>
    <x v="148"/>
    <n v="1484.2998393467858"/>
    <x v="241"/>
  </r>
  <r>
    <x v="1"/>
    <x v="0"/>
    <x v="0"/>
    <x v="0"/>
    <n v="439"/>
    <x v="2"/>
    <x v="219"/>
    <x v="22"/>
    <n v="1308.2085802911047"/>
    <x v="242"/>
  </r>
  <r>
    <x v="1"/>
    <x v="0"/>
    <x v="0"/>
    <x v="0"/>
    <n v="256"/>
    <x v="3"/>
    <x v="3"/>
    <x v="3"/>
    <n v="1183.2698436828045"/>
    <x v="3"/>
  </r>
  <r>
    <x v="1"/>
    <x v="0"/>
    <x v="0"/>
    <x v="0"/>
    <n v="219"/>
    <x v="4"/>
    <x v="220"/>
    <x v="149"/>
    <n v="1086.3598306747483"/>
    <x v="243"/>
  </r>
  <r>
    <x v="1"/>
    <x v="0"/>
    <x v="0"/>
    <x v="0"/>
    <n v="183"/>
    <x v="5"/>
    <x v="0"/>
    <x v="0"/>
    <n v="1007.1785846271235"/>
    <x v="0"/>
  </r>
  <r>
    <x v="1"/>
    <x v="0"/>
    <x v="0"/>
    <x v="0"/>
    <n v="146"/>
    <x v="6"/>
    <x v="13"/>
    <x v="13"/>
    <n v="940.2317949965103"/>
    <x v="13"/>
  </r>
  <r>
    <x v="1"/>
    <x v="0"/>
    <x v="0"/>
    <x v="0"/>
    <n v="109"/>
    <x v="7"/>
    <x v="12"/>
    <x v="12"/>
    <n v="882.23984801882364"/>
    <x v="12"/>
  </r>
  <r>
    <x v="1"/>
    <x v="0"/>
    <x v="1"/>
    <x v="1"/>
    <n v="1920"/>
    <x v="0"/>
    <x v="51"/>
    <x v="24"/>
    <n v="1897.6270912904413"/>
    <x v="53"/>
  </r>
  <r>
    <x v="1"/>
    <x v="0"/>
    <x v="1"/>
    <x v="1"/>
    <n v="1104"/>
    <x v="1"/>
    <x v="221"/>
    <x v="13"/>
    <n v="1596.59709562646"/>
    <x v="244"/>
  </r>
  <r>
    <x v="1"/>
    <x v="0"/>
    <x v="1"/>
    <x v="1"/>
    <n v="576"/>
    <x v="2"/>
    <x v="37"/>
    <x v="36"/>
    <n v="1420.5058365707789"/>
    <x v="39"/>
  </r>
  <r>
    <x v="1"/>
    <x v="0"/>
    <x v="1"/>
    <x v="1"/>
    <n v="336"/>
    <x v="3"/>
    <x v="102"/>
    <x v="37"/>
    <n v="1295.5670999624788"/>
    <x v="109"/>
  </r>
  <r>
    <x v="1"/>
    <x v="0"/>
    <x v="1"/>
    <x v="1"/>
    <n v="288"/>
    <x v="4"/>
    <x v="56"/>
    <x v="48"/>
    <n v="1198.6570869544225"/>
    <x v="59"/>
  </r>
  <r>
    <x v="1"/>
    <x v="0"/>
    <x v="1"/>
    <x v="1"/>
    <n v="240"/>
    <x v="5"/>
    <x v="41"/>
    <x v="39"/>
    <n v="1119.4758409067977"/>
    <x v="43"/>
  </r>
  <r>
    <x v="1"/>
    <x v="0"/>
    <x v="1"/>
    <x v="1"/>
    <n v="192"/>
    <x v="6"/>
    <x v="30"/>
    <x v="30"/>
    <n v="1052.5290512761844"/>
    <x v="31"/>
  </r>
  <r>
    <x v="1"/>
    <x v="0"/>
    <x v="1"/>
    <x v="1"/>
    <n v="144"/>
    <x v="7"/>
    <x v="8"/>
    <x v="29"/>
    <n v="994.53710429849787"/>
    <x v="29"/>
  </r>
  <r>
    <x v="1"/>
    <x v="0"/>
    <x v="2"/>
    <x v="2"/>
    <n v="3589"/>
    <x v="0"/>
    <x v="221"/>
    <x v="13"/>
    <n v="2195.8996524092336"/>
    <x v="244"/>
  </r>
  <r>
    <x v="1"/>
    <x v="0"/>
    <x v="2"/>
    <x v="2"/>
    <n v="1884"/>
    <x v="1"/>
    <x v="222"/>
    <x v="150"/>
    <n v="1894.8696567452523"/>
    <x v="245"/>
  </r>
  <r>
    <x v="1"/>
    <x v="0"/>
    <x v="2"/>
    <x v="2"/>
    <n v="942"/>
    <x v="2"/>
    <x v="56"/>
    <x v="48"/>
    <n v="1718.7783976895712"/>
    <x v="59"/>
  </r>
  <r>
    <x v="1"/>
    <x v="0"/>
    <x v="2"/>
    <x v="2"/>
    <n v="565"/>
    <x v="3"/>
    <x v="223"/>
    <x v="151"/>
    <n v="1593.8396610812711"/>
    <x v="246"/>
  </r>
  <r>
    <x v="1"/>
    <x v="0"/>
    <x v="2"/>
    <x v="2"/>
    <n v="423"/>
    <x v="4"/>
    <x v="2"/>
    <x v="2"/>
    <n v="1496.9296480732148"/>
    <x v="2"/>
  </r>
  <r>
    <x v="1"/>
    <x v="0"/>
    <x v="2"/>
    <x v="2"/>
    <n v="329"/>
    <x v="5"/>
    <x v="49"/>
    <x v="13"/>
    <n v="1417.7484020255899"/>
    <x v="51"/>
  </r>
  <r>
    <x v="1"/>
    <x v="0"/>
    <x v="2"/>
    <x v="2"/>
    <n v="235"/>
    <x v="6"/>
    <x v="22"/>
    <x v="22"/>
    <n v="1350.8016123949767"/>
    <x v="22"/>
  </r>
  <r>
    <x v="1"/>
    <x v="0"/>
    <x v="2"/>
    <x v="2"/>
    <n v="188"/>
    <x v="7"/>
    <x v="224"/>
    <x v="22"/>
    <n v="1292.80966541729"/>
    <x v="247"/>
  </r>
  <r>
    <x v="1"/>
    <x v="0"/>
    <x v="2"/>
    <x v="2"/>
    <n v="160"/>
    <x v="8"/>
    <x v="28"/>
    <x v="28"/>
    <n v="1241.6571429699088"/>
    <x v="28"/>
  </r>
  <r>
    <x v="1"/>
    <x v="0"/>
    <x v="2"/>
    <x v="2"/>
    <n v="122"/>
    <x v="9"/>
    <x v="26"/>
    <x v="26"/>
    <n v="1195.8996524092336"/>
    <x v="26"/>
  </r>
  <r>
    <x v="1"/>
    <x v="0"/>
    <x v="2"/>
    <x v="2"/>
    <n v="122"/>
    <x v="10"/>
    <x v="7"/>
    <x v="7"/>
    <n v="1154.5069672510085"/>
    <x v="7"/>
  </r>
  <r>
    <x v="1"/>
    <x v="0"/>
    <x v="2"/>
    <x v="2"/>
    <n v="122"/>
    <x v="11"/>
    <x v="14"/>
    <x v="14"/>
    <n v="1116.7184063616087"/>
    <x v="14"/>
  </r>
  <r>
    <x v="1"/>
    <x v="0"/>
    <x v="2"/>
    <x v="2"/>
    <n v="122"/>
    <x v="12"/>
    <x v="72"/>
    <x v="25"/>
    <n v="1081.9563001023969"/>
    <x v="77"/>
  </r>
  <r>
    <x v="1"/>
    <x v="0"/>
    <x v="2"/>
    <x v="2"/>
    <n v="122"/>
    <x v="13"/>
    <x v="35"/>
    <x v="4"/>
    <n v="1049.7716167309957"/>
    <x v="37"/>
  </r>
  <r>
    <x v="1"/>
    <x v="0"/>
    <x v="2"/>
    <x v="2"/>
    <n v="122"/>
    <x v="14"/>
    <x v="225"/>
    <x v="62"/>
    <n v="1019.8083933535522"/>
    <x v="248"/>
  </r>
  <r>
    <x v="1"/>
    <x v="0"/>
    <x v="2"/>
    <x v="2"/>
    <n v="122"/>
    <x v="15"/>
    <x v="226"/>
    <x v="152"/>
    <n v="991.77966975330878"/>
    <x v="249"/>
  </r>
  <r>
    <x v="1"/>
    <x v="0"/>
    <x v="2"/>
    <x v="2"/>
    <n v="122"/>
    <x v="16"/>
    <x v="43"/>
    <x v="30"/>
    <n v="965.45073103095967"/>
    <x v="45"/>
  </r>
  <r>
    <x v="1"/>
    <x v="0"/>
    <x v="2"/>
    <x v="2"/>
    <n v="122"/>
    <x v="17"/>
    <x v="58"/>
    <x v="50"/>
    <n v="940.62714730592756"/>
    <x v="61"/>
  </r>
  <r>
    <x v="1"/>
    <x v="1"/>
    <x v="2"/>
    <x v="2"/>
    <n v="3710"/>
    <x v="0"/>
    <x v="115"/>
    <x v="88"/>
    <n v="2313.8672203691531"/>
    <x v="122"/>
  </r>
  <r>
    <x v="1"/>
    <x v="1"/>
    <x v="2"/>
    <x v="2"/>
    <n v="2970"/>
    <x v="1"/>
    <x v="227"/>
    <x v="105"/>
    <n v="2012.837224705172"/>
    <x v="250"/>
  </r>
  <r>
    <x v="1"/>
    <x v="1"/>
    <x v="2"/>
    <x v="2"/>
    <n v="2220"/>
    <x v="2"/>
    <x v="228"/>
    <x v="73"/>
    <n v="1836.7459656494909"/>
    <x v="251"/>
  </r>
  <r>
    <x v="1"/>
    <x v="1"/>
    <x v="2"/>
    <x v="2"/>
    <n v="1780"/>
    <x v="3"/>
    <x v="9"/>
    <x v="9"/>
    <n v="1711.8072290411908"/>
    <x v="9"/>
  </r>
  <r>
    <x v="1"/>
    <x v="1"/>
    <x v="2"/>
    <x v="2"/>
    <n v="1460"/>
    <x v="4"/>
    <x v="24"/>
    <x v="24"/>
    <n v="1614.8972160331346"/>
    <x v="24"/>
  </r>
  <r>
    <x v="1"/>
    <x v="1"/>
    <x v="2"/>
    <x v="2"/>
    <n v="1190"/>
    <x v="5"/>
    <x v="229"/>
    <x v="80"/>
    <n v="1535.7159699855097"/>
    <x v="252"/>
  </r>
  <r>
    <x v="1"/>
    <x v="1"/>
    <x v="2"/>
    <x v="2"/>
    <n v="890"/>
    <x v="6"/>
    <x v="93"/>
    <x v="4"/>
    <n v="1468.7691803548964"/>
    <x v="144"/>
  </r>
  <r>
    <x v="1"/>
    <x v="1"/>
    <x v="2"/>
    <x v="2"/>
    <n v="590"/>
    <x v="7"/>
    <x v="85"/>
    <x v="70"/>
    <n v="1410.7772333772098"/>
    <x v="92"/>
  </r>
  <r>
    <x v="1"/>
    <x v="1"/>
    <x v="2"/>
    <x v="2"/>
    <n v="300"/>
    <x v="8"/>
    <x v="0"/>
    <x v="119"/>
    <n v="1359.6247109298286"/>
    <x v="184"/>
  </r>
  <r>
    <x v="1"/>
    <x v="1"/>
    <x v="2"/>
    <x v="2"/>
    <n v="200"/>
    <x v="9"/>
    <x v="230"/>
    <x v="129"/>
    <n v="1313.8672203691533"/>
    <x v="253"/>
  </r>
  <r>
    <x v="1"/>
    <x v="1"/>
    <x v="2"/>
    <x v="2"/>
    <n v="200"/>
    <x v="10"/>
    <x v="231"/>
    <x v="153"/>
    <n v="1272.474535210928"/>
    <x v="254"/>
  </r>
  <r>
    <x v="1"/>
    <x v="1"/>
    <x v="2"/>
    <x v="2"/>
    <n v="200"/>
    <x v="11"/>
    <x v="232"/>
    <x v="154"/>
    <n v="1234.6859743215284"/>
    <x v="255"/>
  </r>
  <r>
    <x v="1"/>
    <x v="1"/>
    <x v="2"/>
    <x v="2"/>
    <n v="150"/>
    <x v="12"/>
    <x v="233"/>
    <x v="82"/>
    <n v="1199.9238680623166"/>
    <x v="256"/>
  </r>
  <r>
    <x v="1"/>
    <x v="1"/>
    <x v="2"/>
    <x v="2"/>
    <n v="150"/>
    <x v="13"/>
    <x v="234"/>
    <x v="26"/>
    <n v="1167.7391846909154"/>
    <x v="257"/>
  </r>
  <r>
    <x v="1"/>
    <x v="1"/>
    <x v="2"/>
    <x v="2"/>
    <n v="150"/>
    <x v="14"/>
    <x v="1"/>
    <x v="1"/>
    <n v="1137.775961313472"/>
    <x v="1"/>
  </r>
  <r>
    <x v="1"/>
    <x v="1"/>
    <x v="2"/>
    <x v="2"/>
    <n v="100"/>
    <x v="15"/>
    <x v="235"/>
    <x v="123"/>
    <n v="1109.7472377132285"/>
    <x v="258"/>
  </r>
  <r>
    <x v="1"/>
    <x v="1"/>
    <x v="2"/>
    <x v="2"/>
    <n v="100"/>
    <x v="16"/>
    <x v="236"/>
    <x v="107"/>
    <n v="1083.4182989908793"/>
    <x v="259"/>
  </r>
  <r>
    <x v="1"/>
    <x v="1"/>
    <x v="2"/>
    <x v="2"/>
    <n v="100"/>
    <x v="17"/>
    <x v="237"/>
    <x v="155"/>
    <n v="1058.5947152658473"/>
    <x v="260"/>
  </r>
  <r>
    <x v="1"/>
    <x v="1"/>
    <x v="12"/>
    <x v="0"/>
    <n v="1420"/>
    <x v="0"/>
    <x v="88"/>
    <x v="49"/>
    <n v="2017.0333392987802"/>
    <x v="95"/>
  </r>
  <r>
    <x v="1"/>
    <x v="1"/>
    <x v="12"/>
    <x v="0"/>
    <n v="1130"/>
    <x v="1"/>
    <x v="31"/>
    <x v="32"/>
    <n v="1716.003343634799"/>
    <x v="33"/>
  </r>
  <r>
    <x v="1"/>
    <x v="1"/>
    <x v="12"/>
    <x v="0"/>
    <n v="850"/>
    <x v="2"/>
    <x v="85"/>
    <x v="70"/>
    <n v="1539.9120845791178"/>
    <x v="92"/>
  </r>
  <r>
    <x v="1"/>
    <x v="1"/>
    <x v="12"/>
    <x v="0"/>
    <n v="680"/>
    <x v="3"/>
    <x v="229"/>
    <x v="80"/>
    <n v="1414.9733479708177"/>
    <x v="252"/>
  </r>
  <r>
    <x v="1"/>
    <x v="1"/>
    <x v="12"/>
    <x v="0"/>
    <n v="570"/>
    <x v="4"/>
    <x v="74"/>
    <x v="50"/>
    <n v="1318.0633349627615"/>
    <x v="261"/>
  </r>
  <r>
    <x v="1"/>
    <x v="1"/>
    <x v="12"/>
    <x v="0"/>
    <n v="450"/>
    <x v="5"/>
    <x v="238"/>
    <x v="1"/>
    <n v="1238.8820889151366"/>
    <x v="262"/>
  </r>
  <r>
    <x v="1"/>
    <x v="1"/>
    <x v="12"/>
    <x v="0"/>
    <n v="340"/>
    <x v="6"/>
    <x v="27"/>
    <x v="21"/>
    <n v="1171.9352992845234"/>
    <x v="91"/>
  </r>
  <r>
    <x v="1"/>
    <x v="1"/>
    <x v="12"/>
    <x v="0"/>
    <n v="230"/>
    <x v="7"/>
    <x v="9"/>
    <x v="9"/>
    <n v="1113.9433523068367"/>
    <x v="9"/>
  </r>
  <r>
    <x v="1"/>
    <x v="1"/>
    <x v="12"/>
    <x v="0"/>
    <n v="140"/>
    <x v="8"/>
    <x v="239"/>
    <x v="92"/>
    <n v="1062.7908298594555"/>
    <x v="263"/>
  </r>
  <r>
    <x v="1"/>
    <x v="1"/>
    <x v="12"/>
    <x v="0"/>
    <n v="140"/>
    <x v="9"/>
    <x v="240"/>
    <x v="24"/>
    <n v="1017.0333392987802"/>
    <x v="264"/>
  </r>
  <r>
    <x v="1"/>
    <x v="1"/>
    <x v="12"/>
    <x v="0"/>
    <n v="140"/>
    <x v="10"/>
    <x v="99"/>
    <x v="79"/>
    <n v="975.64065414055517"/>
    <x v="106"/>
  </r>
  <r>
    <x v="1"/>
    <x v="1"/>
    <x v="12"/>
    <x v="0"/>
    <n v="140"/>
    <x v="11"/>
    <x v="241"/>
    <x v="156"/>
    <n v="937.85209325115534"/>
    <x v="265"/>
  </r>
  <r>
    <x v="1"/>
    <x v="1"/>
    <x v="12"/>
    <x v="0"/>
    <n v="140"/>
    <x v="12"/>
    <x v="164"/>
    <x v="82"/>
    <n v="903.08998699194353"/>
    <x v="176"/>
  </r>
  <r>
    <x v="1"/>
    <x v="1"/>
    <x v="5"/>
    <x v="1"/>
    <n v="2620"/>
    <x v="0"/>
    <x v="13"/>
    <x v="13"/>
    <n v="2206.8258760318495"/>
    <x v="13"/>
  </r>
  <r>
    <x v="1"/>
    <x v="1"/>
    <x v="5"/>
    <x v="1"/>
    <n v="2090"/>
    <x v="1"/>
    <x v="197"/>
    <x v="123"/>
    <n v="1905.7958803678682"/>
    <x v="215"/>
  </r>
  <r>
    <x v="1"/>
    <x v="1"/>
    <x v="5"/>
    <x v="1"/>
    <n v="1560"/>
    <x v="2"/>
    <x v="138"/>
    <x v="7"/>
    <n v="1729.7046213121871"/>
    <x v="148"/>
  </r>
  <r>
    <x v="1"/>
    <x v="1"/>
    <x v="5"/>
    <x v="1"/>
    <n v="1300"/>
    <x v="3"/>
    <x v="140"/>
    <x v="64"/>
    <n v="1604.765884703887"/>
    <x v="150"/>
  </r>
  <r>
    <x v="1"/>
    <x v="1"/>
    <x v="5"/>
    <x v="1"/>
    <n v="1040"/>
    <x v="4"/>
    <x v="27"/>
    <x v="21"/>
    <n v="1507.8558716958307"/>
    <x v="91"/>
  </r>
  <r>
    <x v="1"/>
    <x v="1"/>
    <x v="5"/>
    <x v="1"/>
    <n v="780"/>
    <x v="5"/>
    <x v="5"/>
    <x v="5"/>
    <n v="1428.6746256482058"/>
    <x v="5"/>
  </r>
  <r>
    <x v="1"/>
    <x v="1"/>
    <x v="5"/>
    <x v="1"/>
    <n v="520"/>
    <x v="6"/>
    <x v="111"/>
    <x v="33"/>
    <n v="1361.7278360175926"/>
    <x v="118"/>
  </r>
  <r>
    <x v="1"/>
    <x v="1"/>
    <x v="5"/>
    <x v="1"/>
    <n v="310"/>
    <x v="7"/>
    <x v="45"/>
    <x v="73"/>
    <n v="1303.7358890399059"/>
    <x v="140"/>
  </r>
  <r>
    <x v="1"/>
    <x v="1"/>
    <x v="5"/>
    <x v="1"/>
    <n v="210"/>
    <x v="8"/>
    <x v="78"/>
    <x v="17"/>
    <n v="1252.5833665925247"/>
    <x v="84"/>
  </r>
  <r>
    <x v="1"/>
    <x v="1"/>
    <x v="13"/>
    <x v="7"/>
    <n v="370"/>
    <x v="0"/>
    <x v="242"/>
    <x v="82"/>
    <n v="1556.3025007672873"/>
    <x v="266"/>
  </r>
  <r>
    <x v="1"/>
    <x v="1"/>
    <x v="13"/>
    <x v="7"/>
    <n v="320"/>
    <x v="1"/>
    <x v="163"/>
    <x v="44"/>
    <n v="1255.272505103306"/>
    <x v="175"/>
  </r>
  <r>
    <x v="1"/>
    <x v="1"/>
    <x v="13"/>
    <x v="7"/>
    <n v="250"/>
    <x v="2"/>
    <x v="31"/>
    <x v="32"/>
    <n v="1079.1812460476249"/>
    <x v="33"/>
  </r>
  <r>
    <x v="1"/>
    <x v="1"/>
    <x v="13"/>
    <x v="7"/>
    <n v="180"/>
    <x v="3"/>
    <x v="129"/>
    <x v="25"/>
    <n v="954.24250943932486"/>
    <x v="136"/>
  </r>
  <r>
    <x v="1"/>
    <x v="1"/>
    <x v="13"/>
    <x v="7"/>
    <n v="140"/>
    <x v="4"/>
    <x v="243"/>
    <x v="4"/>
    <n v="857.3324964312684"/>
    <x v="267"/>
  </r>
  <r>
    <x v="1"/>
    <x v="1"/>
    <x v="13"/>
    <x v="7"/>
    <n v="110"/>
    <x v="5"/>
    <x v="110"/>
    <x v="86"/>
    <n v="778.15125038364363"/>
    <x v="117"/>
  </r>
  <r>
    <x v="1"/>
    <x v="2"/>
    <x v="14"/>
    <x v="7"/>
    <n v="740"/>
    <x v="0"/>
    <x v="0"/>
    <x v="0"/>
    <n v="1477.1212547196624"/>
    <x v="0"/>
  </r>
  <r>
    <x v="1"/>
    <x v="2"/>
    <x v="14"/>
    <x v="7"/>
    <n v="410"/>
    <x v="1"/>
    <x v="229"/>
    <x v="80"/>
    <n v="1176.0912590556811"/>
    <x v="252"/>
  </r>
  <r>
    <x v="1"/>
    <x v="2"/>
    <x v="14"/>
    <x v="7"/>
    <n v="250"/>
    <x v="2"/>
    <x v="244"/>
    <x v="105"/>
    <n v="1000"/>
    <x v="268"/>
  </r>
  <r>
    <x v="1"/>
    <x v="2"/>
    <x v="14"/>
    <x v="7"/>
    <n v="170"/>
    <x v="3"/>
    <x v="245"/>
    <x v="67"/>
    <n v="875.06126339169998"/>
    <x v="269"/>
  </r>
  <r>
    <x v="1"/>
    <x v="2"/>
    <x v="14"/>
    <x v="7"/>
    <n v="80"/>
    <x v="4"/>
    <x v="246"/>
    <x v="34"/>
    <n v="778.15125038364351"/>
    <x v="270"/>
  </r>
  <r>
    <x v="1"/>
    <x v="2"/>
    <x v="4"/>
    <x v="3"/>
    <n v="1185"/>
    <x v="0"/>
    <x v="0"/>
    <x v="0"/>
    <n v="1732.3937598229686"/>
    <x v="0"/>
  </r>
  <r>
    <x v="1"/>
    <x v="2"/>
    <x v="4"/>
    <x v="3"/>
    <n v="680"/>
    <x v="1"/>
    <x v="229"/>
    <x v="80"/>
    <n v="1431.3637641589874"/>
    <x v="252"/>
  </r>
  <r>
    <x v="1"/>
    <x v="2"/>
    <x v="4"/>
    <x v="3"/>
    <n v="355"/>
    <x v="2"/>
    <x v="136"/>
    <x v="100"/>
    <n v="1255.2725051033062"/>
    <x v="145"/>
  </r>
  <r>
    <x v="1"/>
    <x v="2"/>
    <x v="4"/>
    <x v="3"/>
    <n v="210"/>
    <x v="3"/>
    <x v="247"/>
    <x v="25"/>
    <n v="1130.3337684950061"/>
    <x v="271"/>
  </r>
  <r>
    <x v="1"/>
    <x v="2"/>
    <x v="4"/>
    <x v="3"/>
    <n v="165"/>
    <x v="4"/>
    <x v="99"/>
    <x v="79"/>
    <n v="1033.4237554869499"/>
    <x v="106"/>
  </r>
  <r>
    <x v="1"/>
    <x v="2"/>
    <x v="4"/>
    <x v="3"/>
    <n v="135"/>
    <x v="5"/>
    <x v="93"/>
    <x v="157"/>
    <n v="954.24250943932498"/>
    <x v="272"/>
  </r>
  <r>
    <x v="1"/>
    <x v="2"/>
    <x v="4"/>
    <x v="3"/>
    <n v="105"/>
    <x v="6"/>
    <x v="134"/>
    <x v="98"/>
    <n v="887.29571980871185"/>
    <x v="142"/>
  </r>
  <r>
    <x v="1"/>
    <x v="2"/>
    <x v="4"/>
    <x v="3"/>
    <n v="75"/>
    <x v="7"/>
    <x v="31"/>
    <x v="32"/>
    <n v="829.30377283102507"/>
    <x v="33"/>
  </r>
  <r>
    <x v="1"/>
    <x v="2"/>
    <x v="4"/>
    <x v="3"/>
    <n v="60"/>
    <x v="8"/>
    <x v="98"/>
    <x v="1"/>
    <n v="778.15125038364374"/>
    <x v="105"/>
  </r>
  <r>
    <x v="1"/>
    <x v="2"/>
    <x v="15"/>
    <x v="2"/>
    <n v="1630"/>
    <x v="0"/>
    <x v="31"/>
    <x v="32"/>
    <n v="1707.5701760979362"/>
    <x v="33"/>
  </r>
  <r>
    <x v="1"/>
    <x v="2"/>
    <x v="15"/>
    <x v="2"/>
    <n v="940"/>
    <x v="1"/>
    <x v="245"/>
    <x v="67"/>
    <n v="1406.5401804339549"/>
    <x v="269"/>
  </r>
  <r>
    <x v="1"/>
    <x v="2"/>
    <x v="15"/>
    <x v="2"/>
    <n v="490"/>
    <x v="2"/>
    <x v="0"/>
    <x v="119"/>
    <n v="1230.4489213782738"/>
    <x v="184"/>
  </r>
  <r>
    <x v="1"/>
    <x v="2"/>
    <x v="15"/>
    <x v="2"/>
    <n v="265"/>
    <x v="90"/>
    <x v="31"/>
    <x v="50"/>
    <n v="1054.3576623225924"/>
    <x v="273"/>
  </r>
  <r>
    <x v="1"/>
    <x v="2"/>
    <x v="15"/>
    <x v="2"/>
    <n v="265"/>
    <x v="90"/>
    <x v="248"/>
    <x v="158"/>
    <n v="1054.3576623225924"/>
    <x v="274"/>
  </r>
  <r>
    <x v="1"/>
    <x v="2"/>
    <x v="15"/>
    <x v="2"/>
    <n v="165"/>
    <x v="6"/>
    <x v="99"/>
    <x v="79"/>
    <n v="862.4721360836794"/>
    <x v="106"/>
  </r>
  <r>
    <x v="1"/>
    <x v="2"/>
    <x v="15"/>
    <x v="2"/>
    <n v="165"/>
    <x v="6"/>
    <x v="249"/>
    <x v="159"/>
    <n v="862.4721360836794"/>
    <x v="275"/>
  </r>
  <r>
    <x v="1"/>
    <x v="2"/>
    <x v="15"/>
    <x v="2"/>
    <n v="165"/>
    <x v="6"/>
    <x v="250"/>
    <x v="153"/>
    <n v="862.4721360836794"/>
    <x v="276"/>
  </r>
  <r>
    <x v="1"/>
    <x v="2"/>
    <x v="16"/>
    <x v="4"/>
    <n v="965"/>
    <x v="0"/>
    <x v="136"/>
    <x v="100"/>
    <n v="1591.0646070264991"/>
    <x v="145"/>
  </r>
  <r>
    <x v="1"/>
    <x v="2"/>
    <x v="16"/>
    <x v="4"/>
    <n v="535"/>
    <x v="1"/>
    <x v="247"/>
    <x v="25"/>
    <n v="1290.0346113625178"/>
    <x v="271"/>
  </r>
  <r>
    <x v="1"/>
    <x v="2"/>
    <x v="16"/>
    <x v="4"/>
    <n v="320"/>
    <x v="2"/>
    <x v="251"/>
    <x v="35"/>
    <n v="1113.9433523068367"/>
    <x v="277"/>
  </r>
  <r>
    <x v="1"/>
    <x v="2"/>
    <x v="16"/>
    <x v="4"/>
    <n v="215"/>
    <x v="3"/>
    <x v="127"/>
    <x v="71"/>
    <n v="989.00461569853667"/>
    <x v="134"/>
  </r>
  <r>
    <x v="1"/>
    <x v="2"/>
    <x v="16"/>
    <x v="4"/>
    <n v="110"/>
    <x v="4"/>
    <x v="246"/>
    <x v="34"/>
    <n v="892.0946026904802"/>
    <x v="270"/>
  </r>
  <r>
    <x v="1"/>
    <x v="3"/>
    <x v="8"/>
    <x v="1"/>
    <n v="1248"/>
    <x v="0"/>
    <x v="163"/>
    <x v="44"/>
    <n v="1716.0033436347992"/>
    <x v="175"/>
  </r>
  <r>
    <x v="1"/>
    <x v="3"/>
    <x v="8"/>
    <x v="1"/>
    <n v="656"/>
    <x v="1"/>
    <x v="31"/>
    <x v="32"/>
    <n v="1414.9733479708179"/>
    <x v="33"/>
  </r>
  <r>
    <x v="1"/>
    <x v="3"/>
    <x v="8"/>
    <x v="1"/>
    <n v="343"/>
    <x v="2"/>
    <x v="168"/>
    <x v="117"/>
    <n v="1238.8820889151368"/>
    <x v="182"/>
  </r>
  <r>
    <x v="1"/>
    <x v="3"/>
    <x v="8"/>
    <x v="1"/>
    <n v="265"/>
    <x v="3"/>
    <x v="13"/>
    <x v="13"/>
    <n v="1113.9433523068369"/>
    <x v="13"/>
  </r>
  <r>
    <x v="1"/>
    <x v="3"/>
    <x v="8"/>
    <x v="1"/>
    <n v="187"/>
    <x v="4"/>
    <x v="4"/>
    <x v="4"/>
    <n v="1017.0333392987802"/>
    <x v="4"/>
  </r>
  <r>
    <x v="1"/>
    <x v="3"/>
    <x v="8"/>
    <x v="1"/>
    <n v="141"/>
    <x v="5"/>
    <x v="88"/>
    <x v="49"/>
    <n v="937.85209325115557"/>
    <x v="95"/>
  </r>
  <r>
    <x v="1"/>
    <x v="3"/>
    <x v="8"/>
    <x v="1"/>
    <n v="109"/>
    <x v="6"/>
    <x v="26"/>
    <x v="26"/>
    <n v="870.90530362054244"/>
    <x v="26"/>
  </r>
  <r>
    <x v="1"/>
    <x v="3"/>
    <x v="8"/>
    <x v="1"/>
    <n v="93"/>
    <x v="7"/>
    <x v="152"/>
    <x v="106"/>
    <n v="812.91335664285566"/>
    <x v="164"/>
  </r>
  <r>
    <x v="1"/>
    <x v="3"/>
    <x v="8"/>
    <x v="1"/>
    <n v="78"/>
    <x v="8"/>
    <x v="40"/>
    <x v="38"/>
    <n v="761.76083419547433"/>
    <x v="42"/>
  </r>
  <r>
    <x v="1"/>
    <x v="3"/>
    <x v="2"/>
    <x v="2"/>
    <n v="1992"/>
    <x v="0"/>
    <x v="94"/>
    <x v="75"/>
    <n v="1919.078092376074"/>
    <x v="101"/>
  </r>
  <r>
    <x v="1"/>
    <x v="3"/>
    <x v="2"/>
    <x v="2"/>
    <n v="1046"/>
    <x v="1"/>
    <x v="117"/>
    <x v="13"/>
    <n v="1618.0480967120927"/>
    <x v="124"/>
  </r>
  <r>
    <x v="1"/>
    <x v="3"/>
    <x v="2"/>
    <x v="2"/>
    <n v="548"/>
    <x v="2"/>
    <x v="31"/>
    <x v="32"/>
    <n v="1441.9568376564116"/>
    <x v="33"/>
  </r>
  <r>
    <x v="1"/>
    <x v="3"/>
    <x v="2"/>
    <x v="2"/>
    <n v="423"/>
    <x v="3"/>
    <x v="150"/>
    <x v="104"/>
    <n v="1317.0181010481117"/>
    <x v="161"/>
  </r>
  <r>
    <x v="1"/>
    <x v="3"/>
    <x v="2"/>
    <x v="2"/>
    <n v="299"/>
    <x v="4"/>
    <x v="28"/>
    <x v="28"/>
    <n v="1220.108088040055"/>
    <x v="28"/>
  </r>
  <r>
    <x v="1"/>
    <x v="3"/>
    <x v="2"/>
    <x v="2"/>
    <n v="224"/>
    <x v="5"/>
    <x v="83"/>
    <x v="57"/>
    <n v="1140.9268419924304"/>
    <x v="89"/>
  </r>
  <r>
    <x v="1"/>
    <x v="3"/>
    <x v="2"/>
    <x v="2"/>
    <n v="175"/>
    <x v="6"/>
    <x v="179"/>
    <x v="105"/>
    <n v="1073.9800523618173"/>
    <x v="195"/>
  </r>
  <r>
    <x v="1"/>
    <x v="3"/>
    <x v="2"/>
    <x v="2"/>
    <n v="149"/>
    <x v="7"/>
    <x v="166"/>
    <x v="37"/>
    <n v="1015.9881053841304"/>
    <x v="180"/>
  </r>
  <r>
    <x v="1"/>
    <x v="3"/>
    <x v="2"/>
    <x v="2"/>
    <n v="124"/>
    <x v="8"/>
    <x v="21"/>
    <x v="21"/>
    <n v="964.83558293674912"/>
    <x v="21"/>
  </r>
  <r>
    <x v="1"/>
    <x v="3"/>
    <x v="17"/>
    <x v="7"/>
    <n v="945"/>
    <x v="0"/>
    <x v="88"/>
    <x v="49"/>
    <n v="772.03402217513781"/>
    <x v="95"/>
  </r>
  <r>
    <x v="1"/>
    <x v="3"/>
    <x v="17"/>
    <x v="7"/>
    <n v="945"/>
    <x v="0"/>
    <x v="30"/>
    <x v="30"/>
    <n v="772.03402217513781"/>
    <x v="31"/>
  </r>
  <r>
    <x v="1"/>
    <x v="3"/>
    <x v="17"/>
    <x v="7"/>
    <n v="525"/>
    <x v="1"/>
    <x v="252"/>
    <x v="1"/>
    <n v="621.51902434314718"/>
    <x v="278"/>
  </r>
  <r>
    <x v="1"/>
    <x v="3"/>
    <x v="17"/>
    <x v="7"/>
    <n v="525"/>
    <x v="1"/>
    <x v="168"/>
    <x v="117"/>
    <n v="621.51902434314718"/>
    <x v="182"/>
  </r>
  <r>
    <x v="1"/>
    <x v="3"/>
    <x v="17"/>
    <x v="7"/>
    <n v="315"/>
    <x v="2"/>
    <x v="4"/>
    <x v="4"/>
    <n v="533.47339481530662"/>
    <x v="4"/>
  </r>
  <r>
    <x v="1"/>
    <x v="3"/>
    <x v="17"/>
    <x v="7"/>
    <n v="315"/>
    <x v="2"/>
    <x v="5"/>
    <x v="5"/>
    <n v="533.47339481530662"/>
    <x v="5"/>
  </r>
  <r>
    <x v="1"/>
    <x v="3"/>
    <x v="17"/>
    <x v="7"/>
    <n v="210"/>
    <x v="3"/>
    <x v="21"/>
    <x v="21"/>
    <n v="471.00402651115661"/>
    <x v="21"/>
  </r>
  <r>
    <x v="1"/>
    <x v="3"/>
    <x v="17"/>
    <x v="7"/>
    <n v="210"/>
    <x v="3"/>
    <x v="51"/>
    <x v="24"/>
    <n v="471.00402651115661"/>
    <x v="53"/>
  </r>
  <r>
    <x v="1"/>
    <x v="3"/>
    <x v="17"/>
    <x v="7"/>
    <n v="105"/>
    <x v="4"/>
    <x v="54"/>
    <x v="8"/>
    <n v="422.54902000712843"/>
    <x v="57"/>
  </r>
  <r>
    <x v="1"/>
    <x v="3"/>
    <x v="17"/>
    <x v="7"/>
    <n v="105"/>
    <x v="4"/>
    <x v="13"/>
    <x v="13"/>
    <n v="422.54902000712843"/>
    <x v="13"/>
  </r>
  <r>
    <x v="1"/>
    <x v="4"/>
    <x v="4"/>
    <x v="3"/>
    <n v="1108"/>
    <x v="0"/>
    <x v="194"/>
    <x v="133"/>
    <n v="1681.2412373755872"/>
    <x v="212"/>
  </r>
  <r>
    <x v="1"/>
    <x v="4"/>
    <x v="4"/>
    <x v="3"/>
    <n v="673"/>
    <x v="1"/>
    <x v="239"/>
    <x v="92"/>
    <n v="1380.2112417116059"/>
    <x v="263"/>
  </r>
  <r>
    <x v="1"/>
    <x v="4"/>
    <x v="4"/>
    <x v="3"/>
    <n v="475"/>
    <x v="2"/>
    <x v="201"/>
    <x v="57"/>
    <n v="1204.1199826559248"/>
    <x v="219"/>
  </r>
  <r>
    <x v="1"/>
    <x v="4"/>
    <x v="4"/>
    <x v="3"/>
    <n v="396"/>
    <x v="3"/>
    <x v="190"/>
    <x v="120"/>
    <n v="1079.1812460476247"/>
    <x v="208"/>
  </r>
  <r>
    <x v="1"/>
    <x v="4"/>
    <x v="4"/>
    <x v="3"/>
    <n v="316"/>
    <x v="4"/>
    <x v="253"/>
    <x v="87"/>
    <n v="982.2712330395683"/>
    <x v="279"/>
  </r>
  <r>
    <x v="1"/>
    <x v="4"/>
    <x v="4"/>
    <x v="3"/>
    <n v="277"/>
    <x v="5"/>
    <x v="16"/>
    <x v="8"/>
    <n v="903.08998699194353"/>
    <x v="230"/>
  </r>
  <r>
    <x v="1"/>
    <x v="4"/>
    <x v="4"/>
    <x v="3"/>
    <n v="237"/>
    <x v="6"/>
    <x v="215"/>
    <x v="1"/>
    <n v="836.14319736133041"/>
    <x v="238"/>
  </r>
  <r>
    <x v="1"/>
    <x v="4"/>
    <x v="4"/>
    <x v="3"/>
    <n v="198"/>
    <x v="7"/>
    <x v="94"/>
    <x v="13"/>
    <n v="778.15125038364363"/>
    <x v="280"/>
  </r>
  <r>
    <x v="1"/>
    <x v="4"/>
    <x v="4"/>
    <x v="3"/>
    <n v="158"/>
    <x v="8"/>
    <x v="254"/>
    <x v="37"/>
    <n v="726.9987279362623"/>
    <x v="281"/>
  </r>
  <r>
    <x v="1"/>
    <x v="4"/>
    <x v="4"/>
    <x v="3"/>
    <n v="122"/>
    <x v="9"/>
    <x v="255"/>
    <x v="160"/>
    <n v="681.24123737558716"/>
    <x v="282"/>
  </r>
  <r>
    <x v="1"/>
    <x v="4"/>
    <x v="2"/>
    <x v="2"/>
    <n v="1434"/>
    <x v="0"/>
    <x v="193"/>
    <x v="132"/>
    <n v="1732.3937598229686"/>
    <x v="211"/>
  </r>
  <r>
    <x v="1"/>
    <x v="4"/>
    <x v="2"/>
    <x v="2"/>
    <n v="1100"/>
    <x v="1"/>
    <x v="213"/>
    <x v="71"/>
    <n v="1431.3637641589874"/>
    <x v="236"/>
  </r>
  <r>
    <x v="1"/>
    <x v="4"/>
    <x v="2"/>
    <x v="2"/>
    <n v="1000"/>
    <x v="2"/>
    <x v="256"/>
    <x v="37"/>
    <n v="1255.2725051033062"/>
    <x v="283"/>
  </r>
  <r>
    <x v="1"/>
    <x v="4"/>
    <x v="2"/>
    <x v="2"/>
    <n v="620"/>
    <x v="3"/>
    <x v="257"/>
    <x v="3"/>
    <n v="1130.3337684950061"/>
    <x v="284"/>
  </r>
  <r>
    <x v="1"/>
    <x v="4"/>
    <x v="2"/>
    <x v="2"/>
    <n v="496"/>
    <x v="4"/>
    <x v="258"/>
    <x v="37"/>
    <n v="1033.4237554869499"/>
    <x v="285"/>
  </r>
  <r>
    <x v="1"/>
    <x v="4"/>
    <x v="2"/>
    <x v="2"/>
    <n v="434"/>
    <x v="5"/>
    <x v="239"/>
    <x v="92"/>
    <n v="954.24250943932498"/>
    <x v="263"/>
  </r>
  <r>
    <x v="1"/>
    <x v="4"/>
    <x v="2"/>
    <x v="2"/>
    <n v="372"/>
    <x v="6"/>
    <x v="253"/>
    <x v="87"/>
    <n v="887.29571980871185"/>
    <x v="279"/>
  </r>
  <r>
    <x v="1"/>
    <x v="4"/>
    <x v="2"/>
    <x v="2"/>
    <n v="310"/>
    <x v="7"/>
    <x v="259"/>
    <x v="50"/>
    <n v="829.30377283102507"/>
    <x v="286"/>
  </r>
  <r>
    <x v="1"/>
    <x v="4"/>
    <x v="2"/>
    <x v="2"/>
    <n v="248"/>
    <x v="8"/>
    <x v="175"/>
    <x v="4"/>
    <n v="778.15125038364374"/>
    <x v="190"/>
  </r>
  <r>
    <x v="1"/>
    <x v="4"/>
    <x v="2"/>
    <x v="2"/>
    <n v="186"/>
    <x v="9"/>
    <x v="260"/>
    <x v="80"/>
    <n v="732.3937598229686"/>
    <x v="287"/>
  </r>
  <r>
    <x v="1"/>
    <x v="4"/>
    <x v="5"/>
    <x v="1"/>
    <n v="1108"/>
    <x v="0"/>
    <x v="149"/>
    <x v="15"/>
    <n v="1681.2412373755872"/>
    <x v="160"/>
  </r>
  <r>
    <x v="1"/>
    <x v="4"/>
    <x v="5"/>
    <x v="1"/>
    <n v="673"/>
    <x v="1"/>
    <x v="256"/>
    <x v="37"/>
    <n v="1380.2112417116059"/>
    <x v="283"/>
  </r>
  <r>
    <x v="1"/>
    <x v="4"/>
    <x v="5"/>
    <x v="1"/>
    <n v="475"/>
    <x v="2"/>
    <x v="94"/>
    <x v="13"/>
    <n v="1204.1199826559248"/>
    <x v="280"/>
  </r>
  <r>
    <x v="1"/>
    <x v="4"/>
    <x v="5"/>
    <x v="1"/>
    <n v="396"/>
    <x v="3"/>
    <x v="205"/>
    <x v="138"/>
    <n v="1079.1812460476247"/>
    <x v="223"/>
  </r>
  <r>
    <x v="1"/>
    <x v="4"/>
    <x v="5"/>
    <x v="1"/>
    <n v="316"/>
    <x v="4"/>
    <x v="261"/>
    <x v="161"/>
    <n v="982.2712330395683"/>
    <x v="288"/>
  </r>
  <r>
    <x v="1"/>
    <x v="4"/>
    <x v="5"/>
    <x v="1"/>
    <n v="277"/>
    <x v="5"/>
    <x v="193"/>
    <x v="132"/>
    <n v="903.08998699194353"/>
    <x v="211"/>
  </r>
  <r>
    <x v="1"/>
    <x v="4"/>
    <x v="5"/>
    <x v="1"/>
    <n v="237"/>
    <x v="6"/>
    <x v="108"/>
    <x v="37"/>
    <n v="836.14319736133041"/>
    <x v="235"/>
  </r>
  <r>
    <x v="1"/>
    <x v="4"/>
    <x v="5"/>
    <x v="1"/>
    <n v="198"/>
    <x v="7"/>
    <x v="262"/>
    <x v="162"/>
    <n v="778.15125038364363"/>
    <x v="289"/>
  </r>
  <r>
    <x v="1"/>
    <x v="4"/>
    <x v="5"/>
    <x v="1"/>
    <n v="158"/>
    <x v="8"/>
    <x v="263"/>
    <x v="4"/>
    <n v="726.9987279362623"/>
    <x v="290"/>
  </r>
  <r>
    <x v="1"/>
    <x v="4"/>
    <x v="5"/>
    <x v="1"/>
    <n v="122"/>
    <x v="9"/>
    <x v="191"/>
    <x v="13"/>
    <n v="681.24123737558716"/>
    <x v="209"/>
  </r>
  <r>
    <x v="1"/>
    <x v="5"/>
    <x v="4"/>
    <x v="3"/>
    <n v="896"/>
    <x v="0"/>
    <x v="108"/>
    <x v="37"/>
    <n v="1544.0680443502756"/>
    <x v="235"/>
  </r>
  <r>
    <x v="1"/>
    <x v="5"/>
    <x v="4"/>
    <x v="3"/>
    <n v="560"/>
    <x v="1"/>
    <x v="151"/>
    <x v="105"/>
    <n v="1243.0380486862944"/>
    <x v="162"/>
  </r>
  <r>
    <x v="1"/>
    <x v="5"/>
    <x v="4"/>
    <x v="3"/>
    <n v="448"/>
    <x v="2"/>
    <x v="200"/>
    <x v="135"/>
    <n v="1066.9467896306132"/>
    <x v="218"/>
  </r>
  <r>
    <x v="1"/>
    <x v="5"/>
    <x v="4"/>
    <x v="3"/>
    <n v="308"/>
    <x v="3"/>
    <x v="264"/>
    <x v="163"/>
    <n v="942.00805302231322"/>
    <x v="291"/>
  </r>
  <r>
    <x v="1"/>
    <x v="5"/>
    <x v="4"/>
    <x v="3"/>
    <n v="224"/>
    <x v="4"/>
    <x v="201"/>
    <x v="57"/>
    <n v="845.09804001425687"/>
    <x v="219"/>
  </r>
  <r>
    <x v="1"/>
    <x v="5"/>
    <x v="4"/>
    <x v="3"/>
    <n v="196"/>
    <x v="5"/>
    <x v="166"/>
    <x v="37"/>
    <n v="765.91679396663199"/>
    <x v="180"/>
  </r>
  <r>
    <x v="1"/>
    <x v="5"/>
    <x v="4"/>
    <x v="3"/>
    <n v="168"/>
    <x v="6"/>
    <x v="264"/>
    <x v="105"/>
    <n v="698.97000433601886"/>
    <x v="292"/>
  </r>
  <r>
    <x v="1"/>
    <x v="5"/>
    <x v="2"/>
    <x v="2"/>
    <n v="1440"/>
    <x v="0"/>
    <x v="265"/>
    <x v="25"/>
    <n v="1556.3025007672873"/>
    <x v="293"/>
  </r>
  <r>
    <x v="1"/>
    <x v="5"/>
    <x v="2"/>
    <x v="2"/>
    <n v="599"/>
    <x v="1"/>
    <x v="212"/>
    <x v="4"/>
    <n v="1255.272505103306"/>
    <x v="231"/>
  </r>
  <r>
    <x v="1"/>
    <x v="5"/>
    <x v="2"/>
    <x v="2"/>
    <n v="599"/>
    <x v="2"/>
    <x v="266"/>
    <x v="164"/>
    <n v="1079.1812460476249"/>
    <x v="294"/>
  </r>
  <r>
    <x v="1"/>
    <x v="5"/>
    <x v="2"/>
    <x v="2"/>
    <n v="252"/>
    <x v="3"/>
    <x v="175"/>
    <x v="4"/>
    <n v="954.24250943932486"/>
    <x v="190"/>
  </r>
  <r>
    <x v="1"/>
    <x v="5"/>
    <x v="2"/>
    <x v="2"/>
    <n v="216"/>
    <x v="4"/>
    <x v="213"/>
    <x v="71"/>
    <n v="857.3324964312684"/>
    <x v="236"/>
  </r>
  <r>
    <x v="1"/>
    <x v="5"/>
    <x v="2"/>
    <x v="2"/>
    <n v="180"/>
    <x v="5"/>
    <x v="267"/>
    <x v="123"/>
    <n v="778.15125038364363"/>
    <x v="295"/>
  </r>
  <r>
    <x v="1"/>
    <x v="5"/>
    <x v="2"/>
    <x v="2"/>
    <n v="144"/>
    <x v="6"/>
    <x v="264"/>
    <x v="105"/>
    <n v="711.2044607530305"/>
    <x v="292"/>
  </r>
  <r>
    <x v="1"/>
    <x v="5"/>
    <x v="2"/>
    <x v="2"/>
    <n v="108"/>
    <x v="7"/>
    <x v="141"/>
    <x v="56"/>
    <n v="653.21251377534372"/>
    <x v="151"/>
  </r>
  <r>
    <x v="1"/>
    <x v="5"/>
    <x v="18"/>
    <x v="7"/>
    <n v="699"/>
    <x v="0"/>
    <x v="268"/>
    <x v="165"/>
    <n v="1531.478917042255"/>
    <x v="296"/>
  </r>
  <r>
    <x v="1"/>
    <x v="5"/>
    <x v="18"/>
    <x v="7"/>
    <n v="599"/>
    <x v="1"/>
    <x v="108"/>
    <x v="37"/>
    <n v="1230.4489213782738"/>
    <x v="235"/>
  </r>
  <r>
    <x v="1"/>
    <x v="5"/>
    <x v="18"/>
    <x v="7"/>
    <n v="558"/>
    <x v="2"/>
    <x v="141"/>
    <x v="56"/>
    <n v="1054.3576623225927"/>
    <x v="151"/>
  </r>
  <r>
    <x v="1"/>
    <x v="5"/>
    <x v="18"/>
    <x v="7"/>
    <n v="300"/>
    <x v="3"/>
    <x v="213"/>
    <x v="71"/>
    <n v="929.41892571429275"/>
    <x v="236"/>
  </r>
  <r>
    <x v="1"/>
    <x v="5"/>
    <x v="18"/>
    <x v="7"/>
    <n v="219"/>
    <x v="4"/>
    <x v="31"/>
    <x v="32"/>
    <n v="832.50891270623629"/>
    <x v="33"/>
  </r>
  <r>
    <x v="1"/>
    <x v="5"/>
    <x v="18"/>
    <x v="7"/>
    <n v="190"/>
    <x v="5"/>
    <x v="200"/>
    <x v="144"/>
    <n v="753.32766665861152"/>
    <x v="232"/>
  </r>
  <r>
    <x v="1"/>
    <x v="5"/>
    <x v="18"/>
    <x v="7"/>
    <n v="163"/>
    <x v="6"/>
    <x v="191"/>
    <x v="13"/>
    <n v="686.38087702799828"/>
    <x v="209"/>
  </r>
  <r>
    <x v="2"/>
    <x v="0"/>
    <x v="0"/>
    <x v="0"/>
    <n v="1584"/>
    <x v="0"/>
    <x v="269"/>
    <x v="23"/>
    <n v="1819.5439355418687"/>
    <x v="297"/>
  </r>
  <r>
    <x v="2"/>
    <x v="0"/>
    <x v="0"/>
    <x v="0"/>
    <n v="910"/>
    <x v="1"/>
    <x v="270"/>
    <x v="30"/>
    <n v="1518.5139398778874"/>
    <x v="298"/>
  </r>
  <r>
    <x v="2"/>
    <x v="0"/>
    <x v="0"/>
    <x v="0"/>
    <n v="475"/>
    <x v="2"/>
    <x v="0"/>
    <x v="0"/>
    <n v="1342.4226808222063"/>
    <x v="0"/>
  </r>
  <r>
    <x v="2"/>
    <x v="0"/>
    <x v="0"/>
    <x v="0"/>
    <n v="277"/>
    <x v="3"/>
    <x v="28"/>
    <x v="28"/>
    <n v="1217.4839442139062"/>
    <x v="28"/>
  </r>
  <r>
    <x v="2"/>
    <x v="0"/>
    <x v="0"/>
    <x v="0"/>
    <n v="237"/>
    <x v="4"/>
    <x v="271"/>
    <x v="116"/>
    <n v="1120.5739312058499"/>
    <x v="299"/>
  </r>
  <r>
    <x v="2"/>
    <x v="0"/>
    <x v="0"/>
    <x v="0"/>
    <n v="198"/>
    <x v="5"/>
    <x v="29"/>
    <x v="3"/>
    <n v="1041.392685158225"/>
    <x v="30"/>
  </r>
  <r>
    <x v="2"/>
    <x v="0"/>
    <x v="0"/>
    <x v="0"/>
    <n v="158"/>
    <x v="6"/>
    <x v="33"/>
    <x v="27"/>
    <n v="974.44589552761192"/>
    <x v="35"/>
  </r>
  <r>
    <x v="2"/>
    <x v="0"/>
    <x v="0"/>
    <x v="0"/>
    <n v="118"/>
    <x v="7"/>
    <x v="265"/>
    <x v="25"/>
    <n v="916.45394854992526"/>
    <x v="293"/>
  </r>
  <r>
    <x v="2"/>
    <x v="0"/>
    <x v="1"/>
    <x v="1"/>
    <n v="2256"/>
    <x v="0"/>
    <x v="10"/>
    <x v="10"/>
    <n v="1973.1278535996985"/>
    <x v="10"/>
  </r>
  <r>
    <x v="2"/>
    <x v="0"/>
    <x v="1"/>
    <x v="1"/>
    <n v="1297"/>
    <x v="1"/>
    <x v="26"/>
    <x v="51"/>
    <n v="1596.59709562646"/>
    <x v="62"/>
  </r>
  <r>
    <x v="2"/>
    <x v="0"/>
    <x v="1"/>
    <x v="1"/>
    <n v="677"/>
    <x v="2"/>
    <x v="36"/>
    <x v="35"/>
    <n v="1420.5058365707789"/>
    <x v="38"/>
  </r>
  <r>
    <x v="2"/>
    <x v="0"/>
    <x v="1"/>
    <x v="1"/>
    <n v="395"/>
    <x v="3"/>
    <x v="272"/>
    <x v="27"/>
    <n v="1295.5670999624788"/>
    <x v="300"/>
  </r>
  <r>
    <x v="2"/>
    <x v="0"/>
    <x v="1"/>
    <x v="1"/>
    <n v="310"/>
    <x v="4"/>
    <x v="273"/>
    <x v="164"/>
    <n v="1198.6570869544225"/>
    <x v="301"/>
  </r>
  <r>
    <x v="2"/>
    <x v="0"/>
    <x v="1"/>
    <x v="1"/>
    <n v="254"/>
    <x v="5"/>
    <x v="274"/>
    <x v="166"/>
    <n v="1119.4758409067977"/>
    <x v="302"/>
  </r>
  <r>
    <x v="2"/>
    <x v="0"/>
    <x v="1"/>
    <x v="1"/>
    <n v="197"/>
    <x v="6"/>
    <x v="26"/>
    <x v="26"/>
    <n v="1052.5290512761844"/>
    <x v="26"/>
  </r>
  <r>
    <x v="2"/>
    <x v="0"/>
    <x v="1"/>
    <x v="1"/>
    <n v="113"/>
    <x v="7"/>
    <x v="275"/>
    <x v="167"/>
    <n v="994.53710429849787"/>
    <x v="303"/>
  </r>
  <r>
    <x v="2"/>
    <x v="0"/>
    <x v="2"/>
    <x v="2"/>
    <n v="5686"/>
    <x v="0"/>
    <x v="276"/>
    <x v="168"/>
    <n v="2298.8530764097068"/>
    <x v="304"/>
  </r>
  <r>
    <x v="2"/>
    <x v="0"/>
    <x v="2"/>
    <x v="2"/>
    <n v="2985"/>
    <x v="1"/>
    <x v="25"/>
    <x v="25"/>
    <n v="1894.8696567452523"/>
    <x v="25"/>
  </r>
  <r>
    <x v="2"/>
    <x v="0"/>
    <x v="2"/>
    <x v="2"/>
    <n v="1492"/>
    <x v="2"/>
    <x v="277"/>
    <x v="169"/>
    <n v="1718.7783976895712"/>
    <x v="305"/>
  </r>
  <r>
    <x v="2"/>
    <x v="0"/>
    <x v="2"/>
    <x v="2"/>
    <n v="896"/>
    <x v="3"/>
    <x v="278"/>
    <x v="170"/>
    <n v="1593.8396610812711"/>
    <x v="306"/>
  </r>
  <r>
    <x v="2"/>
    <x v="0"/>
    <x v="2"/>
    <x v="2"/>
    <n v="672"/>
    <x v="4"/>
    <x v="279"/>
    <x v="37"/>
    <n v="1496.9296480732148"/>
    <x v="307"/>
  </r>
  <r>
    <x v="2"/>
    <x v="0"/>
    <x v="2"/>
    <x v="2"/>
    <n v="522"/>
    <x v="5"/>
    <x v="280"/>
    <x v="13"/>
    <n v="1417.7484020255899"/>
    <x v="308"/>
  </r>
  <r>
    <x v="2"/>
    <x v="0"/>
    <x v="2"/>
    <x v="2"/>
    <n v="373"/>
    <x v="6"/>
    <x v="281"/>
    <x v="171"/>
    <n v="1350.8016123949767"/>
    <x v="309"/>
  </r>
  <r>
    <x v="2"/>
    <x v="0"/>
    <x v="2"/>
    <x v="2"/>
    <n v="299"/>
    <x v="7"/>
    <x v="159"/>
    <x v="112"/>
    <n v="1292.80966541729"/>
    <x v="171"/>
  </r>
  <r>
    <x v="2"/>
    <x v="0"/>
    <x v="2"/>
    <x v="2"/>
    <n v="254"/>
    <x v="8"/>
    <x v="282"/>
    <x v="172"/>
    <n v="1241.6571429699088"/>
    <x v="310"/>
  </r>
  <r>
    <x v="2"/>
    <x v="0"/>
    <x v="2"/>
    <x v="2"/>
    <n v="194"/>
    <x v="9"/>
    <x v="283"/>
    <x v="173"/>
    <n v="1195.8996524092336"/>
    <x v="311"/>
  </r>
  <r>
    <x v="2"/>
    <x v="0"/>
    <x v="2"/>
    <x v="2"/>
    <n v="194"/>
    <x v="10"/>
    <x v="284"/>
    <x v="174"/>
    <n v="1154.5069672510085"/>
    <x v="312"/>
  </r>
  <r>
    <x v="2"/>
    <x v="0"/>
    <x v="2"/>
    <x v="2"/>
    <n v="194"/>
    <x v="11"/>
    <x v="183"/>
    <x v="128"/>
    <n v="1116.7184063616087"/>
    <x v="200"/>
  </r>
  <r>
    <x v="2"/>
    <x v="0"/>
    <x v="2"/>
    <x v="2"/>
    <n v="194"/>
    <x v="12"/>
    <x v="285"/>
    <x v="175"/>
    <n v="1081.9563001023969"/>
    <x v="313"/>
  </r>
  <r>
    <x v="2"/>
    <x v="0"/>
    <x v="2"/>
    <x v="2"/>
    <n v="194"/>
    <x v="13"/>
    <x v="286"/>
    <x v="92"/>
    <n v="1049.7716167309957"/>
    <x v="314"/>
  </r>
  <r>
    <x v="2"/>
    <x v="0"/>
    <x v="2"/>
    <x v="2"/>
    <n v="194"/>
    <x v="14"/>
    <x v="287"/>
    <x v="49"/>
    <n v="1019.8083933535522"/>
    <x v="315"/>
  </r>
  <r>
    <x v="2"/>
    <x v="0"/>
    <x v="2"/>
    <x v="2"/>
    <n v="194"/>
    <x v="15"/>
    <x v="288"/>
    <x v="22"/>
    <n v="991.77966975330878"/>
    <x v="316"/>
  </r>
  <r>
    <x v="2"/>
    <x v="0"/>
    <x v="2"/>
    <x v="2"/>
    <n v="194"/>
    <x v="16"/>
    <x v="289"/>
    <x v="176"/>
    <n v="965.45073103095967"/>
    <x v="317"/>
  </r>
  <r>
    <x v="2"/>
    <x v="0"/>
    <x v="2"/>
    <x v="2"/>
    <n v="194"/>
    <x v="17"/>
    <x v="2"/>
    <x v="2"/>
    <n v="940.62714730592756"/>
    <x v="2"/>
  </r>
  <r>
    <x v="2"/>
    <x v="1"/>
    <x v="19"/>
    <x v="0"/>
    <n v="1240"/>
    <x v="0"/>
    <x v="31"/>
    <x v="32"/>
    <n v="1903.0899869919435"/>
    <x v="33"/>
  </r>
  <r>
    <x v="2"/>
    <x v="1"/>
    <x v="19"/>
    <x v="0"/>
    <n v="990"/>
    <x v="1"/>
    <x v="10"/>
    <x v="10"/>
    <n v="1602.0599913279623"/>
    <x v="10"/>
  </r>
  <r>
    <x v="2"/>
    <x v="1"/>
    <x v="19"/>
    <x v="0"/>
    <n v="740"/>
    <x v="2"/>
    <x v="290"/>
    <x v="67"/>
    <n v="1425.9687322722812"/>
    <x v="318"/>
  </r>
  <r>
    <x v="2"/>
    <x v="1"/>
    <x v="19"/>
    <x v="0"/>
    <n v="590"/>
    <x v="3"/>
    <x v="238"/>
    <x v="1"/>
    <n v="1301.0299956639813"/>
    <x v="262"/>
  </r>
  <r>
    <x v="2"/>
    <x v="1"/>
    <x v="19"/>
    <x v="0"/>
    <n v="500"/>
    <x v="4"/>
    <x v="265"/>
    <x v="25"/>
    <n v="1204.1199826559246"/>
    <x v="293"/>
  </r>
  <r>
    <x v="2"/>
    <x v="1"/>
    <x v="19"/>
    <x v="0"/>
    <n v="400"/>
    <x v="5"/>
    <x v="110"/>
    <x v="86"/>
    <n v="1124.9387366082999"/>
    <x v="117"/>
  </r>
  <r>
    <x v="2"/>
    <x v="1"/>
    <x v="19"/>
    <x v="0"/>
    <n v="300"/>
    <x v="6"/>
    <x v="215"/>
    <x v="1"/>
    <n v="1057.9919469776869"/>
    <x v="238"/>
  </r>
  <r>
    <x v="2"/>
    <x v="1"/>
    <x v="19"/>
    <x v="0"/>
    <n v="200"/>
    <x v="7"/>
    <x v="291"/>
    <x v="44"/>
    <n v="1000"/>
    <x v="319"/>
  </r>
  <r>
    <x v="2"/>
    <x v="1"/>
    <x v="19"/>
    <x v="0"/>
    <n v="150"/>
    <x v="8"/>
    <x v="17"/>
    <x v="17"/>
    <n v="948.84747755261867"/>
    <x v="17"/>
  </r>
  <r>
    <x v="2"/>
    <x v="1"/>
    <x v="19"/>
    <x v="0"/>
    <n v="150"/>
    <x v="9"/>
    <x v="125"/>
    <x v="15"/>
    <n v="903.08998699194353"/>
    <x v="132"/>
  </r>
  <r>
    <x v="2"/>
    <x v="1"/>
    <x v="20"/>
    <x v="8"/>
    <n v="1060"/>
    <x v="0"/>
    <x v="292"/>
    <x v="177"/>
    <n v="1851.2583487190752"/>
    <x v="320"/>
  </r>
  <r>
    <x v="2"/>
    <x v="1"/>
    <x v="20"/>
    <x v="8"/>
    <n v="850"/>
    <x v="1"/>
    <x v="293"/>
    <x v="81"/>
    <n v="1550.228353055094"/>
    <x v="321"/>
  </r>
  <r>
    <x v="2"/>
    <x v="1"/>
    <x v="20"/>
    <x v="8"/>
    <n v="640"/>
    <x v="2"/>
    <x v="111"/>
    <x v="33"/>
    <n v="1374.1370939994129"/>
    <x v="118"/>
  </r>
  <r>
    <x v="2"/>
    <x v="1"/>
    <x v="20"/>
    <x v="8"/>
    <n v="510"/>
    <x v="3"/>
    <x v="237"/>
    <x v="155"/>
    <n v="1249.1983573911129"/>
    <x v="260"/>
  </r>
  <r>
    <x v="2"/>
    <x v="1"/>
    <x v="20"/>
    <x v="8"/>
    <n v="430"/>
    <x v="4"/>
    <x v="285"/>
    <x v="175"/>
    <n v="1152.2883443830563"/>
    <x v="313"/>
  </r>
  <r>
    <x v="2"/>
    <x v="1"/>
    <x v="20"/>
    <x v="8"/>
    <n v="340"/>
    <x v="5"/>
    <x v="197"/>
    <x v="123"/>
    <n v="1073.1070983354316"/>
    <x v="215"/>
  </r>
  <r>
    <x v="2"/>
    <x v="1"/>
    <x v="20"/>
    <x v="8"/>
    <n v="260"/>
    <x v="6"/>
    <x v="31"/>
    <x v="32"/>
    <n v="1006.1603087048186"/>
    <x v="33"/>
  </r>
  <r>
    <x v="2"/>
    <x v="1"/>
    <x v="20"/>
    <x v="8"/>
    <n v="170"/>
    <x v="7"/>
    <x v="87"/>
    <x v="72"/>
    <n v="948.1683617271317"/>
    <x v="94"/>
  </r>
  <r>
    <x v="2"/>
    <x v="1"/>
    <x v="2"/>
    <x v="2"/>
    <n v="5050"/>
    <x v="0"/>
    <x v="80"/>
    <x v="67"/>
    <n v="2340.4441148401183"/>
    <x v="86"/>
  </r>
  <r>
    <x v="2"/>
    <x v="1"/>
    <x v="2"/>
    <x v="2"/>
    <n v="4050"/>
    <x v="1"/>
    <x v="249"/>
    <x v="159"/>
    <n v="2039.4141191761373"/>
    <x v="275"/>
  </r>
  <r>
    <x v="2"/>
    <x v="1"/>
    <x v="2"/>
    <x v="2"/>
    <n v="3040"/>
    <x v="2"/>
    <x v="294"/>
    <x v="82"/>
    <n v="1863.3228601204562"/>
    <x v="322"/>
  </r>
  <r>
    <x v="2"/>
    <x v="1"/>
    <x v="2"/>
    <x v="2"/>
    <n v="2430"/>
    <x v="3"/>
    <x v="243"/>
    <x v="4"/>
    <n v="1738.3841235121561"/>
    <x v="267"/>
  </r>
  <r>
    <x v="2"/>
    <x v="1"/>
    <x v="2"/>
    <x v="2"/>
    <n v="2030"/>
    <x v="4"/>
    <x v="295"/>
    <x v="178"/>
    <n v="1641.4741105040998"/>
    <x v="323"/>
  </r>
  <r>
    <x v="2"/>
    <x v="1"/>
    <x v="2"/>
    <x v="2"/>
    <n v="1620"/>
    <x v="5"/>
    <x v="140"/>
    <x v="64"/>
    <n v="1562.2928644564749"/>
    <x v="150"/>
  </r>
  <r>
    <x v="2"/>
    <x v="1"/>
    <x v="2"/>
    <x v="2"/>
    <n v="1220"/>
    <x v="6"/>
    <x v="296"/>
    <x v="179"/>
    <n v="1495.3460748258615"/>
    <x v="324"/>
  </r>
  <r>
    <x v="2"/>
    <x v="1"/>
    <x v="2"/>
    <x v="2"/>
    <n v="810"/>
    <x v="7"/>
    <x v="93"/>
    <x v="4"/>
    <n v="1437.354127848175"/>
    <x v="144"/>
  </r>
  <r>
    <x v="2"/>
    <x v="1"/>
    <x v="2"/>
    <x v="2"/>
    <n v="300"/>
    <x v="8"/>
    <x v="297"/>
    <x v="22"/>
    <n v="1386.2016054007938"/>
    <x v="325"/>
  </r>
  <r>
    <x v="2"/>
    <x v="1"/>
    <x v="2"/>
    <x v="2"/>
    <n v="200"/>
    <x v="9"/>
    <x v="197"/>
    <x v="123"/>
    <n v="1340.4441148401186"/>
    <x v="215"/>
  </r>
  <r>
    <x v="2"/>
    <x v="1"/>
    <x v="2"/>
    <x v="2"/>
    <n v="200"/>
    <x v="10"/>
    <x v="298"/>
    <x v="180"/>
    <n v="1299.0514296818933"/>
    <x v="326"/>
  </r>
  <r>
    <x v="2"/>
    <x v="1"/>
    <x v="2"/>
    <x v="2"/>
    <n v="200"/>
    <x v="11"/>
    <x v="49"/>
    <x v="46"/>
    <n v="1261.2628687924937"/>
    <x v="54"/>
  </r>
  <r>
    <x v="2"/>
    <x v="1"/>
    <x v="2"/>
    <x v="2"/>
    <n v="150"/>
    <x v="12"/>
    <x v="227"/>
    <x v="105"/>
    <n v="1226.5007625332819"/>
    <x v="250"/>
  </r>
  <r>
    <x v="2"/>
    <x v="1"/>
    <x v="2"/>
    <x v="2"/>
    <n v="150"/>
    <x v="13"/>
    <x v="299"/>
    <x v="181"/>
    <n v="1194.3160791618805"/>
    <x v="327"/>
  </r>
  <r>
    <x v="2"/>
    <x v="1"/>
    <x v="2"/>
    <x v="2"/>
    <n v="150"/>
    <x v="14"/>
    <x v="300"/>
    <x v="25"/>
    <n v="1164.3528557844372"/>
    <x v="328"/>
  </r>
  <r>
    <x v="2"/>
    <x v="1"/>
    <x v="2"/>
    <x v="2"/>
    <n v="100"/>
    <x v="15"/>
    <x v="160"/>
    <x v="92"/>
    <n v="1136.3241321841938"/>
    <x v="172"/>
  </r>
  <r>
    <x v="2"/>
    <x v="1"/>
    <x v="2"/>
    <x v="2"/>
    <n v="100"/>
    <x v="16"/>
    <x v="54"/>
    <x v="8"/>
    <n v="1109.9951934618446"/>
    <x v="57"/>
  </r>
  <r>
    <x v="2"/>
    <x v="1"/>
    <x v="2"/>
    <x v="2"/>
    <n v="100"/>
    <x v="17"/>
    <x v="301"/>
    <x v="182"/>
    <n v="1085.1716097368126"/>
    <x v="329"/>
  </r>
  <r>
    <x v="2"/>
    <x v="1"/>
    <x v="21"/>
    <x v="4"/>
    <n v="500"/>
    <x v="0"/>
    <x v="302"/>
    <x v="183"/>
    <n v="1698.9700043360187"/>
    <x v="330"/>
  </r>
  <r>
    <x v="2"/>
    <x v="1"/>
    <x v="21"/>
    <x v="4"/>
    <n v="400"/>
    <x v="1"/>
    <x v="303"/>
    <x v="184"/>
    <n v="1397.9400086720375"/>
    <x v="331"/>
  </r>
  <r>
    <x v="2"/>
    <x v="1"/>
    <x v="21"/>
    <x v="4"/>
    <n v="300"/>
    <x v="2"/>
    <x v="304"/>
    <x v="185"/>
    <n v="1221.8487496163564"/>
    <x v="332"/>
  </r>
  <r>
    <x v="2"/>
    <x v="1"/>
    <x v="21"/>
    <x v="4"/>
    <n v="250"/>
    <x v="3"/>
    <x v="140"/>
    <x v="64"/>
    <n v="1096.9100130080562"/>
    <x v="150"/>
  </r>
  <r>
    <x v="2"/>
    <x v="1"/>
    <x v="21"/>
    <x v="4"/>
    <n v="200"/>
    <x v="4"/>
    <x v="305"/>
    <x v="98"/>
    <n v="1000"/>
    <x v="333"/>
  </r>
  <r>
    <x v="2"/>
    <x v="1"/>
    <x v="21"/>
    <x v="4"/>
    <n v="150"/>
    <x v="5"/>
    <x v="0"/>
    <x v="119"/>
    <n v="920.81875395237512"/>
    <x v="184"/>
  </r>
  <r>
    <x v="2"/>
    <x v="1"/>
    <x v="21"/>
    <x v="4"/>
    <n v="100"/>
    <x v="6"/>
    <x v="306"/>
    <x v="15"/>
    <n v="853.87196432176188"/>
    <x v="334"/>
  </r>
  <r>
    <x v="2"/>
    <x v="1"/>
    <x v="21"/>
    <x v="4"/>
    <n v="60"/>
    <x v="7"/>
    <x v="45"/>
    <x v="73"/>
    <n v="795.88001734407521"/>
    <x v="140"/>
  </r>
  <r>
    <x v="2"/>
    <x v="1"/>
    <x v="21"/>
    <x v="4"/>
    <n v="40"/>
    <x v="8"/>
    <x v="111"/>
    <x v="33"/>
    <n v="744.72749489669388"/>
    <x v="118"/>
  </r>
  <r>
    <x v="2"/>
    <x v="1"/>
    <x v="5"/>
    <x v="1"/>
    <n v="2975"/>
    <x v="0"/>
    <x v="131"/>
    <x v="3"/>
    <n v="2201.3971243204514"/>
    <x v="147"/>
  </r>
  <r>
    <x v="2"/>
    <x v="1"/>
    <x v="5"/>
    <x v="1"/>
    <n v="2390"/>
    <x v="1"/>
    <x v="49"/>
    <x v="13"/>
    <n v="1900.36712865647"/>
    <x v="51"/>
  </r>
  <r>
    <x v="2"/>
    <x v="1"/>
    <x v="5"/>
    <x v="1"/>
    <n v="1790"/>
    <x v="2"/>
    <x v="31"/>
    <x v="32"/>
    <n v="1724.2758696007888"/>
    <x v="33"/>
  </r>
  <r>
    <x v="2"/>
    <x v="1"/>
    <x v="5"/>
    <x v="1"/>
    <n v="1490"/>
    <x v="3"/>
    <x v="306"/>
    <x v="15"/>
    <n v="1599.3371329924887"/>
    <x v="334"/>
  </r>
  <r>
    <x v="2"/>
    <x v="1"/>
    <x v="5"/>
    <x v="1"/>
    <n v="1190"/>
    <x v="4"/>
    <x v="307"/>
    <x v="149"/>
    <n v="1502.4271199844325"/>
    <x v="335"/>
  </r>
  <r>
    <x v="2"/>
    <x v="1"/>
    <x v="5"/>
    <x v="1"/>
    <n v="890"/>
    <x v="5"/>
    <x v="308"/>
    <x v="7"/>
    <n v="1423.2458739368076"/>
    <x v="336"/>
  </r>
  <r>
    <x v="2"/>
    <x v="1"/>
    <x v="5"/>
    <x v="1"/>
    <n v="600"/>
    <x v="6"/>
    <x v="97"/>
    <x v="78"/>
    <n v="1356.2990843061943"/>
    <x v="104"/>
  </r>
  <r>
    <x v="2"/>
    <x v="1"/>
    <x v="5"/>
    <x v="1"/>
    <n v="360"/>
    <x v="7"/>
    <x v="309"/>
    <x v="186"/>
    <n v="1298.3071373285077"/>
    <x v="337"/>
  </r>
  <r>
    <x v="2"/>
    <x v="1"/>
    <x v="5"/>
    <x v="1"/>
    <n v="240"/>
    <x v="8"/>
    <x v="93"/>
    <x v="4"/>
    <n v="1247.1546148811265"/>
    <x v="144"/>
  </r>
  <r>
    <x v="2"/>
    <x v="2"/>
    <x v="4"/>
    <x v="3"/>
    <n v="990"/>
    <x v="0"/>
    <x v="136"/>
    <x v="100"/>
    <n v="1602.0599913279623"/>
    <x v="145"/>
  </r>
  <r>
    <x v="2"/>
    <x v="2"/>
    <x v="4"/>
    <x v="3"/>
    <n v="550"/>
    <x v="1"/>
    <x v="162"/>
    <x v="187"/>
    <n v="1301.029995663981"/>
    <x v="338"/>
  </r>
  <r>
    <x v="2"/>
    <x v="2"/>
    <x v="4"/>
    <x v="3"/>
    <n v="330"/>
    <x v="2"/>
    <x v="127"/>
    <x v="71"/>
    <n v="1124.9387366082999"/>
    <x v="134"/>
  </r>
  <r>
    <x v="2"/>
    <x v="2"/>
    <x v="4"/>
    <x v="3"/>
    <n v="220"/>
    <x v="3"/>
    <x v="129"/>
    <x v="25"/>
    <n v="1000"/>
    <x v="136"/>
  </r>
  <r>
    <x v="2"/>
    <x v="2"/>
    <x v="4"/>
    <x v="3"/>
    <n v="110"/>
    <x v="4"/>
    <x v="133"/>
    <x v="97"/>
    <n v="903.08998699194342"/>
    <x v="141"/>
  </r>
  <r>
    <x v="2"/>
    <x v="2"/>
    <x v="2"/>
    <x v="2"/>
    <n v="1060"/>
    <x v="0"/>
    <x v="265"/>
    <x v="25"/>
    <n v="1633.4684555795864"/>
    <x v="293"/>
  </r>
  <r>
    <x v="2"/>
    <x v="2"/>
    <x v="2"/>
    <x v="2"/>
    <n v="590"/>
    <x v="1"/>
    <x v="9"/>
    <x v="9"/>
    <n v="1332.4384599156051"/>
    <x v="9"/>
  </r>
  <r>
    <x v="2"/>
    <x v="2"/>
    <x v="2"/>
    <x v="2"/>
    <n v="335"/>
    <x v="2"/>
    <x v="310"/>
    <x v="188"/>
    <n v="1156.347200859924"/>
    <x v="339"/>
  </r>
  <r>
    <x v="2"/>
    <x v="2"/>
    <x v="2"/>
    <x v="2"/>
    <n v="235"/>
    <x v="3"/>
    <x v="90"/>
    <x v="73"/>
    <n v="1031.4084642516241"/>
    <x v="97"/>
  </r>
  <r>
    <x v="2"/>
    <x v="2"/>
    <x v="2"/>
    <x v="2"/>
    <n v="120"/>
    <x v="4"/>
    <x v="93"/>
    <x v="4"/>
    <n v="934.49845124356762"/>
    <x v="144"/>
  </r>
  <r>
    <x v="2"/>
    <x v="2"/>
    <x v="22"/>
    <x v="2"/>
    <n v="1470"/>
    <x v="0"/>
    <x v="311"/>
    <x v="22"/>
    <n v="1643.4526764861873"/>
    <x v="340"/>
  </r>
  <r>
    <x v="2"/>
    <x v="2"/>
    <x v="22"/>
    <x v="2"/>
    <n v="820"/>
    <x v="1"/>
    <x v="249"/>
    <x v="159"/>
    <n v="1342.4226808222061"/>
    <x v="275"/>
  </r>
  <r>
    <x v="2"/>
    <x v="2"/>
    <x v="22"/>
    <x v="2"/>
    <n v="490"/>
    <x v="2"/>
    <x v="312"/>
    <x v="13"/>
    <n v="1166.331421766525"/>
    <x v="341"/>
  </r>
  <r>
    <x v="2"/>
    <x v="2"/>
    <x v="22"/>
    <x v="2"/>
    <n v="250"/>
    <x v="90"/>
    <x v="313"/>
    <x v="104"/>
    <n v="990.24016271084372"/>
    <x v="342"/>
  </r>
  <r>
    <x v="2"/>
    <x v="2"/>
    <x v="22"/>
    <x v="2"/>
    <n v="250"/>
    <x v="90"/>
    <x v="45"/>
    <x v="99"/>
    <n v="990.24016271084372"/>
    <x v="343"/>
  </r>
  <r>
    <x v="2"/>
    <x v="2"/>
    <x v="22"/>
    <x v="2"/>
    <n v="80"/>
    <x v="6"/>
    <x v="136"/>
    <x v="100"/>
    <n v="798.35463647193058"/>
    <x v="145"/>
  </r>
  <r>
    <x v="2"/>
    <x v="2"/>
    <x v="22"/>
    <x v="2"/>
    <n v="80"/>
    <x v="6"/>
    <x v="314"/>
    <x v="189"/>
    <n v="798.35463647193058"/>
    <x v="344"/>
  </r>
  <r>
    <x v="2"/>
    <x v="2"/>
    <x v="22"/>
    <x v="2"/>
    <n v="80"/>
    <x v="6"/>
    <x v="138"/>
    <x v="7"/>
    <n v="798.35463647193058"/>
    <x v="148"/>
  </r>
  <r>
    <x v="2"/>
    <x v="2"/>
    <x v="23"/>
    <x v="4"/>
    <n v="990"/>
    <x v="0"/>
    <x v="0"/>
    <x v="0"/>
    <n v="1602.0599913279623"/>
    <x v="0"/>
  </r>
  <r>
    <x v="2"/>
    <x v="2"/>
    <x v="23"/>
    <x v="4"/>
    <n v="550"/>
    <x v="1"/>
    <x v="126"/>
    <x v="93"/>
    <n v="1301.029995663981"/>
    <x v="133"/>
  </r>
  <r>
    <x v="2"/>
    <x v="2"/>
    <x v="23"/>
    <x v="4"/>
    <n v="330"/>
    <x v="2"/>
    <x v="0"/>
    <x v="119"/>
    <n v="1124.9387366082999"/>
    <x v="184"/>
  </r>
  <r>
    <x v="2"/>
    <x v="2"/>
    <x v="23"/>
    <x v="4"/>
    <n v="220"/>
    <x v="3"/>
    <x v="31"/>
    <x v="32"/>
    <n v="1000"/>
    <x v="33"/>
  </r>
  <r>
    <x v="2"/>
    <x v="2"/>
    <x v="23"/>
    <x v="4"/>
    <n v="110"/>
    <x v="4"/>
    <x v="311"/>
    <x v="22"/>
    <n v="903.08998699194342"/>
    <x v="340"/>
  </r>
  <r>
    <x v="2"/>
    <x v="3"/>
    <x v="8"/>
    <x v="1"/>
    <n v="1512"/>
    <x v="0"/>
    <x v="315"/>
    <x v="190"/>
    <n v="1799.3405494535816"/>
    <x v="345"/>
  </r>
  <r>
    <x v="2"/>
    <x v="3"/>
    <x v="8"/>
    <x v="1"/>
    <n v="794"/>
    <x v="1"/>
    <x v="47"/>
    <x v="67"/>
    <n v="1498.3105537896004"/>
    <x v="163"/>
  </r>
  <r>
    <x v="2"/>
    <x v="3"/>
    <x v="8"/>
    <x v="1"/>
    <n v="416"/>
    <x v="2"/>
    <x v="10"/>
    <x v="10"/>
    <n v="1322.2192947339192"/>
    <x v="10"/>
  </r>
  <r>
    <x v="2"/>
    <x v="3"/>
    <x v="8"/>
    <x v="1"/>
    <n v="321"/>
    <x v="3"/>
    <x v="164"/>
    <x v="82"/>
    <n v="1197.2805581256191"/>
    <x v="176"/>
  </r>
  <r>
    <x v="2"/>
    <x v="3"/>
    <x v="8"/>
    <x v="1"/>
    <n v="227"/>
    <x v="4"/>
    <x v="316"/>
    <x v="191"/>
    <n v="1100.3705451175629"/>
    <x v="346"/>
  </r>
  <r>
    <x v="2"/>
    <x v="3"/>
    <x v="8"/>
    <x v="1"/>
    <n v="170"/>
    <x v="5"/>
    <x v="173"/>
    <x v="121"/>
    <n v="1021.1892990699381"/>
    <x v="188"/>
  </r>
  <r>
    <x v="2"/>
    <x v="3"/>
    <x v="8"/>
    <x v="1"/>
    <n v="133"/>
    <x v="6"/>
    <x v="221"/>
    <x v="13"/>
    <n v="954.24250943932486"/>
    <x v="244"/>
  </r>
  <r>
    <x v="2"/>
    <x v="3"/>
    <x v="8"/>
    <x v="1"/>
    <n v="113"/>
    <x v="7"/>
    <x v="269"/>
    <x v="23"/>
    <n v="896.2505624616382"/>
    <x v="297"/>
  </r>
  <r>
    <x v="2"/>
    <x v="3"/>
    <x v="8"/>
    <x v="1"/>
    <n v="94"/>
    <x v="8"/>
    <x v="4"/>
    <x v="4"/>
    <n v="845.09804001425687"/>
    <x v="4"/>
  </r>
  <r>
    <x v="2"/>
    <x v="3"/>
    <x v="2"/>
    <x v="2"/>
    <n v="2975"/>
    <x v="0"/>
    <x v="317"/>
    <x v="192"/>
    <n v="2127.1047983648077"/>
    <x v="347"/>
  </r>
  <r>
    <x v="2"/>
    <x v="3"/>
    <x v="2"/>
    <x v="2"/>
    <n v="1528"/>
    <x v="1"/>
    <x v="0"/>
    <x v="0"/>
    <n v="1826.0748027008265"/>
    <x v="0"/>
  </r>
  <r>
    <x v="2"/>
    <x v="3"/>
    <x v="2"/>
    <x v="2"/>
    <n v="723"/>
    <x v="2"/>
    <x v="45"/>
    <x v="42"/>
    <n v="1649.9835436451453"/>
    <x v="47"/>
  </r>
  <r>
    <x v="2"/>
    <x v="3"/>
    <x v="2"/>
    <x v="2"/>
    <n v="583"/>
    <x v="3"/>
    <x v="318"/>
    <x v="72"/>
    <n v="1525.0448070368452"/>
    <x v="348"/>
  </r>
  <r>
    <x v="2"/>
    <x v="3"/>
    <x v="2"/>
    <x v="2"/>
    <n v="422"/>
    <x v="4"/>
    <x v="13"/>
    <x v="13"/>
    <n v="1428.134794028789"/>
    <x v="13"/>
  </r>
  <r>
    <x v="2"/>
    <x v="3"/>
    <x v="2"/>
    <x v="2"/>
    <n v="302"/>
    <x v="5"/>
    <x v="49"/>
    <x v="46"/>
    <n v="1348.9535479811641"/>
    <x v="54"/>
  </r>
  <r>
    <x v="2"/>
    <x v="3"/>
    <x v="2"/>
    <x v="2"/>
    <n v="241"/>
    <x v="6"/>
    <x v="319"/>
    <x v="193"/>
    <n v="1282.0067583505509"/>
    <x v="349"/>
  </r>
  <r>
    <x v="2"/>
    <x v="3"/>
    <x v="2"/>
    <x v="2"/>
    <n v="201"/>
    <x v="7"/>
    <x v="320"/>
    <x v="21"/>
    <n v="1224.0148113728642"/>
    <x v="350"/>
  </r>
  <r>
    <x v="2"/>
    <x v="3"/>
    <x v="2"/>
    <x v="2"/>
    <n v="165"/>
    <x v="8"/>
    <x v="321"/>
    <x v="37"/>
    <n v="1172.862288925483"/>
    <x v="351"/>
  </r>
  <r>
    <x v="2"/>
    <x v="3"/>
    <x v="2"/>
    <x v="2"/>
    <n v="100"/>
    <x v="9"/>
    <x v="322"/>
    <x v="194"/>
    <n v="1127.1047983648077"/>
    <x v="352"/>
  </r>
  <r>
    <x v="2"/>
    <x v="3"/>
    <x v="2"/>
    <x v="2"/>
    <n v="100"/>
    <x v="10"/>
    <x v="323"/>
    <x v="13"/>
    <n v="1085.7121132065827"/>
    <x v="353"/>
  </r>
  <r>
    <x v="2"/>
    <x v="3"/>
    <x v="2"/>
    <x v="2"/>
    <n v="100"/>
    <x v="11"/>
    <x v="150"/>
    <x v="104"/>
    <n v="1047.9235523171828"/>
    <x v="161"/>
  </r>
  <r>
    <x v="2"/>
    <x v="3"/>
    <x v="2"/>
    <x v="2"/>
    <n v="100"/>
    <x v="12"/>
    <x v="46"/>
    <x v="43"/>
    <n v="1013.161446057971"/>
    <x v="48"/>
  </r>
  <r>
    <x v="2"/>
    <x v="3"/>
    <x v="2"/>
    <x v="2"/>
    <n v="100"/>
    <x v="13"/>
    <x v="1"/>
    <x v="1"/>
    <n v="980.97676268656971"/>
    <x v="1"/>
  </r>
  <r>
    <x v="2"/>
    <x v="3"/>
    <x v="2"/>
    <x v="2"/>
    <n v="100"/>
    <x v="14"/>
    <x v="3"/>
    <x v="195"/>
    <n v="951.01353930912637"/>
    <x v="354"/>
  </r>
  <r>
    <x v="2"/>
    <x v="3"/>
    <x v="2"/>
    <x v="2"/>
    <n v="100"/>
    <x v="15"/>
    <x v="10"/>
    <x v="10"/>
    <n v="922.98481570888293"/>
    <x v="10"/>
  </r>
  <r>
    <x v="2"/>
    <x v="3"/>
    <x v="2"/>
    <x v="2"/>
    <n v="100"/>
    <x v="16"/>
    <x v="166"/>
    <x v="37"/>
    <n v="896.65587698653383"/>
    <x v="180"/>
  </r>
  <r>
    <x v="2"/>
    <x v="3"/>
    <x v="2"/>
    <x v="2"/>
    <n v="100"/>
    <x v="17"/>
    <x v="176"/>
    <x v="123"/>
    <n v="871.83229326150172"/>
    <x v="191"/>
  </r>
  <r>
    <x v="2"/>
    <x v="3"/>
    <x v="17"/>
    <x v="7"/>
    <n v="1320"/>
    <x v="0"/>
    <x v="40"/>
    <x v="38"/>
    <n v="870.1813447471219"/>
    <x v="42"/>
  </r>
  <r>
    <x v="2"/>
    <x v="3"/>
    <x v="17"/>
    <x v="7"/>
    <n v="1320"/>
    <x v="0"/>
    <x v="316"/>
    <x v="191"/>
    <n v="870.1813447471219"/>
    <x v="346"/>
  </r>
  <r>
    <x v="2"/>
    <x v="3"/>
    <x v="17"/>
    <x v="7"/>
    <n v="693"/>
    <x v="1"/>
    <x v="83"/>
    <x v="57"/>
    <n v="719.66634691513127"/>
    <x v="89"/>
  </r>
  <r>
    <x v="2"/>
    <x v="3"/>
    <x v="17"/>
    <x v="7"/>
    <n v="693"/>
    <x v="1"/>
    <x v="80"/>
    <x v="67"/>
    <n v="719.66634691513127"/>
    <x v="86"/>
  </r>
  <r>
    <x v="2"/>
    <x v="3"/>
    <x v="17"/>
    <x v="7"/>
    <n v="363"/>
    <x v="2"/>
    <x v="52"/>
    <x v="7"/>
    <n v="631.62071738729071"/>
    <x v="55"/>
  </r>
  <r>
    <x v="2"/>
    <x v="3"/>
    <x v="17"/>
    <x v="7"/>
    <n v="363"/>
    <x v="2"/>
    <x v="324"/>
    <x v="64"/>
    <n v="631.62071738729071"/>
    <x v="355"/>
  </r>
  <r>
    <x v="2"/>
    <x v="3"/>
    <x v="17"/>
    <x v="7"/>
    <n v="281"/>
    <x v="3"/>
    <x v="178"/>
    <x v="81"/>
    <n v="569.15134908314076"/>
    <x v="194"/>
  </r>
  <r>
    <x v="2"/>
    <x v="3"/>
    <x v="17"/>
    <x v="7"/>
    <n v="280"/>
    <x v="3"/>
    <x v="163"/>
    <x v="44"/>
    <n v="569.15134908314076"/>
    <x v="175"/>
  </r>
  <r>
    <x v="2"/>
    <x v="3"/>
    <x v="17"/>
    <x v="7"/>
    <n v="198"/>
    <x v="4"/>
    <x v="4"/>
    <x v="4"/>
    <n v="520.69634257911241"/>
    <x v="4"/>
  </r>
  <r>
    <x v="2"/>
    <x v="3"/>
    <x v="17"/>
    <x v="7"/>
    <n v="198"/>
    <x v="4"/>
    <x v="76"/>
    <x v="9"/>
    <n v="520.69634257911241"/>
    <x v="81"/>
  </r>
  <r>
    <x v="2"/>
    <x v="3"/>
    <x v="17"/>
    <x v="7"/>
    <n v="148"/>
    <x v="5"/>
    <x v="284"/>
    <x v="174"/>
    <n v="481.10571955530014"/>
    <x v="312"/>
  </r>
  <r>
    <x v="2"/>
    <x v="3"/>
    <x v="17"/>
    <x v="7"/>
    <n v="149"/>
    <x v="5"/>
    <x v="325"/>
    <x v="107"/>
    <n v="481.10571955530014"/>
    <x v="356"/>
  </r>
  <r>
    <x v="2"/>
    <x v="3"/>
    <x v="17"/>
    <x v="7"/>
    <n v="115"/>
    <x v="6"/>
    <x v="49"/>
    <x v="13"/>
    <n v="447.63232473999352"/>
    <x v="51"/>
  </r>
  <r>
    <x v="2"/>
    <x v="3"/>
    <x v="17"/>
    <x v="7"/>
    <n v="116"/>
    <x v="6"/>
    <x v="5"/>
    <x v="5"/>
    <n v="447.63232473999352"/>
    <x v="5"/>
  </r>
  <r>
    <x v="2"/>
    <x v="3"/>
    <x v="17"/>
    <x v="7"/>
    <n v="99"/>
    <x v="7"/>
    <x v="1"/>
    <x v="1"/>
    <n v="418.63635125115019"/>
    <x v="1"/>
  </r>
  <r>
    <x v="2"/>
    <x v="3"/>
    <x v="17"/>
    <x v="7"/>
    <n v="99"/>
    <x v="7"/>
    <x v="3"/>
    <x v="195"/>
    <n v="418.63635125115019"/>
    <x v="354"/>
  </r>
  <r>
    <x v="2"/>
    <x v="3"/>
    <x v="17"/>
    <x v="7"/>
    <n v="83"/>
    <x v="8"/>
    <x v="165"/>
    <x v="115"/>
    <n v="393.06009002745952"/>
    <x v="177"/>
  </r>
  <r>
    <x v="2"/>
    <x v="3"/>
    <x v="17"/>
    <x v="7"/>
    <n v="82"/>
    <x v="8"/>
    <x v="147"/>
    <x v="1"/>
    <n v="393.06009002745952"/>
    <x v="158"/>
  </r>
  <r>
    <x v="2"/>
    <x v="4"/>
    <x v="4"/>
    <x v="3"/>
    <n v="649"/>
    <x v="0"/>
    <x v="196"/>
    <x v="92"/>
    <n v="1462.3979978989562"/>
    <x v="214"/>
  </r>
  <r>
    <x v="2"/>
    <x v="4"/>
    <x v="4"/>
    <x v="3"/>
    <n v="426"/>
    <x v="1"/>
    <x v="151"/>
    <x v="105"/>
    <n v="1161.3680022349749"/>
    <x v="162"/>
  </r>
  <r>
    <x v="2"/>
    <x v="4"/>
    <x v="4"/>
    <x v="3"/>
    <n v="324"/>
    <x v="2"/>
    <x v="326"/>
    <x v="7"/>
    <n v="985.2767431792937"/>
    <x v="357"/>
  </r>
  <r>
    <x v="2"/>
    <x v="4"/>
    <x v="4"/>
    <x v="3"/>
    <n v="263"/>
    <x v="3"/>
    <x v="254"/>
    <x v="37"/>
    <n v="860.33800657099368"/>
    <x v="281"/>
  </r>
  <r>
    <x v="2"/>
    <x v="4"/>
    <x v="4"/>
    <x v="3"/>
    <n v="203"/>
    <x v="4"/>
    <x v="59"/>
    <x v="196"/>
    <n v="763.42799356293722"/>
    <x v="358"/>
  </r>
  <r>
    <x v="2"/>
    <x v="4"/>
    <x v="4"/>
    <x v="3"/>
    <n v="165"/>
    <x v="8"/>
    <x v="327"/>
    <x v="25"/>
    <n v="508.15548845963121"/>
    <x v="359"/>
  </r>
  <r>
    <x v="2"/>
    <x v="4"/>
    <x v="2"/>
    <x v="2"/>
    <n v="800"/>
    <x v="95"/>
    <x v="328"/>
    <x v="197"/>
    <n v="1355.3876579865739"/>
    <x v="360"/>
  </r>
  <r>
    <x v="2"/>
    <x v="4"/>
    <x v="2"/>
    <x v="2"/>
    <n v="800"/>
    <x v="95"/>
    <x v="108"/>
    <x v="37"/>
    <n v="1355.3876579865739"/>
    <x v="235"/>
  </r>
  <r>
    <x v="2"/>
    <x v="4"/>
    <x v="2"/>
    <x v="2"/>
    <n v="442"/>
    <x v="2"/>
    <x v="261"/>
    <x v="161"/>
    <n v="1054.3576623225927"/>
    <x v="288"/>
  </r>
  <r>
    <x v="2"/>
    <x v="4"/>
    <x v="2"/>
    <x v="2"/>
    <n v="374"/>
    <x v="3"/>
    <x v="192"/>
    <x v="25"/>
    <n v="929.41892571429275"/>
    <x v="210"/>
  </r>
  <r>
    <x v="2"/>
    <x v="4"/>
    <x v="2"/>
    <x v="2"/>
    <n v="306"/>
    <x v="4"/>
    <x v="198"/>
    <x v="81"/>
    <n v="832.50891270623629"/>
    <x v="216"/>
  </r>
  <r>
    <x v="2"/>
    <x v="4"/>
    <x v="2"/>
    <x v="2"/>
    <n v="272"/>
    <x v="5"/>
    <x v="329"/>
    <x v="198"/>
    <n v="753.32766665861152"/>
    <x v="361"/>
  </r>
  <r>
    <x v="2"/>
    <x v="4"/>
    <x v="2"/>
    <x v="2"/>
    <n v="238"/>
    <x v="6"/>
    <x v="330"/>
    <x v="81"/>
    <n v="686.38087702799828"/>
    <x v="362"/>
  </r>
  <r>
    <x v="2"/>
    <x v="4"/>
    <x v="2"/>
    <x v="2"/>
    <n v="170"/>
    <x v="7"/>
    <x v="151"/>
    <x v="105"/>
    <n v="628.38893005031161"/>
    <x v="162"/>
  </r>
  <r>
    <x v="2"/>
    <x v="4"/>
    <x v="5"/>
    <x v="1"/>
    <n v="650"/>
    <x v="0"/>
    <x v="331"/>
    <x v="199"/>
    <n v="1462.3979978989562"/>
    <x v="363"/>
  </r>
  <r>
    <x v="2"/>
    <x v="4"/>
    <x v="5"/>
    <x v="1"/>
    <n v="426"/>
    <x v="1"/>
    <x v="151"/>
    <x v="105"/>
    <n v="1161.3680022349749"/>
    <x v="162"/>
  </r>
  <r>
    <x v="2"/>
    <x v="4"/>
    <x v="5"/>
    <x v="1"/>
    <n v="325"/>
    <x v="2"/>
    <x v="36"/>
    <x v="35"/>
    <n v="985.2767431792937"/>
    <x v="38"/>
  </r>
  <r>
    <x v="2"/>
    <x v="4"/>
    <x v="5"/>
    <x v="1"/>
    <n v="264"/>
    <x v="3"/>
    <x v="253"/>
    <x v="87"/>
    <n v="860.33800657099368"/>
    <x v="279"/>
  </r>
  <r>
    <x v="2"/>
    <x v="4"/>
    <x v="5"/>
    <x v="1"/>
    <n v="203"/>
    <x v="4"/>
    <x v="195"/>
    <x v="134"/>
    <n v="763.42799356293722"/>
    <x v="213"/>
  </r>
  <r>
    <x v="2"/>
    <x v="4"/>
    <x v="5"/>
    <x v="1"/>
    <n v="162"/>
    <x v="5"/>
    <x v="196"/>
    <x v="92"/>
    <n v="684.24674751531245"/>
    <x v="214"/>
  </r>
  <r>
    <x v="3"/>
    <x v="0"/>
    <x v="0"/>
    <x v="0"/>
    <n v="2205"/>
    <x v="0"/>
    <x v="265"/>
    <x v="25"/>
    <n v="1819.5439355418687"/>
    <x v="293"/>
  </r>
  <r>
    <x v="3"/>
    <x v="0"/>
    <x v="0"/>
    <x v="0"/>
    <n v="1225"/>
    <x v="1"/>
    <x v="12"/>
    <x v="12"/>
    <n v="1518.5139398778874"/>
    <x v="12"/>
  </r>
  <r>
    <x v="3"/>
    <x v="0"/>
    <x v="0"/>
    <x v="0"/>
    <n v="735"/>
    <x v="2"/>
    <x v="0"/>
    <x v="0"/>
    <n v="1342.4226808222063"/>
    <x v="0"/>
  </r>
  <r>
    <x v="3"/>
    <x v="0"/>
    <x v="0"/>
    <x v="0"/>
    <n v="490"/>
    <x v="3"/>
    <x v="270"/>
    <x v="30"/>
    <n v="1217.4839442139062"/>
    <x v="298"/>
  </r>
  <r>
    <x v="3"/>
    <x v="0"/>
    <x v="0"/>
    <x v="0"/>
    <n v="245"/>
    <x v="4"/>
    <x v="31"/>
    <x v="32"/>
    <n v="1120.5739312058499"/>
    <x v="33"/>
  </r>
  <r>
    <x v="3"/>
    <x v="0"/>
    <x v="1"/>
    <x v="1"/>
    <n v="3810"/>
    <x v="0"/>
    <x v="332"/>
    <x v="200"/>
    <n v="2000"/>
    <x v="364"/>
  </r>
  <r>
    <x v="3"/>
    <x v="0"/>
    <x v="1"/>
    <x v="1"/>
    <n v="2000"/>
    <x v="1"/>
    <x v="333"/>
    <x v="201"/>
    <n v="1698.9700043360187"/>
    <x v="365"/>
  </r>
  <r>
    <x v="3"/>
    <x v="0"/>
    <x v="1"/>
    <x v="1"/>
    <n v="1000"/>
    <x v="2"/>
    <x v="269"/>
    <x v="23"/>
    <n v="1522.8787452803376"/>
    <x v="297"/>
  </r>
  <r>
    <x v="3"/>
    <x v="0"/>
    <x v="1"/>
    <x v="1"/>
    <n v="600"/>
    <x v="3"/>
    <x v="12"/>
    <x v="12"/>
    <n v="1397.9400086720375"/>
    <x v="12"/>
  </r>
  <r>
    <x v="3"/>
    <x v="0"/>
    <x v="1"/>
    <x v="1"/>
    <n v="450"/>
    <x v="4"/>
    <x v="61"/>
    <x v="7"/>
    <n v="1301.0299956639813"/>
    <x v="366"/>
  </r>
  <r>
    <x v="3"/>
    <x v="0"/>
    <x v="1"/>
    <x v="1"/>
    <n v="350"/>
    <x v="5"/>
    <x v="86"/>
    <x v="71"/>
    <n v="1221.8487496163564"/>
    <x v="93"/>
  </r>
  <r>
    <x v="3"/>
    <x v="0"/>
    <x v="1"/>
    <x v="1"/>
    <n v="250"/>
    <x v="6"/>
    <x v="40"/>
    <x v="38"/>
    <n v="1154.9019599857431"/>
    <x v="42"/>
  </r>
  <r>
    <x v="3"/>
    <x v="0"/>
    <x v="1"/>
    <x v="1"/>
    <n v="200"/>
    <x v="7"/>
    <x v="334"/>
    <x v="13"/>
    <n v="1096.9100130080565"/>
    <x v="367"/>
  </r>
  <r>
    <x v="3"/>
    <x v="0"/>
    <x v="1"/>
    <x v="1"/>
    <n v="170"/>
    <x v="8"/>
    <x v="41"/>
    <x v="39"/>
    <n v="1045.7574905606753"/>
    <x v="43"/>
  </r>
  <r>
    <x v="3"/>
    <x v="0"/>
    <x v="1"/>
    <x v="1"/>
    <n v="130"/>
    <x v="9"/>
    <x v="1"/>
    <x v="1"/>
    <n v="1000"/>
    <x v="1"/>
  </r>
  <r>
    <x v="3"/>
    <x v="0"/>
    <x v="1"/>
    <x v="1"/>
    <n v="130"/>
    <x v="10"/>
    <x v="54"/>
    <x v="8"/>
    <n v="958.60731484177484"/>
    <x v="57"/>
  </r>
  <r>
    <x v="3"/>
    <x v="0"/>
    <x v="1"/>
    <x v="1"/>
    <n v="130"/>
    <x v="11"/>
    <x v="177"/>
    <x v="125"/>
    <n v="920.81875395237512"/>
    <x v="193"/>
  </r>
  <r>
    <x v="3"/>
    <x v="0"/>
    <x v="1"/>
    <x v="1"/>
    <n v="130"/>
    <x v="12"/>
    <x v="13"/>
    <x v="13"/>
    <n v="886.05664769316331"/>
    <x v="13"/>
  </r>
  <r>
    <x v="3"/>
    <x v="0"/>
    <x v="1"/>
    <x v="1"/>
    <n v="130"/>
    <x v="13"/>
    <x v="16"/>
    <x v="50"/>
    <n v="853.87196432176199"/>
    <x v="368"/>
  </r>
  <r>
    <x v="3"/>
    <x v="0"/>
    <x v="1"/>
    <x v="1"/>
    <n v="130"/>
    <x v="14"/>
    <x v="335"/>
    <x v="22"/>
    <n v="823.90874094431865"/>
    <x v="369"/>
  </r>
  <r>
    <x v="3"/>
    <x v="0"/>
    <x v="1"/>
    <x v="1"/>
    <n v="130"/>
    <x v="15"/>
    <x v="336"/>
    <x v="73"/>
    <n v="795.88001734407521"/>
    <x v="370"/>
  </r>
  <r>
    <x v="3"/>
    <x v="0"/>
    <x v="1"/>
    <x v="1"/>
    <n v="130"/>
    <x v="16"/>
    <x v="49"/>
    <x v="13"/>
    <n v="769.55107862172611"/>
    <x v="51"/>
  </r>
  <r>
    <x v="3"/>
    <x v="0"/>
    <x v="1"/>
    <x v="1"/>
    <n v="130"/>
    <x v="17"/>
    <x v="10"/>
    <x v="10"/>
    <n v="744.727494896694"/>
    <x v="10"/>
  </r>
  <r>
    <x v="3"/>
    <x v="0"/>
    <x v="2"/>
    <x v="2"/>
    <n v="6630"/>
    <x v="0"/>
    <x v="337"/>
    <x v="202"/>
    <n v="2298.8530764097068"/>
    <x v="371"/>
  </r>
  <r>
    <x v="3"/>
    <x v="0"/>
    <x v="2"/>
    <x v="2"/>
    <n v="3480"/>
    <x v="1"/>
    <x v="83"/>
    <x v="57"/>
    <n v="1894.8696567452523"/>
    <x v="89"/>
  </r>
  <r>
    <x v="3"/>
    <x v="0"/>
    <x v="2"/>
    <x v="2"/>
    <n v="1740"/>
    <x v="2"/>
    <x v="14"/>
    <x v="14"/>
    <n v="1718.7783976895712"/>
    <x v="14"/>
  </r>
  <r>
    <x v="3"/>
    <x v="0"/>
    <x v="2"/>
    <x v="2"/>
    <n v="1044"/>
    <x v="3"/>
    <x v="32"/>
    <x v="33"/>
    <n v="1593.8396610812711"/>
    <x v="34"/>
  </r>
  <r>
    <x v="3"/>
    <x v="0"/>
    <x v="2"/>
    <x v="2"/>
    <n v="783"/>
    <x v="4"/>
    <x v="338"/>
    <x v="174"/>
    <n v="1496.9296480732148"/>
    <x v="372"/>
  </r>
  <r>
    <x v="3"/>
    <x v="0"/>
    <x v="2"/>
    <x v="2"/>
    <n v="609"/>
    <x v="5"/>
    <x v="339"/>
    <x v="116"/>
    <n v="1417.7484020255899"/>
    <x v="373"/>
  </r>
  <r>
    <x v="3"/>
    <x v="0"/>
    <x v="2"/>
    <x v="2"/>
    <n v="435"/>
    <x v="6"/>
    <x v="340"/>
    <x v="203"/>
    <n v="1350.8016123949767"/>
    <x v="374"/>
  </r>
  <r>
    <x v="3"/>
    <x v="0"/>
    <x v="2"/>
    <x v="2"/>
    <n v="349"/>
    <x v="7"/>
    <x v="341"/>
    <x v="30"/>
    <n v="1292.80966541729"/>
    <x v="375"/>
  </r>
  <r>
    <x v="3"/>
    <x v="0"/>
    <x v="2"/>
    <x v="2"/>
    <n v="296"/>
    <x v="8"/>
    <x v="336"/>
    <x v="73"/>
    <n v="1241.6571429699088"/>
    <x v="370"/>
  </r>
  <r>
    <x v="3"/>
    <x v="0"/>
    <x v="2"/>
    <x v="2"/>
    <n v="226"/>
    <x v="9"/>
    <x v="8"/>
    <x v="8"/>
    <n v="1195.8996524092336"/>
    <x v="8"/>
  </r>
  <r>
    <x v="3"/>
    <x v="0"/>
    <x v="2"/>
    <x v="2"/>
    <n v="226"/>
    <x v="10"/>
    <x v="7"/>
    <x v="7"/>
    <n v="1154.5069672510085"/>
    <x v="7"/>
  </r>
  <r>
    <x v="3"/>
    <x v="0"/>
    <x v="2"/>
    <x v="2"/>
    <n v="226"/>
    <x v="11"/>
    <x v="15"/>
    <x v="15"/>
    <n v="1116.7184063616087"/>
    <x v="15"/>
  </r>
  <r>
    <x v="3"/>
    <x v="0"/>
    <x v="2"/>
    <x v="2"/>
    <n v="226"/>
    <x v="12"/>
    <x v="153"/>
    <x v="107"/>
    <n v="1081.9563001023969"/>
    <x v="165"/>
  </r>
  <r>
    <x v="3"/>
    <x v="0"/>
    <x v="2"/>
    <x v="2"/>
    <n v="226"/>
    <x v="13"/>
    <x v="335"/>
    <x v="22"/>
    <n v="1049.7716167309957"/>
    <x v="369"/>
  </r>
  <r>
    <x v="3"/>
    <x v="0"/>
    <x v="2"/>
    <x v="2"/>
    <n v="226"/>
    <x v="14"/>
    <x v="342"/>
    <x v="120"/>
    <n v="1019.8083933535522"/>
    <x v="376"/>
  </r>
  <r>
    <x v="3"/>
    <x v="0"/>
    <x v="2"/>
    <x v="2"/>
    <n v="226"/>
    <x v="15"/>
    <x v="343"/>
    <x v="204"/>
    <n v="991.77966975330878"/>
    <x v="377"/>
  </r>
  <r>
    <x v="3"/>
    <x v="0"/>
    <x v="2"/>
    <x v="2"/>
    <n v="226"/>
    <x v="16"/>
    <x v="63"/>
    <x v="21"/>
    <n v="965.45073103095967"/>
    <x v="67"/>
  </r>
  <r>
    <x v="3"/>
    <x v="0"/>
    <x v="2"/>
    <x v="2"/>
    <n v="226"/>
    <x v="17"/>
    <x v="280"/>
    <x v="13"/>
    <n v="940.62714730592756"/>
    <x v="308"/>
  </r>
  <r>
    <x v="3"/>
    <x v="1"/>
    <x v="19"/>
    <x v="0"/>
    <n v="1330"/>
    <x v="0"/>
    <x v="344"/>
    <x v="26"/>
    <n v="1944.4826721501686"/>
    <x v="378"/>
  </r>
  <r>
    <x v="3"/>
    <x v="1"/>
    <x v="19"/>
    <x v="0"/>
    <n v="1070"/>
    <x v="1"/>
    <x v="345"/>
    <x v="190"/>
    <n v="1643.4526764861873"/>
    <x v="379"/>
  </r>
  <r>
    <x v="3"/>
    <x v="1"/>
    <x v="19"/>
    <x v="0"/>
    <n v="800"/>
    <x v="2"/>
    <x v="305"/>
    <x v="98"/>
    <n v="1467.3614174305062"/>
    <x v="333"/>
  </r>
  <r>
    <x v="3"/>
    <x v="1"/>
    <x v="19"/>
    <x v="0"/>
    <n v="640"/>
    <x v="3"/>
    <x v="160"/>
    <x v="92"/>
    <n v="1342.4226808222061"/>
    <x v="172"/>
  </r>
  <r>
    <x v="3"/>
    <x v="1"/>
    <x v="19"/>
    <x v="0"/>
    <n v="530"/>
    <x v="4"/>
    <x v="346"/>
    <x v="37"/>
    <n v="1245.5126678141498"/>
    <x v="380"/>
  </r>
  <r>
    <x v="3"/>
    <x v="1"/>
    <x v="19"/>
    <x v="0"/>
    <n v="430"/>
    <x v="5"/>
    <x v="31"/>
    <x v="32"/>
    <n v="1166.331421766525"/>
    <x v="33"/>
  </r>
  <r>
    <x v="3"/>
    <x v="1"/>
    <x v="19"/>
    <x v="0"/>
    <n v="320"/>
    <x v="6"/>
    <x v="99"/>
    <x v="79"/>
    <n v="1099.3846321359117"/>
    <x v="106"/>
  </r>
  <r>
    <x v="3"/>
    <x v="1"/>
    <x v="19"/>
    <x v="0"/>
    <n v="210"/>
    <x v="7"/>
    <x v="177"/>
    <x v="125"/>
    <n v="1041.392685158225"/>
    <x v="193"/>
  </r>
  <r>
    <x v="3"/>
    <x v="1"/>
    <x v="19"/>
    <x v="0"/>
    <n v="150"/>
    <x v="8"/>
    <x v="115"/>
    <x v="88"/>
    <n v="990.24016271084383"/>
    <x v="122"/>
  </r>
  <r>
    <x v="3"/>
    <x v="1"/>
    <x v="19"/>
    <x v="0"/>
    <n v="150"/>
    <x v="9"/>
    <x v="10"/>
    <x v="10"/>
    <n v="944.4826721501687"/>
    <x v="10"/>
  </r>
  <r>
    <x v="3"/>
    <x v="1"/>
    <x v="19"/>
    <x v="0"/>
    <n v="150"/>
    <x v="10"/>
    <x v="42"/>
    <x v="40"/>
    <n v="903.08998699194353"/>
    <x v="44"/>
  </r>
  <r>
    <x v="3"/>
    <x v="1"/>
    <x v="19"/>
    <x v="0"/>
    <n v="75"/>
    <x v="16"/>
    <x v="0"/>
    <x v="119"/>
    <n v="714.0337507718948"/>
    <x v="184"/>
  </r>
  <r>
    <x v="3"/>
    <x v="1"/>
    <x v="19"/>
    <x v="0"/>
    <n v="75"/>
    <x v="16"/>
    <x v="347"/>
    <x v="205"/>
    <n v="714.0337507718948"/>
    <x v="381"/>
  </r>
  <r>
    <x v="3"/>
    <x v="1"/>
    <x v="19"/>
    <x v="0"/>
    <n v="75"/>
    <x v="16"/>
    <x v="245"/>
    <x v="67"/>
    <n v="714.0337507718948"/>
    <x v="269"/>
  </r>
  <r>
    <x v="3"/>
    <x v="1"/>
    <x v="19"/>
    <x v="0"/>
    <n v="75"/>
    <x v="16"/>
    <x v="348"/>
    <x v="81"/>
    <n v="714.0337507718948"/>
    <x v="382"/>
  </r>
  <r>
    <x v="3"/>
    <x v="1"/>
    <x v="19"/>
    <x v="0"/>
    <n v="75"/>
    <x v="16"/>
    <x v="349"/>
    <x v="104"/>
    <n v="714.0337507718948"/>
    <x v="383"/>
  </r>
  <r>
    <x v="3"/>
    <x v="1"/>
    <x v="19"/>
    <x v="0"/>
    <n v="75"/>
    <x v="16"/>
    <x v="265"/>
    <x v="25"/>
    <n v="714.0337507718948"/>
    <x v="293"/>
  </r>
  <r>
    <x v="3"/>
    <x v="1"/>
    <x v="19"/>
    <x v="0"/>
    <n v="75"/>
    <x v="16"/>
    <x v="350"/>
    <x v="34"/>
    <n v="714.0337507718948"/>
    <x v="384"/>
  </r>
  <r>
    <x v="3"/>
    <x v="1"/>
    <x v="19"/>
    <x v="0"/>
    <n v="75"/>
    <x v="16"/>
    <x v="351"/>
    <x v="206"/>
    <n v="714.0337507718948"/>
    <x v="385"/>
  </r>
  <r>
    <x v="3"/>
    <x v="1"/>
    <x v="19"/>
    <x v="0"/>
    <n v="75"/>
    <x v="16"/>
    <x v="27"/>
    <x v="21"/>
    <n v="714.0337507718948"/>
    <x v="91"/>
  </r>
  <r>
    <x v="3"/>
    <x v="1"/>
    <x v="19"/>
    <x v="0"/>
    <n v="75"/>
    <x v="16"/>
    <x v="290"/>
    <x v="67"/>
    <n v="714.0337507718948"/>
    <x v="318"/>
  </r>
  <r>
    <x v="3"/>
    <x v="1"/>
    <x v="19"/>
    <x v="0"/>
    <n v="75"/>
    <x v="16"/>
    <x v="38"/>
    <x v="26"/>
    <n v="714.0337507718948"/>
    <x v="40"/>
  </r>
  <r>
    <x v="3"/>
    <x v="1"/>
    <x v="24"/>
    <x v="9"/>
    <n v="1240"/>
    <x v="0"/>
    <x v="352"/>
    <x v="35"/>
    <n v="1903.0899869919435"/>
    <x v="386"/>
  </r>
  <r>
    <x v="3"/>
    <x v="1"/>
    <x v="24"/>
    <x v="9"/>
    <n v="1000"/>
    <x v="1"/>
    <x v="5"/>
    <x v="5"/>
    <n v="1602.0599913279623"/>
    <x v="5"/>
  </r>
  <r>
    <x v="3"/>
    <x v="1"/>
    <x v="24"/>
    <x v="9"/>
    <n v="480"/>
    <x v="2"/>
    <x v="353"/>
    <x v="207"/>
    <n v="1425.9687322722812"/>
    <x v="387"/>
  </r>
  <r>
    <x v="3"/>
    <x v="1"/>
    <x v="24"/>
    <x v="9"/>
    <n v="400"/>
    <x v="3"/>
    <x v="45"/>
    <x v="73"/>
    <n v="1301.0299956639813"/>
    <x v="140"/>
  </r>
  <r>
    <x v="3"/>
    <x v="1"/>
    <x v="24"/>
    <x v="9"/>
    <n v="320"/>
    <x v="4"/>
    <x v="354"/>
    <x v="208"/>
    <n v="1204.1199826559246"/>
    <x v="388"/>
  </r>
  <r>
    <x v="3"/>
    <x v="1"/>
    <x v="24"/>
    <x v="9"/>
    <n v="240"/>
    <x v="5"/>
    <x v="355"/>
    <x v="115"/>
    <n v="1124.9387366082999"/>
    <x v="389"/>
  </r>
  <r>
    <x v="3"/>
    <x v="1"/>
    <x v="24"/>
    <x v="9"/>
    <n v="160"/>
    <x v="6"/>
    <x v="91"/>
    <x v="3"/>
    <n v="1057.9919469776869"/>
    <x v="98"/>
  </r>
  <r>
    <x v="3"/>
    <x v="1"/>
    <x v="24"/>
    <x v="9"/>
    <n v="100"/>
    <x v="7"/>
    <x v="120"/>
    <x v="49"/>
    <n v="1000"/>
    <x v="127"/>
  </r>
  <r>
    <x v="3"/>
    <x v="1"/>
    <x v="24"/>
    <x v="9"/>
    <n v="60"/>
    <x v="8"/>
    <x v="17"/>
    <x v="209"/>
    <n v="948.84747755261867"/>
    <x v="390"/>
  </r>
  <r>
    <x v="3"/>
    <x v="1"/>
    <x v="20"/>
    <x v="8"/>
    <n v="1270"/>
    <x v="0"/>
    <x v="177"/>
    <x v="125"/>
    <n v="1929.4189257142925"/>
    <x v="193"/>
  </r>
  <r>
    <x v="3"/>
    <x v="1"/>
    <x v="20"/>
    <x v="8"/>
    <n v="1020"/>
    <x v="1"/>
    <x v="356"/>
    <x v="23"/>
    <n v="1628.3889300503113"/>
    <x v="391"/>
  </r>
  <r>
    <x v="3"/>
    <x v="1"/>
    <x v="20"/>
    <x v="8"/>
    <n v="770"/>
    <x v="2"/>
    <x v="205"/>
    <x v="138"/>
    <n v="1452.2976709946302"/>
    <x v="223"/>
  </r>
  <r>
    <x v="3"/>
    <x v="1"/>
    <x v="20"/>
    <x v="8"/>
    <n v="610"/>
    <x v="3"/>
    <x v="308"/>
    <x v="7"/>
    <n v="1327.3589343863302"/>
    <x v="336"/>
  </r>
  <r>
    <x v="3"/>
    <x v="1"/>
    <x v="20"/>
    <x v="8"/>
    <n v="510"/>
    <x v="4"/>
    <x v="237"/>
    <x v="155"/>
    <n v="1230.4489213782736"/>
    <x v="260"/>
  </r>
  <r>
    <x v="3"/>
    <x v="1"/>
    <x v="20"/>
    <x v="8"/>
    <n v="410"/>
    <x v="5"/>
    <x v="357"/>
    <x v="115"/>
    <n v="1151.2676753306489"/>
    <x v="392"/>
  </r>
  <r>
    <x v="3"/>
    <x v="1"/>
    <x v="20"/>
    <x v="8"/>
    <n v="310"/>
    <x v="6"/>
    <x v="302"/>
    <x v="183"/>
    <n v="1084.3208857000359"/>
    <x v="330"/>
  </r>
  <r>
    <x v="3"/>
    <x v="1"/>
    <x v="20"/>
    <x v="8"/>
    <n v="200"/>
    <x v="7"/>
    <x v="5"/>
    <x v="5"/>
    <n v="1026.328938722349"/>
    <x v="5"/>
  </r>
  <r>
    <x v="3"/>
    <x v="1"/>
    <x v="2"/>
    <x v="2"/>
    <n v="4800"/>
    <x v="0"/>
    <x v="2"/>
    <x v="2"/>
    <n v="2338.4564936046045"/>
    <x v="2"/>
  </r>
  <r>
    <x v="3"/>
    <x v="1"/>
    <x v="2"/>
    <x v="2"/>
    <n v="3820"/>
    <x v="1"/>
    <x v="358"/>
    <x v="13"/>
    <n v="2037.4264979406234"/>
    <x v="393"/>
  </r>
  <r>
    <x v="3"/>
    <x v="1"/>
    <x v="2"/>
    <x v="2"/>
    <n v="2940"/>
    <x v="2"/>
    <x v="290"/>
    <x v="67"/>
    <n v="1861.3352388849423"/>
    <x v="318"/>
  </r>
  <r>
    <x v="3"/>
    <x v="1"/>
    <x v="2"/>
    <x v="2"/>
    <n v="2350"/>
    <x v="3"/>
    <x v="227"/>
    <x v="105"/>
    <n v="1736.3965022766422"/>
    <x v="250"/>
  </r>
  <r>
    <x v="3"/>
    <x v="1"/>
    <x v="2"/>
    <x v="2"/>
    <n v="1960"/>
    <x v="4"/>
    <x v="359"/>
    <x v="210"/>
    <n v="1639.486489268586"/>
    <x v="394"/>
  </r>
  <r>
    <x v="3"/>
    <x v="1"/>
    <x v="2"/>
    <x v="2"/>
    <n v="1570"/>
    <x v="5"/>
    <x v="246"/>
    <x v="34"/>
    <n v="1560.3052432209611"/>
    <x v="270"/>
  </r>
  <r>
    <x v="3"/>
    <x v="1"/>
    <x v="2"/>
    <x v="2"/>
    <n v="1180"/>
    <x v="6"/>
    <x v="31"/>
    <x v="32"/>
    <n v="1493.3584535903476"/>
    <x v="33"/>
  </r>
  <r>
    <x v="3"/>
    <x v="1"/>
    <x v="2"/>
    <x v="2"/>
    <n v="780"/>
    <x v="7"/>
    <x v="140"/>
    <x v="64"/>
    <n v="1435.3665066126612"/>
    <x v="150"/>
  </r>
  <r>
    <x v="3"/>
    <x v="1"/>
    <x v="2"/>
    <x v="2"/>
    <n v="400"/>
    <x v="8"/>
    <x v="160"/>
    <x v="92"/>
    <n v="1384.21398416528"/>
    <x v="172"/>
  </r>
  <r>
    <x v="3"/>
    <x v="1"/>
    <x v="2"/>
    <x v="2"/>
    <n v="250"/>
    <x v="9"/>
    <x v="255"/>
    <x v="160"/>
    <n v="1338.4564936046047"/>
    <x v="282"/>
  </r>
  <r>
    <x v="3"/>
    <x v="1"/>
    <x v="2"/>
    <x v="2"/>
    <n v="250"/>
    <x v="10"/>
    <x v="45"/>
    <x v="73"/>
    <n v="1297.0638084463794"/>
    <x v="140"/>
  </r>
  <r>
    <x v="3"/>
    <x v="1"/>
    <x v="2"/>
    <x v="2"/>
    <n v="250"/>
    <x v="11"/>
    <x v="360"/>
    <x v="30"/>
    <n v="1259.2752475569798"/>
    <x v="395"/>
  </r>
  <r>
    <x v="3"/>
    <x v="1"/>
    <x v="2"/>
    <x v="2"/>
    <n v="200"/>
    <x v="12"/>
    <x v="42"/>
    <x v="40"/>
    <n v="1224.5131412977678"/>
    <x v="44"/>
  </r>
  <r>
    <x v="3"/>
    <x v="1"/>
    <x v="2"/>
    <x v="2"/>
    <n v="200"/>
    <x v="13"/>
    <x v="256"/>
    <x v="37"/>
    <n v="1192.3284579263666"/>
    <x v="283"/>
  </r>
  <r>
    <x v="3"/>
    <x v="1"/>
    <x v="2"/>
    <x v="2"/>
    <n v="200"/>
    <x v="14"/>
    <x v="125"/>
    <x v="15"/>
    <n v="1162.3652345489234"/>
    <x v="132"/>
  </r>
  <r>
    <x v="3"/>
    <x v="1"/>
    <x v="2"/>
    <x v="2"/>
    <n v="150"/>
    <x v="15"/>
    <x v="117"/>
    <x v="13"/>
    <n v="1134.3365109486799"/>
    <x v="124"/>
  </r>
  <r>
    <x v="3"/>
    <x v="1"/>
    <x v="2"/>
    <x v="2"/>
    <n v="150"/>
    <x v="16"/>
    <x v="126"/>
    <x v="93"/>
    <n v="1108.0075722263307"/>
    <x v="133"/>
  </r>
  <r>
    <x v="3"/>
    <x v="1"/>
    <x v="2"/>
    <x v="2"/>
    <n v="150"/>
    <x v="17"/>
    <x v="144"/>
    <x v="4"/>
    <n v="1083.1839885012987"/>
    <x v="154"/>
  </r>
  <r>
    <x v="3"/>
    <x v="1"/>
    <x v="2"/>
    <x v="2"/>
    <n v="100"/>
    <x v="18"/>
    <x v="196"/>
    <x v="92"/>
    <n v="1059.7028926517758"/>
    <x v="214"/>
  </r>
  <r>
    <x v="3"/>
    <x v="1"/>
    <x v="2"/>
    <x v="2"/>
    <n v="100"/>
    <x v="19"/>
    <x v="361"/>
    <x v="105"/>
    <n v="1037.4264979406234"/>
    <x v="396"/>
  </r>
  <r>
    <x v="3"/>
    <x v="1"/>
    <x v="5"/>
    <x v="1"/>
    <n v="3040"/>
    <x v="0"/>
    <x v="245"/>
    <x v="67"/>
    <n v="2209.515014542631"/>
    <x v="269"/>
  </r>
  <r>
    <x v="3"/>
    <x v="1"/>
    <x v="5"/>
    <x v="1"/>
    <n v="2430"/>
    <x v="1"/>
    <x v="362"/>
    <x v="4"/>
    <n v="1908.4850188786495"/>
    <x v="397"/>
  </r>
  <r>
    <x v="3"/>
    <x v="1"/>
    <x v="5"/>
    <x v="1"/>
    <n v="1820"/>
    <x v="2"/>
    <x v="363"/>
    <x v="12"/>
    <n v="1732.3937598229684"/>
    <x v="398"/>
  </r>
  <r>
    <x v="3"/>
    <x v="1"/>
    <x v="5"/>
    <x v="1"/>
    <n v="1520"/>
    <x v="3"/>
    <x v="13"/>
    <x v="13"/>
    <n v="1607.4550232146682"/>
    <x v="13"/>
  </r>
  <r>
    <x v="3"/>
    <x v="1"/>
    <x v="5"/>
    <x v="1"/>
    <n v="1220"/>
    <x v="4"/>
    <x v="357"/>
    <x v="115"/>
    <n v="1510.545010206612"/>
    <x v="392"/>
  </r>
  <r>
    <x v="3"/>
    <x v="1"/>
    <x v="5"/>
    <x v="1"/>
    <n v="910"/>
    <x v="5"/>
    <x v="364"/>
    <x v="194"/>
    <n v="1431.3637641589871"/>
    <x v="399"/>
  </r>
  <r>
    <x v="3"/>
    <x v="1"/>
    <x v="5"/>
    <x v="1"/>
    <n v="910"/>
    <x v="6"/>
    <x v="124"/>
    <x v="49"/>
    <n v="1364.4169745283739"/>
    <x v="131"/>
  </r>
  <r>
    <x v="3"/>
    <x v="1"/>
    <x v="5"/>
    <x v="1"/>
    <n v="360"/>
    <x v="7"/>
    <x v="229"/>
    <x v="80"/>
    <n v="1306.4250275506872"/>
    <x v="252"/>
  </r>
  <r>
    <x v="3"/>
    <x v="1"/>
    <x v="5"/>
    <x v="1"/>
    <n v="240"/>
    <x v="8"/>
    <x v="365"/>
    <x v="113"/>
    <n v="1255.272505103306"/>
    <x v="400"/>
  </r>
  <r>
    <x v="3"/>
    <x v="2"/>
    <x v="4"/>
    <x v="3"/>
    <n v="1165"/>
    <x v="0"/>
    <x v="36"/>
    <x v="35"/>
    <n v="1724.2758696007888"/>
    <x v="38"/>
  </r>
  <r>
    <x v="3"/>
    <x v="2"/>
    <x v="4"/>
    <x v="3"/>
    <n v="670"/>
    <x v="1"/>
    <x v="366"/>
    <x v="7"/>
    <n v="1423.2458739368076"/>
    <x v="401"/>
  </r>
  <r>
    <x v="3"/>
    <x v="2"/>
    <x v="4"/>
    <x v="3"/>
    <n v="350"/>
    <x v="2"/>
    <x v="134"/>
    <x v="98"/>
    <n v="1247.1546148811265"/>
    <x v="142"/>
  </r>
  <r>
    <x v="3"/>
    <x v="2"/>
    <x v="4"/>
    <x v="3"/>
    <n v="205"/>
    <x v="3"/>
    <x v="93"/>
    <x v="157"/>
    <n v="1122.2158782728266"/>
    <x v="272"/>
  </r>
  <r>
    <x v="3"/>
    <x v="2"/>
    <x v="4"/>
    <x v="3"/>
    <n v="160"/>
    <x v="4"/>
    <x v="88"/>
    <x v="49"/>
    <n v="1025.3058652647699"/>
    <x v="95"/>
  </r>
  <r>
    <x v="3"/>
    <x v="2"/>
    <x v="4"/>
    <x v="3"/>
    <n v="130"/>
    <x v="5"/>
    <x v="367"/>
    <x v="211"/>
    <n v="946.12461921714532"/>
    <x v="402"/>
  </r>
  <r>
    <x v="3"/>
    <x v="2"/>
    <x v="4"/>
    <x v="3"/>
    <n v="105"/>
    <x v="6"/>
    <x v="241"/>
    <x v="156"/>
    <n v="879.17782958653208"/>
    <x v="265"/>
  </r>
  <r>
    <x v="3"/>
    <x v="2"/>
    <x v="4"/>
    <x v="3"/>
    <n v="75"/>
    <x v="7"/>
    <x v="368"/>
    <x v="24"/>
    <n v="821.18588260884542"/>
    <x v="403"/>
  </r>
  <r>
    <x v="3"/>
    <x v="2"/>
    <x v="4"/>
    <x v="3"/>
    <n v="55"/>
    <x v="8"/>
    <x v="177"/>
    <x v="125"/>
    <n v="770.03336016146409"/>
    <x v="193"/>
  </r>
  <r>
    <x v="3"/>
    <x v="2"/>
    <x v="25"/>
    <x v="2"/>
    <n v="1210"/>
    <x v="0"/>
    <x v="144"/>
    <x v="4"/>
    <n v="1633.4684555795864"/>
    <x v="154"/>
  </r>
  <r>
    <x v="3"/>
    <x v="2"/>
    <x v="25"/>
    <x v="2"/>
    <n v="675"/>
    <x v="1"/>
    <x v="368"/>
    <x v="24"/>
    <n v="1332.4384599156051"/>
    <x v="403"/>
  </r>
  <r>
    <x v="3"/>
    <x v="2"/>
    <x v="25"/>
    <x v="2"/>
    <n v="405"/>
    <x v="2"/>
    <x v="224"/>
    <x v="22"/>
    <n v="1156.347200859924"/>
    <x v="247"/>
  </r>
  <r>
    <x v="3"/>
    <x v="2"/>
    <x v="25"/>
    <x v="2"/>
    <n v="270"/>
    <x v="3"/>
    <x v="369"/>
    <x v="26"/>
    <n v="1031.4084642516241"/>
    <x v="404"/>
  </r>
  <r>
    <x v="3"/>
    <x v="2"/>
    <x v="25"/>
    <x v="2"/>
    <n v="135"/>
    <x v="4"/>
    <x v="120"/>
    <x v="49"/>
    <n v="934.49845124356762"/>
    <x v="127"/>
  </r>
  <r>
    <x v="3"/>
    <x v="2"/>
    <x v="22"/>
    <x v="2"/>
    <n v="1570"/>
    <x v="0"/>
    <x v="241"/>
    <x v="156"/>
    <n v="1724.2758696007888"/>
    <x v="265"/>
  </r>
  <r>
    <x v="3"/>
    <x v="2"/>
    <x v="22"/>
    <x v="2"/>
    <n v="900"/>
    <x v="1"/>
    <x v="304"/>
    <x v="185"/>
    <n v="1423.2458739368076"/>
    <x v="332"/>
  </r>
  <r>
    <x v="3"/>
    <x v="2"/>
    <x v="22"/>
    <x v="2"/>
    <n v="475"/>
    <x v="2"/>
    <x v="99"/>
    <x v="79"/>
    <n v="1247.1546148811265"/>
    <x v="106"/>
  </r>
  <r>
    <x v="3"/>
    <x v="2"/>
    <x v="22"/>
    <x v="2"/>
    <n v="255"/>
    <x v="90"/>
    <x v="370"/>
    <x v="163"/>
    <n v="1071.0633558254451"/>
    <x v="405"/>
  </r>
  <r>
    <x v="3"/>
    <x v="2"/>
    <x v="22"/>
    <x v="2"/>
    <n v="255"/>
    <x v="90"/>
    <x v="177"/>
    <x v="125"/>
    <n v="1071.0633558254451"/>
    <x v="193"/>
  </r>
  <r>
    <x v="3"/>
    <x v="2"/>
    <x v="22"/>
    <x v="2"/>
    <n v="155"/>
    <x v="6"/>
    <x v="45"/>
    <x v="42"/>
    <n v="879.17782958653208"/>
    <x v="47"/>
  </r>
  <r>
    <x v="3"/>
    <x v="2"/>
    <x v="22"/>
    <x v="2"/>
    <n v="155"/>
    <x v="6"/>
    <x v="42"/>
    <x v="40"/>
    <n v="879.17782958653208"/>
    <x v="44"/>
  </r>
  <r>
    <x v="3"/>
    <x v="2"/>
    <x v="22"/>
    <x v="2"/>
    <n v="155"/>
    <x v="6"/>
    <x v="371"/>
    <x v="212"/>
    <n v="879.17782958653208"/>
    <x v="406"/>
  </r>
  <r>
    <x v="3"/>
    <x v="2"/>
    <x v="22"/>
    <x v="2"/>
    <n v="80"/>
    <x v="91"/>
    <x v="9"/>
    <x v="9"/>
    <n v="703.08657053085085"/>
    <x v="9"/>
  </r>
  <r>
    <x v="3"/>
    <x v="2"/>
    <x v="22"/>
    <x v="2"/>
    <n v="80"/>
    <x v="91"/>
    <x v="224"/>
    <x v="22"/>
    <n v="703.08657053085085"/>
    <x v="247"/>
  </r>
  <r>
    <x v="3"/>
    <x v="2"/>
    <x v="22"/>
    <x v="2"/>
    <n v="80"/>
    <x v="91"/>
    <x v="31"/>
    <x v="50"/>
    <n v="703.08657053085085"/>
    <x v="273"/>
  </r>
  <r>
    <x v="3"/>
    <x v="2"/>
    <x v="22"/>
    <x v="2"/>
    <n v="80"/>
    <x v="91"/>
    <x v="132"/>
    <x v="96"/>
    <n v="703.08657053085085"/>
    <x v="139"/>
  </r>
  <r>
    <x v="3"/>
    <x v="2"/>
    <x v="26"/>
    <x v="4"/>
    <n v="965"/>
    <x v="0"/>
    <x v="276"/>
    <x v="168"/>
    <n v="1591.0646070264991"/>
    <x v="304"/>
  </r>
  <r>
    <x v="3"/>
    <x v="2"/>
    <x v="26"/>
    <x v="4"/>
    <n v="535"/>
    <x v="1"/>
    <x v="371"/>
    <x v="212"/>
    <n v="1290.0346113625178"/>
    <x v="406"/>
  </r>
  <r>
    <x v="3"/>
    <x v="2"/>
    <x v="26"/>
    <x v="4"/>
    <n v="320"/>
    <x v="2"/>
    <x v="247"/>
    <x v="25"/>
    <n v="1113.9433523068367"/>
    <x v="271"/>
  </r>
  <r>
    <x v="3"/>
    <x v="2"/>
    <x v="26"/>
    <x v="4"/>
    <n v="215"/>
    <x v="3"/>
    <x v="31"/>
    <x v="32"/>
    <n v="989.00461569853667"/>
    <x v="33"/>
  </r>
  <r>
    <x v="3"/>
    <x v="2"/>
    <x v="26"/>
    <x v="4"/>
    <n v="110"/>
    <x v="4"/>
    <x v="9"/>
    <x v="9"/>
    <n v="892.0946026904802"/>
    <x v="9"/>
  </r>
  <r>
    <x v="3"/>
    <x v="3"/>
    <x v="8"/>
    <x v="1"/>
    <n v="1296"/>
    <x v="0"/>
    <x v="372"/>
    <x v="64"/>
    <n v="1732.3937598229686"/>
    <x v="407"/>
  </r>
  <r>
    <x v="3"/>
    <x v="3"/>
    <x v="8"/>
    <x v="1"/>
    <n v="681"/>
    <x v="1"/>
    <x v="172"/>
    <x v="25"/>
    <n v="1431.3637641589874"/>
    <x v="187"/>
  </r>
  <r>
    <x v="3"/>
    <x v="3"/>
    <x v="8"/>
    <x v="1"/>
    <n v="356"/>
    <x v="2"/>
    <x v="49"/>
    <x v="13"/>
    <n v="1255.2725051033062"/>
    <x v="51"/>
  </r>
  <r>
    <x v="3"/>
    <x v="3"/>
    <x v="8"/>
    <x v="1"/>
    <n v="276"/>
    <x v="3"/>
    <x v="15"/>
    <x v="31"/>
    <n v="1130.3337684950061"/>
    <x v="32"/>
  </r>
  <r>
    <x v="3"/>
    <x v="3"/>
    <x v="8"/>
    <x v="1"/>
    <n v="194"/>
    <x v="4"/>
    <x v="52"/>
    <x v="7"/>
    <n v="1033.4237554869499"/>
    <x v="55"/>
  </r>
  <r>
    <x v="3"/>
    <x v="3"/>
    <x v="8"/>
    <x v="1"/>
    <n v="146"/>
    <x v="5"/>
    <x v="5"/>
    <x v="5"/>
    <n v="954.24250943932498"/>
    <x v="5"/>
  </r>
  <r>
    <x v="3"/>
    <x v="3"/>
    <x v="8"/>
    <x v="1"/>
    <n v="113"/>
    <x v="6"/>
    <x v="373"/>
    <x v="213"/>
    <n v="887.29571980871185"/>
    <x v="408"/>
  </r>
  <r>
    <x v="3"/>
    <x v="3"/>
    <x v="8"/>
    <x v="1"/>
    <n v="97"/>
    <x v="7"/>
    <x v="62"/>
    <x v="214"/>
    <n v="829.30377283102507"/>
    <x v="409"/>
  </r>
  <r>
    <x v="3"/>
    <x v="3"/>
    <x v="8"/>
    <x v="1"/>
    <n v="81"/>
    <x v="8"/>
    <x v="12"/>
    <x v="12"/>
    <n v="778.15125038364374"/>
    <x v="12"/>
  </r>
  <r>
    <x v="3"/>
    <x v="3"/>
    <x v="2"/>
    <x v="2"/>
    <n v="2265"/>
    <x v="0"/>
    <x v="0"/>
    <x v="0"/>
    <n v="2008.6001717619174"/>
    <x v="0"/>
  </r>
  <r>
    <x v="3"/>
    <x v="3"/>
    <x v="2"/>
    <x v="2"/>
    <n v="1163"/>
    <x v="1"/>
    <x v="15"/>
    <x v="15"/>
    <n v="1707.5701760979362"/>
    <x v="15"/>
  </r>
  <r>
    <x v="3"/>
    <x v="3"/>
    <x v="2"/>
    <x v="2"/>
    <n v="550"/>
    <x v="2"/>
    <x v="82"/>
    <x v="68"/>
    <n v="1531.478917042255"/>
    <x v="88"/>
  </r>
  <r>
    <x v="3"/>
    <x v="3"/>
    <x v="2"/>
    <x v="2"/>
    <n v="444"/>
    <x v="3"/>
    <x v="158"/>
    <x v="111"/>
    <n v="1406.5401804339549"/>
    <x v="170"/>
  </r>
  <r>
    <x v="3"/>
    <x v="3"/>
    <x v="2"/>
    <x v="2"/>
    <n v="321"/>
    <x v="4"/>
    <x v="1"/>
    <x v="1"/>
    <n v="1309.6301674258987"/>
    <x v="1"/>
  </r>
  <r>
    <x v="3"/>
    <x v="3"/>
    <x v="2"/>
    <x v="2"/>
    <n v="230"/>
    <x v="5"/>
    <x v="10"/>
    <x v="10"/>
    <n v="1230.4489213782738"/>
    <x v="10"/>
  </r>
  <r>
    <x v="3"/>
    <x v="3"/>
    <x v="2"/>
    <x v="2"/>
    <n v="184"/>
    <x v="6"/>
    <x v="31"/>
    <x v="50"/>
    <n v="1163.5021317476605"/>
    <x v="273"/>
  </r>
  <r>
    <x v="3"/>
    <x v="3"/>
    <x v="2"/>
    <x v="2"/>
    <n v="153"/>
    <x v="7"/>
    <x v="374"/>
    <x v="215"/>
    <n v="1105.5101847699739"/>
    <x v="410"/>
  </r>
  <r>
    <x v="3"/>
    <x v="3"/>
    <x v="2"/>
    <x v="2"/>
    <n v="126"/>
    <x v="8"/>
    <x v="19"/>
    <x v="19"/>
    <n v="1054.3576623225927"/>
    <x v="19"/>
  </r>
  <r>
    <x v="3"/>
    <x v="3"/>
    <x v="2"/>
    <x v="2"/>
    <n v="76"/>
    <x v="9"/>
    <x v="83"/>
    <x v="216"/>
    <n v="1008.6001717619175"/>
    <x v="411"/>
  </r>
  <r>
    <x v="3"/>
    <x v="3"/>
    <x v="2"/>
    <x v="2"/>
    <n v="76"/>
    <x v="10"/>
    <x v="150"/>
    <x v="104"/>
    <n v="967.20748660369236"/>
    <x v="161"/>
  </r>
  <r>
    <x v="3"/>
    <x v="3"/>
    <x v="2"/>
    <x v="2"/>
    <n v="76"/>
    <x v="11"/>
    <x v="146"/>
    <x v="49"/>
    <n v="929.41892571429264"/>
    <x v="157"/>
  </r>
  <r>
    <x v="3"/>
    <x v="3"/>
    <x v="2"/>
    <x v="2"/>
    <n v="76"/>
    <x v="12"/>
    <x v="375"/>
    <x v="53"/>
    <n v="894.65681945508084"/>
    <x v="412"/>
  </r>
  <r>
    <x v="3"/>
    <x v="3"/>
    <x v="2"/>
    <x v="2"/>
    <n v="76"/>
    <x v="13"/>
    <x v="376"/>
    <x v="202"/>
    <n v="862.47213608367952"/>
    <x v="413"/>
  </r>
  <r>
    <x v="3"/>
    <x v="3"/>
    <x v="2"/>
    <x v="2"/>
    <n v="76"/>
    <x v="14"/>
    <x v="179"/>
    <x v="105"/>
    <n v="832.50891270623617"/>
    <x v="195"/>
  </r>
  <r>
    <x v="3"/>
    <x v="3"/>
    <x v="2"/>
    <x v="2"/>
    <n v="76"/>
    <x v="15"/>
    <x v="377"/>
    <x v="92"/>
    <n v="804.48018910599274"/>
    <x v="414"/>
  </r>
  <r>
    <x v="3"/>
    <x v="3"/>
    <x v="2"/>
    <x v="2"/>
    <n v="76"/>
    <x v="16"/>
    <x v="378"/>
    <x v="217"/>
    <n v="778.15125038364363"/>
    <x v="415"/>
  </r>
  <r>
    <x v="3"/>
    <x v="3"/>
    <x v="2"/>
    <x v="2"/>
    <n v="76"/>
    <x v="17"/>
    <x v="13"/>
    <x v="13"/>
    <n v="753.32766665861152"/>
    <x v="13"/>
  </r>
  <r>
    <x v="3"/>
    <x v="3"/>
    <x v="17"/>
    <x v="7"/>
    <n v="1161"/>
    <x v="0"/>
    <x v="84"/>
    <x v="69"/>
    <n v="816.73422778979318"/>
    <x v="90"/>
  </r>
  <r>
    <x v="3"/>
    <x v="3"/>
    <x v="17"/>
    <x v="7"/>
    <n v="1161"/>
    <x v="0"/>
    <x v="102"/>
    <x v="37"/>
    <n v="816.73422778979318"/>
    <x v="109"/>
  </r>
  <r>
    <x v="3"/>
    <x v="3"/>
    <x v="17"/>
    <x v="7"/>
    <n v="645"/>
    <x v="1"/>
    <x v="378"/>
    <x v="217"/>
    <n v="666.21922995780255"/>
    <x v="415"/>
  </r>
  <r>
    <x v="3"/>
    <x v="3"/>
    <x v="17"/>
    <x v="7"/>
    <n v="645"/>
    <x v="1"/>
    <x v="377"/>
    <x v="92"/>
    <n v="666.21922995780255"/>
    <x v="414"/>
  </r>
  <r>
    <x v="3"/>
    <x v="3"/>
    <x v="17"/>
    <x v="7"/>
    <n v="387"/>
    <x v="2"/>
    <x v="31"/>
    <x v="32"/>
    <n v="578.17360042996199"/>
    <x v="33"/>
  </r>
  <r>
    <x v="3"/>
    <x v="3"/>
    <x v="17"/>
    <x v="7"/>
    <n v="387"/>
    <x v="2"/>
    <x v="31"/>
    <x v="50"/>
    <n v="578.17360042996199"/>
    <x v="273"/>
  </r>
  <r>
    <x v="3"/>
    <x v="3"/>
    <x v="17"/>
    <x v="7"/>
    <n v="258"/>
    <x v="3"/>
    <x v="146"/>
    <x v="49"/>
    <n v="515.70423212581204"/>
    <x v="157"/>
  </r>
  <r>
    <x v="3"/>
    <x v="3"/>
    <x v="17"/>
    <x v="7"/>
    <n v="258"/>
    <x v="3"/>
    <x v="150"/>
    <x v="104"/>
    <n v="515.70423212581204"/>
    <x v="161"/>
  </r>
  <r>
    <x v="3"/>
    <x v="3"/>
    <x v="17"/>
    <x v="7"/>
    <n v="129"/>
    <x v="4"/>
    <x v="269"/>
    <x v="23"/>
    <n v="467.24922562178381"/>
    <x v="297"/>
  </r>
  <r>
    <x v="3"/>
    <x v="3"/>
    <x v="17"/>
    <x v="7"/>
    <n v="129"/>
    <x v="4"/>
    <x v="318"/>
    <x v="72"/>
    <n v="467.24922562178381"/>
    <x v="348"/>
  </r>
  <r>
    <x v="4"/>
    <x v="0"/>
    <x v="0"/>
    <x v="0"/>
    <n v="1665"/>
    <x v="0"/>
    <x v="41"/>
    <x v="39"/>
    <n v="1568.201724066995"/>
    <x v="43"/>
  </r>
  <r>
    <x v="4"/>
    <x v="0"/>
    <x v="0"/>
    <x v="0"/>
    <n v="925"/>
    <x v="1"/>
    <x v="377"/>
    <x v="92"/>
    <n v="1267.1717284030137"/>
    <x v="414"/>
  </r>
  <r>
    <x v="4"/>
    <x v="0"/>
    <x v="0"/>
    <x v="0"/>
    <n v="555"/>
    <x v="2"/>
    <x v="59"/>
    <x v="218"/>
    <n v="1091.0804693473326"/>
    <x v="416"/>
  </r>
  <r>
    <x v="4"/>
    <x v="0"/>
    <x v="0"/>
    <x v="0"/>
    <n v="370"/>
    <x v="3"/>
    <x v="18"/>
    <x v="18"/>
    <n v="966.14173273903259"/>
    <x v="18"/>
  </r>
  <r>
    <x v="4"/>
    <x v="0"/>
    <x v="0"/>
    <x v="0"/>
    <n v="185"/>
    <x v="4"/>
    <x v="30"/>
    <x v="30"/>
    <n v="869.23171973097612"/>
    <x v="31"/>
  </r>
  <r>
    <x v="4"/>
    <x v="0"/>
    <x v="1"/>
    <x v="1"/>
    <n v="3160"/>
    <x v="0"/>
    <x v="377"/>
    <x v="92"/>
    <n v="1897.6270912904413"/>
    <x v="414"/>
  </r>
  <r>
    <x v="4"/>
    <x v="0"/>
    <x v="1"/>
    <x v="1"/>
    <n v="1817"/>
    <x v="1"/>
    <x v="42"/>
    <x v="40"/>
    <n v="1596.59709562646"/>
    <x v="44"/>
  </r>
  <r>
    <x v="4"/>
    <x v="0"/>
    <x v="1"/>
    <x v="1"/>
    <n v="948"/>
    <x v="2"/>
    <x v="379"/>
    <x v="53"/>
    <n v="1420.5058365707789"/>
    <x v="417"/>
  </r>
  <r>
    <x v="4"/>
    <x v="0"/>
    <x v="1"/>
    <x v="1"/>
    <n v="553"/>
    <x v="3"/>
    <x v="355"/>
    <x v="115"/>
    <n v="1295.5670999624788"/>
    <x v="389"/>
  </r>
  <r>
    <x v="4"/>
    <x v="0"/>
    <x v="1"/>
    <x v="1"/>
    <n v="434"/>
    <x v="4"/>
    <x v="0"/>
    <x v="119"/>
    <n v="1198.6570869544225"/>
    <x v="184"/>
  </r>
  <r>
    <x v="4"/>
    <x v="0"/>
    <x v="1"/>
    <x v="1"/>
    <n v="355"/>
    <x v="5"/>
    <x v="380"/>
    <x v="219"/>
    <n v="1119.4758409067977"/>
    <x v="418"/>
  </r>
  <r>
    <x v="4"/>
    <x v="0"/>
    <x v="1"/>
    <x v="1"/>
    <n v="276"/>
    <x v="6"/>
    <x v="381"/>
    <x v="220"/>
    <n v="1052.5290512761844"/>
    <x v="419"/>
  </r>
  <r>
    <x v="4"/>
    <x v="0"/>
    <x v="1"/>
    <x v="1"/>
    <n v="198"/>
    <x v="7"/>
    <x v="48"/>
    <x v="44"/>
    <n v="994.53710429849787"/>
    <x v="50"/>
  </r>
  <r>
    <x v="4"/>
    <x v="0"/>
    <x v="1"/>
    <x v="1"/>
    <n v="159"/>
    <x v="8"/>
    <x v="16"/>
    <x v="50"/>
    <n v="943.38458185111654"/>
    <x v="368"/>
  </r>
  <r>
    <x v="4"/>
    <x v="0"/>
    <x v="2"/>
    <x v="2"/>
    <n v="5219"/>
    <x v="0"/>
    <x v="270"/>
    <x v="30"/>
    <n v="2136.7205671564066"/>
    <x v="298"/>
  </r>
  <r>
    <x v="4"/>
    <x v="0"/>
    <x v="2"/>
    <x v="2"/>
    <n v="2740"/>
    <x v="1"/>
    <x v="42"/>
    <x v="40"/>
    <n v="1835.6905714924255"/>
    <x v="44"/>
  </r>
  <r>
    <x v="4"/>
    <x v="0"/>
    <x v="2"/>
    <x v="2"/>
    <n v="1370"/>
    <x v="2"/>
    <x v="382"/>
    <x v="11"/>
    <n v="1659.5993124367444"/>
    <x v="420"/>
  </r>
  <r>
    <x v="4"/>
    <x v="0"/>
    <x v="2"/>
    <x v="2"/>
    <n v="822"/>
    <x v="3"/>
    <x v="48"/>
    <x v="44"/>
    <n v="1534.6605758284443"/>
    <x v="50"/>
  </r>
  <r>
    <x v="4"/>
    <x v="0"/>
    <x v="2"/>
    <x v="2"/>
    <n v="617"/>
    <x v="4"/>
    <x v="333"/>
    <x v="201"/>
    <n v="1437.750562820388"/>
    <x v="365"/>
  </r>
  <r>
    <x v="4"/>
    <x v="0"/>
    <x v="2"/>
    <x v="2"/>
    <n v="480"/>
    <x v="5"/>
    <x v="383"/>
    <x v="221"/>
    <n v="1358.5693167727632"/>
    <x v="421"/>
  </r>
  <r>
    <x v="4"/>
    <x v="0"/>
    <x v="2"/>
    <x v="2"/>
    <n v="343"/>
    <x v="6"/>
    <x v="355"/>
    <x v="115"/>
    <n v="1291.6225271421497"/>
    <x v="389"/>
  </r>
  <r>
    <x v="4"/>
    <x v="0"/>
    <x v="2"/>
    <x v="2"/>
    <n v="274"/>
    <x v="7"/>
    <x v="384"/>
    <x v="174"/>
    <n v="1233.6305801644633"/>
    <x v="422"/>
  </r>
  <r>
    <x v="4"/>
    <x v="0"/>
    <x v="2"/>
    <x v="2"/>
    <n v="233"/>
    <x v="8"/>
    <x v="385"/>
    <x v="11"/>
    <n v="1182.4780577170818"/>
    <x v="423"/>
  </r>
  <r>
    <x v="4"/>
    <x v="0"/>
    <x v="2"/>
    <x v="2"/>
    <n v="178"/>
    <x v="9"/>
    <x v="2"/>
    <x v="2"/>
    <n v="1136.7205671564068"/>
    <x v="2"/>
  </r>
  <r>
    <x v="4"/>
    <x v="0"/>
    <x v="2"/>
    <x v="2"/>
    <n v="178"/>
    <x v="10"/>
    <x v="335"/>
    <x v="22"/>
    <n v="1095.3278819981815"/>
    <x v="369"/>
  </r>
  <r>
    <x v="4"/>
    <x v="0"/>
    <x v="2"/>
    <x v="2"/>
    <n v="178"/>
    <x v="11"/>
    <x v="83"/>
    <x v="57"/>
    <n v="1057.5393211087819"/>
    <x v="89"/>
  </r>
  <r>
    <x v="4"/>
    <x v="0"/>
    <x v="2"/>
    <x v="2"/>
    <n v="178"/>
    <x v="12"/>
    <x v="386"/>
    <x v="49"/>
    <n v="1022.77721484957"/>
    <x v="424"/>
  </r>
  <r>
    <x v="4"/>
    <x v="0"/>
    <x v="2"/>
    <x v="2"/>
    <n v="178"/>
    <x v="13"/>
    <x v="59"/>
    <x v="218"/>
    <n v="990.59253147816878"/>
    <x v="416"/>
  </r>
  <r>
    <x v="4"/>
    <x v="0"/>
    <x v="2"/>
    <x v="2"/>
    <n v="178"/>
    <x v="14"/>
    <x v="387"/>
    <x v="1"/>
    <n v="960.62930810072532"/>
    <x v="425"/>
  </r>
  <r>
    <x v="4"/>
    <x v="0"/>
    <x v="2"/>
    <x v="2"/>
    <n v="178"/>
    <x v="15"/>
    <x v="388"/>
    <x v="222"/>
    <n v="932.60058450048189"/>
    <x v="426"/>
  </r>
  <r>
    <x v="4"/>
    <x v="0"/>
    <x v="2"/>
    <x v="2"/>
    <n v="178"/>
    <x v="16"/>
    <x v="332"/>
    <x v="200"/>
    <n v="906.27164577813278"/>
    <x v="364"/>
  </r>
  <r>
    <x v="4"/>
    <x v="0"/>
    <x v="2"/>
    <x v="2"/>
    <n v="178"/>
    <x v="17"/>
    <x v="3"/>
    <x v="3"/>
    <n v="881.44806205310067"/>
    <x v="3"/>
  </r>
  <r>
    <x v="4"/>
    <x v="1"/>
    <x v="19"/>
    <x v="0"/>
    <n v="1275"/>
    <x v="0"/>
    <x v="42"/>
    <x v="40"/>
    <n v="1929.4189257142925"/>
    <x v="44"/>
  </r>
  <r>
    <x v="4"/>
    <x v="1"/>
    <x v="19"/>
    <x v="0"/>
    <n v="1015"/>
    <x v="1"/>
    <x v="265"/>
    <x v="25"/>
    <n v="1628.3889300503113"/>
    <x v="293"/>
  </r>
  <r>
    <x v="4"/>
    <x v="1"/>
    <x v="19"/>
    <x v="0"/>
    <n v="770"/>
    <x v="2"/>
    <x v="389"/>
    <x v="223"/>
    <n v="1452.2976709946302"/>
    <x v="427"/>
  </r>
  <r>
    <x v="4"/>
    <x v="1"/>
    <x v="19"/>
    <x v="0"/>
    <n v="610"/>
    <x v="3"/>
    <x v="91"/>
    <x v="3"/>
    <n v="1327.3589343863302"/>
    <x v="98"/>
  </r>
  <r>
    <x v="4"/>
    <x v="1"/>
    <x v="19"/>
    <x v="0"/>
    <n v="510"/>
    <x v="4"/>
    <x v="115"/>
    <x v="88"/>
    <n v="1230.4489213782736"/>
    <x v="122"/>
  </r>
  <r>
    <x v="4"/>
    <x v="1"/>
    <x v="19"/>
    <x v="0"/>
    <n v="410"/>
    <x v="5"/>
    <x v="302"/>
    <x v="183"/>
    <n v="1151.2676753306489"/>
    <x v="330"/>
  </r>
  <r>
    <x v="4"/>
    <x v="1"/>
    <x v="19"/>
    <x v="0"/>
    <n v="310"/>
    <x v="6"/>
    <x v="0"/>
    <x v="119"/>
    <n v="1084.3208857000359"/>
    <x v="184"/>
  </r>
  <r>
    <x v="4"/>
    <x v="1"/>
    <x v="19"/>
    <x v="0"/>
    <n v="200"/>
    <x v="7"/>
    <x v="27"/>
    <x v="21"/>
    <n v="1026.328938722349"/>
    <x v="91"/>
  </r>
  <r>
    <x v="4"/>
    <x v="1"/>
    <x v="19"/>
    <x v="0"/>
    <n v="150"/>
    <x v="8"/>
    <x v="0"/>
    <x v="0"/>
    <n v="975.17641627496778"/>
    <x v="0"/>
  </r>
  <r>
    <x v="4"/>
    <x v="1"/>
    <x v="19"/>
    <x v="0"/>
    <n v="150"/>
    <x v="9"/>
    <x v="390"/>
    <x v="202"/>
    <n v="929.41892571429264"/>
    <x v="428"/>
  </r>
  <r>
    <x v="4"/>
    <x v="1"/>
    <x v="19"/>
    <x v="0"/>
    <n v="150"/>
    <x v="10"/>
    <x v="362"/>
    <x v="4"/>
    <n v="888.02624055606748"/>
    <x v="397"/>
  </r>
  <r>
    <x v="4"/>
    <x v="1"/>
    <x v="19"/>
    <x v="0"/>
    <n v="75"/>
    <x v="96"/>
    <x v="240"/>
    <x v="24"/>
    <n v="736.75856522541847"/>
    <x v="264"/>
  </r>
  <r>
    <x v="4"/>
    <x v="1"/>
    <x v="19"/>
    <x v="0"/>
    <n v="75"/>
    <x v="96"/>
    <x v="110"/>
    <x v="86"/>
    <n v="736.75856522541847"/>
    <x v="117"/>
  </r>
  <r>
    <x v="4"/>
    <x v="1"/>
    <x v="19"/>
    <x v="0"/>
    <n v="75"/>
    <x v="96"/>
    <x v="136"/>
    <x v="100"/>
    <n v="736.75856522541847"/>
    <x v="145"/>
  </r>
  <r>
    <x v="4"/>
    <x v="1"/>
    <x v="19"/>
    <x v="0"/>
    <n v="75"/>
    <x v="96"/>
    <x v="1"/>
    <x v="1"/>
    <n v="736.75856522541847"/>
    <x v="1"/>
  </r>
  <r>
    <x v="4"/>
    <x v="1"/>
    <x v="19"/>
    <x v="0"/>
    <n v="75"/>
    <x v="96"/>
    <x v="17"/>
    <x v="17"/>
    <n v="736.75856522541847"/>
    <x v="17"/>
  </r>
  <r>
    <x v="4"/>
    <x v="1"/>
    <x v="19"/>
    <x v="0"/>
    <n v="75"/>
    <x v="96"/>
    <x v="126"/>
    <x v="93"/>
    <n v="736.75856522541847"/>
    <x v="133"/>
  </r>
  <r>
    <x v="4"/>
    <x v="1"/>
    <x v="19"/>
    <x v="0"/>
    <n v="75"/>
    <x v="96"/>
    <x v="144"/>
    <x v="4"/>
    <n v="736.75856522541847"/>
    <x v="154"/>
  </r>
  <r>
    <x v="4"/>
    <x v="1"/>
    <x v="19"/>
    <x v="0"/>
    <n v="75"/>
    <x v="96"/>
    <x v="120"/>
    <x v="49"/>
    <n v="736.75856522541847"/>
    <x v="127"/>
  </r>
  <r>
    <x v="4"/>
    <x v="1"/>
    <x v="19"/>
    <x v="0"/>
    <n v="75"/>
    <x v="96"/>
    <x v="177"/>
    <x v="125"/>
    <n v="736.75856522541847"/>
    <x v="193"/>
  </r>
  <r>
    <x v="4"/>
    <x v="1"/>
    <x v="19"/>
    <x v="0"/>
    <n v="75"/>
    <x v="96"/>
    <x v="124"/>
    <x v="49"/>
    <n v="736.75856522541847"/>
    <x v="131"/>
  </r>
  <r>
    <x v="4"/>
    <x v="1"/>
    <x v="19"/>
    <x v="0"/>
    <n v="75"/>
    <x v="96"/>
    <x v="293"/>
    <x v="81"/>
    <n v="736.75856522541847"/>
    <x v="321"/>
  </r>
  <r>
    <x v="4"/>
    <x v="1"/>
    <x v="27"/>
    <x v="8"/>
    <n v="1275"/>
    <x v="0"/>
    <x v="99"/>
    <x v="79"/>
    <n v="1929.4189257142925"/>
    <x v="106"/>
  </r>
  <r>
    <x v="4"/>
    <x v="1"/>
    <x v="27"/>
    <x v="8"/>
    <n v="1015"/>
    <x v="1"/>
    <x v="5"/>
    <x v="5"/>
    <n v="1628.3889300503113"/>
    <x v="5"/>
  </r>
  <r>
    <x v="4"/>
    <x v="1"/>
    <x v="27"/>
    <x v="8"/>
    <n v="770"/>
    <x v="2"/>
    <x v="305"/>
    <x v="98"/>
    <n v="1452.2976709946302"/>
    <x v="333"/>
  </r>
  <r>
    <x v="4"/>
    <x v="1"/>
    <x v="27"/>
    <x v="8"/>
    <n v="610"/>
    <x v="3"/>
    <x v="45"/>
    <x v="224"/>
    <n v="1327.3589343863302"/>
    <x v="429"/>
  </r>
  <r>
    <x v="4"/>
    <x v="1"/>
    <x v="27"/>
    <x v="8"/>
    <n v="510"/>
    <x v="4"/>
    <x v="36"/>
    <x v="35"/>
    <n v="1230.4489213782736"/>
    <x v="38"/>
  </r>
  <r>
    <x v="4"/>
    <x v="1"/>
    <x v="27"/>
    <x v="8"/>
    <n v="410"/>
    <x v="5"/>
    <x v="0"/>
    <x v="119"/>
    <n v="1151.2676753306489"/>
    <x v="184"/>
  </r>
  <r>
    <x v="4"/>
    <x v="1"/>
    <x v="27"/>
    <x v="8"/>
    <n v="310"/>
    <x v="6"/>
    <x v="27"/>
    <x v="21"/>
    <n v="1084.3208857000359"/>
    <x v="91"/>
  </r>
  <r>
    <x v="4"/>
    <x v="1"/>
    <x v="27"/>
    <x v="8"/>
    <n v="200"/>
    <x v="7"/>
    <x v="115"/>
    <x v="88"/>
    <n v="1026.328938722349"/>
    <x v="122"/>
  </r>
  <r>
    <x v="4"/>
    <x v="1"/>
    <x v="2"/>
    <x v="2"/>
    <n v="4600"/>
    <x v="0"/>
    <x v="391"/>
    <x v="25"/>
    <n v="2313.8672203691531"/>
    <x v="430"/>
  </r>
  <r>
    <x v="4"/>
    <x v="1"/>
    <x v="2"/>
    <x v="2"/>
    <n v="3680"/>
    <x v="1"/>
    <x v="290"/>
    <x v="67"/>
    <n v="2012.837224705172"/>
    <x v="318"/>
  </r>
  <r>
    <x v="4"/>
    <x v="1"/>
    <x v="2"/>
    <x v="2"/>
    <n v="2760"/>
    <x v="2"/>
    <x v="392"/>
    <x v="13"/>
    <n v="1836.7459656494909"/>
    <x v="431"/>
  </r>
  <r>
    <x v="4"/>
    <x v="1"/>
    <x v="2"/>
    <x v="2"/>
    <n v="2210"/>
    <x v="3"/>
    <x v="293"/>
    <x v="81"/>
    <n v="1711.8072290411908"/>
    <x v="321"/>
  </r>
  <r>
    <x v="4"/>
    <x v="1"/>
    <x v="2"/>
    <x v="2"/>
    <n v="1840"/>
    <x v="4"/>
    <x v="241"/>
    <x v="156"/>
    <n v="1614.8972160331346"/>
    <x v="265"/>
  </r>
  <r>
    <x v="4"/>
    <x v="1"/>
    <x v="2"/>
    <x v="2"/>
    <n v="1470"/>
    <x v="5"/>
    <x v="177"/>
    <x v="125"/>
    <n v="1535.7159699855097"/>
    <x v="193"/>
  </r>
  <r>
    <x v="4"/>
    <x v="1"/>
    <x v="2"/>
    <x v="2"/>
    <n v="1100"/>
    <x v="6"/>
    <x v="305"/>
    <x v="98"/>
    <n v="1468.7691803548964"/>
    <x v="333"/>
  </r>
  <r>
    <x v="4"/>
    <x v="1"/>
    <x v="2"/>
    <x v="2"/>
    <n v="740"/>
    <x v="7"/>
    <x v="109"/>
    <x v="85"/>
    <n v="1410.7772333772098"/>
    <x v="116"/>
  </r>
  <r>
    <x v="4"/>
    <x v="1"/>
    <x v="2"/>
    <x v="2"/>
    <n v="400"/>
    <x v="8"/>
    <x v="227"/>
    <x v="105"/>
    <n v="1359.6247109298286"/>
    <x v="250"/>
  </r>
  <r>
    <x v="4"/>
    <x v="1"/>
    <x v="2"/>
    <x v="2"/>
    <n v="250"/>
    <x v="9"/>
    <x v="0"/>
    <x v="119"/>
    <n v="1313.8672203691533"/>
    <x v="184"/>
  </r>
  <r>
    <x v="4"/>
    <x v="1"/>
    <x v="2"/>
    <x v="2"/>
    <n v="250"/>
    <x v="10"/>
    <x v="393"/>
    <x v="225"/>
    <n v="1272.474535210928"/>
    <x v="432"/>
  </r>
  <r>
    <x v="4"/>
    <x v="1"/>
    <x v="2"/>
    <x v="2"/>
    <n v="250"/>
    <x v="11"/>
    <x v="394"/>
    <x v="21"/>
    <n v="1234.6859743215284"/>
    <x v="433"/>
  </r>
  <r>
    <x v="4"/>
    <x v="1"/>
    <x v="2"/>
    <x v="2"/>
    <n v="200"/>
    <x v="12"/>
    <x v="91"/>
    <x v="3"/>
    <n v="1199.9238680623166"/>
    <x v="98"/>
  </r>
  <r>
    <x v="4"/>
    <x v="1"/>
    <x v="2"/>
    <x v="2"/>
    <n v="200"/>
    <x v="13"/>
    <x v="395"/>
    <x v="25"/>
    <n v="1167.7391846909154"/>
    <x v="434"/>
  </r>
  <r>
    <x v="4"/>
    <x v="1"/>
    <x v="2"/>
    <x v="2"/>
    <n v="200"/>
    <x v="14"/>
    <x v="74"/>
    <x v="50"/>
    <n v="1137.775961313472"/>
    <x v="261"/>
  </r>
  <r>
    <x v="4"/>
    <x v="1"/>
    <x v="2"/>
    <x v="2"/>
    <n v="150"/>
    <x v="15"/>
    <x v="10"/>
    <x v="10"/>
    <n v="1109.7472377132285"/>
    <x v="10"/>
  </r>
  <r>
    <x v="4"/>
    <x v="1"/>
    <x v="2"/>
    <x v="2"/>
    <n v="150"/>
    <x v="16"/>
    <x v="396"/>
    <x v="226"/>
    <n v="1083.4182989908793"/>
    <x v="435"/>
  </r>
  <r>
    <x v="4"/>
    <x v="1"/>
    <x v="2"/>
    <x v="2"/>
    <n v="150"/>
    <x v="17"/>
    <x v="13"/>
    <x v="13"/>
    <n v="1058.5947152658473"/>
    <x v="13"/>
  </r>
  <r>
    <x v="4"/>
    <x v="1"/>
    <x v="28"/>
    <x v="5"/>
    <n v="1090"/>
    <x v="0"/>
    <x v="110"/>
    <x v="86"/>
    <n v="1939.5192526186186"/>
    <x v="117"/>
  </r>
  <r>
    <x v="4"/>
    <x v="1"/>
    <x v="28"/>
    <x v="5"/>
    <n v="870"/>
    <x v="1"/>
    <x v="397"/>
    <x v="104"/>
    <n v="1638.4892569546373"/>
    <x v="436"/>
  </r>
  <r>
    <x v="4"/>
    <x v="1"/>
    <x v="28"/>
    <x v="5"/>
    <n v="650"/>
    <x v="2"/>
    <x v="138"/>
    <x v="7"/>
    <n v="1462.3979978989562"/>
    <x v="148"/>
  </r>
  <r>
    <x v="4"/>
    <x v="1"/>
    <x v="28"/>
    <x v="5"/>
    <n v="520"/>
    <x v="3"/>
    <x v="142"/>
    <x v="71"/>
    <n v="1337.4592612906563"/>
    <x v="152"/>
  </r>
  <r>
    <x v="4"/>
    <x v="1"/>
    <x v="28"/>
    <x v="5"/>
    <n v="440"/>
    <x v="4"/>
    <x v="36"/>
    <x v="35"/>
    <n v="1240.5492482825996"/>
    <x v="38"/>
  </r>
  <r>
    <x v="4"/>
    <x v="1"/>
    <x v="28"/>
    <x v="5"/>
    <n v="350"/>
    <x v="5"/>
    <x v="86"/>
    <x v="71"/>
    <n v="1161.3680022349749"/>
    <x v="93"/>
  </r>
  <r>
    <x v="4"/>
    <x v="1"/>
    <x v="28"/>
    <x v="5"/>
    <n v="260"/>
    <x v="6"/>
    <x v="153"/>
    <x v="107"/>
    <n v="1094.4212126043617"/>
    <x v="165"/>
  </r>
  <r>
    <x v="4"/>
    <x v="1"/>
    <x v="28"/>
    <x v="5"/>
    <n v="170"/>
    <x v="7"/>
    <x v="265"/>
    <x v="25"/>
    <n v="1036.429265626675"/>
    <x v="293"/>
  </r>
  <r>
    <x v="4"/>
    <x v="1"/>
    <x v="5"/>
    <x v="1"/>
    <n v="3205"/>
    <x v="0"/>
    <x v="177"/>
    <x v="125"/>
    <n v="2232.9961103921537"/>
    <x v="193"/>
  </r>
  <r>
    <x v="4"/>
    <x v="1"/>
    <x v="5"/>
    <x v="1"/>
    <n v="2310"/>
    <x v="1"/>
    <x v="45"/>
    <x v="42"/>
    <n v="1931.9661147281724"/>
    <x v="47"/>
  </r>
  <r>
    <x v="4"/>
    <x v="1"/>
    <x v="5"/>
    <x v="1"/>
    <n v="1670"/>
    <x v="2"/>
    <x v="398"/>
    <x v="82"/>
    <n v="1755.8748556724913"/>
    <x v="437"/>
  </r>
  <r>
    <x v="4"/>
    <x v="1"/>
    <x v="5"/>
    <x v="1"/>
    <n v="1280"/>
    <x v="3"/>
    <x v="399"/>
    <x v="204"/>
    <n v="1630.9361190641912"/>
    <x v="438"/>
  </r>
  <r>
    <x v="4"/>
    <x v="1"/>
    <x v="5"/>
    <x v="1"/>
    <n v="1030"/>
    <x v="4"/>
    <x v="356"/>
    <x v="23"/>
    <n v="1534.0261060561349"/>
    <x v="391"/>
  </r>
  <r>
    <x v="4"/>
    <x v="1"/>
    <x v="5"/>
    <x v="1"/>
    <n v="770"/>
    <x v="5"/>
    <x v="241"/>
    <x v="156"/>
    <n v="1454.8448600085101"/>
    <x v="265"/>
  </r>
  <r>
    <x v="4"/>
    <x v="1"/>
    <x v="5"/>
    <x v="1"/>
    <n v="510"/>
    <x v="6"/>
    <x v="142"/>
    <x v="71"/>
    <n v="1387.8980703778966"/>
    <x v="152"/>
  </r>
  <r>
    <x v="4"/>
    <x v="1"/>
    <x v="5"/>
    <x v="1"/>
    <n v="350"/>
    <x v="7"/>
    <x v="362"/>
    <x v="4"/>
    <n v="1329.9061234002102"/>
    <x v="397"/>
  </r>
  <r>
    <x v="4"/>
    <x v="1"/>
    <x v="5"/>
    <x v="1"/>
    <n v="260"/>
    <x v="8"/>
    <x v="31"/>
    <x v="50"/>
    <n v="1278.7536009528289"/>
    <x v="273"/>
  </r>
  <r>
    <x v="4"/>
    <x v="1"/>
    <x v="5"/>
    <x v="1"/>
    <n v="190"/>
    <x v="9"/>
    <x v="128"/>
    <x v="21"/>
    <n v="1232.9961103921537"/>
    <x v="135"/>
  </r>
  <r>
    <x v="4"/>
    <x v="1"/>
    <x v="5"/>
    <x v="1"/>
    <n v="190"/>
    <x v="10"/>
    <x v="301"/>
    <x v="182"/>
    <n v="1191.6034252339284"/>
    <x v="329"/>
  </r>
  <r>
    <x v="4"/>
    <x v="1"/>
    <x v="5"/>
    <x v="1"/>
    <n v="190"/>
    <x v="11"/>
    <x v="400"/>
    <x v="227"/>
    <n v="1153.8148643445288"/>
    <x v="439"/>
  </r>
  <r>
    <x v="4"/>
    <x v="1"/>
    <x v="5"/>
    <x v="1"/>
    <n v="160"/>
    <x v="12"/>
    <x v="31"/>
    <x v="32"/>
    <n v="1119.052758085317"/>
    <x v="33"/>
  </r>
  <r>
    <x v="4"/>
    <x v="1"/>
    <x v="5"/>
    <x v="1"/>
    <n v="160"/>
    <x v="13"/>
    <x v="249"/>
    <x v="159"/>
    <n v="1086.8680747139156"/>
    <x v="275"/>
  </r>
  <r>
    <x v="4"/>
    <x v="1"/>
    <x v="5"/>
    <x v="1"/>
    <n v="160"/>
    <x v="14"/>
    <x v="27"/>
    <x v="21"/>
    <n v="1056.9048513364723"/>
    <x v="91"/>
  </r>
  <r>
    <x v="4"/>
    <x v="1"/>
    <x v="5"/>
    <x v="1"/>
    <n v="130"/>
    <x v="15"/>
    <x v="401"/>
    <x v="21"/>
    <n v="1028.8761277362289"/>
    <x v="440"/>
  </r>
  <r>
    <x v="4"/>
    <x v="1"/>
    <x v="5"/>
    <x v="1"/>
    <n v="130"/>
    <x v="16"/>
    <x v="120"/>
    <x v="49"/>
    <n v="1002.5471890138797"/>
    <x v="127"/>
  </r>
  <r>
    <x v="4"/>
    <x v="1"/>
    <x v="5"/>
    <x v="1"/>
    <n v="130"/>
    <x v="17"/>
    <x v="245"/>
    <x v="67"/>
    <n v="977.72360528884758"/>
    <x v="269"/>
  </r>
  <r>
    <x v="4"/>
    <x v="2"/>
    <x v="4"/>
    <x v="3"/>
    <n v="915"/>
    <x v="0"/>
    <x v="402"/>
    <x v="81"/>
    <n v="1568.201724066995"/>
    <x v="441"/>
  </r>
  <r>
    <x v="4"/>
    <x v="2"/>
    <x v="4"/>
    <x v="3"/>
    <n v="510"/>
    <x v="1"/>
    <x v="109"/>
    <x v="85"/>
    <n v="1267.1717284030137"/>
    <x v="116"/>
  </r>
  <r>
    <x v="4"/>
    <x v="2"/>
    <x v="4"/>
    <x v="3"/>
    <n v="305"/>
    <x v="2"/>
    <x v="142"/>
    <x v="71"/>
    <n v="1091.0804693473326"/>
    <x v="152"/>
  </r>
  <r>
    <x v="4"/>
    <x v="2"/>
    <x v="4"/>
    <x v="3"/>
    <n v="205"/>
    <x v="3"/>
    <x v="0"/>
    <x v="0"/>
    <n v="966.14173273903259"/>
    <x v="0"/>
  </r>
  <r>
    <x v="4"/>
    <x v="2"/>
    <x v="4"/>
    <x v="3"/>
    <n v="100"/>
    <x v="4"/>
    <x v="224"/>
    <x v="22"/>
    <n v="869.23171973097612"/>
    <x v="247"/>
  </r>
  <r>
    <x v="4"/>
    <x v="2"/>
    <x v="29"/>
    <x v="2"/>
    <n v="915"/>
    <x v="0"/>
    <x v="62"/>
    <x v="228"/>
    <n v="1568.201724066995"/>
    <x v="442"/>
  </r>
  <r>
    <x v="4"/>
    <x v="2"/>
    <x v="29"/>
    <x v="2"/>
    <n v="510"/>
    <x v="1"/>
    <x v="177"/>
    <x v="125"/>
    <n v="1267.1717284030137"/>
    <x v="193"/>
  </r>
  <r>
    <x v="4"/>
    <x v="2"/>
    <x v="29"/>
    <x v="2"/>
    <n v="305"/>
    <x v="2"/>
    <x v="403"/>
    <x v="3"/>
    <n v="1091.0804693473326"/>
    <x v="443"/>
  </r>
  <r>
    <x v="4"/>
    <x v="2"/>
    <x v="29"/>
    <x v="2"/>
    <n v="205"/>
    <x v="3"/>
    <x v="139"/>
    <x v="102"/>
    <n v="966.14173273903259"/>
    <x v="149"/>
  </r>
  <r>
    <x v="4"/>
    <x v="2"/>
    <x v="29"/>
    <x v="2"/>
    <n v="100"/>
    <x v="4"/>
    <x v="9"/>
    <x v="9"/>
    <n v="869.23171973097612"/>
    <x v="9"/>
  </r>
  <r>
    <x v="4"/>
    <x v="2"/>
    <x v="22"/>
    <x v="2"/>
    <n v="1250"/>
    <x v="0"/>
    <x v="131"/>
    <x v="3"/>
    <n v="1591.0646070264991"/>
    <x v="147"/>
  </r>
  <r>
    <x v="4"/>
    <x v="2"/>
    <x v="22"/>
    <x v="2"/>
    <n v="780"/>
    <x v="1"/>
    <x v="404"/>
    <x v="1"/>
    <n v="1290.0346113625178"/>
    <x v="444"/>
  </r>
  <r>
    <x v="4"/>
    <x v="2"/>
    <x v="22"/>
    <x v="2"/>
    <n v="470"/>
    <x v="2"/>
    <x v="139"/>
    <x v="102"/>
    <n v="1113.9433523068367"/>
    <x v="149"/>
  </r>
  <r>
    <x v="4"/>
    <x v="2"/>
    <x v="22"/>
    <x v="2"/>
    <n v="310"/>
    <x v="90"/>
    <x v="177"/>
    <x v="125"/>
    <n v="937.85209325115534"/>
    <x v="193"/>
  </r>
  <r>
    <x v="4"/>
    <x v="2"/>
    <x v="22"/>
    <x v="2"/>
    <n v="310"/>
    <x v="90"/>
    <x v="402"/>
    <x v="81"/>
    <n v="937.85209325115534"/>
    <x v="441"/>
  </r>
  <r>
    <x v="4"/>
    <x v="2"/>
    <x v="30"/>
    <x v="4"/>
    <n v="815"/>
    <x v="0"/>
    <x v="356"/>
    <x v="23"/>
    <n v="1518.5139398778874"/>
    <x v="391"/>
  </r>
  <r>
    <x v="4"/>
    <x v="2"/>
    <x v="30"/>
    <x v="4"/>
    <n v="455"/>
    <x v="1"/>
    <x v="123"/>
    <x v="92"/>
    <n v="1217.4839442139062"/>
    <x v="130"/>
  </r>
  <r>
    <x v="4"/>
    <x v="2"/>
    <x v="30"/>
    <x v="4"/>
    <n v="270"/>
    <x v="2"/>
    <x v="314"/>
    <x v="189"/>
    <n v="1041.392685158225"/>
    <x v="344"/>
  </r>
  <r>
    <x v="4"/>
    <x v="2"/>
    <x v="30"/>
    <x v="4"/>
    <n v="180"/>
    <x v="3"/>
    <x v="255"/>
    <x v="160"/>
    <n v="916.45394854992514"/>
    <x v="282"/>
  </r>
  <r>
    <x v="4"/>
    <x v="2"/>
    <x v="30"/>
    <x v="4"/>
    <n v="95"/>
    <x v="4"/>
    <x v="42"/>
    <x v="40"/>
    <n v="819.54393554186868"/>
    <x v="44"/>
  </r>
  <r>
    <x v="4"/>
    <x v="3"/>
    <x v="31"/>
    <x v="2"/>
    <n v="1200"/>
    <x v="0"/>
    <x v="405"/>
    <x v="25"/>
    <n v="1681.2412373755872"/>
    <x v="445"/>
  </r>
  <r>
    <x v="4"/>
    <x v="3"/>
    <x v="31"/>
    <x v="2"/>
    <n v="900"/>
    <x v="1"/>
    <x v="42"/>
    <x v="40"/>
    <n v="1380.2112417116059"/>
    <x v="44"/>
  </r>
  <r>
    <x v="4"/>
    <x v="3"/>
    <x v="31"/>
    <x v="2"/>
    <n v="600"/>
    <x v="2"/>
    <x v="10"/>
    <x v="10"/>
    <n v="1204.1199826559248"/>
    <x v="10"/>
  </r>
  <r>
    <x v="4"/>
    <x v="3"/>
    <x v="31"/>
    <x v="2"/>
    <n v="500"/>
    <x v="3"/>
    <x v="406"/>
    <x v="70"/>
    <n v="1079.1812460476247"/>
    <x v="446"/>
  </r>
  <r>
    <x v="4"/>
    <x v="3"/>
    <x v="31"/>
    <x v="2"/>
    <n v="400"/>
    <x v="97"/>
    <x v="15"/>
    <x v="31"/>
    <n v="868.32788073273161"/>
    <x v="32"/>
  </r>
  <r>
    <x v="4"/>
    <x v="3"/>
    <x v="31"/>
    <x v="2"/>
    <n v="400"/>
    <x v="97"/>
    <x v="26"/>
    <x v="26"/>
    <n v="868.32788073273161"/>
    <x v="26"/>
  </r>
  <r>
    <x v="4"/>
    <x v="3"/>
    <x v="31"/>
    <x v="2"/>
    <n v="400"/>
    <x v="97"/>
    <x v="407"/>
    <x v="56"/>
    <n v="868.32788073273161"/>
    <x v="447"/>
  </r>
  <r>
    <x v="4"/>
    <x v="3"/>
    <x v="31"/>
    <x v="2"/>
    <n v="400"/>
    <x v="97"/>
    <x v="177"/>
    <x v="125"/>
    <n v="868.32788073273161"/>
    <x v="193"/>
  </r>
  <r>
    <x v="4"/>
    <x v="3"/>
    <x v="32"/>
    <x v="1"/>
    <n v="2166"/>
    <x v="0"/>
    <x v="176"/>
    <x v="123"/>
    <n v="1792.391689498254"/>
    <x v="191"/>
  </r>
  <r>
    <x v="4"/>
    <x v="3"/>
    <x v="32"/>
    <x v="1"/>
    <n v="1112"/>
    <x v="1"/>
    <x v="124"/>
    <x v="49"/>
    <n v="1491.3616938342727"/>
    <x v="131"/>
  </r>
  <r>
    <x v="4"/>
    <x v="3"/>
    <x v="32"/>
    <x v="1"/>
    <n v="692"/>
    <x v="2"/>
    <x v="408"/>
    <x v="94"/>
    <n v="1315.2704347785916"/>
    <x v="448"/>
  </r>
  <r>
    <x v="4"/>
    <x v="3"/>
    <x v="32"/>
    <x v="1"/>
    <n v="511"/>
    <x v="3"/>
    <x v="4"/>
    <x v="4"/>
    <n v="1190.3316981702915"/>
    <x v="4"/>
  </r>
  <r>
    <x v="4"/>
    <x v="3"/>
    <x v="32"/>
    <x v="1"/>
    <n v="311"/>
    <x v="4"/>
    <x v="409"/>
    <x v="87"/>
    <n v="1093.4216851622352"/>
    <x v="449"/>
  </r>
  <r>
    <x v="4"/>
    <x v="3"/>
    <x v="32"/>
    <x v="1"/>
    <n v="300"/>
    <x v="5"/>
    <x v="49"/>
    <x v="13"/>
    <n v="1014.2404391146102"/>
    <x v="51"/>
  </r>
  <r>
    <x v="4"/>
    <x v="3"/>
    <x v="32"/>
    <x v="1"/>
    <n v="271"/>
    <x v="6"/>
    <x v="43"/>
    <x v="12"/>
    <n v="947.29364948399711"/>
    <x v="179"/>
  </r>
  <r>
    <x v="4"/>
    <x v="3"/>
    <x v="32"/>
    <x v="1"/>
    <n v="241"/>
    <x v="7"/>
    <x v="410"/>
    <x v="229"/>
    <n v="889.30170250631033"/>
    <x v="450"/>
  </r>
  <r>
    <x v="4"/>
    <x v="3"/>
    <x v="32"/>
    <x v="1"/>
    <n v="210"/>
    <x v="8"/>
    <x v="334"/>
    <x v="13"/>
    <n v="838.14918005892901"/>
    <x v="367"/>
  </r>
  <r>
    <x v="4"/>
    <x v="3"/>
    <x v="32"/>
    <x v="1"/>
    <n v="180"/>
    <x v="9"/>
    <x v="150"/>
    <x v="104"/>
    <n v="792.39168949825387"/>
    <x v="161"/>
  </r>
  <r>
    <x v="4"/>
    <x v="3"/>
    <x v="2"/>
    <x v="2"/>
    <n v="3434"/>
    <x v="0"/>
    <x v="43"/>
    <x v="30"/>
    <n v="2071.8820073061256"/>
    <x v="45"/>
  </r>
  <r>
    <x v="4"/>
    <x v="3"/>
    <x v="2"/>
    <x v="2"/>
    <n v="2003"/>
    <x v="1"/>
    <x v="377"/>
    <x v="92"/>
    <n v="1770.8520116421441"/>
    <x v="414"/>
  </r>
  <r>
    <x v="4"/>
    <x v="3"/>
    <x v="2"/>
    <x v="2"/>
    <n v="1202"/>
    <x v="2"/>
    <x v="349"/>
    <x v="230"/>
    <n v="1594.760752586463"/>
    <x v="451"/>
  </r>
  <r>
    <x v="4"/>
    <x v="3"/>
    <x v="2"/>
    <x v="2"/>
    <n v="859"/>
    <x v="3"/>
    <x v="172"/>
    <x v="25"/>
    <n v="1469.8220159781629"/>
    <x v="187"/>
  </r>
  <r>
    <x v="4"/>
    <x v="3"/>
    <x v="2"/>
    <x v="2"/>
    <n v="515"/>
    <x v="4"/>
    <x v="147"/>
    <x v="1"/>
    <n v="1372.9120029701066"/>
    <x v="158"/>
  </r>
  <r>
    <x v="4"/>
    <x v="3"/>
    <x v="2"/>
    <x v="2"/>
    <n v="458"/>
    <x v="5"/>
    <x v="411"/>
    <x v="231"/>
    <n v="1293.7307569224818"/>
    <x v="452"/>
  </r>
  <r>
    <x v="4"/>
    <x v="3"/>
    <x v="2"/>
    <x v="2"/>
    <n v="400"/>
    <x v="6"/>
    <x v="78"/>
    <x v="17"/>
    <n v="1226.7839672918685"/>
    <x v="84"/>
  </r>
  <r>
    <x v="4"/>
    <x v="3"/>
    <x v="2"/>
    <x v="2"/>
    <n v="344"/>
    <x v="7"/>
    <x v="150"/>
    <x v="104"/>
    <n v="1168.7920203141819"/>
    <x v="161"/>
  </r>
  <r>
    <x v="4"/>
    <x v="3"/>
    <x v="2"/>
    <x v="2"/>
    <n v="286"/>
    <x v="8"/>
    <x v="94"/>
    <x v="75"/>
    <n v="1117.6394978668006"/>
    <x v="101"/>
  </r>
  <r>
    <x v="4"/>
    <x v="3"/>
    <x v="2"/>
    <x v="2"/>
    <n v="235"/>
    <x v="9"/>
    <x v="364"/>
    <x v="232"/>
    <n v="1071.8820073061254"/>
    <x v="453"/>
  </r>
  <r>
    <x v="4"/>
    <x v="3"/>
    <x v="2"/>
    <x v="2"/>
    <n v="171"/>
    <x v="10"/>
    <x v="412"/>
    <x v="233"/>
    <n v="1030.4893221479003"/>
    <x v="454"/>
  </r>
  <r>
    <x v="4"/>
    <x v="3"/>
    <x v="2"/>
    <x v="2"/>
    <n v="171"/>
    <x v="11"/>
    <x v="4"/>
    <x v="4"/>
    <n v="992.70076125850062"/>
    <x v="4"/>
  </r>
  <r>
    <x v="4"/>
    <x v="3"/>
    <x v="2"/>
    <x v="2"/>
    <n v="171"/>
    <x v="12"/>
    <x v="413"/>
    <x v="25"/>
    <n v="957.93865499928881"/>
    <x v="455"/>
  </r>
  <r>
    <x v="4"/>
    <x v="3"/>
    <x v="2"/>
    <x v="2"/>
    <n v="171"/>
    <x v="13"/>
    <x v="414"/>
    <x v="112"/>
    <n v="925.75397162788749"/>
    <x v="456"/>
  </r>
  <r>
    <x v="4"/>
    <x v="3"/>
    <x v="2"/>
    <x v="2"/>
    <n v="171"/>
    <x v="14"/>
    <x v="275"/>
    <x v="167"/>
    <n v="895.79074825044415"/>
    <x v="303"/>
  </r>
  <r>
    <x v="4"/>
    <x v="3"/>
    <x v="2"/>
    <x v="2"/>
    <n v="171"/>
    <x v="15"/>
    <x v="170"/>
    <x v="25"/>
    <n v="867.76202465020071"/>
    <x v="185"/>
  </r>
  <r>
    <x v="4"/>
    <x v="3"/>
    <x v="2"/>
    <x v="2"/>
    <n v="171"/>
    <x v="16"/>
    <x v="320"/>
    <x v="21"/>
    <n v="841.43308592785161"/>
    <x v="350"/>
  </r>
  <r>
    <x v="4"/>
    <x v="3"/>
    <x v="2"/>
    <x v="2"/>
    <n v="171"/>
    <x v="17"/>
    <x v="269"/>
    <x v="23"/>
    <n v="816.6095022028195"/>
    <x v="297"/>
  </r>
  <r>
    <x v="4"/>
    <x v="3"/>
    <x v="2"/>
    <x v="2"/>
    <n v="171"/>
    <x v="18"/>
    <x v="28"/>
    <x v="28"/>
    <n v="793.12840635329667"/>
    <x v="28"/>
  </r>
  <r>
    <x v="4"/>
    <x v="3"/>
    <x v="2"/>
    <x v="2"/>
    <n v="171"/>
    <x v="19"/>
    <x v="415"/>
    <x v="234"/>
    <n v="770.85201164214425"/>
    <x v="457"/>
  </r>
  <r>
    <x v="4"/>
    <x v="3"/>
    <x v="17"/>
    <x v="7"/>
    <n v="1746"/>
    <x v="0"/>
    <x v="62"/>
    <x v="214"/>
    <n v="849.48500216800937"/>
    <x v="409"/>
  </r>
  <r>
    <x v="4"/>
    <x v="3"/>
    <x v="17"/>
    <x v="7"/>
    <n v="1746"/>
    <x v="0"/>
    <x v="416"/>
    <x v="153"/>
    <n v="849.48500216800937"/>
    <x v="458"/>
  </r>
  <r>
    <x v="4"/>
    <x v="3"/>
    <x v="17"/>
    <x v="7"/>
    <n v="989"/>
    <x v="1"/>
    <x v="417"/>
    <x v="235"/>
    <n v="698.97000433601875"/>
    <x v="459"/>
  </r>
  <r>
    <x v="4"/>
    <x v="3"/>
    <x v="17"/>
    <x v="7"/>
    <n v="897"/>
    <x v="1"/>
    <x v="364"/>
    <x v="232"/>
    <n v="698.97000433601875"/>
    <x v="453"/>
  </r>
  <r>
    <x v="4"/>
    <x v="3"/>
    <x v="17"/>
    <x v="7"/>
    <n v="557"/>
    <x v="2"/>
    <x v="49"/>
    <x v="13"/>
    <n v="610.92437480817819"/>
    <x v="51"/>
  </r>
  <r>
    <x v="4"/>
    <x v="3"/>
    <x v="17"/>
    <x v="7"/>
    <n v="558"/>
    <x v="2"/>
    <x v="5"/>
    <x v="5"/>
    <n v="610.92437480817819"/>
    <x v="5"/>
  </r>
  <r>
    <x v="4"/>
    <x v="3"/>
    <x v="17"/>
    <x v="7"/>
    <n v="413"/>
    <x v="3"/>
    <x v="166"/>
    <x v="37"/>
    <n v="548.45500650402812"/>
    <x v="180"/>
  </r>
  <r>
    <x v="4"/>
    <x v="3"/>
    <x v="17"/>
    <x v="7"/>
    <n v="412"/>
    <x v="3"/>
    <x v="418"/>
    <x v="236"/>
    <n v="548.45500650402812"/>
    <x v="460"/>
  </r>
  <r>
    <x v="4"/>
    <x v="3"/>
    <x v="17"/>
    <x v="7"/>
    <n v="266"/>
    <x v="4"/>
    <x v="275"/>
    <x v="167"/>
    <n v="500"/>
    <x v="303"/>
  </r>
  <r>
    <x v="4"/>
    <x v="3"/>
    <x v="17"/>
    <x v="7"/>
    <n v="267"/>
    <x v="4"/>
    <x v="274"/>
    <x v="166"/>
    <n v="500"/>
    <x v="302"/>
  </r>
  <r>
    <x v="4"/>
    <x v="3"/>
    <x v="17"/>
    <x v="7"/>
    <n v="243"/>
    <x v="5"/>
    <x v="378"/>
    <x v="217"/>
    <n v="460.40937697618756"/>
    <x v="415"/>
  </r>
  <r>
    <x v="4"/>
    <x v="3"/>
    <x v="17"/>
    <x v="7"/>
    <n v="242"/>
    <x v="5"/>
    <x v="377"/>
    <x v="92"/>
    <n v="460.40937697618756"/>
    <x v="414"/>
  </r>
  <r>
    <x v="4"/>
    <x v="3"/>
    <x v="17"/>
    <x v="7"/>
    <n v="219"/>
    <x v="6"/>
    <x v="334"/>
    <x v="13"/>
    <n v="426.93598216088094"/>
    <x v="367"/>
  </r>
  <r>
    <x v="4"/>
    <x v="3"/>
    <x v="17"/>
    <x v="7"/>
    <n v="218"/>
    <x v="6"/>
    <x v="419"/>
    <x v="237"/>
    <n v="426.93598216088094"/>
    <x v="461"/>
  </r>
  <r>
    <x v="4"/>
    <x v="3"/>
    <x v="17"/>
    <x v="7"/>
    <n v="194"/>
    <x v="7"/>
    <x v="420"/>
    <x v="11"/>
    <n v="397.94000867203761"/>
    <x v="462"/>
  </r>
  <r>
    <x v="4"/>
    <x v="3"/>
    <x v="17"/>
    <x v="7"/>
    <n v="194"/>
    <x v="7"/>
    <x v="11"/>
    <x v="11"/>
    <n v="397.94000867203761"/>
    <x v="11"/>
  </r>
  <r>
    <x v="4"/>
    <x v="3"/>
    <x v="17"/>
    <x v="7"/>
    <n v="170"/>
    <x v="8"/>
    <x v="269"/>
    <x v="23"/>
    <n v="372.36374744834694"/>
    <x v="297"/>
  </r>
  <r>
    <x v="4"/>
    <x v="3"/>
    <x v="17"/>
    <x v="7"/>
    <n v="169"/>
    <x v="8"/>
    <x v="179"/>
    <x v="105"/>
    <n v="372.36374744834694"/>
    <x v="195"/>
  </r>
  <r>
    <x v="4"/>
    <x v="3"/>
    <x v="17"/>
    <x v="7"/>
    <n v="146"/>
    <x v="9"/>
    <x v="421"/>
    <x v="107"/>
    <n v="349.48500216800937"/>
    <x v="463"/>
  </r>
  <r>
    <x v="4"/>
    <x v="3"/>
    <x v="17"/>
    <x v="7"/>
    <n v="145"/>
    <x v="9"/>
    <x v="422"/>
    <x v="238"/>
    <n v="349.48500216800937"/>
    <x v="464"/>
  </r>
  <r>
    <x v="4"/>
    <x v="4"/>
    <x v="2"/>
    <x v="2"/>
    <n v="598"/>
    <x v="0"/>
    <x v="198"/>
    <x v="81"/>
    <n v="1322.2192947339192"/>
    <x v="216"/>
  </r>
  <r>
    <x v="4"/>
    <x v="4"/>
    <x v="2"/>
    <x v="2"/>
    <n v="598"/>
    <x v="1"/>
    <x v="391"/>
    <x v="25"/>
    <n v="1021.1892990699381"/>
    <x v="430"/>
  </r>
  <r>
    <x v="4"/>
    <x v="4"/>
    <x v="2"/>
    <x v="2"/>
    <n v="357"/>
    <x v="2"/>
    <x v="423"/>
    <x v="25"/>
    <n v="845.09804001425687"/>
    <x v="465"/>
  </r>
  <r>
    <x v="4"/>
    <x v="4"/>
    <x v="2"/>
    <x v="2"/>
    <n v="294"/>
    <x v="3"/>
    <x v="108"/>
    <x v="37"/>
    <n v="720.15930340595696"/>
    <x v="235"/>
  </r>
  <r>
    <x v="4"/>
    <x v="4"/>
    <x v="2"/>
    <x v="2"/>
    <n v="252"/>
    <x v="4"/>
    <x v="424"/>
    <x v="15"/>
    <n v="623.2492903979005"/>
    <x v="466"/>
  </r>
  <r>
    <x v="4"/>
    <x v="4"/>
    <x v="33"/>
    <x v="6"/>
    <n v="433"/>
    <x v="0"/>
    <x v="196"/>
    <x v="92"/>
    <n v="1278.7536009528289"/>
    <x v="214"/>
  </r>
  <r>
    <x v="4"/>
    <x v="4"/>
    <x v="33"/>
    <x v="6"/>
    <n v="433"/>
    <x v="1"/>
    <x v="108"/>
    <x v="37"/>
    <n v="977.72360528884758"/>
    <x v="235"/>
  </r>
  <r>
    <x v="4"/>
    <x v="4"/>
    <x v="33"/>
    <x v="6"/>
    <n v="258"/>
    <x v="2"/>
    <x v="213"/>
    <x v="71"/>
    <n v="801.63234623316646"/>
    <x v="236"/>
  </r>
  <r>
    <x v="4"/>
    <x v="4"/>
    <x v="33"/>
    <x v="6"/>
    <n v="212"/>
    <x v="3"/>
    <x v="328"/>
    <x v="197"/>
    <n v="676.69360962486644"/>
    <x v="360"/>
  </r>
  <r>
    <x v="4"/>
    <x v="4"/>
    <x v="33"/>
    <x v="6"/>
    <n v="184"/>
    <x v="4"/>
    <x v="254"/>
    <x v="37"/>
    <n v="579.78359661680997"/>
    <x v="281"/>
  </r>
  <r>
    <x v="4"/>
    <x v="4"/>
    <x v="5"/>
    <x v="1"/>
    <n v="525"/>
    <x v="0"/>
    <x v="425"/>
    <x v="239"/>
    <n v="1342.4226808222061"/>
    <x v="467"/>
  </r>
  <r>
    <x v="4"/>
    <x v="4"/>
    <x v="5"/>
    <x v="1"/>
    <n v="475"/>
    <x v="1"/>
    <x v="209"/>
    <x v="142"/>
    <n v="1041.3926851582248"/>
    <x v="227"/>
  </r>
  <r>
    <x v="4"/>
    <x v="4"/>
    <x v="5"/>
    <x v="1"/>
    <n v="299"/>
    <x v="2"/>
    <x v="198"/>
    <x v="81"/>
    <n v="865.30142610254381"/>
    <x v="216"/>
  </r>
  <r>
    <x v="4"/>
    <x v="4"/>
    <x v="5"/>
    <x v="1"/>
    <n v="246"/>
    <x v="3"/>
    <x v="423"/>
    <x v="25"/>
    <n v="740.3626894942438"/>
    <x v="465"/>
  </r>
  <r>
    <x v="4"/>
    <x v="4"/>
    <x v="5"/>
    <x v="1"/>
    <n v="213"/>
    <x v="4"/>
    <x v="258"/>
    <x v="37"/>
    <n v="643.45267648618733"/>
    <x v="285"/>
  </r>
  <r>
    <x v="5"/>
    <x v="0"/>
    <x v="2"/>
    <x v="2"/>
    <n v="5373"/>
    <x v="0"/>
    <x v="426"/>
    <x v="240"/>
    <n v="2149.2191126553798"/>
    <x v="468"/>
  </r>
  <r>
    <x v="5"/>
    <x v="0"/>
    <x v="2"/>
    <x v="2"/>
    <n v="2820"/>
    <x v="1"/>
    <x v="334"/>
    <x v="13"/>
    <n v="1848.1891169913984"/>
    <x v="367"/>
  </r>
  <r>
    <x v="5"/>
    <x v="0"/>
    <x v="2"/>
    <x v="2"/>
    <n v="1410"/>
    <x v="2"/>
    <x v="427"/>
    <x v="180"/>
    <n v="1672.0978579357172"/>
    <x v="469"/>
  </r>
  <r>
    <x v="5"/>
    <x v="0"/>
    <x v="2"/>
    <x v="2"/>
    <n v="846"/>
    <x v="3"/>
    <x v="428"/>
    <x v="81"/>
    <n v="1547.1591213274171"/>
    <x v="470"/>
  </r>
  <r>
    <x v="5"/>
    <x v="0"/>
    <x v="2"/>
    <x v="2"/>
    <n v="635"/>
    <x v="4"/>
    <x v="429"/>
    <x v="81"/>
    <n v="1450.2491083193609"/>
    <x v="471"/>
  </r>
  <r>
    <x v="5"/>
    <x v="0"/>
    <x v="2"/>
    <x v="2"/>
    <n v="494"/>
    <x v="5"/>
    <x v="353"/>
    <x v="207"/>
    <n v="1371.067862271736"/>
    <x v="387"/>
  </r>
  <r>
    <x v="5"/>
    <x v="0"/>
    <x v="2"/>
    <x v="2"/>
    <n v="353"/>
    <x v="6"/>
    <x v="15"/>
    <x v="31"/>
    <n v="1304.1210726411227"/>
    <x v="32"/>
  </r>
  <r>
    <x v="5"/>
    <x v="0"/>
    <x v="2"/>
    <x v="2"/>
    <n v="282"/>
    <x v="7"/>
    <x v="390"/>
    <x v="175"/>
    <n v="1246.1291256634361"/>
    <x v="472"/>
  </r>
  <r>
    <x v="5"/>
    <x v="0"/>
    <x v="2"/>
    <x v="2"/>
    <n v="240"/>
    <x v="8"/>
    <x v="392"/>
    <x v="13"/>
    <n v="1194.9766032160549"/>
    <x v="431"/>
  </r>
  <r>
    <x v="5"/>
    <x v="0"/>
    <x v="2"/>
    <x v="2"/>
    <n v="183"/>
    <x v="9"/>
    <x v="430"/>
    <x v="62"/>
    <n v="1149.2191126553796"/>
    <x v="473"/>
  </r>
  <r>
    <x v="5"/>
    <x v="0"/>
    <x v="2"/>
    <x v="2"/>
    <n v="183"/>
    <x v="10"/>
    <x v="4"/>
    <x v="4"/>
    <n v="1107.8264274971546"/>
    <x v="4"/>
  </r>
  <r>
    <x v="5"/>
    <x v="0"/>
    <x v="2"/>
    <x v="2"/>
    <n v="183"/>
    <x v="11"/>
    <x v="431"/>
    <x v="23"/>
    <n v="1070.0378666077547"/>
    <x v="474"/>
  </r>
  <r>
    <x v="5"/>
    <x v="0"/>
    <x v="2"/>
    <x v="2"/>
    <n v="183"/>
    <x v="12"/>
    <x v="432"/>
    <x v="91"/>
    <n v="1035.2757603485429"/>
    <x v="475"/>
  </r>
  <r>
    <x v="5"/>
    <x v="0"/>
    <x v="2"/>
    <x v="2"/>
    <n v="183"/>
    <x v="13"/>
    <x v="223"/>
    <x v="151"/>
    <n v="1003.0910769771417"/>
    <x v="246"/>
  </r>
  <r>
    <x v="5"/>
    <x v="0"/>
    <x v="2"/>
    <x v="2"/>
    <n v="183"/>
    <x v="14"/>
    <x v="171"/>
    <x v="120"/>
    <n v="973.12785359969837"/>
    <x v="186"/>
  </r>
  <r>
    <x v="5"/>
    <x v="0"/>
    <x v="2"/>
    <x v="2"/>
    <n v="183"/>
    <x v="15"/>
    <x v="433"/>
    <x v="115"/>
    <n v="945.09912999945493"/>
    <x v="476"/>
  </r>
  <r>
    <x v="5"/>
    <x v="0"/>
    <x v="2"/>
    <x v="2"/>
    <n v="183"/>
    <x v="16"/>
    <x v="434"/>
    <x v="241"/>
    <n v="918.77019127710582"/>
    <x v="477"/>
  </r>
  <r>
    <x v="5"/>
    <x v="0"/>
    <x v="2"/>
    <x v="2"/>
    <n v="183"/>
    <x v="17"/>
    <x v="435"/>
    <x v="153"/>
    <n v="893.94660755207371"/>
    <x v="478"/>
  </r>
  <r>
    <x v="5"/>
    <x v="0"/>
    <x v="28"/>
    <x v="5"/>
    <n v="1755"/>
    <x v="0"/>
    <x v="427"/>
    <x v="180"/>
    <n v="1591.0646070264991"/>
    <x v="469"/>
  </r>
  <r>
    <x v="5"/>
    <x v="0"/>
    <x v="28"/>
    <x v="5"/>
    <n v="975"/>
    <x v="1"/>
    <x v="10"/>
    <x v="10"/>
    <n v="1290.0346113625178"/>
    <x v="10"/>
  </r>
  <r>
    <x v="5"/>
    <x v="0"/>
    <x v="28"/>
    <x v="5"/>
    <n v="585"/>
    <x v="2"/>
    <x v="436"/>
    <x v="242"/>
    <n v="1113.9433523068367"/>
    <x v="479"/>
  </r>
  <r>
    <x v="5"/>
    <x v="0"/>
    <x v="28"/>
    <x v="5"/>
    <n v="390"/>
    <x v="3"/>
    <x v="49"/>
    <x v="13"/>
    <n v="989.00461569853667"/>
    <x v="51"/>
  </r>
  <r>
    <x v="5"/>
    <x v="0"/>
    <x v="28"/>
    <x v="5"/>
    <n v="195"/>
    <x v="4"/>
    <x v="437"/>
    <x v="243"/>
    <n v="892.0946026904802"/>
    <x v="480"/>
  </r>
  <r>
    <x v="5"/>
    <x v="0"/>
    <x v="5"/>
    <x v="1"/>
    <n v="2800"/>
    <x v="0"/>
    <x v="438"/>
    <x v="50"/>
    <n v="1845.0980400142569"/>
    <x v="481"/>
  </r>
  <r>
    <x v="5"/>
    <x v="0"/>
    <x v="5"/>
    <x v="1"/>
    <n v="1610"/>
    <x v="1"/>
    <x v="437"/>
    <x v="243"/>
    <n v="1544.0680443502756"/>
    <x v="480"/>
  </r>
  <r>
    <x v="5"/>
    <x v="0"/>
    <x v="5"/>
    <x v="1"/>
    <n v="840"/>
    <x v="2"/>
    <x v="377"/>
    <x v="92"/>
    <n v="1367.9767852945945"/>
    <x v="414"/>
  </r>
  <r>
    <x v="5"/>
    <x v="0"/>
    <x v="5"/>
    <x v="1"/>
    <n v="490"/>
    <x v="3"/>
    <x v="439"/>
    <x v="103"/>
    <n v="1243.0380486862944"/>
    <x v="482"/>
  </r>
  <r>
    <x v="5"/>
    <x v="0"/>
    <x v="5"/>
    <x v="1"/>
    <n v="385"/>
    <x v="4"/>
    <x v="318"/>
    <x v="72"/>
    <n v="1146.1280356782381"/>
    <x v="348"/>
  </r>
  <r>
    <x v="5"/>
    <x v="0"/>
    <x v="5"/>
    <x v="1"/>
    <n v="315"/>
    <x v="5"/>
    <x v="440"/>
    <x v="115"/>
    <n v="1066.9467896306132"/>
    <x v="483"/>
  </r>
  <r>
    <x v="5"/>
    <x v="0"/>
    <x v="5"/>
    <x v="1"/>
    <n v="245"/>
    <x v="6"/>
    <x v="5"/>
    <x v="5"/>
    <n v="1000"/>
    <x v="5"/>
  </r>
  <r>
    <x v="5"/>
    <x v="0"/>
    <x v="5"/>
    <x v="1"/>
    <n v="175"/>
    <x v="7"/>
    <x v="441"/>
    <x v="29"/>
    <n v="942.00805302231333"/>
    <x v="484"/>
  </r>
  <r>
    <x v="5"/>
    <x v="0"/>
    <x v="5"/>
    <x v="1"/>
    <n v="140"/>
    <x v="8"/>
    <x v="442"/>
    <x v="112"/>
    <n v="890.855530574932"/>
    <x v="485"/>
  </r>
  <r>
    <x v="5"/>
    <x v="1"/>
    <x v="34"/>
    <x v="8"/>
    <n v="1290"/>
    <x v="0"/>
    <x v="357"/>
    <x v="115"/>
    <n v="1934.4984512435676"/>
    <x v="392"/>
  </r>
  <r>
    <x v="5"/>
    <x v="1"/>
    <x v="34"/>
    <x v="8"/>
    <n v="1030"/>
    <x v="1"/>
    <x v="443"/>
    <x v="7"/>
    <n v="1633.4684555795864"/>
    <x v="486"/>
  </r>
  <r>
    <x v="5"/>
    <x v="1"/>
    <x v="34"/>
    <x v="8"/>
    <n v="770"/>
    <x v="2"/>
    <x v="87"/>
    <x v="72"/>
    <n v="1457.3771965239052"/>
    <x v="94"/>
  </r>
  <r>
    <x v="5"/>
    <x v="1"/>
    <x v="34"/>
    <x v="8"/>
    <n v="620"/>
    <x v="3"/>
    <x v="444"/>
    <x v="4"/>
    <n v="1332.4384599156053"/>
    <x v="487"/>
  </r>
  <r>
    <x v="5"/>
    <x v="1"/>
    <x v="34"/>
    <x v="8"/>
    <n v="520"/>
    <x v="4"/>
    <x v="445"/>
    <x v="123"/>
    <n v="1235.5284469075486"/>
    <x v="488"/>
  </r>
  <r>
    <x v="5"/>
    <x v="1"/>
    <x v="34"/>
    <x v="8"/>
    <n v="410"/>
    <x v="5"/>
    <x v="111"/>
    <x v="244"/>
    <n v="1156.347200859924"/>
    <x v="489"/>
  </r>
  <r>
    <x v="5"/>
    <x v="1"/>
    <x v="34"/>
    <x v="8"/>
    <n v="310"/>
    <x v="6"/>
    <x v="247"/>
    <x v="25"/>
    <n v="1089.400411229311"/>
    <x v="271"/>
  </r>
  <r>
    <x v="5"/>
    <x v="1"/>
    <x v="34"/>
    <x v="8"/>
    <n v="210"/>
    <x v="7"/>
    <x v="446"/>
    <x v="13"/>
    <n v="1031.4084642516241"/>
    <x v="490"/>
  </r>
  <r>
    <x v="5"/>
    <x v="1"/>
    <x v="35"/>
    <x v="1"/>
    <n v="920"/>
    <x v="0"/>
    <x v="302"/>
    <x v="183"/>
    <n v="1897.6270912904413"/>
    <x v="330"/>
  </r>
  <r>
    <x v="5"/>
    <x v="1"/>
    <x v="35"/>
    <x v="1"/>
    <n v="720"/>
    <x v="1"/>
    <x v="447"/>
    <x v="7"/>
    <n v="1596.59709562646"/>
    <x v="491"/>
  </r>
  <r>
    <x v="5"/>
    <x v="1"/>
    <x v="35"/>
    <x v="1"/>
    <n v="720"/>
    <x v="2"/>
    <x v="196"/>
    <x v="92"/>
    <n v="1420.5058365707789"/>
    <x v="214"/>
  </r>
  <r>
    <x v="5"/>
    <x v="1"/>
    <x v="35"/>
    <x v="1"/>
    <n v="470"/>
    <x v="3"/>
    <x v="228"/>
    <x v="73"/>
    <n v="1295.5670999624788"/>
    <x v="251"/>
  </r>
  <r>
    <x v="5"/>
    <x v="1"/>
    <x v="35"/>
    <x v="1"/>
    <n v="400"/>
    <x v="4"/>
    <x v="448"/>
    <x v="245"/>
    <n v="1198.6570869544225"/>
    <x v="492"/>
  </r>
  <r>
    <x v="5"/>
    <x v="1"/>
    <x v="35"/>
    <x v="1"/>
    <n v="320"/>
    <x v="5"/>
    <x v="306"/>
    <x v="15"/>
    <n v="1119.4758409067977"/>
    <x v="334"/>
  </r>
  <r>
    <x v="5"/>
    <x v="1"/>
    <x v="35"/>
    <x v="1"/>
    <n v="240"/>
    <x v="6"/>
    <x v="309"/>
    <x v="186"/>
    <n v="1052.5290512761844"/>
    <x v="337"/>
  </r>
  <r>
    <x v="5"/>
    <x v="1"/>
    <x v="35"/>
    <x v="1"/>
    <n v="160"/>
    <x v="7"/>
    <x v="357"/>
    <x v="115"/>
    <n v="994.53710429849787"/>
    <x v="392"/>
  </r>
  <r>
    <x v="5"/>
    <x v="1"/>
    <x v="2"/>
    <x v="2"/>
    <n v="4550"/>
    <x v="0"/>
    <x v="449"/>
    <x v="73"/>
    <n v="2309.6301674258989"/>
    <x v="493"/>
  </r>
  <r>
    <x v="5"/>
    <x v="1"/>
    <x v="2"/>
    <x v="2"/>
    <n v="3640"/>
    <x v="1"/>
    <x v="450"/>
    <x v="81"/>
    <n v="2008.6001717619174"/>
    <x v="494"/>
  </r>
  <r>
    <x v="5"/>
    <x v="1"/>
    <x v="2"/>
    <x v="2"/>
    <n v="2730"/>
    <x v="2"/>
    <x v="362"/>
    <x v="4"/>
    <n v="1832.5089127062363"/>
    <x v="397"/>
  </r>
  <r>
    <x v="5"/>
    <x v="1"/>
    <x v="2"/>
    <x v="2"/>
    <n v="2180"/>
    <x v="3"/>
    <x v="451"/>
    <x v="135"/>
    <n v="1707.5701760979362"/>
    <x v="495"/>
  </r>
  <r>
    <x v="5"/>
    <x v="1"/>
    <x v="2"/>
    <x v="2"/>
    <n v="1820"/>
    <x v="4"/>
    <x v="452"/>
    <x v="144"/>
    <n v="1610.6601630898799"/>
    <x v="496"/>
  </r>
  <r>
    <x v="5"/>
    <x v="1"/>
    <x v="2"/>
    <x v="2"/>
    <n v="1460"/>
    <x v="5"/>
    <x v="453"/>
    <x v="172"/>
    <n v="1531.478917042255"/>
    <x v="497"/>
  </r>
  <r>
    <x v="5"/>
    <x v="1"/>
    <x v="2"/>
    <x v="2"/>
    <n v="1090"/>
    <x v="6"/>
    <x v="78"/>
    <x v="17"/>
    <n v="1464.5321274116418"/>
    <x v="84"/>
  </r>
  <r>
    <x v="5"/>
    <x v="1"/>
    <x v="2"/>
    <x v="2"/>
    <n v="730"/>
    <x v="7"/>
    <x v="21"/>
    <x v="21"/>
    <n v="1406.5401804339551"/>
    <x v="21"/>
  </r>
  <r>
    <x v="5"/>
    <x v="1"/>
    <x v="2"/>
    <x v="2"/>
    <n v="400"/>
    <x v="8"/>
    <x v="102"/>
    <x v="37"/>
    <n v="1355.3876579865739"/>
    <x v="109"/>
  </r>
  <r>
    <x v="5"/>
    <x v="1"/>
    <x v="2"/>
    <x v="2"/>
    <n v="250"/>
    <x v="9"/>
    <x v="305"/>
    <x v="98"/>
    <n v="1309.6301674258987"/>
    <x v="333"/>
  </r>
  <r>
    <x v="5"/>
    <x v="1"/>
    <x v="2"/>
    <x v="2"/>
    <n v="250"/>
    <x v="10"/>
    <x v="198"/>
    <x v="81"/>
    <n v="1268.2374822676736"/>
    <x v="216"/>
  </r>
  <r>
    <x v="5"/>
    <x v="1"/>
    <x v="2"/>
    <x v="2"/>
    <n v="250"/>
    <x v="11"/>
    <x v="427"/>
    <x v="180"/>
    <n v="1230.4489213782738"/>
    <x v="469"/>
  </r>
  <r>
    <x v="5"/>
    <x v="1"/>
    <x v="2"/>
    <x v="2"/>
    <n v="200"/>
    <x v="12"/>
    <x v="290"/>
    <x v="67"/>
    <n v="1195.686815119062"/>
    <x v="318"/>
  </r>
  <r>
    <x v="5"/>
    <x v="1"/>
    <x v="2"/>
    <x v="2"/>
    <n v="200"/>
    <x v="13"/>
    <x v="454"/>
    <x v="116"/>
    <n v="1163.5021317476608"/>
    <x v="498"/>
  </r>
  <r>
    <x v="5"/>
    <x v="1"/>
    <x v="2"/>
    <x v="2"/>
    <n v="200"/>
    <x v="14"/>
    <x v="455"/>
    <x v="13"/>
    <n v="1133.5389083702173"/>
    <x v="499"/>
  </r>
  <r>
    <x v="5"/>
    <x v="1"/>
    <x v="2"/>
    <x v="2"/>
    <n v="150"/>
    <x v="15"/>
    <x v="2"/>
    <x v="2"/>
    <n v="1105.5101847699739"/>
    <x v="2"/>
  </r>
  <r>
    <x v="5"/>
    <x v="1"/>
    <x v="2"/>
    <x v="2"/>
    <n v="150"/>
    <x v="16"/>
    <x v="32"/>
    <x v="33"/>
    <n v="1079.1812460476249"/>
    <x v="34"/>
  </r>
  <r>
    <x v="5"/>
    <x v="1"/>
    <x v="2"/>
    <x v="2"/>
    <n v="150"/>
    <x v="17"/>
    <x v="456"/>
    <x v="246"/>
    <n v="1054.3576623225927"/>
    <x v="500"/>
  </r>
  <r>
    <x v="5"/>
    <x v="1"/>
    <x v="12"/>
    <x v="0"/>
    <n v="1110"/>
    <x v="0"/>
    <x v="144"/>
    <x v="4"/>
    <n v="1903.0899869919435"/>
    <x v="154"/>
  </r>
  <r>
    <x v="5"/>
    <x v="1"/>
    <x v="12"/>
    <x v="0"/>
    <n v="1110"/>
    <x v="1"/>
    <x v="74"/>
    <x v="50"/>
    <n v="1602.0599913279623"/>
    <x v="261"/>
  </r>
  <r>
    <x v="5"/>
    <x v="1"/>
    <x v="12"/>
    <x v="0"/>
    <n v="740"/>
    <x v="2"/>
    <x v="291"/>
    <x v="44"/>
    <n v="1425.9687322722812"/>
    <x v="319"/>
  </r>
  <r>
    <x v="5"/>
    <x v="1"/>
    <x v="12"/>
    <x v="0"/>
    <n v="590"/>
    <x v="3"/>
    <x v="457"/>
    <x v="107"/>
    <n v="1301.0299956639813"/>
    <x v="501"/>
  </r>
  <r>
    <x v="5"/>
    <x v="1"/>
    <x v="12"/>
    <x v="0"/>
    <n v="500"/>
    <x v="4"/>
    <x v="115"/>
    <x v="88"/>
    <n v="1204.1199826559246"/>
    <x v="122"/>
  </r>
  <r>
    <x v="5"/>
    <x v="1"/>
    <x v="12"/>
    <x v="0"/>
    <n v="400"/>
    <x v="5"/>
    <x v="377"/>
    <x v="92"/>
    <n v="1124.9387366082999"/>
    <x v="414"/>
  </r>
  <r>
    <x v="5"/>
    <x v="1"/>
    <x v="12"/>
    <x v="0"/>
    <n v="300"/>
    <x v="6"/>
    <x v="444"/>
    <x v="4"/>
    <n v="1057.9919469776869"/>
    <x v="487"/>
  </r>
  <r>
    <x v="5"/>
    <x v="1"/>
    <x v="12"/>
    <x v="0"/>
    <n v="200"/>
    <x v="7"/>
    <x v="458"/>
    <x v="247"/>
    <n v="1000"/>
    <x v="502"/>
  </r>
  <r>
    <x v="5"/>
    <x v="1"/>
    <x v="12"/>
    <x v="0"/>
    <n v="150"/>
    <x v="8"/>
    <x v="0"/>
    <x v="119"/>
    <n v="948.84747755261867"/>
    <x v="184"/>
  </r>
  <r>
    <x v="5"/>
    <x v="1"/>
    <x v="12"/>
    <x v="0"/>
    <n v="150"/>
    <x v="9"/>
    <x v="302"/>
    <x v="183"/>
    <n v="903.08998699194353"/>
    <x v="330"/>
  </r>
  <r>
    <x v="5"/>
    <x v="1"/>
    <x v="12"/>
    <x v="0"/>
    <n v="75"/>
    <x v="10"/>
    <x v="42"/>
    <x v="40"/>
    <n v="861.69730183371837"/>
    <x v="44"/>
  </r>
  <r>
    <x v="5"/>
    <x v="1"/>
    <x v="12"/>
    <x v="0"/>
    <n v="75"/>
    <x v="11"/>
    <x v="205"/>
    <x v="138"/>
    <n v="823.90874094431865"/>
    <x v="223"/>
  </r>
  <r>
    <x v="5"/>
    <x v="1"/>
    <x v="12"/>
    <x v="0"/>
    <n v="75"/>
    <x v="12"/>
    <x v="236"/>
    <x v="107"/>
    <n v="789.14663468510685"/>
    <x v="259"/>
  </r>
  <r>
    <x v="5"/>
    <x v="1"/>
    <x v="12"/>
    <x v="0"/>
    <n v="75"/>
    <x v="13"/>
    <x v="351"/>
    <x v="206"/>
    <n v="756.96195131370564"/>
    <x v="385"/>
  </r>
  <r>
    <x v="5"/>
    <x v="1"/>
    <x v="12"/>
    <x v="0"/>
    <n v="75"/>
    <x v="14"/>
    <x v="459"/>
    <x v="248"/>
    <n v="726.99872793626218"/>
    <x v="503"/>
  </r>
  <r>
    <x v="5"/>
    <x v="1"/>
    <x v="12"/>
    <x v="0"/>
    <n v="75"/>
    <x v="15"/>
    <x v="38"/>
    <x v="26"/>
    <n v="698.97000433601875"/>
    <x v="40"/>
  </r>
  <r>
    <x v="5"/>
    <x v="1"/>
    <x v="12"/>
    <x v="0"/>
    <n v="75"/>
    <x v="16"/>
    <x v="460"/>
    <x v="103"/>
    <n v="672.64106561366964"/>
    <x v="504"/>
  </r>
  <r>
    <x v="5"/>
    <x v="1"/>
    <x v="12"/>
    <x v="0"/>
    <n v="75"/>
    <x v="17"/>
    <x v="91"/>
    <x v="3"/>
    <n v="647.81748188863753"/>
    <x v="98"/>
  </r>
  <r>
    <x v="5"/>
    <x v="1"/>
    <x v="12"/>
    <x v="0"/>
    <n v="75"/>
    <x v="18"/>
    <x v="136"/>
    <x v="100"/>
    <n v="624.3363860391147"/>
    <x v="145"/>
  </r>
  <r>
    <x v="5"/>
    <x v="1"/>
    <x v="12"/>
    <x v="0"/>
    <n v="75"/>
    <x v="19"/>
    <x v="451"/>
    <x v="135"/>
    <n v="602.05999132796228"/>
    <x v="495"/>
  </r>
  <r>
    <x v="5"/>
    <x v="1"/>
    <x v="5"/>
    <x v="1"/>
    <n v="3000"/>
    <x v="0"/>
    <x v="111"/>
    <x v="33"/>
    <n v="2222.7164711475834"/>
    <x v="118"/>
  </r>
  <r>
    <x v="5"/>
    <x v="1"/>
    <x v="5"/>
    <x v="1"/>
    <n v="2240"/>
    <x v="1"/>
    <x v="461"/>
    <x v="129"/>
    <n v="1921.686475483602"/>
    <x v="505"/>
  </r>
  <r>
    <x v="5"/>
    <x v="1"/>
    <x v="5"/>
    <x v="1"/>
    <n v="1625"/>
    <x v="2"/>
    <x v="86"/>
    <x v="71"/>
    <n v="1745.5952164279208"/>
    <x v="93"/>
  </r>
  <r>
    <x v="5"/>
    <x v="1"/>
    <x v="5"/>
    <x v="1"/>
    <n v="1250"/>
    <x v="3"/>
    <x v="102"/>
    <x v="37"/>
    <n v="1620.6564798196207"/>
    <x v="109"/>
  </r>
  <r>
    <x v="5"/>
    <x v="1"/>
    <x v="5"/>
    <x v="1"/>
    <n v="1000"/>
    <x v="4"/>
    <x v="357"/>
    <x v="115"/>
    <n v="1523.7464668115645"/>
    <x v="392"/>
  </r>
  <r>
    <x v="5"/>
    <x v="1"/>
    <x v="5"/>
    <x v="1"/>
    <n v="750"/>
    <x v="5"/>
    <x v="462"/>
    <x v="53"/>
    <n v="1444.5652207639396"/>
    <x v="506"/>
  </r>
  <r>
    <x v="5"/>
    <x v="1"/>
    <x v="5"/>
    <x v="1"/>
    <n v="500"/>
    <x v="6"/>
    <x v="463"/>
    <x v="249"/>
    <n v="1377.6184311333263"/>
    <x v="507"/>
  </r>
  <r>
    <x v="5"/>
    <x v="1"/>
    <x v="5"/>
    <x v="1"/>
    <n v="340"/>
    <x v="7"/>
    <x v="464"/>
    <x v="112"/>
    <n v="1319.6264841556397"/>
    <x v="508"/>
  </r>
  <r>
    <x v="5"/>
    <x v="1"/>
    <x v="5"/>
    <x v="1"/>
    <n v="250"/>
    <x v="8"/>
    <x v="459"/>
    <x v="248"/>
    <n v="1268.4739617082585"/>
    <x v="503"/>
  </r>
  <r>
    <x v="5"/>
    <x v="1"/>
    <x v="5"/>
    <x v="1"/>
    <n v="190"/>
    <x v="9"/>
    <x v="465"/>
    <x v="250"/>
    <n v="1222.7164711475832"/>
    <x v="509"/>
  </r>
  <r>
    <x v="5"/>
    <x v="1"/>
    <x v="5"/>
    <x v="1"/>
    <n v="190"/>
    <x v="10"/>
    <x v="466"/>
    <x v="23"/>
    <n v="1181.3237859893582"/>
    <x v="510"/>
  </r>
  <r>
    <x v="5"/>
    <x v="1"/>
    <x v="5"/>
    <x v="1"/>
    <n v="190"/>
    <x v="11"/>
    <x v="276"/>
    <x v="168"/>
    <n v="1143.5352250999583"/>
    <x v="304"/>
  </r>
  <r>
    <x v="5"/>
    <x v="1"/>
    <x v="5"/>
    <x v="1"/>
    <n v="160"/>
    <x v="12"/>
    <x v="126"/>
    <x v="93"/>
    <n v="1108.7731188407465"/>
    <x v="133"/>
  </r>
  <r>
    <x v="5"/>
    <x v="1"/>
    <x v="5"/>
    <x v="1"/>
    <n v="160"/>
    <x v="13"/>
    <x v="239"/>
    <x v="92"/>
    <n v="1076.5884354693453"/>
    <x v="263"/>
  </r>
  <r>
    <x v="5"/>
    <x v="1"/>
    <x v="5"/>
    <x v="1"/>
    <n v="160"/>
    <x v="14"/>
    <x v="362"/>
    <x v="4"/>
    <n v="1046.6252120919019"/>
    <x v="397"/>
  </r>
  <r>
    <x v="5"/>
    <x v="1"/>
    <x v="5"/>
    <x v="1"/>
    <n v="130"/>
    <x v="15"/>
    <x v="122"/>
    <x v="91"/>
    <n v="1018.5964884916585"/>
    <x v="129"/>
  </r>
  <r>
    <x v="5"/>
    <x v="1"/>
    <x v="5"/>
    <x v="1"/>
    <n v="130"/>
    <x v="16"/>
    <x v="294"/>
    <x v="82"/>
    <n v="992.26754976930943"/>
    <x v="322"/>
  </r>
  <r>
    <x v="5"/>
    <x v="1"/>
    <x v="5"/>
    <x v="1"/>
    <n v="130"/>
    <x v="17"/>
    <x v="467"/>
    <x v="13"/>
    <n v="967.44396604427732"/>
    <x v="511"/>
  </r>
  <r>
    <x v="5"/>
    <x v="1"/>
    <x v="5"/>
    <x v="1"/>
    <n v="130"/>
    <x v="18"/>
    <x v="12"/>
    <x v="251"/>
    <n v="943.96287019475449"/>
    <x v="512"/>
  </r>
  <r>
    <x v="5"/>
    <x v="3"/>
    <x v="31"/>
    <x v="2"/>
    <n v="1100"/>
    <x v="0"/>
    <x v="407"/>
    <x v="252"/>
    <n v="1602.0599913279623"/>
    <x v="513"/>
  </r>
  <r>
    <x v="5"/>
    <x v="3"/>
    <x v="31"/>
    <x v="2"/>
    <n v="800"/>
    <x v="1"/>
    <x v="26"/>
    <x v="51"/>
    <n v="1301.029995663981"/>
    <x v="62"/>
  </r>
  <r>
    <x v="5"/>
    <x v="3"/>
    <x v="31"/>
    <x v="2"/>
    <n v="500"/>
    <x v="2"/>
    <x v="468"/>
    <x v="253"/>
    <n v="1124.9387366082999"/>
    <x v="514"/>
  </r>
  <r>
    <x v="5"/>
    <x v="3"/>
    <x v="31"/>
    <x v="2"/>
    <n v="400"/>
    <x v="3"/>
    <x v="427"/>
    <x v="180"/>
    <n v="1000"/>
    <x v="469"/>
  </r>
  <r>
    <x v="5"/>
    <x v="3"/>
    <x v="31"/>
    <x v="2"/>
    <n v="300"/>
    <x v="97"/>
    <x v="19"/>
    <x v="19"/>
    <n v="789.14663468510673"/>
    <x v="19"/>
  </r>
  <r>
    <x v="5"/>
    <x v="3"/>
    <x v="31"/>
    <x v="2"/>
    <n v="300"/>
    <x v="97"/>
    <x v="323"/>
    <x v="13"/>
    <n v="789.14663468510673"/>
    <x v="353"/>
  </r>
  <r>
    <x v="5"/>
    <x v="3"/>
    <x v="31"/>
    <x v="2"/>
    <n v="300"/>
    <x v="97"/>
    <x v="469"/>
    <x v="177"/>
    <n v="789.14663468510673"/>
    <x v="515"/>
  </r>
  <r>
    <x v="5"/>
    <x v="3"/>
    <x v="31"/>
    <x v="2"/>
    <n v="300"/>
    <x v="97"/>
    <x v="470"/>
    <x v="254"/>
    <n v="789.14663468510673"/>
    <x v="516"/>
  </r>
  <r>
    <x v="5"/>
    <x v="3"/>
    <x v="32"/>
    <x v="1"/>
    <n v="1956"/>
    <x v="0"/>
    <x v="320"/>
    <x v="21"/>
    <n v="1748.1880270062004"/>
    <x v="350"/>
  </r>
  <r>
    <x v="5"/>
    <x v="3"/>
    <x v="32"/>
    <x v="1"/>
    <n v="1005"/>
    <x v="1"/>
    <x v="270"/>
    <x v="30"/>
    <n v="1447.1580313422191"/>
    <x v="298"/>
  </r>
  <r>
    <x v="5"/>
    <x v="3"/>
    <x v="32"/>
    <x v="1"/>
    <n v="625"/>
    <x v="2"/>
    <x v="158"/>
    <x v="111"/>
    <n v="1271.066772286538"/>
    <x v="170"/>
  </r>
  <r>
    <x v="5"/>
    <x v="3"/>
    <x v="32"/>
    <x v="1"/>
    <n v="461"/>
    <x v="3"/>
    <x v="141"/>
    <x v="56"/>
    <n v="1146.1280356782381"/>
    <x v="151"/>
  </r>
  <r>
    <x v="5"/>
    <x v="3"/>
    <x v="32"/>
    <x v="1"/>
    <n v="299"/>
    <x v="4"/>
    <x v="471"/>
    <x v="115"/>
    <n v="1049.2180226701814"/>
    <x v="517"/>
  </r>
  <r>
    <x v="5"/>
    <x v="3"/>
    <x v="32"/>
    <x v="1"/>
    <n v="272"/>
    <x v="5"/>
    <x v="49"/>
    <x v="13"/>
    <n v="970.03677662255677"/>
    <x v="51"/>
  </r>
  <r>
    <x v="5"/>
    <x v="3"/>
    <x v="32"/>
    <x v="1"/>
    <n v="244"/>
    <x v="6"/>
    <x v="469"/>
    <x v="177"/>
    <n v="903.08998699194365"/>
    <x v="515"/>
  </r>
  <r>
    <x v="5"/>
    <x v="3"/>
    <x v="32"/>
    <x v="1"/>
    <n v="217"/>
    <x v="7"/>
    <x v="19"/>
    <x v="19"/>
    <n v="845.09804001425687"/>
    <x v="19"/>
  </r>
  <r>
    <x v="5"/>
    <x v="3"/>
    <x v="32"/>
    <x v="1"/>
    <n v="191"/>
    <x v="8"/>
    <x v="172"/>
    <x v="25"/>
    <n v="793.94551756687554"/>
    <x v="187"/>
  </r>
  <r>
    <x v="5"/>
    <x v="3"/>
    <x v="32"/>
    <x v="1"/>
    <n v="81"/>
    <x v="91"/>
    <x v="349"/>
    <x v="230"/>
    <n v="726.99872793626241"/>
    <x v="451"/>
  </r>
  <r>
    <x v="5"/>
    <x v="3"/>
    <x v="32"/>
    <x v="1"/>
    <n v="81"/>
    <x v="91"/>
    <x v="49"/>
    <x v="46"/>
    <n v="726.99872793626241"/>
    <x v="54"/>
  </r>
  <r>
    <x v="5"/>
    <x v="3"/>
    <x v="2"/>
    <x v="2"/>
    <n v="3318"/>
    <x v="0"/>
    <x v="40"/>
    <x v="38"/>
    <n v="2056.9048513364728"/>
    <x v="42"/>
  </r>
  <r>
    <x v="5"/>
    <x v="3"/>
    <x v="2"/>
    <x v="2"/>
    <n v="1935"/>
    <x v="1"/>
    <x v="472"/>
    <x v="13"/>
    <n v="1755.8748556724915"/>
    <x v="518"/>
  </r>
  <r>
    <x v="5"/>
    <x v="3"/>
    <x v="2"/>
    <x v="2"/>
    <n v="1161"/>
    <x v="2"/>
    <x v="10"/>
    <x v="10"/>
    <n v="1579.7835966168104"/>
    <x v="10"/>
  </r>
  <r>
    <x v="5"/>
    <x v="3"/>
    <x v="2"/>
    <x v="2"/>
    <n v="829"/>
    <x v="3"/>
    <x v="401"/>
    <x v="21"/>
    <n v="1454.8448600085103"/>
    <x v="440"/>
  </r>
  <r>
    <x v="5"/>
    <x v="3"/>
    <x v="2"/>
    <x v="2"/>
    <n v="498"/>
    <x v="4"/>
    <x v="473"/>
    <x v="255"/>
    <n v="1357.9348470004541"/>
    <x v="519"/>
  </r>
  <r>
    <x v="5"/>
    <x v="3"/>
    <x v="2"/>
    <x v="2"/>
    <n v="442"/>
    <x v="5"/>
    <x v="393"/>
    <x v="225"/>
    <n v="1278.7536009528292"/>
    <x v="432"/>
  </r>
  <r>
    <x v="5"/>
    <x v="3"/>
    <x v="2"/>
    <x v="2"/>
    <n v="387"/>
    <x v="6"/>
    <x v="373"/>
    <x v="213"/>
    <n v="1211.8068113222157"/>
    <x v="408"/>
  </r>
  <r>
    <x v="5"/>
    <x v="3"/>
    <x v="2"/>
    <x v="2"/>
    <n v="332"/>
    <x v="7"/>
    <x v="8"/>
    <x v="29"/>
    <n v="1153.8148643445293"/>
    <x v="29"/>
  </r>
  <r>
    <x v="5"/>
    <x v="3"/>
    <x v="2"/>
    <x v="2"/>
    <n v="277"/>
    <x v="8"/>
    <x v="474"/>
    <x v="256"/>
    <n v="1102.6623418971481"/>
    <x v="520"/>
  </r>
  <r>
    <x v="5"/>
    <x v="3"/>
    <x v="2"/>
    <x v="2"/>
    <n v="229"/>
    <x v="9"/>
    <x v="275"/>
    <x v="167"/>
    <n v="1056.9048513364728"/>
    <x v="303"/>
  </r>
  <r>
    <x v="5"/>
    <x v="3"/>
    <x v="2"/>
    <x v="2"/>
    <n v="165"/>
    <x v="10"/>
    <x v="158"/>
    <x v="111"/>
    <n v="1015.5121661782475"/>
    <x v="170"/>
  </r>
  <r>
    <x v="5"/>
    <x v="3"/>
    <x v="2"/>
    <x v="2"/>
    <n v="165"/>
    <x v="11"/>
    <x v="172"/>
    <x v="25"/>
    <n v="977.72360528884781"/>
    <x v="187"/>
  </r>
  <r>
    <x v="5"/>
    <x v="3"/>
    <x v="2"/>
    <x v="2"/>
    <n v="165"/>
    <x v="12"/>
    <x v="68"/>
    <x v="50"/>
    <n v="942.961499029636"/>
    <x v="73"/>
  </r>
  <r>
    <x v="5"/>
    <x v="3"/>
    <x v="2"/>
    <x v="2"/>
    <n v="165"/>
    <x v="13"/>
    <x v="42"/>
    <x v="40"/>
    <n v="910.7768156582348"/>
    <x v="44"/>
  </r>
  <r>
    <x v="5"/>
    <x v="3"/>
    <x v="2"/>
    <x v="2"/>
    <n v="165"/>
    <x v="14"/>
    <x v="93"/>
    <x v="4"/>
    <n v="880.81359228079134"/>
    <x v="144"/>
  </r>
  <r>
    <x v="5"/>
    <x v="3"/>
    <x v="2"/>
    <x v="2"/>
    <n v="165"/>
    <x v="15"/>
    <x v="15"/>
    <x v="15"/>
    <n v="852.7848686805479"/>
    <x v="15"/>
  </r>
  <r>
    <x v="5"/>
    <x v="3"/>
    <x v="2"/>
    <x v="2"/>
    <n v="165"/>
    <x v="16"/>
    <x v="28"/>
    <x v="28"/>
    <n v="826.45592995819879"/>
    <x v="28"/>
  </r>
  <r>
    <x v="5"/>
    <x v="3"/>
    <x v="2"/>
    <x v="2"/>
    <n v="165"/>
    <x v="17"/>
    <x v="0"/>
    <x v="119"/>
    <n v="801.63234623316669"/>
    <x v="184"/>
  </r>
  <r>
    <x v="5"/>
    <x v="3"/>
    <x v="2"/>
    <x v="2"/>
    <n v="165"/>
    <x v="18"/>
    <x v="32"/>
    <x v="33"/>
    <n v="778.15125038364386"/>
    <x v="34"/>
  </r>
  <r>
    <x v="5"/>
    <x v="3"/>
    <x v="2"/>
    <x v="2"/>
    <n v="165"/>
    <x v="19"/>
    <x v="94"/>
    <x v="75"/>
    <n v="755.87485567249144"/>
    <x v="101"/>
  </r>
  <r>
    <x v="5"/>
    <x v="3"/>
    <x v="17"/>
    <x v="7"/>
    <n v="1921"/>
    <x v="0"/>
    <x v="172"/>
    <x v="25"/>
    <n v="821.72633824309366"/>
    <x v="187"/>
  </r>
  <r>
    <x v="5"/>
    <x v="3"/>
    <x v="17"/>
    <x v="7"/>
    <n v="1921"/>
    <x v="0"/>
    <x v="158"/>
    <x v="111"/>
    <n v="821.72633824309366"/>
    <x v="170"/>
  </r>
  <r>
    <x v="5"/>
    <x v="3"/>
    <x v="17"/>
    <x v="7"/>
    <n v="1067"/>
    <x v="1"/>
    <x v="269"/>
    <x v="23"/>
    <n v="671.21134041110304"/>
    <x v="297"/>
  </r>
  <r>
    <x v="5"/>
    <x v="3"/>
    <x v="17"/>
    <x v="7"/>
    <n v="1067"/>
    <x v="1"/>
    <x v="318"/>
    <x v="72"/>
    <n v="671.21134041110304"/>
    <x v="348"/>
  </r>
  <r>
    <x v="5"/>
    <x v="3"/>
    <x v="17"/>
    <x v="7"/>
    <n v="640"/>
    <x v="2"/>
    <x v="26"/>
    <x v="51"/>
    <n v="583.16571088326248"/>
    <x v="62"/>
  </r>
  <r>
    <x v="5"/>
    <x v="3"/>
    <x v="17"/>
    <x v="7"/>
    <n v="640"/>
    <x v="2"/>
    <x v="42"/>
    <x v="40"/>
    <n v="583.16571088326248"/>
    <x v="44"/>
  </r>
  <r>
    <x v="5"/>
    <x v="3"/>
    <x v="17"/>
    <x v="7"/>
    <n v="384"/>
    <x v="3"/>
    <x v="378"/>
    <x v="217"/>
    <n v="520.69634257911241"/>
    <x v="415"/>
  </r>
  <r>
    <x v="5"/>
    <x v="3"/>
    <x v="17"/>
    <x v="7"/>
    <n v="384"/>
    <x v="3"/>
    <x v="377"/>
    <x v="92"/>
    <n v="520.69634257911241"/>
    <x v="414"/>
  </r>
  <r>
    <x v="5"/>
    <x v="3"/>
    <x v="17"/>
    <x v="7"/>
    <n v="256"/>
    <x v="4"/>
    <x v="93"/>
    <x v="157"/>
    <n v="472.24133607508429"/>
    <x v="272"/>
  </r>
  <r>
    <x v="5"/>
    <x v="3"/>
    <x v="17"/>
    <x v="7"/>
    <n v="256"/>
    <x v="4"/>
    <x v="93"/>
    <x v="4"/>
    <n v="472.24133607508429"/>
    <x v="144"/>
  </r>
  <r>
    <x v="5"/>
    <x v="4"/>
    <x v="36"/>
    <x v="7"/>
    <n v="420"/>
    <x v="0"/>
    <x v="201"/>
    <x v="57"/>
    <n v="1204.1199826559248"/>
    <x v="219"/>
  </r>
  <r>
    <x v="5"/>
    <x v="4"/>
    <x v="36"/>
    <x v="7"/>
    <n v="420"/>
    <x v="1"/>
    <x v="195"/>
    <x v="134"/>
    <n v="903.08998699194353"/>
    <x v="213"/>
  </r>
  <r>
    <x v="5"/>
    <x v="4"/>
    <x v="36"/>
    <x v="7"/>
    <n v="180"/>
    <x v="2"/>
    <x v="198"/>
    <x v="81"/>
    <n v="726.99872793626241"/>
    <x v="216"/>
  </r>
  <r>
    <x v="5"/>
    <x v="4"/>
    <x v="36"/>
    <x v="7"/>
    <n v="120"/>
    <x v="3"/>
    <x v="424"/>
    <x v="15"/>
    <n v="602.05999132796239"/>
    <x v="466"/>
  </r>
  <r>
    <x v="5"/>
    <x v="4"/>
    <x v="36"/>
    <x v="7"/>
    <n v="60"/>
    <x v="4"/>
    <x v="391"/>
    <x v="25"/>
    <n v="505.14997831990593"/>
    <x v="430"/>
  </r>
  <r>
    <x v="5"/>
    <x v="4"/>
    <x v="36"/>
    <x v="7"/>
    <n v="50"/>
    <x v="5"/>
    <x v="151"/>
    <x v="105"/>
    <n v="425.96873227228116"/>
    <x v="162"/>
  </r>
  <r>
    <x v="5"/>
    <x v="4"/>
    <x v="2"/>
    <x v="2"/>
    <n v="565"/>
    <x v="0"/>
    <x v="475"/>
    <x v="234"/>
    <n v="1176.0912590556813"/>
    <x v="521"/>
  </r>
  <r>
    <x v="5"/>
    <x v="4"/>
    <x v="2"/>
    <x v="2"/>
    <n v="465"/>
    <x v="1"/>
    <x v="424"/>
    <x v="15"/>
    <n v="875.06126339170009"/>
    <x v="466"/>
  </r>
  <r>
    <x v="5"/>
    <x v="4"/>
    <x v="2"/>
    <x v="2"/>
    <n v="215"/>
    <x v="2"/>
    <x v="476"/>
    <x v="257"/>
    <n v="698.97000433601897"/>
    <x v="522"/>
  </r>
  <r>
    <x v="5"/>
    <x v="4"/>
    <x v="2"/>
    <x v="2"/>
    <n v="140"/>
    <x v="3"/>
    <x v="151"/>
    <x v="105"/>
    <n v="574.03126772771896"/>
    <x v="162"/>
  </r>
  <r>
    <x v="5"/>
    <x v="4"/>
    <x v="2"/>
    <x v="2"/>
    <n v="115"/>
    <x v="4"/>
    <x v="200"/>
    <x v="135"/>
    <n v="477.12125471966249"/>
    <x v="218"/>
  </r>
  <r>
    <x v="5"/>
    <x v="4"/>
    <x v="5"/>
    <x v="1"/>
    <n v="382"/>
    <x v="0"/>
    <x v="476"/>
    <x v="257"/>
    <n v="1176.0912590556813"/>
    <x v="522"/>
  </r>
  <r>
    <x v="5"/>
    <x v="4"/>
    <x v="5"/>
    <x v="1"/>
    <n v="381"/>
    <x v="1"/>
    <x v="151"/>
    <x v="105"/>
    <n v="875.06126339170009"/>
    <x v="162"/>
  </r>
  <r>
    <x v="5"/>
    <x v="4"/>
    <x v="5"/>
    <x v="1"/>
    <n v="159"/>
    <x v="2"/>
    <x v="424"/>
    <x v="15"/>
    <n v="698.97000433601897"/>
    <x v="466"/>
  </r>
  <r>
    <x v="5"/>
    <x v="4"/>
    <x v="5"/>
    <x v="1"/>
    <n v="103"/>
    <x v="3"/>
    <x v="195"/>
    <x v="134"/>
    <n v="574.03126772771896"/>
    <x v="213"/>
  </r>
  <r>
    <x v="5"/>
    <x v="4"/>
    <x v="5"/>
    <x v="1"/>
    <n v="100"/>
    <x v="4"/>
    <x v="391"/>
    <x v="258"/>
    <n v="477.12125471966249"/>
    <x v="523"/>
  </r>
  <r>
    <x v="6"/>
    <x v="0"/>
    <x v="2"/>
    <x v="2"/>
    <n v="4800"/>
    <x v="0"/>
    <x v="23"/>
    <x v="23"/>
    <n v="2079.1812460476249"/>
    <x v="23"/>
  </r>
  <r>
    <x v="6"/>
    <x v="0"/>
    <x v="2"/>
    <x v="2"/>
    <n v="2760"/>
    <x v="1"/>
    <x v="477"/>
    <x v="259"/>
    <n v="1778.1512503836434"/>
    <x v="524"/>
  </r>
  <r>
    <x v="6"/>
    <x v="0"/>
    <x v="2"/>
    <x v="2"/>
    <n v="1440"/>
    <x v="2"/>
    <x v="379"/>
    <x v="53"/>
    <n v="1602.0599913279623"/>
    <x v="417"/>
  </r>
  <r>
    <x v="6"/>
    <x v="0"/>
    <x v="2"/>
    <x v="2"/>
    <n v="840"/>
    <x v="3"/>
    <x v="49"/>
    <x v="13"/>
    <n v="1477.1212547196621"/>
    <x v="51"/>
  </r>
  <r>
    <x v="6"/>
    <x v="0"/>
    <x v="2"/>
    <x v="2"/>
    <n v="660"/>
    <x v="4"/>
    <x v="478"/>
    <x v="13"/>
    <n v="1380.2112417116059"/>
    <x v="525"/>
  </r>
  <r>
    <x v="6"/>
    <x v="0"/>
    <x v="2"/>
    <x v="2"/>
    <n v="540"/>
    <x v="5"/>
    <x v="438"/>
    <x v="50"/>
    <n v="1301.029995663981"/>
    <x v="481"/>
  </r>
  <r>
    <x v="6"/>
    <x v="0"/>
    <x v="2"/>
    <x v="2"/>
    <n v="420"/>
    <x v="6"/>
    <x v="479"/>
    <x v="25"/>
    <n v="1234.0832060333678"/>
    <x v="526"/>
  </r>
  <r>
    <x v="6"/>
    <x v="0"/>
    <x v="2"/>
    <x v="2"/>
    <n v="300"/>
    <x v="7"/>
    <x v="455"/>
    <x v="63"/>
    <n v="1176.0912590556811"/>
    <x v="527"/>
  </r>
  <r>
    <x v="6"/>
    <x v="0"/>
    <x v="2"/>
    <x v="2"/>
    <n v="240"/>
    <x v="8"/>
    <x v="173"/>
    <x v="121"/>
    <n v="1124.9387366082999"/>
    <x v="188"/>
  </r>
  <r>
    <x v="6"/>
    <x v="0"/>
    <x v="37"/>
    <x v="5"/>
    <n v="2025"/>
    <x v="0"/>
    <x v="480"/>
    <x v="260"/>
    <n v="1653.2125137753437"/>
    <x v="528"/>
  </r>
  <r>
    <x v="6"/>
    <x v="0"/>
    <x v="37"/>
    <x v="5"/>
    <n v="1125"/>
    <x v="1"/>
    <x v="481"/>
    <x v="261"/>
    <n v="1352.1825181113625"/>
    <x v="529"/>
  </r>
  <r>
    <x v="6"/>
    <x v="0"/>
    <x v="37"/>
    <x v="5"/>
    <n v="675"/>
    <x v="2"/>
    <x v="14"/>
    <x v="14"/>
    <n v="1176.0912590556813"/>
    <x v="14"/>
  </r>
  <r>
    <x v="6"/>
    <x v="0"/>
    <x v="37"/>
    <x v="5"/>
    <n v="450"/>
    <x v="3"/>
    <x v="49"/>
    <x v="13"/>
    <n v="1051.1525224473814"/>
    <x v="51"/>
  </r>
  <r>
    <x v="6"/>
    <x v="0"/>
    <x v="37"/>
    <x v="5"/>
    <n v="225"/>
    <x v="4"/>
    <x v="173"/>
    <x v="121"/>
    <n v="954.24250943932486"/>
    <x v="188"/>
  </r>
  <r>
    <x v="6"/>
    <x v="0"/>
    <x v="5"/>
    <x v="1"/>
    <n v="2840"/>
    <x v="0"/>
    <x v="476"/>
    <x v="257"/>
    <n v="1851.2583487190752"/>
    <x v="522"/>
  </r>
  <r>
    <x v="6"/>
    <x v="0"/>
    <x v="5"/>
    <x v="1"/>
    <n v="1633"/>
    <x v="1"/>
    <x v="52"/>
    <x v="7"/>
    <n v="1550.228353055094"/>
    <x v="55"/>
  </r>
  <r>
    <x v="6"/>
    <x v="0"/>
    <x v="5"/>
    <x v="1"/>
    <n v="852"/>
    <x v="2"/>
    <x v="480"/>
    <x v="260"/>
    <n v="1374.1370939994129"/>
    <x v="528"/>
  </r>
  <r>
    <x v="6"/>
    <x v="0"/>
    <x v="5"/>
    <x v="1"/>
    <n v="497"/>
    <x v="3"/>
    <x v="482"/>
    <x v="37"/>
    <n v="1249.1983573911129"/>
    <x v="530"/>
  </r>
  <r>
    <x v="6"/>
    <x v="0"/>
    <x v="5"/>
    <x v="1"/>
    <n v="426"/>
    <x v="4"/>
    <x v="437"/>
    <x v="243"/>
    <n v="1152.2883443830563"/>
    <x v="480"/>
  </r>
  <r>
    <x v="6"/>
    <x v="0"/>
    <x v="5"/>
    <x v="1"/>
    <n v="355"/>
    <x v="5"/>
    <x v="48"/>
    <x v="44"/>
    <n v="1073.1070983354316"/>
    <x v="50"/>
  </r>
  <r>
    <x v="6"/>
    <x v="0"/>
    <x v="5"/>
    <x v="1"/>
    <n v="284"/>
    <x v="6"/>
    <x v="483"/>
    <x v="7"/>
    <n v="1006.1603087048186"/>
    <x v="531"/>
  </r>
  <r>
    <x v="6"/>
    <x v="0"/>
    <x v="5"/>
    <x v="1"/>
    <n v="213"/>
    <x v="7"/>
    <x v="455"/>
    <x v="63"/>
    <n v="948.1683617271317"/>
    <x v="527"/>
  </r>
  <r>
    <x v="6"/>
    <x v="1"/>
    <x v="38"/>
    <x v="7"/>
    <n v="875"/>
    <x v="0"/>
    <x v="306"/>
    <x v="15"/>
    <n v="1857.3324964312685"/>
    <x v="334"/>
  </r>
  <r>
    <x v="6"/>
    <x v="1"/>
    <x v="38"/>
    <x v="7"/>
    <n v="695"/>
    <x v="1"/>
    <x v="12"/>
    <x v="251"/>
    <n v="1556.3025007672873"/>
    <x v="512"/>
  </r>
  <r>
    <x v="6"/>
    <x v="1"/>
    <x v="38"/>
    <x v="7"/>
    <n v="530"/>
    <x v="2"/>
    <x v="302"/>
    <x v="183"/>
    <n v="1380.2112417116061"/>
    <x v="330"/>
  </r>
  <r>
    <x v="6"/>
    <x v="1"/>
    <x v="38"/>
    <x v="7"/>
    <n v="420"/>
    <x v="3"/>
    <x v="32"/>
    <x v="33"/>
    <n v="1255.272505103306"/>
    <x v="34"/>
  </r>
  <r>
    <x v="6"/>
    <x v="1"/>
    <x v="38"/>
    <x v="7"/>
    <n v="350"/>
    <x v="4"/>
    <x v="173"/>
    <x v="121"/>
    <n v="1158.3624920952498"/>
    <x v="188"/>
  </r>
  <r>
    <x v="6"/>
    <x v="1"/>
    <x v="38"/>
    <x v="7"/>
    <n v="280"/>
    <x v="5"/>
    <x v="241"/>
    <x v="156"/>
    <n v="1079.1812460476249"/>
    <x v="265"/>
  </r>
  <r>
    <x v="6"/>
    <x v="1"/>
    <x v="38"/>
    <x v="7"/>
    <n v="210"/>
    <x v="6"/>
    <x v="5"/>
    <x v="5"/>
    <n v="1012.2344564170116"/>
    <x v="5"/>
  </r>
  <r>
    <x v="6"/>
    <x v="1"/>
    <x v="38"/>
    <x v="7"/>
    <n v="140"/>
    <x v="7"/>
    <x v="484"/>
    <x v="26"/>
    <n v="954.24250943932498"/>
    <x v="532"/>
  </r>
  <r>
    <x v="6"/>
    <x v="1"/>
    <x v="38"/>
    <x v="7"/>
    <n v="50"/>
    <x v="8"/>
    <x v="45"/>
    <x v="73"/>
    <n v="903.08998699194365"/>
    <x v="140"/>
  </r>
  <r>
    <x v="6"/>
    <x v="1"/>
    <x v="38"/>
    <x v="7"/>
    <n v="50"/>
    <x v="9"/>
    <x v="485"/>
    <x v="262"/>
    <n v="857.33249643126851"/>
    <x v="533"/>
  </r>
  <r>
    <x v="6"/>
    <x v="1"/>
    <x v="27"/>
    <x v="8"/>
    <n v="910"/>
    <x v="0"/>
    <x v="116"/>
    <x v="89"/>
    <n v="1908.4850188786497"/>
    <x v="123"/>
  </r>
  <r>
    <x v="6"/>
    <x v="1"/>
    <x v="27"/>
    <x v="8"/>
    <n v="1005"/>
    <x v="1"/>
    <x v="125"/>
    <x v="15"/>
    <n v="1607.4550232146685"/>
    <x v="132"/>
  </r>
  <r>
    <x v="6"/>
    <x v="1"/>
    <x v="27"/>
    <x v="8"/>
    <n v="815"/>
    <x v="2"/>
    <x v="486"/>
    <x v="4"/>
    <n v="1431.3637641589874"/>
    <x v="534"/>
  </r>
  <r>
    <x v="6"/>
    <x v="1"/>
    <x v="27"/>
    <x v="8"/>
    <n v="580"/>
    <x v="3"/>
    <x v="452"/>
    <x v="144"/>
    <n v="1306.4250275506874"/>
    <x v="496"/>
  </r>
  <r>
    <x v="6"/>
    <x v="1"/>
    <x v="27"/>
    <x v="8"/>
    <n v="490"/>
    <x v="4"/>
    <x v="111"/>
    <x v="244"/>
    <n v="1209.5150145426308"/>
    <x v="489"/>
  </r>
  <r>
    <x v="6"/>
    <x v="1"/>
    <x v="27"/>
    <x v="8"/>
    <n v="390"/>
    <x v="5"/>
    <x v="487"/>
    <x v="25"/>
    <n v="1130.3337684950061"/>
    <x v="535"/>
  </r>
  <r>
    <x v="6"/>
    <x v="1"/>
    <x v="27"/>
    <x v="8"/>
    <n v="290"/>
    <x v="6"/>
    <x v="488"/>
    <x v="182"/>
    <n v="1063.3869788643931"/>
    <x v="536"/>
  </r>
  <r>
    <x v="6"/>
    <x v="1"/>
    <x v="27"/>
    <x v="8"/>
    <n v="100"/>
    <x v="7"/>
    <x v="239"/>
    <x v="92"/>
    <n v="1005.3950318867062"/>
    <x v="263"/>
  </r>
  <r>
    <x v="6"/>
    <x v="1"/>
    <x v="27"/>
    <x v="8"/>
    <n v="190"/>
    <x v="8"/>
    <x v="320"/>
    <x v="263"/>
    <n v="954.24250943932486"/>
    <x v="537"/>
  </r>
  <r>
    <x v="6"/>
    <x v="1"/>
    <x v="2"/>
    <x v="2"/>
    <n v="5350"/>
    <x v="0"/>
    <x v="358"/>
    <x v="13"/>
    <n v="2320.146286111054"/>
    <x v="393"/>
  </r>
  <r>
    <x v="6"/>
    <x v="1"/>
    <x v="2"/>
    <x v="2"/>
    <n v="3765"/>
    <x v="1"/>
    <x v="459"/>
    <x v="248"/>
    <n v="2019.116290447073"/>
    <x v="503"/>
  </r>
  <r>
    <x v="6"/>
    <x v="1"/>
    <x v="2"/>
    <x v="2"/>
    <n v="2720"/>
    <x v="2"/>
    <x v="8"/>
    <x v="29"/>
    <n v="1843.0250313913918"/>
    <x v="29"/>
  </r>
  <r>
    <x v="6"/>
    <x v="1"/>
    <x v="2"/>
    <x v="2"/>
    <n v="2090"/>
    <x v="3"/>
    <x v="177"/>
    <x v="125"/>
    <n v="1718.0862947830917"/>
    <x v="193"/>
  </r>
  <r>
    <x v="6"/>
    <x v="1"/>
    <x v="2"/>
    <x v="2"/>
    <n v="1670"/>
    <x v="4"/>
    <x v="255"/>
    <x v="160"/>
    <n v="1621.1762817750355"/>
    <x v="282"/>
  </r>
  <r>
    <x v="6"/>
    <x v="1"/>
    <x v="2"/>
    <x v="2"/>
    <n v="1250"/>
    <x v="5"/>
    <x v="295"/>
    <x v="178"/>
    <n v="1541.9950357274106"/>
    <x v="323"/>
  </r>
  <r>
    <x v="6"/>
    <x v="1"/>
    <x v="2"/>
    <x v="2"/>
    <n v="840"/>
    <x v="6"/>
    <x v="241"/>
    <x v="156"/>
    <n v="1475.0482460967974"/>
    <x v="265"/>
  </r>
  <r>
    <x v="6"/>
    <x v="1"/>
    <x v="2"/>
    <x v="2"/>
    <n v="570"/>
    <x v="7"/>
    <x v="467"/>
    <x v="13"/>
    <n v="1417.0562991191107"/>
    <x v="511"/>
  </r>
  <r>
    <x v="6"/>
    <x v="1"/>
    <x v="2"/>
    <x v="2"/>
    <n v="420"/>
    <x v="8"/>
    <x v="489"/>
    <x v="112"/>
    <n v="1365.9037766717295"/>
    <x v="538"/>
  </r>
  <r>
    <x v="6"/>
    <x v="1"/>
    <x v="2"/>
    <x v="2"/>
    <n v="310"/>
    <x v="9"/>
    <x v="490"/>
    <x v="112"/>
    <n v="1320.1462861110542"/>
    <x v="539"/>
  </r>
  <r>
    <x v="6"/>
    <x v="1"/>
    <x v="2"/>
    <x v="2"/>
    <n v="310"/>
    <x v="10"/>
    <x v="472"/>
    <x v="13"/>
    <n v="1278.7536009528292"/>
    <x v="518"/>
  </r>
  <r>
    <x v="6"/>
    <x v="1"/>
    <x v="2"/>
    <x v="2"/>
    <n v="310"/>
    <x v="11"/>
    <x v="87"/>
    <x v="72"/>
    <n v="1240.9650400634293"/>
    <x v="94"/>
  </r>
  <r>
    <x v="6"/>
    <x v="1"/>
    <x v="2"/>
    <x v="2"/>
    <n v="260"/>
    <x v="12"/>
    <x v="491"/>
    <x v="264"/>
    <n v="1206.2029338042175"/>
    <x v="540"/>
  </r>
  <r>
    <x v="6"/>
    <x v="1"/>
    <x v="2"/>
    <x v="2"/>
    <n v="260"/>
    <x v="13"/>
    <x v="356"/>
    <x v="23"/>
    <n v="1174.0182504328163"/>
    <x v="391"/>
  </r>
  <r>
    <x v="6"/>
    <x v="1"/>
    <x v="2"/>
    <x v="2"/>
    <n v="260"/>
    <x v="14"/>
    <x v="492"/>
    <x v="113"/>
    <n v="1144.0550270553729"/>
    <x v="541"/>
  </r>
  <r>
    <x v="6"/>
    <x v="1"/>
    <x v="2"/>
    <x v="2"/>
    <n v="210"/>
    <x v="15"/>
    <x v="493"/>
    <x v="82"/>
    <n v="1116.0263034551294"/>
    <x v="542"/>
  </r>
  <r>
    <x v="6"/>
    <x v="1"/>
    <x v="2"/>
    <x v="2"/>
    <n v="210"/>
    <x v="16"/>
    <x v="141"/>
    <x v="56"/>
    <n v="1089.6973647327804"/>
    <x v="151"/>
  </r>
  <r>
    <x v="6"/>
    <x v="1"/>
    <x v="2"/>
    <x v="2"/>
    <n v="210"/>
    <x v="17"/>
    <x v="463"/>
    <x v="249"/>
    <n v="1064.8737810077482"/>
    <x v="507"/>
  </r>
  <r>
    <x v="6"/>
    <x v="1"/>
    <x v="2"/>
    <x v="2"/>
    <n v="200"/>
    <x v="18"/>
    <x v="494"/>
    <x v="160"/>
    <n v="1041.3926851582253"/>
    <x v="543"/>
  </r>
  <r>
    <x v="6"/>
    <x v="1"/>
    <x v="39"/>
    <x v="0"/>
    <n v="1010"/>
    <x v="0"/>
    <x v="472"/>
    <x v="13"/>
    <n v="1792.391689498254"/>
    <x v="518"/>
  </r>
  <r>
    <x v="6"/>
    <x v="1"/>
    <x v="39"/>
    <x v="0"/>
    <n v="810"/>
    <x v="1"/>
    <x v="309"/>
    <x v="186"/>
    <n v="1491.3616938342727"/>
    <x v="337"/>
  </r>
  <r>
    <x v="6"/>
    <x v="1"/>
    <x v="39"/>
    <x v="0"/>
    <n v="610"/>
    <x v="2"/>
    <x v="27"/>
    <x v="21"/>
    <n v="1315.2704347785916"/>
    <x v="91"/>
  </r>
  <r>
    <x v="6"/>
    <x v="1"/>
    <x v="39"/>
    <x v="0"/>
    <n v="490"/>
    <x v="3"/>
    <x v="495"/>
    <x v="30"/>
    <n v="1190.3316981702915"/>
    <x v="544"/>
  </r>
  <r>
    <x v="6"/>
    <x v="1"/>
    <x v="39"/>
    <x v="0"/>
    <n v="410"/>
    <x v="4"/>
    <x v="496"/>
    <x v="265"/>
    <n v="1093.4216851622352"/>
    <x v="545"/>
  </r>
  <r>
    <x v="6"/>
    <x v="1"/>
    <x v="39"/>
    <x v="0"/>
    <n v="320"/>
    <x v="5"/>
    <x v="42"/>
    <x v="40"/>
    <n v="1014.2404391146102"/>
    <x v="44"/>
  </r>
  <r>
    <x v="6"/>
    <x v="1"/>
    <x v="39"/>
    <x v="0"/>
    <n v="240"/>
    <x v="6"/>
    <x v="31"/>
    <x v="32"/>
    <n v="947.29364948399711"/>
    <x v="33"/>
  </r>
  <r>
    <x v="6"/>
    <x v="1"/>
    <x v="39"/>
    <x v="0"/>
    <n v="160"/>
    <x v="7"/>
    <x v="306"/>
    <x v="15"/>
    <n v="889.30170250631033"/>
    <x v="334"/>
  </r>
  <r>
    <x v="6"/>
    <x v="1"/>
    <x v="39"/>
    <x v="0"/>
    <n v="75"/>
    <x v="12"/>
    <x v="490"/>
    <x v="112"/>
    <n v="678.44833719141718"/>
    <x v="539"/>
  </r>
  <r>
    <x v="6"/>
    <x v="1"/>
    <x v="39"/>
    <x v="0"/>
    <n v="75"/>
    <x v="12"/>
    <x v="197"/>
    <x v="123"/>
    <n v="678.44833719141718"/>
    <x v="215"/>
  </r>
  <r>
    <x v="6"/>
    <x v="1"/>
    <x v="39"/>
    <x v="0"/>
    <n v="75"/>
    <x v="12"/>
    <x v="22"/>
    <x v="22"/>
    <n v="678.44833719141718"/>
    <x v="22"/>
  </r>
  <r>
    <x v="6"/>
    <x v="1"/>
    <x v="39"/>
    <x v="0"/>
    <n v="75"/>
    <x v="12"/>
    <x v="446"/>
    <x v="13"/>
    <n v="678.44833719141718"/>
    <x v="490"/>
  </r>
  <r>
    <x v="6"/>
    <x v="1"/>
    <x v="39"/>
    <x v="0"/>
    <n v="75"/>
    <x v="12"/>
    <x v="241"/>
    <x v="156"/>
    <n v="678.44833719141718"/>
    <x v="265"/>
  </r>
  <r>
    <x v="6"/>
    <x v="1"/>
    <x v="39"/>
    <x v="0"/>
    <n v="75"/>
    <x v="12"/>
    <x v="398"/>
    <x v="82"/>
    <n v="678.44833719141718"/>
    <x v="437"/>
  </r>
  <r>
    <x v="6"/>
    <x v="1"/>
    <x v="39"/>
    <x v="0"/>
    <n v="75"/>
    <x v="12"/>
    <x v="497"/>
    <x v="266"/>
    <n v="678.44833719141718"/>
    <x v="546"/>
  </r>
  <r>
    <x v="6"/>
    <x v="1"/>
    <x v="39"/>
    <x v="0"/>
    <n v="75"/>
    <x v="12"/>
    <x v="488"/>
    <x v="182"/>
    <n v="678.44833719141718"/>
    <x v="536"/>
  </r>
  <r>
    <x v="6"/>
    <x v="1"/>
    <x v="5"/>
    <x v="1"/>
    <n v="3120"/>
    <x v="0"/>
    <x v="27"/>
    <x v="21"/>
    <n v="2217.4839442139064"/>
    <x v="91"/>
  </r>
  <r>
    <x v="6"/>
    <x v="1"/>
    <x v="5"/>
    <x v="1"/>
    <n v="1465"/>
    <x v="1"/>
    <x v="399"/>
    <x v="204"/>
    <n v="1916.4539485499249"/>
    <x v="438"/>
  </r>
  <r>
    <x v="6"/>
    <x v="1"/>
    <x v="5"/>
    <x v="1"/>
    <n v="1790"/>
    <x v="2"/>
    <x v="473"/>
    <x v="255"/>
    <n v="1740.3626894942438"/>
    <x v="519"/>
  </r>
  <r>
    <x v="6"/>
    <x v="1"/>
    <x v="5"/>
    <x v="1"/>
    <n v="1680"/>
    <x v="3"/>
    <x v="256"/>
    <x v="37"/>
    <n v="1615.4239528859437"/>
    <x v="283"/>
  </r>
  <r>
    <x v="6"/>
    <x v="1"/>
    <x v="5"/>
    <x v="1"/>
    <n v="990"/>
    <x v="4"/>
    <x v="352"/>
    <x v="35"/>
    <n v="1518.5139398778874"/>
    <x v="386"/>
  </r>
  <r>
    <x v="6"/>
    <x v="1"/>
    <x v="5"/>
    <x v="1"/>
    <n v="740"/>
    <x v="5"/>
    <x v="306"/>
    <x v="15"/>
    <n v="1439.3326938302625"/>
    <x v="334"/>
  </r>
  <r>
    <x v="6"/>
    <x v="1"/>
    <x v="5"/>
    <x v="1"/>
    <n v="500"/>
    <x v="6"/>
    <x v="9"/>
    <x v="9"/>
    <n v="1372.3859041996493"/>
    <x v="9"/>
  </r>
  <r>
    <x v="6"/>
    <x v="1"/>
    <x v="5"/>
    <x v="1"/>
    <n v="340"/>
    <x v="7"/>
    <x v="498"/>
    <x v="1"/>
    <n v="1314.3939572219626"/>
    <x v="547"/>
  </r>
  <r>
    <x v="6"/>
    <x v="1"/>
    <x v="5"/>
    <x v="1"/>
    <n v="250"/>
    <x v="8"/>
    <x v="78"/>
    <x v="17"/>
    <n v="1263.2414347745814"/>
    <x v="84"/>
  </r>
  <r>
    <x v="6"/>
    <x v="1"/>
    <x v="5"/>
    <x v="1"/>
    <n v="190"/>
    <x v="9"/>
    <x v="118"/>
    <x v="4"/>
    <n v="1217.4839442139062"/>
    <x v="125"/>
  </r>
  <r>
    <x v="6"/>
    <x v="1"/>
    <x v="5"/>
    <x v="1"/>
    <n v="190"/>
    <x v="10"/>
    <x v="91"/>
    <x v="3"/>
    <n v="1176.0912590556811"/>
    <x v="98"/>
  </r>
  <r>
    <x v="6"/>
    <x v="1"/>
    <x v="5"/>
    <x v="1"/>
    <n v="190"/>
    <x v="11"/>
    <x v="173"/>
    <x v="121"/>
    <n v="1138.3026981662813"/>
    <x v="188"/>
  </r>
  <r>
    <x v="6"/>
    <x v="1"/>
    <x v="5"/>
    <x v="1"/>
    <n v="150"/>
    <x v="12"/>
    <x v="447"/>
    <x v="7"/>
    <n v="1103.5405919070695"/>
    <x v="491"/>
  </r>
  <r>
    <x v="6"/>
    <x v="1"/>
    <x v="5"/>
    <x v="1"/>
    <n v="150"/>
    <x v="13"/>
    <x v="397"/>
    <x v="104"/>
    <n v="1071.3559085356683"/>
    <x v="436"/>
  </r>
  <r>
    <x v="6"/>
    <x v="1"/>
    <x v="5"/>
    <x v="1"/>
    <n v="150"/>
    <x v="14"/>
    <x v="98"/>
    <x v="1"/>
    <n v="1041.3926851582248"/>
    <x v="105"/>
  </r>
  <r>
    <x v="6"/>
    <x v="1"/>
    <x v="5"/>
    <x v="1"/>
    <n v="120"/>
    <x v="15"/>
    <x v="126"/>
    <x v="93"/>
    <n v="1013.3639615579815"/>
    <x v="133"/>
  </r>
  <r>
    <x v="6"/>
    <x v="1"/>
    <x v="5"/>
    <x v="1"/>
    <n v="120"/>
    <x v="16"/>
    <x v="364"/>
    <x v="194"/>
    <n v="987.03502283563239"/>
    <x v="399"/>
  </r>
  <r>
    <x v="6"/>
    <x v="1"/>
    <x v="5"/>
    <x v="1"/>
    <n v="120"/>
    <x v="17"/>
    <x v="488"/>
    <x v="182"/>
    <n v="962.21143911060028"/>
    <x v="536"/>
  </r>
  <r>
    <x v="6"/>
    <x v="1"/>
    <x v="5"/>
    <x v="1"/>
    <n v="120"/>
    <x v="18"/>
    <x v="456"/>
    <x v="246"/>
    <n v="938.73034326107745"/>
    <x v="500"/>
  </r>
  <r>
    <x v="6"/>
    <x v="3"/>
    <x v="31"/>
    <x v="2"/>
    <n v="875"/>
    <x v="0"/>
    <x v="499"/>
    <x v="3"/>
    <n v="1505.149978319906"/>
    <x v="548"/>
  </r>
  <r>
    <x v="6"/>
    <x v="3"/>
    <x v="31"/>
    <x v="2"/>
    <n v="800"/>
    <x v="1"/>
    <x v="500"/>
    <x v="3"/>
    <n v="1204.1199826559248"/>
    <x v="549"/>
  </r>
  <r>
    <x v="6"/>
    <x v="3"/>
    <x v="31"/>
    <x v="2"/>
    <n v="400"/>
    <x v="2"/>
    <x v="501"/>
    <x v="1"/>
    <n v="1028.0287236002437"/>
    <x v="550"/>
  </r>
  <r>
    <x v="6"/>
    <x v="3"/>
    <x v="31"/>
    <x v="2"/>
    <n v="325"/>
    <x v="3"/>
    <x v="502"/>
    <x v="199"/>
    <n v="903.08998699194365"/>
    <x v="551"/>
  </r>
  <r>
    <x v="6"/>
    <x v="3"/>
    <x v="31"/>
    <x v="2"/>
    <n v="250"/>
    <x v="97"/>
    <x v="503"/>
    <x v="21"/>
    <n v="692.23662167705049"/>
    <x v="552"/>
  </r>
  <r>
    <x v="6"/>
    <x v="3"/>
    <x v="31"/>
    <x v="2"/>
    <n v="250"/>
    <x v="97"/>
    <x v="377"/>
    <x v="92"/>
    <n v="692.23662167705049"/>
    <x v="414"/>
  </r>
  <r>
    <x v="6"/>
    <x v="3"/>
    <x v="31"/>
    <x v="2"/>
    <n v="250"/>
    <x v="97"/>
    <x v="51"/>
    <x v="24"/>
    <n v="692.23662167705049"/>
    <x v="53"/>
  </r>
  <r>
    <x v="6"/>
    <x v="3"/>
    <x v="31"/>
    <x v="2"/>
    <n v="250"/>
    <x v="97"/>
    <x v="504"/>
    <x v="267"/>
    <n v="692.23662167705049"/>
    <x v="553"/>
  </r>
  <r>
    <x v="6"/>
    <x v="3"/>
    <x v="32"/>
    <x v="1"/>
    <n v="1102"/>
    <x v="0"/>
    <x v="505"/>
    <x v="268"/>
    <n v="1623.2492903979005"/>
    <x v="554"/>
  </r>
  <r>
    <x v="6"/>
    <x v="3"/>
    <x v="32"/>
    <x v="1"/>
    <n v="1102"/>
    <x v="1"/>
    <x v="5"/>
    <x v="5"/>
    <n v="1322.2192947339192"/>
    <x v="5"/>
  </r>
  <r>
    <x v="6"/>
    <x v="3"/>
    <x v="32"/>
    <x v="1"/>
    <n v="650"/>
    <x v="2"/>
    <x v="21"/>
    <x v="21"/>
    <n v="1146.1280356782381"/>
    <x v="21"/>
  </r>
  <r>
    <x v="6"/>
    <x v="3"/>
    <x v="32"/>
    <x v="1"/>
    <n v="650"/>
    <x v="3"/>
    <x v="152"/>
    <x v="106"/>
    <n v="1021.1892990699382"/>
    <x v="164"/>
  </r>
  <r>
    <x v="6"/>
    <x v="3"/>
    <x v="32"/>
    <x v="1"/>
    <n v="296"/>
    <x v="4"/>
    <x v="47"/>
    <x v="67"/>
    <n v="924.27928606188175"/>
    <x v="163"/>
  </r>
  <r>
    <x v="6"/>
    <x v="3"/>
    <x v="32"/>
    <x v="1"/>
    <n v="214"/>
    <x v="5"/>
    <x v="62"/>
    <x v="214"/>
    <n v="845.09804001425687"/>
    <x v="409"/>
  </r>
  <r>
    <x v="6"/>
    <x v="3"/>
    <x v="32"/>
    <x v="1"/>
    <n v="180"/>
    <x v="6"/>
    <x v="15"/>
    <x v="15"/>
    <n v="778.15125038364374"/>
    <x v="15"/>
  </r>
  <r>
    <x v="6"/>
    <x v="3"/>
    <x v="2"/>
    <x v="2"/>
    <n v="1533"/>
    <x v="0"/>
    <x v="426"/>
    <x v="240"/>
    <n v="1892.0946026904803"/>
    <x v="468"/>
  </r>
  <r>
    <x v="6"/>
    <x v="3"/>
    <x v="2"/>
    <x v="2"/>
    <n v="1532"/>
    <x v="1"/>
    <x v="108"/>
    <x v="84"/>
    <n v="1591.0646070264991"/>
    <x v="555"/>
  </r>
  <r>
    <x v="6"/>
    <x v="3"/>
    <x v="2"/>
    <x v="2"/>
    <n v="1000"/>
    <x v="2"/>
    <x v="506"/>
    <x v="77"/>
    <n v="1414.9733479708179"/>
    <x v="556"/>
  </r>
  <r>
    <x v="6"/>
    <x v="3"/>
    <x v="2"/>
    <x v="2"/>
    <n v="500"/>
    <x v="3"/>
    <x v="349"/>
    <x v="230"/>
    <n v="1290.0346113625178"/>
    <x v="451"/>
  </r>
  <r>
    <x v="6"/>
    <x v="3"/>
    <x v="2"/>
    <x v="2"/>
    <n v="500"/>
    <x v="4"/>
    <x v="507"/>
    <x v="269"/>
    <n v="1193.1245983544616"/>
    <x v="557"/>
  </r>
  <r>
    <x v="6"/>
    <x v="3"/>
    <x v="2"/>
    <x v="2"/>
    <n v="500"/>
    <x v="5"/>
    <x v="52"/>
    <x v="7"/>
    <n v="1113.9433523068367"/>
    <x v="55"/>
  </r>
  <r>
    <x v="6"/>
    <x v="3"/>
    <x v="2"/>
    <x v="2"/>
    <n v="500"/>
    <x v="6"/>
    <x v="377"/>
    <x v="92"/>
    <n v="1046.9965626762234"/>
    <x v="414"/>
  </r>
  <r>
    <x v="6"/>
    <x v="3"/>
    <x v="2"/>
    <x v="2"/>
    <n v="500"/>
    <x v="7"/>
    <x v="378"/>
    <x v="217"/>
    <n v="989.00461569853678"/>
    <x v="415"/>
  </r>
  <r>
    <x v="6"/>
    <x v="3"/>
    <x v="2"/>
    <x v="2"/>
    <n v="500"/>
    <x v="8"/>
    <x v="508"/>
    <x v="113"/>
    <n v="937.85209325115545"/>
    <x v="558"/>
  </r>
  <r>
    <x v="6"/>
    <x v="3"/>
    <x v="2"/>
    <x v="2"/>
    <n v="500"/>
    <x v="9"/>
    <x v="420"/>
    <x v="11"/>
    <n v="892.09460269048031"/>
    <x v="462"/>
  </r>
  <r>
    <x v="6"/>
    <x v="3"/>
    <x v="17"/>
    <x v="7"/>
    <n v="1103"/>
    <x v="0"/>
    <x v="495"/>
    <x v="30"/>
    <n v="784.10086203349749"/>
    <x v="544"/>
  </r>
  <r>
    <x v="6"/>
    <x v="3"/>
    <x v="17"/>
    <x v="7"/>
    <n v="1103"/>
    <x v="0"/>
    <x v="177"/>
    <x v="125"/>
    <n v="784.10086203349749"/>
    <x v="193"/>
  </r>
  <r>
    <x v="6"/>
    <x v="3"/>
    <x v="17"/>
    <x v="7"/>
    <n v="750"/>
    <x v="1"/>
    <x v="377"/>
    <x v="92"/>
    <n v="633.58586420150687"/>
    <x v="414"/>
  </r>
  <r>
    <x v="6"/>
    <x v="3"/>
    <x v="17"/>
    <x v="7"/>
    <n v="750"/>
    <x v="1"/>
    <x v="508"/>
    <x v="113"/>
    <n v="633.58586420150687"/>
    <x v="558"/>
  </r>
  <r>
    <x v="6"/>
    <x v="3"/>
    <x v="17"/>
    <x v="7"/>
    <n v="750"/>
    <x v="2"/>
    <x v="376"/>
    <x v="202"/>
    <n v="545.5402346736663"/>
    <x v="413"/>
  </r>
  <r>
    <x v="6"/>
    <x v="3"/>
    <x v="17"/>
    <x v="7"/>
    <n v="750"/>
    <x v="2"/>
    <x v="483"/>
    <x v="7"/>
    <n v="545.5402346736663"/>
    <x v="531"/>
  </r>
  <r>
    <x v="6"/>
    <x v="3"/>
    <x v="17"/>
    <x v="7"/>
    <n v="354"/>
    <x v="3"/>
    <x v="172"/>
    <x v="25"/>
    <n v="483.0708663695163"/>
    <x v="187"/>
  </r>
  <r>
    <x v="6"/>
    <x v="3"/>
    <x v="17"/>
    <x v="7"/>
    <n v="354"/>
    <x v="3"/>
    <x v="158"/>
    <x v="111"/>
    <n v="483.0708663695163"/>
    <x v="170"/>
  </r>
  <r>
    <x v="6"/>
    <x v="3"/>
    <x v="17"/>
    <x v="7"/>
    <n v="287"/>
    <x v="4"/>
    <x v="32"/>
    <x v="33"/>
    <n v="434.61585986548806"/>
    <x v="34"/>
  </r>
  <r>
    <x v="6"/>
    <x v="3"/>
    <x v="17"/>
    <x v="7"/>
    <n v="287"/>
    <x v="4"/>
    <x v="28"/>
    <x v="28"/>
    <n v="434.61585986548806"/>
    <x v="28"/>
  </r>
  <r>
    <x v="6"/>
    <x v="3"/>
    <x v="17"/>
    <x v="7"/>
    <n v="215"/>
    <x v="5"/>
    <x v="62"/>
    <x v="214"/>
    <n v="395.02523684167568"/>
    <x v="409"/>
  </r>
  <r>
    <x v="6"/>
    <x v="3"/>
    <x v="17"/>
    <x v="7"/>
    <n v="215"/>
    <x v="5"/>
    <x v="416"/>
    <x v="153"/>
    <n v="395.02523684167568"/>
    <x v="458"/>
  </r>
  <r>
    <x v="6"/>
    <x v="3"/>
    <x v="17"/>
    <x v="7"/>
    <n v="215"/>
    <x v="6"/>
    <x v="451"/>
    <x v="135"/>
    <n v="361.55184202636906"/>
    <x v="495"/>
  </r>
  <r>
    <x v="6"/>
    <x v="3"/>
    <x v="17"/>
    <x v="7"/>
    <n v="215"/>
    <x v="6"/>
    <x v="472"/>
    <x v="13"/>
    <n v="361.55184202636906"/>
    <x v="518"/>
  </r>
  <r>
    <x v="6"/>
    <x v="4"/>
    <x v="40"/>
    <x v="1"/>
    <n v="230"/>
    <x v="0"/>
    <x v="391"/>
    <x v="258"/>
    <n v="1278.7536009528289"/>
    <x v="523"/>
  </r>
  <r>
    <x v="6"/>
    <x v="4"/>
    <x v="40"/>
    <x v="1"/>
    <n v="230"/>
    <x v="1"/>
    <x v="352"/>
    <x v="35"/>
    <n v="977.72360528884758"/>
    <x v="386"/>
  </r>
  <r>
    <x v="6"/>
    <x v="4"/>
    <x v="40"/>
    <x v="1"/>
    <n v="230"/>
    <x v="2"/>
    <x v="391"/>
    <x v="25"/>
    <n v="801.63234623316646"/>
    <x v="430"/>
  </r>
  <r>
    <x v="6"/>
    <x v="4"/>
    <x v="40"/>
    <x v="1"/>
    <n v="230"/>
    <x v="3"/>
    <x v="423"/>
    <x v="25"/>
    <n v="676.69360962486644"/>
    <x v="465"/>
  </r>
  <r>
    <x v="6"/>
    <x v="4"/>
    <x v="2"/>
    <x v="2"/>
    <n v="650"/>
    <x v="0"/>
    <x v="509"/>
    <x v="149"/>
    <n v="1204.1199826559248"/>
    <x v="559"/>
  </r>
  <r>
    <x v="6"/>
    <x v="4"/>
    <x v="2"/>
    <x v="2"/>
    <n v="320"/>
    <x v="1"/>
    <x v="475"/>
    <x v="234"/>
    <n v="903.08998699194353"/>
    <x v="521"/>
  </r>
  <r>
    <x v="6"/>
    <x v="4"/>
    <x v="2"/>
    <x v="2"/>
    <n v="240"/>
    <x v="2"/>
    <x v="391"/>
    <x v="25"/>
    <n v="726.99872793626241"/>
    <x v="430"/>
  </r>
  <r>
    <x v="6"/>
    <x v="4"/>
    <x v="2"/>
    <x v="2"/>
    <n v="160"/>
    <x v="3"/>
    <x v="201"/>
    <x v="57"/>
    <n v="602.05999132796239"/>
    <x v="219"/>
  </r>
  <r>
    <x v="6"/>
    <x v="4"/>
    <x v="2"/>
    <x v="2"/>
    <n v="80"/>
    <x v="4"/>
    <x v="391"/>
    <x v="258"/>
    <n v="505.14997831990593"/>
    <x v="523"/>
  </r>
  <r>
    <x v="6"/>
    <x v="4"/>
    <x v="41"/>
    <x v="6"/>
    <n v="436.25"/>
    <x v="0"/>
    <x v="108"/>
    <x v="37"/>
    <n v="1230.4489213782738"/>
    <x v="235"/>
  </r>
  <r>
    <x v="6"/>
    <x v="4"/>
    <x v="41"/>
    <x v="6"/>
    <n v="436.25"/>
    <x v="1"/>
    <x v="254"/>
    <x v="37"/>
    <n v="929.41892571429264"/>
    <x v="281"/>
  </r>
  <r>
    <x v="6"/>
    <x v="4"/>
    <x v="41"/>
    <x v="6"/>
    <n v="181.25"/>
    <x v="2"/>
    <x v="352"/>
    <x v="35"/>
    <n v="753.32766665861152"/>
    <x v="386"/>
  </r>
  <r>
    <x v="6"/>
    <x v="4"/>
    <x v="41"/>
    <x v="6"/>
    <n v="117.5"/>
    <x v="3"/>
    <x v="509"/>
    <x v="149"/>
    <n v="628.3889300503115"/>
    <x v="559"/>
  </r>
  <r>
    <x v="6"/>
    <x v="4"/>
    <x v="41"/>
    <x v="6"/>
    <n v="103.75"/>
    <x v="4"/>
    <x v="213"/>
    <x v="71"/>
    <n v="531.47891704225503"/>
    <x v="236"/>
  </r>
  <r>
    <x v="7"/>
    <x v="0"/>
    <x v="2"/>
    <x v="2"/>
    <n v="3774"/>
    <x v="0"/>
    <x v="28"/>
    <x v="28"/>
    <n v="2045.3229787866576"/>
    <x v="28"/>
  </r>
  <r>
    <x v="7"/>
    <x v="0"/>
    <x v="2"/>
    <x v="2"/>
    <n v="1887"/>
    <x v="1"/>
    <x v="379"/>
    <x v="53"/>
    <n v="1744.2929831226763"/>
    <x v="417"/>
  </r>
  <r>
    <x v="7"/>
    <x v="0"/>
    <x v="2"/>
    <x v="2"/>
    <n v="1110"/>
    <x v="2"/>
    <x v="459"/>
    <x v="248"/>
    <n v="1568.2017240669952"/>
    <x v="503"/>
  </r>
  <r>
    <x v="7"/>
    <x v="0"/>
    <x v="2"/>
    <x v="2"/>
    <n v="888"/>
    <x v="3"/>
    <x v="6"/>
    <x v="6"/>
    <n v="1443.2629874586951"/>
    <x v="6"/>
  </r>
  <r>
    <x v="7"/>
    <x v="0"/>
    <x v="2"/>
    <x v="2"/>
    <n v="665"/>
    <x v="4"/>
    <x v="510"/>
    <x v="270"/>
    <n v="1346.3529744506388"/>
    <x v="560"/>
  </r>
  <r>
    <x v="7"/>
    <x v="0"/>
    <x v="2"/>
    <x v="2"/>
    <n v="443"/>
    <x v="5"/>
    <x v="40"/>
    <x v="173"/>
    <n v="1267.171728403014"/>
    <x v="561"/>
  </r>
  <r>
    <x v="7"/>
    <x v="0"/>
    <x v="2"/>
    <x v="2"/>
    <n v="332"/>
    <x v="6"/>
    <x v="15"/>
    <x v="15"/>
    <n v="1200.2249387724007"/>
    <x v="15"/>
  </r>
  <r>
    <x v="7"/>
    <x v="0"/>
    <x v="2"/>
    <x v="2"/>
    <n v="277"/>
    <x v="7"/>
    <x v="272"/>
    <x v="27"/>
    <n v="1142.2329917947141"/>
    <x v="300"/>
  </r>
  <r>
    <x v="7"/>
    <x v="0"/>
    <x v="2"/>
    <x v="2"/>
    <n v="221"/>
    <x v="8"/>
    <x v="472"/>
    <x v="13"/>
    <n v="1091.0804693473328"/>
    <x v="518"/>
  </r>
  <r>
    <x v="7"/>
    <x v="0"/>
    <x v="2"/>
    <x v="2"/>
    <n v="167"/>
    <x v="9"/>
    <x v="49"/>
    <x v="13"/>
    <n v="1045.3229787866576"/>
    <x v="51"/>
  </r>
  <r>
    <x v="7"/>
    <x v="0"/>
    <x v="2"/>
    <x v="2"/>
    <n v="167"/>
    <x v="10"/>
    <x v="322"/>
    <x v="194"/>
    <n v="1003.9302936284324"/>
    <x v="352"/>
  </r>
  <r>
    <x v="7"/>
    <x v="0"/>
    <x v="2"/>
    <x v="2"/>
    <n v="167"/>
    <x v="11"/>
    <x v="12"/>
    <x v="12"/>
    <n v="966.1417327390327"/>
    <x v="12"/>
  </r>
  <r>
    <x v="7"/>
    <x v="0"/>
    <x v="2"/>
    <x v="2"/>
    <n v="167"/>
    <x v="12"/>
    <x v="511"/>
    <x v="87"/>
    <n v="931.3796264798209"/>
    <x v="562"/>
  </r>
  <r>
    <x v="7"/>
    <x v="0"/>
    <x v="2"/>
    <x v="2"/>
    <n v="167"/>
    <x v="13"/>
    <x v="5"/>
    <x v="5"/>
    <n v="899.19494310841958"/>
    <x v="5"/>
  </r>
  <r>
    <x v="7"/>
    <x v="0"/>
    <x v="2"/>
    <x v="2"/>
    <n v="167"/>
    <x v="14"/>
    <x v="512"/>
    <x v="21"/>
    <n v="869.23171973097624"/>
    <x v="563"/>
  </r>
  <r>
    <x v="7"/>
    <x v="0"/>
    <x v="2"/>
    <x v="2"/>
    <n v="167"/>
    <x v="15"/>
    <x v="513"/>
    <x v="112"/>
    <n v="841.2029961307328"/>
    <x v="564"/>
  </r>
  <r>
    <x v="7"/>
    <x v="0"/>
    <x v="2"/>
    <x v="2"/>
    <n v="167"/>
    <x v="16"/>
    <x v="89"/>
    <x v="37"/>
    <n v="814.87405740838369"/>
    <x v="96"/>
  </r>
  <r>
    <x v="7"/>
    <x v="0"/>
    <x v="2"/>
    <x v="2"/>
    <n v="167"/>
    <x v="17"/>
    <x v="74"/>
    <x v="50"/>
    <n v="790.05047368335158"/>
    <x v="261"/>
  </r>
  <r>
    <x v="7"/>
    <x v="0"/>
    <x v="37"/>
    <x v="5"/>
    <n v="1890"/>
    <x v="0"/>
    <x v="482"/>
    <x v="37"/>
    <n v="1623.2492903979005"/>
    <x v="530"/>
  </r>
  <r>
    <x v="7"/>
    <x v="0"/>
    <x v="37"/>
    <x v="5"/>
    <n v="1050"/>
    <x v="1"/>
    <x v="173"/>
    <x v="121"/>
    <n v="1322.2192947339192"/>
    <x v="188"/>
  </r>
  <r>
    <x v="7"/>
    <x v="0"/>
    <x v="37"/>
    <x v="5"/>
    <n v="630"/>
    <x v="2"/>
    <x v="10"/>
    <x v="10"/>
    <n v="1146.1280356782381"/>
    <x v="10"/>
  </r>
  <r>
    <x v="7"/>
    <x v="0"/>
    <x v="37"/>
    <x v="5"/>
    <n v="420"/>
    <x v="3"/>
    <x v="52"/>
    <x v="7"/>
    <n v="1021.1892990699382"/>
    <x v="55"/>
  </r>
  <r>
    <x v="7"/>
    <x v="0"/>
    <x v="37"/>
    <x v="5"/>
    <n v="210"/>
    <x v="4"/>
    <x v="485"/>
    <x v="262"/>
    <n v="924.27928606188175"/>
    <x v="533"/>
  </r>
  <r>
    <x v="7"/>
    <x v="0"/>
    <x v="37"/>
    <x v="5"/>
    <n v="120"/>
    <x v="5"/>
    <x v="28"/>
    <x v="28"/>
    <n v="845.09804001425687"/>
    <x v="28"/>
  </r>
  <r>
    <x v="7"/>
    <x v="0"/>
    <x v="5"/>
    <x v="1"/>
    <n v="2664"/>
    <x v="0"/>
    <x v="15"/>
    <x v="31"/>
    <n v="1875.0612633917001"/>
    <x v="32"/>
  </r>
  <r>
    <x v="7"/>
    <x v="0"/>
    <x v="5"/>
    <x v="1"/>
    <n v="1480"/>
    <x v="1"/>
    <x v="52"/>
    <x v="7"/>
    <n v="1574.0312677277188"/>
    <x v="55"/>
  </r>
  <r>
    <x v="7"/>
    <x v="0"/>
    <x v="5"/>
    <x v="1"/>
    <n v="814"/>
    <x v="2"/>
    <x v="272"/>
    <x v="27"/>
    <n v="1397.9400086720377"/>
    <x v="300"/>
  </r>
  <r>
    <x v="7"/>
    <x v="0"/>
    <x v="5"/>
    <x v="1"/>
    <n v="629"/>
    <x v="3"/>
    <x v="483"/>
    <x v="7"/>
    <n v="1273.0012720637376"/>
    <x v="531"/>
  </r>
  <r>
    <x v="7"/>
    <x v="0"/>
    <x v="5"/>
    <x v="1"/>
    <n v="555"/>
    <x v="4"/>
    <x v="334"/>
    <x v="13"/>
    <n v="1176.0912590556813"/>
    <x v="367"/>
  </r>
  <r>
    <x v="7"/>
    <x v="0"/>
    <x v="5"/>
    <x v="1"/>
    <n v="481"/>
    <x v="5"/>
    <x v="514"/>
    <x v="271"/>
    <n v="1096.9100130080565"/>
    <x v="565"/>
  </r>
  <r>
    <x v="7"/>
    <x v="0"/>
    <x v="5"/>
    <x v="1"/>
    <n v="333"/>
    <x v="6"/>
    <x v="322"/>
    <x v="194"/>
    <n v="1029.9632233774432"/>
    <x v="352"/>
  </r>
  <r>
    <x v="7"/>
    <x v="0"/>
    <x v="5"/>
    <x v="1"/>
    <n v="259"/>
    <x v="7"/>
    <x v="515"/>
    <x v="105"/>
    <n v="971.97127639975656"/>
    <x v="566"/>
  </r>
  <r>
    <x v="7"/>
    <x v="0"/>
    <x v="5"/>
    <x v="1"/>
    <n v="185"/>
    <x v="8"/>
    <x v="516"/>
    <x v="272"/>
    <n v="920.81875395237523"/>
    <x v="567"/>
  </r>
  <r>
    <x v="7"/>
    <x v="1"/>
    <x v="42"/>
    <x v="1"/>
    <n v="1800"/>
    <x v="0"/>
    <x v="293"/>
    <x v="81"/>
    <n v="1982.2712330395684"/>
    <x v="321"/>
  </r>
  <r>
    <x v="7"/>
    <x v="1"/>
    <x v="42"/>
    <x v="1"/>
    <n v="1440"/>
    <x v="1"/>
    <x v="138"/>
    <x v="7"/>
    <n v="1681.2412373755872"/>
    <x v="148"/>
  </r>
  <r>
    <x v="7"/>
    <x v="1"/>
    <x v="42"/>
    <x v="1"/>
    <n v="1080"/>
    <x v="2"/>
    <x v="31"/>
    <x v="32"/>
    <n v="1505.149978319906"/>
    <x v="33"/>
  </r>
  <r>
    <x v="7"/>
    <x v="1"/>
    <x v="42"/>
    <x v="1"/>
    <n v="860"/>
    <x v="3"/>
    <x v="517"/>
    <x v="273"/>
    <n v="1380.2112417116059"/>
    <x v="568"/>
  </r>
  <r>
    <x v="7"/>
    <x v="1"/>
    <x v="42"/>
    <x v="1"/>
    <n v="720"/>
    <x v="4"/>
    <x v="136"/>
    <x v="100"/>
    <n v="1283.3012287035497"/>
    <x v="145"/>
  </r>
  <r>
    <x v="7"/>
    <x v="1"/>
    <x v="42"/>
    <x v="1"/>
    <n v="580"/>
    <x v="5"/>
    <x v="518"/>
    <x v="222"/>
    <n v="1204.1199826559248"/>
    <x v="569"/>
  </r>
  <r>
    <x v="7"/>
    <x v="1"/>
    <x v="42"/>
    <x v="1"/>
    <n v="430"/>
    <x v="6"/>
    <x v="128"/>
    <x v="21"/>
    <n v="1137.1731930253115"/>
    <x v="135"/>
  </r>
  <r>
    <x v="7"/>
    <x v="1"/>
    <x v="42"/>
    <x v="1"/>
    <n v="290"/>
    <x v="7"/>
    <x v="497"/>
    <x v="266"/>
    <n v="1079.1812460476249"/>
    <x v="546"/>
  </r>
  <r>
    <x v="7"/>
    <x v="1"/>
    <x v="43"/>
    <x v="10"/>
    <n v="950"/>
    <x v="0"/>
    <x v="246"/>
    <x v="34"/>
    <n v="1880.8135922807915"/>
    <x v="270"/>
  </r>
  <r>
    <x v="7"/>
    <x v="1"/>
    <x v="43"/>
    <x v="10"/>
    <n v="760"/>
    <x v="1"/>
    <x v="443"/>
    <x v="7"/>
    <n v="1579.7835966168102"/>
    <x v="486"/>
  </r>
  <r>
    <x v="7"/>
    <x v="1"/>
    <x v="43"/>
    <x v="10"/>
    <n v="570"/>
    <x v="2"/>
    <x v="355"/>
    <x v="115"/>
    <n v="1403.6923375611291"/>
    <x v="389"/>
  </r>
  <r>
    <x v="7"/>
    <x v="1"/>
    <x v="43"/>
    <x v="10"/>
    <n v="460"/>
    <x v="3"/>
    <x v="31"/>
    <x v="32"/>
    <n v="1278.7536009528289"/>
    <x v="33"/>
  </r>
  <r>
    <x v="7"/>
    <x v="1"/>
    <x v="43"/>
    <x v="10"/>
    <n v="380"/>
    <x v="4"/>
    <x v="45"/>
    <x v="99"/>
    <n v="1181.8435879447727"/>
    <x v="343"/>
  </r>
  <r>
    <x v="7"/>
    <x v="1"/>
    <x v="43"/>
    <x v="10"/>
    <n v="300"/>
    <x v="5"/>
    <x v="21"/>
    <x v="21"/>
    <n v="1102.6623418971478"/>
    <x v="21"/>
  </r>
  <r>
    <x v="7"/>
    <x v="1"/>
    <x v="43"/>
    <x v="10"/>
    <n v="230"/>
    <x v="6"/>
    <x v="447"/>
    <x v="7"/>
    <n v="1035.7155522665344"/>
    <x v="491"/>
  </r>
  <r>
    <x v="7"/>
    <x v="1"/>
    <x v="43"/>
    <x v="10"/>
    <n v="150"/>
    <x v="7"/>
    <x v="472"/>
    <x v="13"/>
    <n v="977.72360528884781"/>
    <x v="518"/>
  </r>
  <r>
    <x v="7"/>
    <x v="1"/>
    <x v="44"/>
    <x v="8"/>
    <n v="1200"/>
    <x v="0"/>
    <x v="355"/>
    <x v="115"/>
    <n v="1903.0899869919435"/>
    <x v="389"/>
  </r>
  <r>
    <x v="7"/>
    <x v="1"/>
    <x v="44"/>
    <x v="8"/>
    <n v="840"/>
    <x v="1"/>
    <x v="293"/>
    <x v="81"/>
    <n v="1602.0599913279623"/>
    <x v="321"/>
  </r>
  <r>
    <x v="7"/>
    <x v="1"/>
    <x v="44"/>
    <x v="8"/>
    <n v="840"/>
    <x v="2"/>
    <x v="125"/>
    <x v="15"/>
    <n v="1425.9687322722812"/>
    <x v="132"/>
  </r>
  <r>
    <x v="7"/>
    <x v="1"/>
    <x v="44"/>
    <x v="8"/>
    <n v="580"/>
    <x v="3"/>
    <x v="460"/>
    <x v="103"/>
    <n v="1301.0299956639813"/>
    <x v="504"/>
  </r>
  <r>
    <x v="7"/>
    <x v="1"/>
    <x v="44"/>
    <x v="8"/>
    <n v="480"/>
    <x v="4"/>
    <x v="309"/>
    <x v="186"/>
    <n v="1204.1199826559246"/>
    <x v="337"/>
  </r>
  <r>
    <x v="7"/>
    <x v="1"/>
    <x v="44"/>
    <x v="8"/>
    <n v="380"/>
    <x v="5"/>
    <x v="491"/>
    <x v="264"/>
    <n v="1124.9387366082999"/>
    <x v="540"/>
  </r>
  <r>
    <x v="7"/>
    <x v="1"/>
    <x v="44"/>
    <x v="8"/>
    <n v="290"/>
    <x v="6"/>
    <x v="153"/>
    <x v="107"/>
    <n v="1057.9919469776869"/>
    <x v="165"/>
  </r>
  <r>
    <x v="7"/>
    <x v="1"/>
    <x v="44"/>
    <x v="8"/>
    <n v="190"/>
    <x v="7"/>
    <x v="481"/>
    <x v="261"/>
    <n v="1000"/>
    <x v="529"/>
  </r>
  <r>
    <x v="7"/>
    <x v="1"/>
    <x v="2"/>
    <x v="2"/>
    <n v="4430"/>
    <x v="0"/>
    <x v="142"/>
    <x v="71"/>
    <n v="2252.8530309798934"/>
    <x v="152"/>
  </r>
  <r>
    <x v="7"/>
    <x v="1"/>
    <x v="2"/>
    <x v="2"/>
    <n v="3170"/>
    <x v="1"/>
    <x v="519"/>
    <x v="50"/>
    <n v="1951.823035315912"/>
    <x v="570"/>
  </r>
  <r>
    <x v="7"/>
    <x v="1"/>
    <x v="2"/>
    <x v="2"/>
    <n v="2330"/>
    <x v="2"/>
    <x v="83"/>
    <x v="57"/>
    <n v="1775.7317762602308"/>
    <x v="89"/>
  </r>
  <r>
    <x v="7"/>
    <x v="1"/>
    <x v="2"/>
    <x v="2"/>
    <n v="1790"/>
    <x v="3"/>
    <x v="520"/>
    <x v="76"/>
    <n v="1650.7930396519307"/>
    <x v="571"/>
  </r>
  <r>
    <x v="7"/>
    <x v="1"/>
    <x v="2"/>
    <x v="2"/>
    <n v="1430"/>
    <x v="4"/>
    <x v="521"/>
    <x v="25"/>
    <n v="1553.8830266438745"/>
    <x v="572"/>
  </r>
  <r>
    <x v="7"/>
    <x v="1"/>
    <x v="2"/>
    <x v="2"/>
    <n v="1070"/>
    <x v="5"/>
    <x v="197"/>
    <x v="123"/>
    <n v="1474.7017805962496"/>
    <x v="215"/>
  </r>
  <r>
    <x v="7"/>
    <x v="1"/>
    <x v="2"/>
    <x v="2"/>
    <n v="720"/>
    <x v="6"/>
    <x v="517"/>
    <x v="273"/>
    <n v="1407.7549909656364"/>
    <x v="568"/>
  </r>
  <r>
    <x v="7"/>
    <x v="1"/>
    <x v="2"/>
    <x v="2"/>
    <n v="490"/>
    <x v="7"/>
    <x v="522"/>
    <x v="24"/>
    <n v="1349.7630439879497"/>
    <x v="573"/>
  </r>
  <r>
    <x v="7"/>
    <x v="1"/>
    <x v="2"/>
    <x v="2"/>
    <n v="360"/>
    <x v="8"/>
    <x v="86"/>
    <x v="71"/>
    <n v="1298.6105215405685"/>
    <x v="93"/>
  </r>
  <r>
    <x v="7"/>
    <x v="1"/>
    <x v="2"/>
    <x v="2"/>
    <n v="270"/>
    <x v="9"/>
    <x v="177"/>
    <x v="125"/>
    <n v="1252.8530309798932"/>
    <x v="193"/>
  </r>
  <r>
    <x v="7"/>
    <x v="1"/>
    <x v="2"/>
    <x v="2"/>
    <n v="270"/>
    <x v="10"/>
    <x v="392"/>
    <x v="13"/>
    <n v="1211.4603458216682"/>
    <x v="431"/>
  </r>
  <r>
    <x v="7"/>
    <x v="1"/>
    <x v="2"/>
    <x v="2"/>
    <n v="270"/>
    <x v="11"/>
    <x v="362"/>
    <x v="4"/>
    <n v="1173.6717849322683"/>
    <x v="397"/>
  </r>
  <r>
    <x v="7"/>
    <x v="1"/>
    <x v="2"/>
    <x v="2"/>
    <n v="220"/>
    <x v="12"/>
    <x v="122"/>
    <x v="91"/>
    <n v="1138.9096786730565"/>
    <x v="129"/>
  </r>
  <r>
    <x v="7"/>
    <x v="1"/>
    <x v="2"/>
    <x v="2"/>
    <n v="220"/>
    <x v="13"/>
    <x v="455"/>
    <x v="13"/>
    <n v="1106.7249953016553"/>
    <x v="499"/>
  </r>
  <r>
    <x v="7"/>
    <x v="1"/>
    <x v="2"/>
    <x v="2"/>
    <n v="220"/>
    <x v="14"/>
    <x v="27"/>
    <x v="21"/>
    <n v="1076.7617719242119"/>
    <x v="91"/>
  </r>
  <r>
    <x v="7"/>
    <x v="1"/>
    <x v="2"/>
    <x v="2"/>
    <n v="180"/>
    <x v="15"/>
    <x v="311"/>
    <x v="22"/>
    <n v="1048.7330483239684"/>
    <x v="340"/>
  </r>
  <r>
    <x v="7"/>
    <x v="1"/>
    <x v="2"/>
    <x v="2"/>
    <n v="180"/>
    <x v="16"/>
    <x v="12"/>
    <x v="251"/>
    <n v="1022.4041096016194"/>
    <x v="512"/>
  </r>
  <r>
    <x v="7"/>
    <x v="1"/>
    <x v="2"/>
    <x v="2"/>
    <n v="180"/>
    <x v="17"/>
    <x v="523"/>
    <x v="58"/>
    <n v="997.58052587658733"/>
    <x v="574"/>
  </r>
  <r>
    <x v="7"/>
    <x v="1"/>
    <x v="2"/>
    <x v="2"/>
    <n v="100"/>
    <x v="18"/>
    <x v="111"/>
    <x v="244"/>
    <n v="974.0994300270645"/>
    <x v="489"/>
  </r>
  <r>
    <x v="7"/>
    <x v="1"/>
    <x v="5"/>
    <x v="1"/>
    <n v="2715"/>
    <x v="0"/>
    <x v="472"/>
    <x v="13"/>
    <n v="2161.3680022349749"/>
    <x v="518"/>
  </r>
  <r>
    <x v="7"/>
    <x v="1"/>
    <x v="5"/>
    <x v="1"/>
    <n v="1955"/>
    <x v="1"/>
    <x v="106"/>
    <x v="13"/>
    <n v="1860.3380065709937"/>
    <x v="575"/>
  </r>
  <r>
    <x v="7"/>
    <x v="1"/>
    <x v="5"/>
    <x v="1"/>
    <n v="1405"/>
    <x v="2"/>
    <x v="205"/>
    <x v="138"/>
    <n v="1684.2467475153123"/>
    <x v="223"/>
  </r>
  <r>
    <x v="7"/>
    <x v="1"/>
    <x v="5"/>
    <x v="1"/>
    <n v="1090"/>
    <x v="3"/>
    <x v="27"/>
    <x v="21"/>
    <n v="1559.3080109070124"/>
    <x v="91"/>
  </r>
  <r>
    <x v="7"/>
    <x v="1"/>
    <x v="5"/>
    <x v="1"/>
    <n v="870"/>
    <x v="4"/>
    <x v="142"/>
    <x v="71"/>
    <n v="1462.3979978989562"/>
    <x v="152"/>
  </r>
  <r>
    <x v="7"/>
    <x v="1"/>
    <x v="5"/>
    <x v="1"/>
    <n v="650"/>
    <x v="5"/>
    <x v="173"/>
    <x v="121"/>
    <n v="1383.2167518513311"/>
    <x v="188"/>
  </r>
  <r>
    <x v="7"/>
    <x v="1"/>
    <x v="5"/>
    <x v="1"/>
    <n v="440"/>
    <x v="6"/>
    <x v="495"/>
    <x v="30"/>
    <n v="1316.2699622207178"/>
    <x v="544"/>
  </r>
  <r>
    <x v="7"/>
    <x v="1"/>
    <x v="5"/>
    <x v="1"/>
    <n v="300"/>
    <x v="7"/>
    <x v="197"/>
    <x v="123"/>
    <n v="1258.2780152430312"/>
    <x v="215"/>
  </r>
  <r>
    <x v="7"/>
    <x v="1"/>
    <x v="5"/>
    <x v="1"/>
    <n v="220"/>
    <x v="8"/>
    <x v="246"/>
    <x v="34"/>
    <n v="1207.12549279565"/>
    <x v="270"/>
  </r>
  <r>
    <x v="7"/>
    <x v="1"/>
    <x v="5"/>
    <x v="1"/>
    <n v="160"/>
    <x v="9"/>
    <x v="21"/>
    <x v="21"/>
    <n v="1161.3680022349749"/>
    <x v="21"/>
  </r>
  <r>
    <x v="7"/>
    <x v="1"/>
    <x v="5"/>
    <x v="1"/>
    <n v="160"/>
    <x v="10"/>
    <x v="311"/>
    <x v="22"/>
    <n v="1119.9753170767497"/>
    <x v="340"/>
  </r>
  <r>
    <x v="7"/>
    <x v="1"/>
    <x v="5"/>
    <x v="1"/>
    <n v="160"/>
    <x v="11"/>
    <x v="1"/>
    <x v="1"/>
    <n v="1082.1867561873498"/>
    <x v="1"/>
  </r>
  <r>
    <x v="7"/>
    <x v="1"/>
    <x v="5"/>
    <x v="1"/>
    <n v="140"/>
    <x v="12"/>
    <x v="464"/>
    <x v="112"/>
    <n v="1047.424649928138"/>
    <x v="508"/>
  </r>
  <r>
    <x v="7"/>
    <x v="1"/>
    <x v="5"/>
    <x v="1"/>
    <n v="140"/>
    <x v="13"/>
    <x v="10"/>
    <x v="10"/>
    <n v="1015.2399665567368"/>
    <x v="10"/>
  </r>
  <r>
    <x v="7"/>
    <x v="1"/>
    <x v="5"/>
    <x v="1"/>
    <n v="140"/>
    <x v="14"/>
    <x v="355"/>
    <x v="115"/>
    <n v="985.27674317929348"/>
    <x v="389"/>
  </r>
  <r>
    <x v="7"/>
    <x v="1"/>
    <x v="5"/>
    <x v="1"/>
    <n v="110"/>
    <x v="15"/>
    <x v="481"/>
    <x v="261"/>
    <n v="957.24801957905004"/>
    <x v="529"/>
  </r>
  <r>
    <x v="7"/>
    <x v="1"/>
    <x v="5"/>
    <x v="1"/>
    <n v="110"/>
    <x v="16"/>
    <x v="524"/>
    <x v="274"/>
    <n v="930.91908085670093"/>
    <x v="576"/>
  </r>
  <r>
    <x v="7"/>
    <x v="1"/>
    <x v="5"/>
    <x v="1"/>
    <n v="110"/>
    <x v="17"/>
    <x v="519"/>
    <x v="50"/>
    <n v="906.09549713166882"/>
    <x v="570"/>
  </r>
  <r>
    <x v="7"/>
    <x v="3"/>
    <x v="31"/>
    <x v="2"/>
    <n v="875"/>
    <x v="0"/>
    <x v="499"/>
    <x v="3"/>
    <n v="1505.149978319906"/>
    <x v="548"/>
  </r>
  <r>
    <x v="7"/>
    <x v="3"/>
    <x v="31"/>
    <x v="2"/>
    <n v="600"/>
    <x v="1"/>
    <x v="525"/>
    <x v="30"/>
    <n v="1204.1199826559248"/>
    <x v="577"/>
  </r>
  <r>
    <x v="7"/>
    <x v="3"/>
    <x v="31"/>
    <x v="2"/>
    <n v="400"/>
    <x v="2"/>
    <x v="3"/>
    <x v="3"/>
    <n v="1028.0287236002437"/>
    <x v="3"/>
  </r>
  <r>
    <x v="7"/>
    <x v="3"/>
    <x v="31"/>
    <x v="2"/>
    <n v="325"/>
    <x v="3"/>
    <x v="15"/>
    <x v="15"/>
    <n v="903.08998699194365"/>
    <x v="15"/>
  </r>
  <r>
    <x v="7"/>
    <x v="3"/>
    <x v="31"/>
    <x v="2"/>
    <n v="250"/>
    <x v="4"/>
    <x v="45"/>
    <x v="42"/>
    <n v="806.17997398388718"/>
    <x v="47"/>
  </r>
  <r>
    <x v="7"/>
    <x v="3"/>
    <x v="31"/>
    <x v="2"/>
    <n v="250"/>
    <x v="97"/>
    <x v="426"/>
    <x v="240"/>
    <n v="692.23662167705049"/>
    <x v="468"/>
  </r>
  <r>
    <x v="7"/>
    <x v="3"/>
    <x v="31"/>
    <x v="2"/>
    <n v="250"/>
    <x v="97"/>
    <x v="501"/>
    <x v="1"/>
    <n v="692.23662167705049"/>
    <x v="550"/>
  </r>
  <r>
    <x v="7"/>
    <x v="3"/>
    <x v="31"/>
    <x v="2"/>
    <n v="250"/>
    <x v="97"/>
    <x v="500"/>
    <x v="3"/>
    <n v="692.23662167705049"/>
    <x v="549"/>
  </r>
  <r>
    <x v="7"/>
    <x v="3"/>
    <x v="32"/>
    <x v="1"/>
    <n v="1314"/>
    <x v="0"/>
    <x v="526"/>
    <x v="12"/>
    <n v="1672.0978579357175"/>
    <x v="578"/>
  </r>
  <r>
    <x v="7"/>
    <x v="3"/>
    <x v="32"/>
    <x v="1"/>
    <n v="1000"/>
    <x v="1"/>
    <x v="164"/>
    <x v="82"/>
    <n v="1371.0678622717362"/>
    <x v="176"/>
  </r>
  <r>
    <x v="7"/>
    <x v="3"/>
    <x v="32"/>
    <x v="1"/>
    <n v="638"/>
    <x v="2"/>
    <x v="94"/>
    <x v="75"/>
    <n v="1194.9766032160551"/>
    <x v="101"/>
  </r>
  <r>
    <x v="7"/>
    <x v="3"/>
    <x v="32"/>
    <x v="1"/>
    <n v="547"/>
    <x v="3"/>
    <x v="438"/>
    <x v="50"/>
    <n v="1070.0378666077549"/>
    <x v="481"/>
  </r>
  <r>
    <x v="7"/>
    <x v="3"/>
    <x v="32"/>
    <x v="1"/>
    <n v="456"/>
    <x v="4"/>
    <x v="42"/>
    <x v="40"/>
    <n v="973.12785359969871"/>
    <x v="44"/>
  </r>
  <r>
    <x v="7"/>
    <x v="3"/>
    <x v="32"/>
    <x v="1"/>
    <n v="364"/>
    <x v="5"/>
    <x v="376"/>
    <x v="202"/>
    <n v="893.94660755207394"/>
    <x v="413"/>
  </r>
  <r>
    <x v="7"/>
    <x v="3"/>
    <x v="32"/>
    <x v="1"/>
    <n v="120"/>
    <x v="6"/>
    <x v="378"/>
    <x v="217"/>
    <n v="826.9998179214607"/>
    <x v="415"/>
  </r>
  <r>
    <x v="7"/>
    <x v="3"/>
    <x v="32"/>
    <x v="1"/>
    <n v="120"/>
    <x v="7"/>
    <x v="379"/>
    <x v="53"/>
    <n v="769.00787094377404"/>
    <x v="417"/>
  </r>
  <r>
    <x v="7"/>
    <x v="3"/>
    <x v="2"/>
    <x v="2"/>
    <n v="2573"/>
    <x v="0"/>
    <x v="176"/>
    <x v="126"/>
    <n v="1924.2792860618815"/>
    <x v="196"/>
  </r>
  <r>
    <x v="7"/>
    <x v="3"/>
    <x v="2"/>
    <x v="2"/>
    <n v="1589"/>
    <x v="1"/>
    <x v="527"/>
    <x v="275"/>
    <n v="1623.2492903979003"/>
    <x v="579"/>
  </r>
  <r>
    <x v="7"/>
    <x v="3"/>
    <x v="2"/>
    <x v="2"/>
    <n v="978"/>
    <x v="2"/>
    <x v="15"/>
    <x v="31"/>
    <n v="1447.1580313422191"/>
    <x v="32"/>
  </r>
  <r>
    <x v="7"/>
    <x v="3"/>
    <x v="2"/>
    <x v="2"/>
    <n v="704"/>
    <x v="3"/>
    <x v="528"/>
    <x v="267"/>
    <n v="1322.219294733919"/>
    <x v="580"/>
  </r>
  <r>
    <x v="7"/>
    <x v="3"/>
    <x v="2"/>
    <x v="2"/>
    <n v="587"/>
    <x v="4"/>
    <x v="426"/>
    <x v="240"/>
    <n v="1225.3092817258628"/>
    <x v="468"/>
  </r>
  <r>
    <x v="7"/>
    <x v="3"/>
    <x v="2"/>
    <x v="2"/>
    <n v="489"/>
    <x v="5"/>
    <x v="377"/>
    <x v="92"/>
    <n v="1146.1280356782379"/>
    <x v="414"/>
  </r>
  <r>
    <x v="7"/>
    <x v="3"/>
    <x v="2"/>
    <x v="2"/>
    <n v="399"/>
    <x v="6"/>
    <x v="416"/>
    <x v="153"/>
    <n v="1079.1812460476247"/>
    <x v="458"/>
  </r>
  <r>
    <x v="7"/>
    <x v="3"/>
    <x v="2"/>
    <x v="2"/>
    <n v="306"/>
    <x v="7"/>
    <x v="482"/>
    <x v="37"/>
    <n v="1021.1892990699381"/>
    <x v="530"/>
  </r>
  <r>
    <x v="7"/>
    <x v="3"/>
    <x v="2"/>
    <x v="2"/>
    <n v="224"/>
    <x v="8"/>
    <x v="334"/>
    <x v="13"/>
    <n v="970.03677662255677"/>
    <x v="367"/>
  </r>
  <r>
    <x v="7"/>
    <x v="3"/>
    <x v="2"/>
    <x v="2"/>
    <n v="199"/>
    <x v="9"/>
    <x v="376"/>
    <x v="202"/>
    <n v="924.27928606188163"/>
    <x v="413"/>
  </r>
  <r>
    <x v="7"/>
    <x v="3"/>
    <x v="2"/>
    <x v="2"/>
    <n v="100"/>
    <x v="10"/>
    <x v="52"/>
    <x v="7"/>
    <n v="882.88660090365647"/>
    <x v="55"/>
  </r>
  <r>
    <x v="7"/>
    <x v="3"/>
    <x v="17"/>
    <x v="7"/>
    <n v="429"/>
    <x v="0"/>
    <x v="21"/>
    <x v="21"/>
    <n v="772.03402217513781"/>
    <x v="21"/>
  </r>
  <r>
    <x v="7"/>
    <x v="3"/>
    <x v="17"/>
    <x v="7"/>
    <n v="429"/>
    <x v="0"/>
    <x v="51"/>
    <x v="24"/>
    <n v="772.03402217513781"/>
    <x v="53"/>
  </r>
  <r>
    <x v="7"/>
    <x v="3"/>
    <x v="17"/>
    <x v="7"/>
    <n v="429"/>
    <x v="1"/>
    <x v="173"/>
    <x v="121"/>
    <n v="621.51902434314718"/>
    <x v="188"/>
  </r>
  <r>
    <x v="7"/>
    <x v="3"/>
    <x v="17"/>
    <x v="7"/>
    <n v="429"/>
    <x v="1"/>
    <x v="32"/>
    <x v="33"/>
    <n v="621.51902434314718"/>
    <x v="34"/>
  </r>
  <r>
    <x v="7"/>
    <x v="3"/>
    <x v="17"/>
    <x v="7"/>
    <n v="429"/>
    <x v="2"/>
    <x v="176"/>
    <x v="123"/>
    <n v="533.47339481530662"/>
    <x v="191"/>
  </r>
  <r>
    <x v="7"/>
    <x v="3"/>
    <x v="17"/>
    <x v="7"/>
    <n v="429"/>
    <x v="2"/>
    <x v="176"/>
    <x v="276"/>
    <n v="533.47339481530662"/>
    <x v="581"/>
  </r>
  <r>
    <x v="7"/>
    <x v="3"/>
    <x v="17"/>
    <x v="7"/>
    <n v="429"/>
    <x v="3"/>
    <x v="161"/>
    <x v="113"/>
    <n v="471.00402651115661"/>
    <x v="173"/>
  </r>
  <r>
    <x v="7"/>
    <x v="3"/>
    <x v="17"/>
    <x v="7"/>
    <n v="429"/>
    <x v="3"/>
    <x v="529"/>
    <x v="277"/>
    <n v="471.00402651115661"/>
    <x v="582"/>
  </r>
  <r>
    <x v="7"/>
    <x v="3"/>
    <x v="17"/>
    <x v="7"/>
    <n v="429"/>
    <x v="4"/>
    <x v="62"/>
    <x v="214"/>
    <n v="422.54902000712843"/>
    <x v="409"/>
  </r>
  <r>
    <x v="7"/>
    <x v="3"/>
    <x v="17"/>
    <x v="7"/>
    <n v="429"/>
    <x v="4"/>
    <x v="416"/>
    <x v="153"/>
    <n v="422.54902000712843"/>
    <x v="458"/>
  </r>
  <r>
    <x v="7"/>
    <x v="3"/>
    <x v="17"/>
    <x v="7"/>
    <n v="250"/>
    <x v="5"/>
    <x v="353"/>
    <x v="207"/>
    <n v="382.95839698331599"/>
    <x v="387"/>
  </r>
  <r>
    <x v="7"/>
    <x v="3"/>
    <x v="17"/>
    <x v="7"/>
    <n v="250"/>
    <x v="5"/>
    <x v="438"/>
    <x v="50"/>
    <n v="382.95839698331599"/>
    <x v="481"/>
  </r>
  <r>
    <x v="7"/>
    <x v="3"/>
    <x v="17"/>
    <x v="7"/>
    <n v="250"/>
    <x v="6"/>
    <x v="83"/>
    <x v="57"/>
    <n v="349.48500216800943"/>
    <x v="89"/>
  </r>
  <r>
    <x v="7"/>
    <x v="3"/>
    <x v="17"/>
    <x v="7"/>
    <n v="250"/>
    <x v="6"/>
    <x v="28"/>
    <x v="28"/>
    <n v="349.48500216800943"/>
    <x v="28"/>
  </r>
  <r>
    <x v="7"/>
    <x v="3"/>
    <x v="17"/>
    <x v="7"/>
    <n v="250"/>
    <x v="7"/>
    <x v="270"/>
    <x v="30"/>
    <n v="320.48902867916604"/>
    <x v="298"/>
  </r>
  <r>
    <x v="7"/>
    <x v="3"/>
    <x v="17"/>
    <x v="7"/>
    <n v="250"/>
    <x v="7"/>
    <x v="179"/>
    <x v="105"/>
    <n v="320.48902867916604"/>
    <x v="195"/>
  </r>
  <r>
    <x v="7"/>
    <x v="3"/>
    <x v="17"/>
    <x v="7"/>
    <n v="250"/>
    <x v="8"/>
    <x v="507"/>
    <x v="269"/>
    <n v="294.91276745547538"/>
    <x v="557"/>
  </r>
  <r>
    <x v="7"/>
    <x v="3"/>
    <x v="17"/>
    <x v="7"/>
    <n v="250"/>
    <x v="8"/>
    <x v="82"/>
    <x v="68"/>
    <n v="294.91276745547538"/>
    <x v="88"/>
  </r>
  <r>
    <x v="7"/>
    <x v="3"/>
    <x v="17"/>
    <x v="7"/>
    <n v="250"/>
    <x v="9"/>
    <x v="378"/>
    <x v="217"/>
    <n v="272.03402217513781"/>
    <x v="415"/>
  </r>
  <r>
    <x v="7"/>
    <x v="3"/>
    <x v="17"/>
    <x v="7"/>
    <n v="250"/>
    <x v="9"/>
    <x v="377"/>
    <x v="92"/>
    <n v="272.03402217513781"/>
    <x v="414"/>
  </r>
  <r>
    <x v="7"/>
    <x v="4"/>
    <x v="2"/>
    <x v="2"/>
    <n v="425"/>
    <x v="0"/>
    <x v="108"/>
    <x v="104"/>
    <n v="1230.4489213782738"/>
    <x v="583"/>
  </r>
  <r>
    <x v="7"/>
    <x v="4"/>
    <x v="2"/>
    <x v="2"/>
    <n v="255"/>
    <x v="1"/>
    <x v="391"/>
    <x v="25"/>
    <n v="929.41892571429264"/>
    <x v="430"/>
  </r>
  <r>
    <x v="7"/>
    <x v="4"/>
    <x v="2"/>
    <x v="2"/>
    <n v="170"/>
    <x v="2"/>
    <x v="443"/>
    <x v="7"/>
    <n v="753.32766665861152"/>
    <x v="486"/>
  </r>
  <r>
    <x v="7"/>
    <x v="4"/>
    <x v="2"/>
    <x v="2"/>
    <n v="85"/>
    <x v="3"/>
    <x v="198"/>
    <x v="81"/>
    <n v="628.3889300503115"/>
    <x v="216"/>
  </r>
  <r>
    <x v="7"/>
    <x v="4"/>
    <x v="45"/>
    <x v="4"/>
    <n v="300"/>
    <x v="0"/>
    <x v="443"/>
    <x v="7"/>
    <n v="903.08998699194353"/>
    <x v="486"/>
  </r>
  <r>
    <x v="7"/>
    <x v="4"/>
    <x v="45"/>
    <x v="4"/>
    <n v="180"/>
    <x v="1"/>
    <x v="391"/>
    <x v="25"/>
    <n v="602.05999132796228"/>
    <x v="430"/>
  </r>
  <r>
    <x v="7"/>
    <x v="4"/>
    <x v="45"/>
    <x v="4"/>
    <n v="120"/>
    <x v="2"/>
    <x v="108"/>
    <x v="37"/>
    <n v="425.9687322722811"/>
    <x v="235"/>
  </r>
  <r>
    <x v="7"/>
    <x v="4"/>
    <x v="5"/>
    <x v="1"/>
    <n v="200"/>
    <x v="0"/>
    <x v="198"/>
    <x v="81"/>
    <n v="903.08998699194353"/>
    <x v="216"/>
  </r>
  <r>
    <x v="7"/>
    <x v="4"/>
    <x v="5"/>
    <x v="1"/>
    <n v="200"/>
    <x v="1"/>
    <x v="391"/>
    <x v="25"/>
    <n v="602.05999132796228"/>
    <x v="430"/>
  </r>
  <r>
    <x v="7"/>
    <x v="4"/>
    <x v="5"/>
    <x v="1"/>
    <n v="200"/>
    <x v="2"/>
    <x v="151"/>
    <x v="105"/>
    <n v="425.9687322722811"/>
    <x v="162"/>
  </r>
  <r>
    <x v="8"/>
    <x v="0"/>
    <x v="2"/>
    <x v="2"/>
    <n v="3740"/>
    <x v="0"/>
    <x v="377"/>
    <x v="92"/>
    <n v="2041.3926851582248"/>
    <x v="414"/>
  </r>
  <r>
    <x v="8"/>
    <x v="0"/>
    <x v="2"/>
    <x v="2"/>
    <n v="1870"/>
    <x v="1"/>
    <x v="530"/>
    <x v="21"/>
    <n v="1740.3626894942436"/>
    <x v="584"/>
  </r>
  <r>
    <x v="8"/>
    <x v="0"/>
    <x v="2"/>
    <x v="2"/>
    <n v="1100"/>
    <x v="2"/>
    <x v="485"/>
    <x v="262"/>
    <n v="1564.2714304385624"/>
    <x v="533"/>
  </r>
  <r>
    <x v="8"/>
    <x v="0"/>
    <x v="2"/>
    <x v="2"/>
    <n v="880"/>
    <x v="3"/>
    <x v="426"/>
    <x v="240"/>
    <n v="1439.3326938302623"/>
    <x v="468"/>
  </r>
  <r>
    <x v="8"/>
    <x v="0"/>
    <x v="2"/>
    <x v="2"/>
    <n v="660"/>
    <x v="4"/>
    <x v="531"/>
    <x v="7"/>
    <n v="1342.4226808222061"/>
    <x v="585"/>
  </r>
  <r>
    <x v="8"/>
    <x v="0"/>
    <x v="2"/>
    <x v="2"/>
    <n v="440"/>
    <x v="5"/>
    <x v="532"/>
    <x v="239"/>
    <n v="1263.2414347745812"/>
    <x v="586"/>
  </r>
  <r>
    <x v="8"/>
    <x v="0"/>
    <x v="2"/>
    <x v="2"/>
    <n v="330"/>
    <x v="6"/>
    <x v="533"/>
    <x v="278"/>
    <n v="1196.294645143968"/>
    <x v="587"/>
  </r>
  <r>
    <x v="8"/>
    <x v="0"/>
    <x v="2"/>
    <x v="2"/>
    <n v="275"/>
    <x v="7"/>
    <x v="41"/>
    <x v="39"/>
    <n v="1138.3026981662813"/>
    <x v="43"/>
  </r>
  <r>
    <x v="8"/>
    <x v="0"/>
    <x v="2"/>
    <x v="2"/>
    <n v="220"/>
    <x v="8"/>
    <x v="205"/>
    <x v="138"/>
    <n v="1087.1501757189001"/>
    <x v="223"/>
  </r>
  <r>
    <x v="8"/>
    <x v="0"/>
    <x v="2"/>
    <x v="2"/>
    <n v="165"/>
    <x v="9"/>
    <x v="534"/>
    <x v="138"/>
    <n v="1041.3926851582248"/>
    <x v="588"/>
  </r>
  <r>
    <x v="8"/>
    <x v="0"/>
    <x v="2"/>
    <x v="2"/>
    <n v="165"/>
    <x v="10"/>
    <x v="381"/>
    <x v="279"/>
    <n v="1000"/>
    <x v="589"/>
  </r>
  <r>
    <x v="8"/>
    <x v="0"/>
    <x v="2"/>
    <x v="2"/>
    <n v="165"/>
    <x v="11"/>
    <x v="535"/>
    <x v="114"/>
    <n v="962.21143911060005"/>
    <x v="590"/>
  </r>
  <r>
    <x v="8"/>
    <x v="0"/>
    <x v="2"/>
    <x v="2"/>
    <n v="165"/>
    <x v="12"/>
    <x v="536"/>
    <x v="9"/>
    <n v="927.44933285138825"/>
    <x v="591"/>
  </r>
  <r>
    <x v="8"/>
    <x v="0"/>
    <x v="2"/>
    <x v="2"/>
    <n v="165"/>
    <x v="13"/>
    <x v="306"/>
    <x v="15"/>
    <n v="895.26464947998693"/>
    <x v="334"/>
  </r>
  <r>
    <x v="8"/>
    <x v="0"/>
    <x v="2"/>
    <x v="2"/>
    <n v="165"/>
    <x v="14"/>
    <x v="15"/>
    <x v="31"/>
    <n v="865.30142610254359"/>
    <x v="32"/>
  </r>
  <r>
    <x v="8"/>
    <x v="0"/>
    <x v="2"/>
    <x v="2"/>
    <n v="165"/>
    <x v="15"/>
    <x v="120"/>
    <x v="49"/>
    <n v="837.27270250230015"/>
    <x v="127"/>
  </r>
  <r>
    <x v="8"/>
    <x v="0"/>
    <x v="46"/>
    <x v="4"/>
    <n v="1400"/>
    <x v="0"/>
    <x v="83"/>
    <x v="57"/>
    <n v="1462.3979978989562"/>
    <x v="89"/>
  </r>
  <r>
    <x v="8"/>
    <x v="0"/>
    <x v="46"/>
    <x v="4"/>
    <n v="870"/>
    <x v="1"/>
    <x v="531"/>
    <x v="7"/>
    <n v="1161.3680022349749"/>
    <x v="585"/>
  </r>
  <r>
    <x v="8"/>
    <x v="0"/>
    <x v="46"/>
    <x v="4"/>
    <n v="435"/>
    <x v="2"/>
    <x v="381"/>
    <x v="279"/>
    <n v="985.2767431792937"/>
    <x v="589"/>
  </r>
  <r>
    <x v="8"/>
    <x v="0"/>
    <x v="46"/>
    <x v="4"/>
    <n v="195"/>
    <x v="3"/>
    <x v="4"/>
    <x v="4"/>
    <n v="860.33800657099368"/>
    <x v="4"/>
  </r>
  <r>
    <x v="8"/>
    <x v="0"/>
    <x v="5"/>
    <x v="1"/>
    <n v="2556"/>
    <x v="0"/>
    <x v="377"/>
    <x v="92"/>
    <n v="1851.2583487190752"/>
    <x v="414"/>
  </r>
  <r>
    <x v="8"/>
    <x v="0"/>
    <x v="5"/>
    <x v="1"/>
    <n v="1420"/>
    <x v="1"/>
    <x v="535"/>
    <x v="114"/>
    <n v="1550.228353055094"/>
    <x v="590"/>
  </r>
  <r>
    <x v="8"/>
    <x v="0"/>
    <x v="5"/>
    <x v="1"/>
    <n v="781"/>
    <x v="2"/>
    <x v="516"/>
    <x v="272"/>
    <n v="1374.1370939994129"/>
    <x v="567"/>
  </r>
  <r>
    <x v="8"/>
    <x v="0"/>
    <x v="5"/>
    <x v="1"/>
    <n v="603"/>
    <x v="3"/>
    <x v="464"/>
    <x v="112"/>
    <n v="1249.1983573911129"/>
    <x v="508"/>
  </r>
  <r>
    <x v="8"/>
    <x v="0"/>
    <x v="5"/>
    <x v="1"/>
    <n v="532"/>
    <x v="4"/>
    <x v="537"/>
    <x v="173"/>
    <n v="1152.2883443830563"/>
    <x v="592"/>
  </r>
  <r>
    <x v="8"/>
    <x v="0"/>
    <x v="5"/>
    <x v="1"/>
    <n v="461"/>
    <x v="5"/>
    <x v="382"/>
    <x v="11"/>
    <n v="1073.1070983354316"/>
    <x v="420"/>
  </r>
  <r>
    <x v="8"/>
    <x v="0"/>
    <x v="5"/>
    <x v="1"/>
    <n v="320"/>
    <x v="6"/>
    <x v="120"/>
    <x v="49"/>
    <n v="1006.1603087048186"/>
    <x v="127"/>
  </r>
  <r>
    <x v="8"/>
    <x v="0"/>
    <x v="5"/>
    <x v="1"/>
    <n v="249"/>
    <x v="7"/>
    <x v="28"/>
    <x v="28"/>
    <n v="948.1683617271317"/>
    <x v="28"/>
  </r>
  <r>
    <x v="8"/>
    <x v="0"/>
    <x v="5"/>
    <x v="1"/>
    <n v="178"/>
    <x v="8"/>
    <x v="476"/>
    <x v="257"/>
    <n v="897.01583927975037"/>
    <x v="522"/>
  </r>
  <r>
    <x v="8"/>
    <x v="1"/>
    <x v="4"/>
    <x v="3"/>
    <n v="950"/>
    <x v="0"/>
    <x v="472"/>
    <x v="13"/>
    <n v="1944.4826721501686"/>
    <x v="518"/>
  </r>
  <r>
    <x v="8"/>
    <x v="1"/>
    <x v="4"/>
    <x v="3"/>
    <n v="950"/>
    <x v="1"/>
    <x v="83"/>
    <x v="57"/>
    <n v="1643.4526764861873"/>
    <x v="89"/>
  </r>
  <r>
    <x v="8"/>
    <x v="1"/>
    <x v="4"/>
    <x v="3"/>
    <n v="640"/>
    <x v="2"/>
    <x v="45"/>
    <x v="99"/>
    <n v="1467.3614174305062"/>
    <x v="343"/>
  </r>
  <r>
    <x v="8"/>
    <x v="1"/>
    <x v="4"/>
    <x v="3"/>
    <n v="530"/>
    <x v="3"/>
    <x v="160"/>
    <x v="92"/>
    <n v="1342.4226808222061"/>
    <x v="172"/>
  </r>
  <r>
    <x v="8"/>
    <x v="1"/>
    <x v="4"/>
    <x v="3"/>
    <n v="440"/>
    <x v="4"/>
    <x v="462"/>
    <x v="53"/>
    <n v="1245.5126678141498"/>
    <x v="506"/>
  </r>
  <r>
    <x v="8"/>
    <x v="1"/>
    <x v="4"/>
    <x v="3"/>
    <n v="350"/>
    <x v="5"/>
    <x v="305"/>
    <x v="98"/>
    <n v="1166.331421766525"/>
    <x v="333"/>
  </r>
  <r>
    <x v="8"/>
    <x v="1"/>
    <x v="4"/>
    <x v="3"/>
    <n v="260"/>
    <x v="6"/>
    <x v="538"/>
    <x v="280"/>
    <n v="1099.3846321359117"/>
    <x v="593"/>
  </r>
  <r>
    <x v="8"/>
    <x v="1"/>
    <x v="4"/>
    <x v="3"/>
    <n v="180"/>
    <x v="7"/>
    <x v="497"/>
    <x v="266"/>
    <n v="1041.392685158225"/>
    <x v="546"/>
  </r>
  <r>
    <x v="8"/>
    <x v="1"/>
    <x v="4"/>
    <x v="3"/>
    <n v="100"/>
    <x v="8"/>
    <x v="393"/>
    <x v="225"/>
    <n v="990.24016271084383"/>
    <x v="432"/>
  </r>
  <r>
    <x v="8"/>
    <x v="1"/>
    <x v="47"/>
    <x v="1"/>
    <n v="2047"/>
    <x v="0"/>
    <x v="539"/>
    <x v="281"/>
    <n v="2041.3926851582248"/>
    <x v="594"/>
  </r>
  <r>
    <x v="8"/>
    <x v="1"/>
    <x v="47"/>
    <x v="1"/>
    <n v="1557"/>
    <x v="1"/>
    <x v="446"/>
    <x v="13"/>
    <n v="1740.3626894942436"/>
    <x v="490"/>
  </r>
  <r>
    <x v="8"/>
    <x v="1"/>
    <x v="47"/>
    <x v="1"/>
    <n v="1152"/>
    <x v="2"/>
    <x v="540"/>
    <x v="282"/>
    <n v="1564.2714304385624"/>
    <x v="595"/>
  </r>
  <r>
    <x v="8"/>
    <x v="1"/>
    <x v="47"/>
    <x v="1"/>
    <n v="902"/>
    <x v="3"/>
    <x v="205"/>
    <x v="138"/>
    <n v="1439.3326938302623"/>
    <x v="223"/>
  </r>
  <r>
    <x v="8"/>
    <x v="1"/>
    <x v="47"/>
    <x v="1"/>
    <n v="732"/>
    <x v="4"/>
    <x v="31"/>
    <x v="32"/>
    <n v="1342.4226808222061"/>
    <x v="33"/>
  </r>
  <r>
    <x v="8"/>
    <x v="1"/>
    <x v="47"/>
    <x v="1"/>
    <n v="572"/>
    <x v="5"/>
    <x v="302"/>
    <x v="183"/>
    <n v="1263.2414347745812"/>
    <x v="330"/>
  </r>
  <r>
    <x v="8"/>
    <x v="1"/>
    <x v="47"/>
    <x v="1"/>
    <n v="402"/>
    <x v="6"/>
    <x v="21"/>
    <x v="21"/>
    <n v="1196.294645143968"/>
    <x v="21"/>
  </r>
  <r>
    <x v="8"/>
    <x v="1"/>
    <x v="47"/>
    <x v="1"/>
    <n v="242"/>
    <x v="7"/>
    <x v="94"/>
    <x v="75"/>
    <n v="1138.3026981662813"/>
    <x v="101"/>
  </r>
  <r>
    <x v="8"/>
    <x v="1"/>
    <x v="47"/>
    <x v="1"/>
    <n v="162"/>
    <x v="8"/>
    <x v="391"/>
    <x v="25"/>
    <n v="1087.1501757189001"/>
    <x v="430"/>
  </r>
  <r>
    <x v="8"/>
    <x v="1"/>
    <x v="47"/>
    <x v="1"/>
    <n v="162"/>
    <x v="9"/>
    <x v="241"/>
    <x v="156"/>
    <n v="1041.3926851582248"/>
    <x v="265"/>
  </r>
  <r>
    <x v="8"/>
    <x v="1"/>
    <x v="47"/>
    <x v="1"/>
    <n v="112"/>
    <x v="10"/>
    <x v="319"/>
    <x v="193"/>
    <n v="999.99999999999977"/>
    <x v="349"/>
  </r>
  <r>
    <x v="8"/>
    <x v="1"/>
    <x v="47"/>
    <x v="1"/>
    <n v="112"/>
    <x v="11"/>
    <x v="445"/>
    <x v="25"/>
    <n v="962.21143911060005"/>
    <x v="596"/>
  </r>
  <r>
    <x v="8"/>
    <x v="1"/>
    <x v="47"/>
    <x v="1"/>
    <n v="96"/>
    <x v="12"/>
    <x v="126"/>
    <x v="93"/>
    <n v="927.44933285138825"/>
    <x v="133"/>
  </r>
  <r>
    <x v="8"/>
    <x v="1"/>
    <x v="44"/>
    <x v="8"/>
    <n v="1065"/>
    <x v="0"/>
    <x v="443"/>
    <x v="7"/>
    <n v="1851.2583487190752"/>
    <x v="486"/>
  </r>
  <r>
    <x v="8"/>
    <x v="1"/>
    <x v="44"/>
    <x v="8"/>
    <n v="845"/>
    <x v="1"/>
    <x v="22"/>
    <x v="22"/>
    <n v="1550.228353055094"/>
    <x v="22"/>
  </r>
  <r>
    <x v="8"/>
    <x v="1"/>
    <x v="44"/>
    <x v="8"/>
    <n v="640"/>
    <x v="2"/>
    <x v="390"/>
    <x v="202"/>
    <n v="1374.1370939994129"/>
    <x v="428"/>
  </r>
  <r>
    <x v="8"/>
    <x v="1"/>
    <x v="44"/>
    <x v="8"/>
    <n v="510"/>
    <x v="3"/>
    <x v="541"/>
    <x v="283"/>
    <n v="1249.1983573911129"/>
    <x v="597"/>
  </r>
  <r>
    <x v="8"/>
    <x v="1"/>
    <x v="44"/>
    <x v="8"/>
    <n v="430"/>
    <x v="4"/>
    <x v="241"/>
    <x v="156"/>
    <n v="1152.2883443830563"/>
    <x v="265"/>
  </r>
  <r>
    <x v="8"/>
    <x v="1"/>
    <x v="44"/>
    <x v="8"/>
    <n v="340"/>
    <x v="5"/>
    <x v="36"/>
    <x v="35"/>
    <n v="1073.1070983354316"/>
    <x v="38"/>
  </r>
  <r>
    <x v="8"/>
    <x v="1"/>
    <x v="44"/>
    <x v="8"/>
    <n v="260"/>
    <x v="6"/>
    <x v="142"/>
    <x v="71"/>
    <n v="1006.1603087048186"/>
    <x v="152"/>
  </r>
  <r>
    <x v="8"/>
    <x v="1"/>
    <x v="44"/>
    <x v="8"/>
    <n v="170"/>
    <x v="7"/>
    <x v="255"/>
    <x v="160"/>
    <n v="948.1683617271317"/>
    <x v="282"/>
  </r>
  <r>
    <x v="8"/>
    <x v="1"/>
    <x v="2"/>
    <x v="2"/>
    <n v="4290"/>
    <x v="0"/>
    <x v="355"/>
    <x v="115"/>
    <n v="2235.5284469075486"/>
    <x v="389"/>
  </r>
  <r>
    <x v="8"/>
    <x v="1"/>
    <x v="2"/>
    <x v="2"/>
    <n v="3090"/>
    <x v="1"/>
    <x v="12"/>
    <x v="251"/>
    <n v="1934.4984512435674"/>
    <x v="512"/>
  </r>
  <r>
    <x v="8"/>
    <x v="1"/>
    <x v="2"/>
    <x v="2"/>
    <n v="2230"/>
    <x v="2"/>
    <x v="164"/>
    <x v="82"/>
    <n v="1758.4071921878863"/>
    <x v="176"/>
  </r>
  <r>
    <x v="8"/>
    <x v="1"/>
    <x v="2"/>
    <x v="2"/>
    <n v="1710"/>
    <x v="3"/>
    <x v="542"/>
    <x v="4"/>
    <n v="1633.4684555795861"/>
    <x v="598"/>
  </r>
  <r>
    <x v="8"/>
    <x v="1"/>
    <x v="2"/>
    <x v="2"/>
    <n v="1375"/>
    <x v="4"/>
    <x v="398"/>
    <x v="82"/>
    <n v="1536.5584425715299"/>
    <x v="437"/>
  </r>
  <r>
    <x v="8"/>
    <x v="1"/>
    <x v="2"/>
    <x v="2"/>
    <n v="1025"/>
    <x v="5"/>
    <x v="124"/>
    <x v="49"/>
    <n v="1457.377196523905"/>
    <x v="131"/>
  </r>
  <r>
    <x v="8"/>
    <x v="1"/>
    <x v="2"/>
    <x v="2"/>
    <n v="685"/>
    <x v="6"/>
    <x v="484"/>
    <x v="26"/>
    <n v="1390.4304068932918"/>
    <x v="532"/>
  </r>
  <r>
    <x v="8"/>
    <x v="1"/>
    <x v="2"/>
    <x v="2"/>
    <n v="465"/>
    <x v="7"/>
    <x v="239"/>
    <x v="92"/>
    <n v="1332.4384599156051"/>
    <x v="263"/>
  </r>
  <r>
    <x v="8"/>
    <x v="1"/>
    <x v="2"/>
    <x v="2"/>
    <n v="335"/>
    <x v="8"/>
    <x v="27"/>
    <x v="21"/>
    <n v="1281.2859374682239"/>
    <x v="91"/>
  </r>
  <r>
    <x v="8"/>
    <x v="1"/>
    <x v="2"/>
    <x v="2"/>
    <n v="255"/>
    <x v="9"/>
    <x v="108"/>
    <x v="37"/>
    <n v="1235.5284469075486"/>
    <x v="235"/>
  </r>
  <r>
    <x v="8"/>
    <x v="1"/>
    <x v="2"/>
    <x v="2"/>
    <n v="255"/>
    <x v="10"/>
    <x v="390"/>
    <x v="202"/>
    <n v="1194.1357617493236"/>
    <x v="428"/>
  </r>
  <r>
    <x v="8"/>
    <x v="1"/>
    <x v="2"/>
    <x v="2"/>
    <n v="255"/>
    <x v="11"/>
    <x v="229"/>
    <x v="153"/>
    <n v="1156.3472008599238"/>
    <x v="599"/>
  </r>
  <r>
    <x v="8"/>
    <x v="1"/>
    <x v="2"/>
    <x v="2"/>
    <n v="215"/>
    <x v="12"/>
    <x v="543"/>
    <x v="25"/>
    <n v="1121.585094600712"/>
    <x v="600"/>
  </r>
  <r>
    <x v="8"/>
    <x v="1"/>
    <x v="2"/>
    <x v="2"/>
    <n v="215"/>
    <x v="13"/>
    <x v="241"/>
    <x v="156"/>
    <n v="1089.4004112293107"/>
    <x v="265"/>
  </r>
  <r>
    <x v="8"/>
    <x v="1"/>
    <x v="2"/>
    <x v="2"/>
    <n v="215"/>
    <x v="14"/>
    <x v="395"/>
    <x v="25"/>
    <n v="1059.4371878518673"/>
    <x v="434"/>
  </r>
  <r>
    <x v="8"/>
    <x v="1"/>
    <x v="2"/>
    <x v="2"/>
    <n v="165"/>
    <x v="15"/>
    <x v="443"/>
    <x v="7"/>
    <n v="1031.4084642516239"/>
    <x v="486"/>
  </r>
  <r>
    <x v="8"/>
    <x v="1"/>
    <x v="2"/>
    <x v="2"/>
    <n v="165"/>
    <x v="16"/>
    <x v="249"/>
    <x v="159"/>
    <n v="1005.0795255292749"/>
    <x v="275"/>
  </r>
  <r>
    <x v="8"/>
    <x v="1"/>
    <x v="2"/>
    <x v="2"/>
    <n v="165"/>
    <x v="17"/>
    <x v="248"/>
    <x v="158"/>
    <n v="980.25594180424264"/>
    <x v="274"/>
  </r>
  <r>
    <x v="8"/>
    <x v="1"/>
    <x v="2"/>
    <x v="2"/>
    <n v="90"/>
    <x v="18"/>
    <x v="467"/>
    <x v="13"/>
    <n v="956.77484595471981"/>
    <x v="511"/>
  </r>
  <r>
    <x v="8"/>
    <x v="1"/>
    <x v="5"/>
    <x v="1"/>
    <n v="2215"/>
    <x v="0"/>
    <x v="544"/>
    <x v="50"/>
    <n v="2127.1047983648077"/>
    <x v="601"/>
  </r>
  <r>
    <x v="8"/>
    <x v="1"/>
    <x v="5"/>
    <x v="1"/>
    <n v="2215"/>
    <x v="1"/>
    <x v="487"/>
    <x v="25"/>
    <n v="1826.0748027008265"/>
    <x v="535"/>
  </r>
  <r>
    <x v="8"/>
    <x v="1"/>
    <x v="5"/>
    <x v="1"/>
    <n v="1410"/>
    <x v="2"/>
    <x v="215"/>
    <x v="104"/>
    <n v="1649.9835436451453"/>
    <x v="602"/>
  </r>
  <r>
    <x v="8"/>
    <x v="1"/>
    <x v="5"/>
    <x v="1"/>
    <n v="1110"/>
    <x v="3"/>
    <x v="545"/>
    <x v="284"/>
    <n v="1525.0448070368452"/>
    <x v="603"/>
  </r>
  <r>
    <x v="8"/>
    <x v="1"/>
    <x v="5"/>
    <x v="1"/>
    <n v="800"/>
    <x v="4"/>
    <x v="10"/>
    <x v="10"/>
    <n v="1428.134794028789"/>
    <x v="10"/>
  </r>
  <r>
    <x v="8"/>
    <x v="1"/>
    <x v="5"/>
    <x v="1"/>
    <n v="600"/>
    <x v="5"/>
    <x v="228"/>
    <x v="73"/>
    <n v="1348.9535479811641"/>
    <x v="251"/>
  </r>
  <r>
    <x v="8"/>
    <x v="1"/>
    <x v="5"/>
    <x v="1"/>
    <n v="400"/>
    <x v="6"/>
    <x v="9"/>
    <x v="9"/>
    <n v="1282.0067583505509"/>
    <x v="9"/>
  </r>
  <r>
    <x v="8"/>
    <x v="1"/>
    <x v="5"/>
    <x v="1"/>
    <n v="300"/>
    <x v="7"/>
    <x v="539"/>
    <x v="281"/>
    <n v="1224.0148113728642"/>
    <x v="594"/>
  </r>
  <r>
    <x v="8"/>
    <x v="1"/>
    <x v="5"/>
    <x v="1"/>
    <n v="200"/>
    <x v="8"/>
    <x v="359"/>
    <x v="210"/>
    <n v="1172.862288925483"/>
    <x v="394"/>
  </r>
  <r>
    <x v="8"/>
    <x v="1"/>
    <x v="5"/>
    <x v="1"/>
    <n v="200"/>
    <x v="9"/>
    <x v="36"/>
    <x v="35"/>
    <n v="1127.1047983648077"/>
    <x v="38"/>
  </r>
  <r>
    <x v="8"/>
    <x v="1"/>
    <x v="5"/>
    <x v="1"/>
    <n v="150"/>
    <x v="10"/>
    <x v="457"/>
    <x v="107"/>
    <n v="1085.7121132065827"/>
    <x v="501"/>
  </r>
  <r>
    <x v="8"/>
    <x v="1"/>
    <x v="5"/>
    <x v="1"/>
    <n v="150"/>
    <x v="11"/>
    <x v="541"/>
    <x v="283"/>
    <n v="1047.9235523171828"/>
    <x v="597"/>
  </r>
  <r>
    <x v="8"/>
    <x v="1"/>
    <x v="5"/>
    <x v="1"/>
    <n v="100"/>
    <x v="12"/>
    <x v="99"/>
    <x v="79"/>
    <n v="1013.161446057971"/>
    <x v="106"/>
  </r>
  <r>
    <x v="8"/>
    <x v="1"/>
    <x v="5"/>
    <x v="1"/>
    <n v="100"/>
    <x v="13"/>
    <x v="309"/>
    <x v="186"/>
    <n v="980.97676268656971"/>
    <x v="337"/>
  </r>
  <r>
    <x v="8"/>
    <x v="1"/>
    <x v="5"/>
    <x v="1"/>
    <n v="100"/>
    <x v="14"/>
    <x v="96"/>
    <x v="77"/>
    <n v="951.01353930912637"/>
    <x v="103"/>
  </r>
  <r>
    <x v="8"/>
    <x v="6"/>
    <x v="48"/>
    <x v="2"/>
    <n v="2295"/>
    <x v="0"/>
    <x v="45"/>
    <x v="73"/>
    <n v="1732.3937598229686"/>
    <x v="140"/>
  </r>
  <r>
    <x v="8"/>
    <x v="6"/>
    <x v="48"/>
    <x v="2"/>
    <n v="1350"/>
    <x v="1"/>
    <x v="539"/>
    <x v="281"/>
    <n v="1431.3637641589874"/>
    <x v="594"/>
  </r>
  <r>
    <x v="8"/>
    <x v="6"/>
    <x v="48"/>
    <x v="2"/>
    <n v="810"/>
    <x v="2"/>
    <x v="153"/>
    <x v="107"/>
    <n v="1255.2725051033062"/>
    <x v="165"/>
  </r>
  <r>
    <x v="8"/>
    <x v="6"/>
    <x v="48"/>
    <x v="2"/>
    <n v="540"/>
    <x v="3"/>
    <x v="305"/>
    <x v="98"/>
    <n v="1130.3337684950061"/>
    <x v="333"/>
  </r>
  <r>
    <x v="8"/>
    <x v="6"/>
    <x v="48"/>
    <x v="2"/>
    <n v="270"/>
    <x v="4"/>
    <x v="255"/>
    <x v="160"/>
    <n v="1033.4237554869499"/>
    <x v="282"/>
  </r>
  <r>
    <x v="8"/>
    <x v="6"/>
    <x v="48"/>
    <x v="2"/>
    <n v="135"/>
    <x v="5"/>
    <x v="390"/>
    <x v="202"/>
    <n v="954.24250943932498"/>
    <x v="428"/>
  </r>
  <r>
    <x v="8"/>
    <x v="6"/>
    <x v="49"/>
    <x v="1"/>
    <n v="1200"/>
    <x v="0"/>
    <x v="485"/>
    <x v="262"/>
    <n v="1681.2412373755872"/>
    <x v="533"/>
  </r>
  <r>
    <x v="8"/>
    <x v="6"/>
    <x v="49"/>
    <x v="1"/>
    <n v="720"/>
    <x v="1"/>
    <x v="300"/>
    <x v="25"/>
    <n v="1380.2112417116059"/>
    <x v="328"/>
  </r>
  <r>
    <x v="8"/>
    <x v="6"/>
    <x v="49"/>
    <x v="1"/>
    <n v="430"/>
    <x v="2"/>
    <x v="355"/>
    <x v="115"/>
    <n v="1204.1199826559248"/>
    <x v="389"/>
  </r>
  <r>
    <x v="8"/>
    <x v="6"/>
    <x v="49"/>
    <x v="1"/>
    <n v="290"/>
    <x v="3"/>
    <x v="489"/>
    <x v="112"/>
    <n v="1079.1812460476247"/>
    <x v="538"/>
  </r>
  <r>
    <x v="8"/>
    <x v="6"/>
    <x v="49"/>
    <x v="1"/>
    <n v="145"/>
    <x v="4"/>
    <x v="484"/>
    <x v="26"/>
    <n v="982.2712330395683"/>
    <x v="532"/>
  </r>
  <r>
    <x v="8"/>
    <x v="6"/>
    <x v="49"/>
    <x v="1"/>
    <n v="95"/>
    <x v="5"/>
    <x v="377"/>
    <x v="92"/>
    <n v="903.08998699194353"/>
    <x v="414"/>
  </r>
  <r>
    <x v="8"/>
    <x v="6"/>
    <x v="50"/>
    <x v="7"/>
    <n v="455"/>
    <x v="0"/>
    <x v="196"/>
    <x v="92"/>
    <n v="1690.1960800285137"/>
    <x v="214"/>
  </r>
  <r>
    <x v="8"/>
    <x v="6"/>
    <x v="50"/>
    <x v="7"/>
    <n v="1100"/>
    <x v="1"/>
    <x v="452"/>
    <x v="144"/>
    <n v="1389.1660843645325"/>
    <x v="496"/>
  </r>
  <r>
    <x v="8"/>
    <x v="6"/>
    <x v="50"/>
    <x v="7"/>
    <n v="640"/>
    <x v="2"/>
    <x v="546"/>
    <x v="113"/>
    <n v="1213.0748253088514"/>
    <x v="604"/>
  </r>
  <r>
    <x v="8"/>
    <x v="6"/>
    <x v="50"/>
    <x v="7"/>
    <n v="400"/>
    <x v="3"/>
    <x v="305"/>
    <x v="98"/>
    <n v="1088.1360887005512"/>
    <x v="333"/>
  </r>
  <r>
    <x v="8"/>
    <x v="6"/>
    <x v="50"/>
    <x v="7"/>
    <n v="260"/>
    <x v="4"/>
    <x v="9"/>
    <x v="9"/>
    <n v="991.22607569249476"/>
    <x v="9"/>
  </r>
  <r>
    <x v="8"/>
    <x v="6"/>
    <x v="50"/>
    <x v="7"/>
    <n v="85"/>
    <x v="5"/>
    <x v="427"/>
    <x v="180"/>
    <n v="912.04482964486999"/>
    <x v="469"/>
  </r>
  <r>
    <x v="8"/>
    <x v="3"/>
    <x v="31"/>
    <x v="2"/>
    <n v="1200"/>
    <x v="0"/>
    <x v="525"/>
    <x v="30"/>
    <n v="1681.2412373755872"/>
    <x v="577"/>
  </r>
  <r>
    <x v="8"/>
    <x v="3"/>
    <x v="31"/>
    <x v="2"/>
    <n v="900"/>
    <x v="1"/>
    <x v="547"/>
    <x v="80"/>
    <n v="1380.2112417116059"/>
    <x v="605"/>
  </r>
  <r>
    <x v="8"/>
    <x v="3"/>
    <x v="31"/>
    <x v="2"/>
    <n v="600"/>
    <x v="2"/>
    <x v="482"/>
    <x v="37"/>
    <n v="1204.1199826559248"/>
    <x v="530"/>
  </r>
  <r>
    <x v="8"/>
    <x v="3"/>
    <x v="31"/>
    <x v="2"/>
    <n v="500"/>
    <x v="3"/>
    <x v="4"/>
    <x v="4"/>
    <n v="1079.1812460476247"/>
    <x v="4"/>
  </r>
  <r>
    <x v="8"/>
    <x v="3"/>
    <x v="31"/>
    <x v="2"/>
    <n v="400"/>
    <x v="64"/>
    <x v="548"/>
    <x v="3"/>
    <n v="868.32788073273161"/>
    <x v="606"/>
  </r>
  <r>
    <x v="8"/>
    <x v="3"/>
    <x v="31"/>
    <x v="2"/>
    <n v="400"/>
    <x v="64"/>
    <x v="416"/>
    <x v="153"/>
    <n v="868.32788073273161"/>
    <x v="458"/>
  </r>
  <r>
    <x v="8"/>
    <x v="3"/>
    <x v="31"/>
    <x v="2"/>
    <n v="400"/>
    <x v="64"/>
    <x v="407"/>
    <x v="56"/>
    <n v="868.32788073273161"/>
    <x v="447"/>
  </r>
  <r>
    <x v="8"/>
    <x v="3"/>
    <x v="31"/>
    <x v="2"/>
    <n v="400"/>
    <x v="64"/>
    <x v="544"/>
    <x v="50"/>
    <n v="868.32788073273161"/>
    <x v="601"/>
  </r>
  <r>
    <x v="8"/>
    <x v="3"/>
    <x v="2"/>
    <x v="2"/>
    <n v="1889"/>
    <x v="0"/>
    <x v="83"/>
    <x v="57"/>
    <n v="2000"/>
    <x v="89"/>
  </r>
  <r>
    <x v="8"/>
    <x v="3"/>
    <x v="2"/>
    <x v="2"/>
    <n v="1889"/>
    <x v="1"/>
    <x v="438"/>
    <x v="50"/>
    <n v="1698.9700043360187"/>
    <x v="481"/>
  </r>
  <r>
    <x v="8"/>
    <x v="3"/>
    <x v="2"/>
    <x v="2"/>
    <n v="1490"/>
    <x v="2"/>
    <x v="472"/>
    <x v="13"/>
    <n v="1522.8787452803376"/>
    <x v="518"/>
  </r>
  <r>
    <x v="8"/>
    <x v="3"/>
    <x v="2"/>
    <x v="2"/>
    <n v="775"/>
    <x v="3"/>
    <x v="549"/>
    <x v="25"/>
    <n v="1397.9400086720375"/>
    <x v="607"/>
  </r>
  <r>
    <x v="8"/>
    <x v="3"/>
    <x v="2"/>
    <x v="2"/>
    <n v="620"/>
    <x v="4"/>
    <x v="49"/>
    <x v="13"/>
    <n v="1301.0299956639813"/>
    <x v="51"/>
  </r>
  <r>
    <x v="8"/>
    <x v="3"/>
    <x v="2"/>
    <x v="2"/>
    <n v="495"/>
    <x v="5"/>
    <x v="550"/>
    <x v="26"/>
    <n v="1221.8487496163564"/>
    <x v="608"/>
  </r>
  <r>
    <x v="8"/>
    <x v="3"/>
    <x v="2"/>
    <x v="2"/>
    <n v="407"/>
    <x v="6"/>
    <x v="25"/>
    <x v="25"/>
    <n v="1154.9019599857431"/>
    <x v="25"/>
  </r>
  <r>
    <x v="8"/>
    <x v="3"/>
    <x v="2"/>
    <x v="2"/>
    <n v="340"/>
    <x v="7"/>
    <x v="551"/>
    <x v="285"/>
    <n v="1096.9100130080565"/>
    <x v="609"/>
  </r>
  <r>
    <x v="8"/>
    <x v="3"/>
    <x v="2"/>
    <x v="2"/>
    <n v="295"/>
    <x v="8"/>
    <x v="377"/>
    <x v="92"/>
    <n v="1045.7574905606753"/>
    <x v="414"/>
  </r>
  <r>
    <x v="8"/>
    <x v="3"/>
    <x v="2"/>
    <x v="2"/>
    <n v="242"/>
    <x v="9"/>
    <x v="473"/>
    <x v="255"/>
    <n v="1000"/>
    <x v="519"/>
  </r>
  <r>
    <x v="8"/>
    <x v="3"/>
    <x v="2"/>
    <x v="2"/>
    <n v="242"/>
    <x v="10"/>
    <x v="356"/>
    <x v="155"/>
    <n v="958.60731484177484"/>
    <x v="610"/>
  </r>
  <r>
    <x v="8"/>
    <x v="3"/>
    <x v="2"/>
    <x v="2"/>
    <n v="242"/>
    <x v="11"/>
    <x v="552"/>
    <x v="15"/>
    <n v="920.81875395237512"/>
    <x v="611"/>
  </r>
  <r>
    <x v="8"/>
    <x v="3"/>
    <x v="2"/>
    <x v="2"/>
    <n v="208"/>
    <x v="12"/>
    <x v="165"/>
    <x v="115"/>
    <n v="886.05664769316331"/>
    <x v="177"/>
  </r>
  <r>
    <x v="8"/>
    <x v="3"/>
    <x v="2"/>
    <x v="2"/>
    <n v="208"/>
    <x v="13"/>
    <x v="147"/>
    <x v="1"/>
    <n v="853.87196432176199"/>
    <x v="158"/>
  </r>
  <r>
    <x v="8"/>
    <x v="3"/>
    <x v="2"/>
    <x v="2"/>
    <n v="208"/>
    <x v="14"/>
    <x v="443"/>
    <x v="7"/>
    <n v="823.90874094431865"/>
    <x v="486"/>
  </r>
  <r>
    <x v="8"/>
    <x v="3"/>
    <x v="2"/>
    <x v="2"/>
    <n v="150"/>
    <x v="15"/>
    <x v="419"/>
    <x v="237"/>
    <n v="795.88001734407521"/>
    <x v="461"/>
  </r>
  <r>
    <x v="8"/>
    <x v="3"/>
    <x v="17"/>
    <x v="7"/>
    <n v="1110"/>
    <x v="0"/>
    <x v="334"/>
    <x v="13"/>
    <n v="826.60625688767186"/>
    <x v="367"/>
  </r>
  <r>
    <x v="8"/>
    <x v="3"/>
    <x v="17"/>
    <x v="7"/>
    <n v="1110"/>
    <x v="0"/>
    <x v="419"/>
    <x v="237"/>
    <n v="826.60625688767186"/>
    <x v="461"/>
  </r>
  <r>
    <x v="8"/>
    <x v="3"/>
    <x v="17"/>
    <x v="7"/>
    <n v="1110"/>
    <x v="1"/>
    <x v="553"/>
    <x v="286"/>
    <n v="676.09125905568123"/>
    <x v="612"/>
  </r>
  <r>
    <x v="8"/>
    <x v="3"/>
    <x v="17"/>
    <x v="7"/>
    <n v="1110"/>
    <x v="1"/>
    <x v="148"/>
    <x v="25"/>
    <n v="676.09125905568123"/>
    <x v="159"/>
  </r>
  <r>
    <x v="8"/>
    <x v="3"/>
    <x v="17"/>
    <x v="7"/>
    <n v="555"/>
    <x v="2"/>
    <x v="554"/>
    <x v="123"/>
    <n v="588.04562952784067"/>
    <x v="613"/>
  </r>
  <r>
    <x v="8"/>
    <x v="3"/>
    <x v="17"/>
    <x v="7"/>
    <n v="555"/>
    <x v="2"/>
    <x v="270"/>
    <x v="30"/>
    <n v="588.04562952784067"/>
    <x v="298"/>
  </r>
  <r>
    <x v="8"/>
    <x v="3"/>
    <x v="17"/>
    <x v="7"/>
    <n v="476"/>
    <x v="3"/>
    <x v="40"/>
    <x v="38"/>
    <n v="525.57626122369072"/>
    <x v="42"/>
  </r>
  <r>
    <x v="8"/>
    <x v="3"/>
    <x v="17"/>
    <x v="7"/>
    <n v="476"/>
    <x v="3"/>
    <x v="141"/>
    <x v="56"/>
    <n v="525.57626122369072"/>
    <x v="151"/>
  </r>
  <r>
    <x v="8"/>
    <x v="3"/>
    <x v="17"/>
    <x v="7"/>
    <n v="397"/>
    <x v="4"/>
    <x v="551"/>
    <x v="285"/>
    <n v="477.12125471966243"/>
    <x v="609"/>
  </r>
  <r>
    <x v="8"/>
    <x v="3"/>
    <x v="17"/>
    <x v="7"/>
    <n v="397"/>
    <x v="4"/>
    <x v="190"/>
    <x v="287"/>
    <n v="477.12125471966243"/>
    <x v="614"/>
  </r>
  <r>
    <x v="8"/>
    <x v="3"/>
    <x v="17"/>
    <x v="7"/>
    <n v="317"/>
    <x v="5"/>
    <x v="94"/>
    <x v="75"/>
    <n v="437.53063169585005"/>
    <x v="101"/>
  </r>
  <r>
    <x v="8"/>
    <x v="3"/>
    <x v="17"/>
    <x v="7"/>
    <n v="317"/>
    <x v="5"/>
    <x v="158"/>
    <x v="111"/>
    <n v="437.53063169585005"/>
    <x v="170"/>
  </r>
  <r>
    <x v="8"/>
    <x v="3"/>
    <x v="17"/>
    <x v="7"/>
    <n v="100"/>
    <x v="6"/>
    <x v="555"/>
    <x v="288"/>
    <n v="404.05723688054348"/>
    <x v="615"/>
  </r>
  <r>
    <x v="8"/>
    <x v="3"/>
    <x v="17"/>
    <x v="7"/>
    <n v="100"/>
    <x v="6"/>
    <x v="526"/>
    <x v="12"/>
    <n v="404.05723688054348"/>
    <x v="578"/>
  </r>
  <r>
    <x v="8"/>
    <x v="3"/>
    <x v="17"/>
    <x v="7"/>
    <n v="100"/>
    <x v="7"/>
    <x v="376"/>
    <x v="202"/>
    <n v="375.06126339170009"/>
    <x v="413"/>
  </r>
  <r>
    <x v="8"/>
    <x v="3"/>
    <x v="17"/>
    <x v="7"/>
    <n v="100"/>
    <x v="7"/>
    <x v="483"/>
    <x v="7"/>
    <n v="375.06126339170009"/>
    <x v="531"/>
  </r>
  <r>
    <x v="8"/>
    <x v="3"/>
    <x v="17"/>
    <x v="7"/>
    <n v="100"/>
    <x v="8"/>
    <x v="416"/>
    <x v="77"/>
    <n v="349.48500216800943"/>
    <x v="616"/>
  </r>
  <r>
    <x v="8"/>
    <x v="3"/>
    <x v="17"/>
    <x v="7"/>
    <n v="100"/>
    <x v="8"/>
    <x v="556"/>
    <x v="13"/>
    <n v="349.48500216800943"/>
    <x v="617"/>
  </r>
  <r>
    <x v="8"/>
    <x v="3"/>
    <x v="17"/>
    <x v="7"/>
    <n v="100"/>
    <x v="9"/>
    <x v="381"/>
    <x v="279"/>
    <n v="326.60625688767186"/>
    <x v="589"/>
  </r>
  <r>
    <x v="8"/>
    <x v="3"/>
    <x v="17"/>
    <x v="7"/>
    <n v="100"/>
    <x v="9"/>
    <x v="426"/>
    <x v="240"/>
    <n v="326.60625688767186"/>
    <x v="468"/>
  </r>
  <r>
    <x v="8"/>
    <x v="3"/>
    <x v="51"/>
    <x v="4"/>
    <n v="1004"/>
    <x v="0"/>
    <x v="381"/>
    <x v="279"/>
    <n v="1505.149978319906"/>
    <x v="589"/>
  </r>
  <r>
    <x v="8"/>
    <x v="3"/>
    <x v="51"/>
    <x v="4"/>
    <n v="600"/>
    <x v="1"/>
    <x v="379"/>
    <x v="53"/>
    <n v="1204.1199826559248"/>
    <x v="417"/>
  </r>
  <r>
    <x v="8"/>
    <x v="3"/>
    <x v="51"/>
    <x v="4"/>
    <n v="415"/>
    <x v="2"/>
    <x v="557"/>
    <x v="289"/>
    <n v="1028.0287236002437"/>
    <x v="618"/>
  </r>
  <r>
    <x v="8"/>
    <x v="3"/>
    <x v="51"/>
    <x v="4"/>
    <n v="345"/>
    <x v="3"/>
    <x v="558"/>
    <x v="44"/>
    <n v="903.08998699194365"/>
    <x v="619"/>
  </r>
  <r>
    <x v="8"/>
    <x v="3"/>
    <x v="51"/>
    <x v="4"/>
    <n v="280"/>
    <x v="4"/>
    <x v="15"/>
    <x v="31"/>
    <n v="806.17997398388718"/>
    <x v="32"/>
  </r>
  <r>
    <x v="8"/>
    <x v="3"/>
    <x v="51"/>
    <x v="4"/>
    <n v="220"/>
    <x v="5"/>
    <x v="270"/>
    <x v="30"/>
    <n v="726.99872793626241"/>
    <x v="298"/>
  </r>
  <r>
    <x v="8"/>
    <x v="3"/>
    <x v="51"/>
    <x v="4"/>
    <n v="120"/>
    <x v="6"/>
    <x v="528"/>
    <x v="267"/>
    <n v="660.05193830564929"/>
    <x v="580"/>
  </r>
  <r>
    <x v="8"/>
    <x v="3"/>
    <x v="51"/>
    <x v="4"/>
    <n v="120"/>
    <x v="7"/>
    <x v="42"/>
    <x v="40"/>
    <n v="602.05999132796251"/>
    <x v="44"/>
  </r>
  <r>
    <x v="9"/>
    <x v="0"/>
    <x v="2"/>
    <x v="2"/>
    <n v="0"/>
    <x v="0"/>
    <x v="559"/>
    <x v="290"/>
    <n v="2149.2191126553798"/>
    <x v="620"/>
  </r>
  <r>
    <x v="9"/>
    <x v="0"/>
    <x v="2"/>
    <x v="2"/>
    <n v="0"/>
    <x v="1"/>
    <x v="427"/>
    <x v="180"/>
    <n v="1848.1891169913984"/>
    <x v="469"/>
  </r>
  <r>
    <x v="9"/>
    <x v="0"/>
    <x v="2"/>
    <x v="2"/>
    <n v="0"/>
    <x v="2"/>
    <x v="560"/>
    <x v="120"/>
    <n v="1672.0978579357172"/>
    <x v="621"/>
  </r>
  <r>
    <x v="9"/>
    <x v="0"/>
    <x v="2"/>
    <x v="2"/>
    <n v="0"/>
    <x v="3"/>
    <x v="8"/>
    <x v="29"/>
    <n v="1547.1591213274171"/>
    <x v="29"/>
  </r>
  <r>
    <x v="9"/>
    <x v="0"/>
    <x v="2"/>
    <x v="2"/>
    <n v="0"/>
    <x v="4"/>
    <x v="13"/>
    <x v="13"/>
    <n v="1450.2491083193609"/>
    <x v="13"/>
  </r>
  <r>
    <x v="9"/>
    <x v="0"/>
    <x v="2"/>
    <x v="2"/>
    <n v="0"/>
    <x v="5"/>
    <x v="108"/>
    <x v="84"/>
    <n v="1371.067862271736"/>
    <x v="555"/>
  </r>
  <r>
    <x v="9"/>
    <x v="0"/>
    <x v="2"/>
    <x v="2"/>
    <n v="0"/>
    <x v="6"/>
    <x v="28"/>
    <x v="28"/>
    <n v="1304.1210726411227"/>
    <x v="28"/>
  </r>
  <r>
    <x v="9"/>
    <x v="0"/>
    <x v="2"/>
    <x v="2"/>
    <n v="0"/>
    <x v="7"/>
    <x v="102"/>
    <x v="37"/>
    <n v="1246.1291256634361"/>
    <x v="109"/>
  </r>
  <r>
    <x v="9"/>
    <x v="0"/>
    <x v="2"/>
    <x v="2"/>
    <n v="0"/>
    <x v="8"/>
    <x v="10"/>
    <x v="10"/>
    <n v="1194.9766032160549"/>
    <x v="10"/>
  </r>
  <r>
    <x v="9"/>
    <x v="0"/>
    <x v="2"/>
    <x v="2"/>
    <n v="0"/>
    <x v="9"/>
    <x v="31"/>
    <x v="50"/>
    <n v="1149.2191126553796"/>
    <x v="273"/>
  </r>
  <r>
    <x v="9"/>
    <x v="0"/>
    <x v="2"/>
    <x v="2"/>
    <n v="0"/>
    <x v="10"/>
    <x v="353"/>
    <x v="207"/>
    <n v="1107.8264274971546"/>
    <x v="387"/>
  </r>
  <r>
    <x v="9"/>
    <x v="0"/>
    <x v="2"/>
    <x v="2"/>
    <n v="0"/>
    <x v="11"/>
    <x v="40"/>
    <x v="38"/>
    <n v="1070.0378666077547"/>
    <x v="42"/>
  </r>
  <r>
    <x v="9"/>
    <x v="0"/>
    <x v="2"/>
    <x v="2"/>
    <n v="0"/>
    <x v="12"/>
    <x v="561"/>
    <x v="291"/>
    <n v="1035.2757603485429"/>
    <x v="622"/>
  </r>
  <r>
    <x v="9"/>
    <x v="0"/>
    <x v="2"/>
    <x v="2"/>
    <n v="0"/>
    <x v="13"/>
    <x v="562"/>
    <x v="292"/>
    <n v="1003.0910769771417"/>
    <x v="623"/>
  </r>
  <r>
    <x v="9"/>
    <x v="0"/>
    <x v="2"/>
    <x v="2"/>
    <n v="0"/>
    <x v="14"/>
    <x v="563"/>
    <x v="292"/>
    <n v="973.12785359969837"/>
    <x v="624"/>
  </r>
  <r>
    <x v="9"/>
    <x v="0"/>
    <x v="2"/>
    <x v="2"/>
    <n v="0"/>
    <x v="15"/>
    <x v="564"/>
    <x v="292"/>
    <n v="945.09912999945493"/>
    <x v="625"/>
  </r>
  <r>
    <x v="9"/>
    <x v="0"/>
    <x v="2"/>
    <x v="2"/>
    <n v="0"/>
    <x v="16"/>
    <x v="49"/>
    <x v="13"/>
    <n v="918.77019127710582"/>
    <x v="51"/>
  </r>
  <r>
    <x v="9"/>
    <x v="0"/>
    <x v="2"/>
    <x v="2"/>
    <n v="0"/>
    <x v="17"/>
    <x v="382"/>
    <x v="11"/>
    <n v="893.94660755207371"/>
    <x v="420"/>
  </r>
  <r>
    <x v="9"/>
    <x v="0"/>
    <x v="52"/>
    <x v="8"/>
    <n v="0"/>
    <x v="0"/>
    <x v="32"/>
    <x v="33"/>
    <n v="1681.2412373755872"/>
    <x v="34"/>
  </r>
  <r>
    <x v="9"/>
    <x v="0"/>
    <x v="52"/>
    <x v="8"/>
    <n v="0"/>
    <x v="1"/>
    <x v="481"/>
    <x v="261"/>
    <n v="1380.2112417116059"/>
    <x v="529"/>
  </r>
  <r>
    <x v="9"/>
    <x v="0"/>
    <x v="52"/>
    <x v="8"/>
    <n v="0"/>
    <x v="2"/>
    <x v="16"/>
    <x v="50"/>
    <n v="1204.1199826559248"/>
    <x v="368"/>
  </r>
  <r>
    <x v="9"/>
    <x v="0"/>
    <x v="52"/>
    <x v="8"/>
    <n v="0"/>
    <x v="3"/>
    <x v="565"/>
    <x v="292"/>
    <n v="1079.1812460476247"/>
    <x v="626"/>
  </r>
  <r>
    <x v="9"/>
    <x v="0"/>
    <x v="52"/>
    <x v="8"/>
    <n v="0"/>
    <x v="4"/>
    <x v="12"/>
    <x v="12"/>
    <n v="982.2712330395683"/>
    <x v="12"/>
  </r>
  <r>
    <x v="9"/>
    <x v="0"/>
    <x v="5"/>
    <x v="1"/>
    <n v="0"/>
    <x v="0"/>
    <x v="40"/>
    <x v="38"/>
    <n v="1857.3324964312685"/>
    <x v="42"/>
  </r>
  <r>
    <x v="9"/>
    <x v="0"/>
    <x v="5"/>
    <x v="1"/>
    <n v="0"/>
    <x v="1"/>
    <x v="566"/>
    <x v="293"/>
    <n v="1556.3025007672873"/>
    <x v="627"/>
  </r>
  <r>
    <x v="9"/>
    <x v="0"/>
    <x v="5"/>
    <x v="1"/>
    <n v="0"/>
    <x v="2"/>
    <x v="205"/>
    <x v="138"/>
    <n v="1380.2112417116061"/>
    <x v="223"/>
  </r>
  <r>
    <x v="9"/>
    <x v="0"/>
    <x v="5"/>
    <x v="1"/>
    <n v="0"/>
    <x v="3"/>
    <x v="52"/>
    <x v="7"/>
    <n v="1255.272505103306"/>
    <x v="55"/>
  </r>
  <r>
    <x v="9"/>
    <x v="0"/>
    <x v="5"/>
    <x v="1"/>
    <n v="0"/>
    <x v="4"/>
    <x v="567"/>
    <x v="222"/>
    <n v="1158.3624920952498"/>
    <x v="628"/>
  </r>
  <r>
    <x v="9"/>
    <x v="0"/>
    <x v="5"/>
    <x v="1"/>
    <n v="0"/>
    <x v="5"/>
    <x v="568"/>
    <x v="81"/>
    <n v="1079.1812460476249"/>
    <x v="629"/>
  </r>
  <r>
    <x v="9"/>
    <x v="0"/>
    <x v="5"/>
    <x v="1"/>
    <n v="0"/>
    <x v="6"/>
    <x v="569"/>
    <x v="128"/>
    <n v="1012.2344564170116"/>
    <x v="630"/>
  </r>
  <r>
    <x v="9"/>
    <x v="0"/>
    <x v="5"/>
    <x v="1"/>
    <n v="0"/>
    <x v="7"/>
    <x v="55"/>
    <x v="47"/>
    <n v="954.24250943932498"/>
    <x v="58"/>
  </r>
  <r>
    <x v="9"/>
    <x v="0"/>
    <x v="5"/>
    <x v="1"/>
    <n v="0"/>
    <x v="8"/>
    <x v="408"/>
    <x v="94"/>
    <n v="903.08998699194365"/>
    <x v="448"/>
  </r>
  <r>
    <x v="9"/>
    <x v="0"/>
    <x v="5"/>
    <x v="1"/>
    <n v="0"/>
    <x v="9"/>
    <x v="532"/>
    <x v="239"/>
    <n v="857.33249643126851"/>
    <x v="586"/>
  </r>
  <r>
    <x v="9"/>
    <x v="1"/>
    <x v="53"/>
    <x v="1"/>
    <n v="1670"/>
    <x v="0"/>
    <x v="246"/>
    <x v="34"/>
    <n v="1934.4984512435676"/>
    <x v="270"/>
  </r>
  <r>
    <x v="9"/>
    <x v="1"/>
    <x v="53"/>
    <x v="1"/>
    <n v="1225"/>
    <x v="1"/>
    <x v="355"/>
    <x v="115"/>
    <n v="1633.4684555795864"/>
    <x v="389"/>
  </r>
  <r>
    <x v="9"/>
    <x v="1"/>
    <x v="53"/>
    <x v="1"/>
    <n v="970"/>
    <x v="2"/>
    <x v="570"/>
    <x v="282"/>
    <n v="1457.3771965239052"/>
    <x v="631"/>
  </r>
  <r>
    <x v="9"/>
    <x v="1"/>
    <x v="53"/>
    <x v="1"/>
    <n v="775"/>
    <x v="3"/>
    <x v="109"/>
    <x v="85"/>
    <n v="1332.4384599156053"/>
    <x v="116"/>
  </r>
  <r>
    <x v="9"/>
    <x v="1"/>
    <x v="53"/>
    <x v="1"/>
    <n v="580"/>
    <x v="4"/>
    <x v="305"/>
    <x v="98"/>
    <n v="1235.5284469075486"/>
    <x v="333"/>
  </r>
  <r>
    <x v="9"/>
    <x v="1"/>
    <x v="53"/>
    <x v="1"/>
    <n v="450"/>
    <x v="5"/>
    <x v="80"/>
    <x v="294"/>
    <n v="1156.347200859924"/>
    <x v="632"/>
  </r>
  <r>
    <x v="9"/>
    <x v="1"/>
    <x v="53"/>
    <x v="1"/>
    <n v="325"/>
    <x v="6"/>
    <x v="309"/>
    <x v="186"/>
    <n v="1089.400411229311"/>
    <x v="337"/>
  </r>
  <r>
    <x v="9"/>
    <x v="1"/>
    <x v="53"/>
    <x v="1"/>
    <n v="195"/>
    <x v="7"/>
    <x v="485"/>
    <x v="262"/>
    <n v="1031.4084642516241"/>
    <x v="533"/>
  </r>
  <r>
    <x v="9"/>
    <x v="1"/>
    <x v="53"/>
    <x v="1"/>
    <n v="130"/>
    <x v="8"/>
    <x v="241"/>
    <x v="156"/>
    <n v="980.25594180424275"/>
    <x v="265"/>
  </r>
  <r>
    <x v="9"/>
    <x v="1"/>
    <x v="53"/>
    <x v="1"/>
    <n v="130"/>
    <x v="9"/>
    <x v="484"/>
    <x v="26"/>
    <n v="934.49845124356773"/>
    <x v="532"/>
  </r>
  <r>
    <x v="9"/>
    <x v="1"/>
    <x v="44"/>
    <x v="8"/>
    <n v="825"/>
    <x v="0"/>
    <x v="36"/>
    <x v="35"/>
    <n v="1770.8520116421441"/>
    <x v="38"/>
  </r>
  <r>
    <x v="9"/>
    <x v="1"/>
    <x v="44"/>
    <x v="8"/>
    <n v="620"/>
    <x v="1"/>
    <x v="518"/>
    <x v="222"/>
    <n v="1469.8220159781629"/>
    <x v="569"/>
  </r>
  <r>
    <x v="9"/>
    <x v="1"/>
    <x v="44"/>
    <x v="8"/>
    <n v="470"/>
    <x v="2"/>
    <x v="452"/>
    <x v="144"/>
    <n v="1293.7307569224818"/>
    <x v="496"/>
  </r>
  <r>
    <x v="9"/>
    <x v="1"/>
    <x v="44"/>
    <x v="8"/>
    <n v="385"/>
    <x v="3"/>
    <x v="125"/>
    <x v="15"/>
    <n v="1168.7920203141816"/>
    <x v="132"/>
  </r>
  <r>
    <x v="9"/>
    <x v="1"/>
    <x v="44"/>
    <x v="8"/>
    <n v="295"/>
    <x v="4"/>
    <x v="126"/>
    <x v="93"/>
    <n v="1071.8820073061254"/>
    <x v="133"/>
  </r>
  <r>
    <x v="9"/>
    <x v="1"/>
    <x v="44"/>
    <x v="8"/>
    <n v="205"/>
    <x v="5"/>
    <x v="12"/>
    <x v="251"/>
    <n v="992.70076125850062"/>
    <x v="512"/>
  </r>
  <r>
    <x v="9"/>
    <x v="1"/>
    <x v="44"/>
    <x v="8"/>
    <n v="150"/>
    <x v="6"/>
    <x v="123"/>
    <x v="204"/>
    <n v="925.75397162788738"/>
    <x v="633"/>
  </r>
  <r>
    <x v="9"/>
    <x v="1"/>
    <x v="2"/>
    <x v="2"/>
    <n v="3945"/>
    <x v="0"/>
    <x v="1"/>
    <x v="1"/>
    <n v="2198.6570869544225"/>
    <x v="1"/>
  </r>
  <r>
    <x v="9"/>
    <x v="1"/>
    <x v="2"/>
    <x v="2"/>
    <n v="2845"/>
    <x v="1"/>
    <x v="249"/>
    <x v="159"/>
    <n v="1897.6270912904413"/>
    <x v="275"/>
  </r>
  <r>
    <x v="9"/>
    <x v="1"/>
    <x v="2"/>
    <x v="2"/>
    <n v="2210"/>
    <x v="2"/>
    <x v="571"/>
    <x v="295"/>
    <n v="1721.5358322347602"/>
    <x v="634"/>
  </r>
  <r>
    <x v="9"/>
    <x v="1"/>
    <x v="2"/>
    <x v="2"/>
    <n v="1740"/>
    <x v="3"/>
    <x v="173"/>
    <x v="121"/>
    <n v="1596.59709562646"/>
    <x v="188"/>
  </r>
  <r>
    <x v="9"/>
    <x v="1"/>
    <x v="2"/>
    <x v="2"/>
    <n v="1265"/>
    <x v="4"/>
    <x v="28"/>
    <x v="28"/>
    <n v="1499.6870826184038"/>
    <x v="28"/>
  </r>
  <r>
    <x v="9"/>
    <x v="1"/>
    <x v="2"/>
    <x v="2"/>
    <n v="950"/>
    <x v="5"/>
    <x v="164"/>
    <x v="82"/>
    <n v="1420.5058365707789"/>
    <x v="176"/>
  </r>
  <r>
    <x v="9"/>
    <x v="1"/>
    <x v="2"/>
    <x v="2"/>
    <n v="630"/>
    <x v="6"/>
    <x v="391"/>
    <x v="25"/>
    <n v="1353.5590469401657"/>
    <x v="430"/>
  </r>
  <r>
    <x v="9"/>
    <x v="1"/>
    <x v="2"/>
    <x v="2"/>
    <n v="475"/>
    <x v="7"/>
    <x v="492"/>
    <x v="113"/>
    <n v="1295.567099962479"/>
    <x v="541"/>
  </r>
  <r>
    <x v="9"/>
    <x v="1"/>
    <x v="2"/>
    <x v="2"/>
    <n v="315"/>
    <x v="8"/>
    <x v="17"/>
    <x v="17"/>
    <n v="1244.4145775150978"/>
    <x v="17"/>
  </r>
  <r>
    <x v="9"/>
    <x v="1"/>
    <x v="2"/>
    <x v="2"/>
    <n v="315"/>
    <x v="9"/>
    <x v="149"/>
    <x v="15"/>
    <n v="1198.6570869544225"/>
    <x v="160"/>
  </r>
  <r>
    <x v="9"/>
    <x v="1"/>
    <x v="2"/>
    <x v="2"/>
    <n v="235"/>
    <x v="10"/>
    <x v="520"/>
    <x v="76"/>
    <n v="1157.2644017961975"/>
    <x v="571"/>
  </r>
  <r>
    <x v="9"/>
    <x v="1"/>
    <x v="2"/>
    <x v="2"/>
    <n v="235"/>
    <x v="11"/>
    <x v="93"/>
    <x v="4"/>
    <n v="1119.4758409067977"/>
    <x v="144"/>
  </r>
  <r>
    <x v="9"/>
    <x v="1"/>
    <x v="2"/>
    <x v="2"/>
    <n v="160"/>
    <x v="12"/>
    <x v="205"/>
    <x v="138"/>
    <n v="1084.7137346475859"/>
    <x v="223"/>
  </r>
  <r>
    <x v="9"/>
    <x v="1"/>
    <x v="2"/>
    <x v="2"/>
    <n v="160"/>
    <x v="13"/>
    <x v="485"/>
    <x v="262"/>
    <n v="1052.5290512761846"/>
    <x v="533"/>
  </r>
  <r>
    <x v="9"/>
    <x v="1"/>
    <x v="2"/>
    <x v="2"/>
    <n v="160"/>
    <x v="14"/>
    <x v="9"/>
    <x v="9"/>
    <n v="1022.5658278987413"/>
    <x v="9"/>
  </r>
  <r>
    <x v="9"/>
    <x v="1"/>
    <x v="2"/>
    <x v="2"/>
    <n v="160"/>
    <x v="15"/>
    <x v="572"/>
    <x v="296"/>
    <n v="994.53710429849787"/>
    <x v="635"/>
  </r>
  <r>
    <x v="9"/>
    <x v="1"/>
    <x v="2"/>
    <x v="2"/>
    <n v="160"/>
    <x v="16"/>
    <x v="573"/>
    <x v="297"/>
    <n v="968.20816557614876"/>
    <x v="636"/>
  </r>
  <r>
    <x v="9"/>
    <x v="1"/>
    <x v="54"/>
    <x v="4"/>
    <n v="1023"/>
    <x v="0"/>
    <x v="106"/>
    <x v="83"/>
    <n v="1880.8135922807915"/>
    <x v="113"/>
  </r>
  <r>
    <x v="9"/>
    <x v="1"/>
    <x v="54"/>
    <x v="4"/>
    <n v="1022"/>
    <x v="1"/>
    <x v="352"/>
    <x v="35"/>
    <n v="1579.7835966168102"/>
    <x v="386"/>
  </r>
  <r>
    <x v="9"/>
    <x v="1"/>
    <x v="54"/>
    <x v="4"/>
    <n v="685"/>
    <x v="2"/>
    <x v="45"/>
    <x v="224"/>
    <n v="1403.6923375611291"/>
    <x v="429"/>
  </r>
  <r>
    <x v="9"/>
    <x v="1"/>
    <x v="54"/>
    <x v="4"/>
    <n v="545"/>
    <x v="3"/>
    <x v="446"/>
    <x v="13"/>
    <n v="1278.7536009528289"/>
    <x v="490"/>
  </r>
  <r>
    <x v="9"/>
    <x v="1"/>
    <x v="54"/>
    <x v="4"/>
    <n v="455"/>
    <x v="4"/>
    <x v="142"/>
    <x v="71"/>
    <n v="1181.8435879447727"/>
    <x v="152"/>
  </r>
  <r>
    <x v="9"/>
    <x v="1"/>
    <x v="54"/>
    <x v="4"/>
    <n v="320"/>
    <x v="5"/>
    <x v="45"/>
    <x v="73"/>
    <n v="1102.6623418971478"/>
    <x v="140"/>
  </r>
  <r>
    <x v="9"/>
    <x v="1"/>
    <x v="54"/>
    <x v="4"/>
    <n v="230"/>
    <x v="6"/>
    <x v="12"/>
    <x v="251"/>
    <n v="1035.7155522665344"/>
    <x v="512"/>
  </r>
  <r>
    <x v="9"/>
    <x v="1"/>
    <x v="54"/>
    <x v="4"/>
    <n v="180"/>
    <x v="7"/>
    <x v="22"/>
    <x v="22"/>
    <n v="977.72360528884781"/>
    <x v="22"/>
  </r>
  <r>
    <x v="9"/>
    <x v="1"/>
    <x v="54"/>
    <x v="4"/>
    <n v="100"/>
    <x v="8"/>
    <x v="119"/>
    <x v="3"/>
    <n v="926.57108284146648"/>
    <x v="126"/>
  </r>
  <r>
    <x v="9"/>
    <x v="1"/>
    <x v="5"/>
    <x v="1"/>
    <n v="2435"/>
    <x v="0"/>
    <x v="544"/>
    <x v="50"/>
    <n v="2113.9433523068369"/>
    <x v="601"/>
  </r>
  <r>
    <x v="9"/>
    <x v="1"/>
    <x v="5"/>
    <x v="1"/>
    <n v="1850"/>
    <x v="1"/>
    <x v="391"/>
    <x v="25"/>
    <n v="1812.9133566428557"/>
    <x v="430"/>
  </r>
  <r>
    <x v="9"/>
    <x v="1"/>
    <x v="5"/>
    <x v="1"/>
    <n v="1360"/>
    <x v="2"/>
    <x v="306"/>
    <x v="15"/>
    <n v="1636.8220975871745"/>
    <x v="334"/>
  </r>
  <r>
    <x v="9"/>
    <x v="1"/>
    <x v="5"/>
    <x v="1"/>
    <n v="1075"/>
    <x v="3"/>
    <x v="140"/>
    <x v="64"/>
    <n v="1511.8833609788744"/>
    <x v="150"/>
  </r>
  <r>
    <x v="9"/>
    <x v="1"/>
    <x v="5"/>
    <x v="1"/>
    <n v="780"/>
    <x v="4"/>
    <x v="443"/>
    <x v="7"/>
    <n v="1414.9733479708182"/>
    <x v="486"/>
  </r>
  <r>
    <x v="9"/>
    <x v="1"/>
    <x v="5"/>
    <x v="1"/>
    <n v="585"/>
    <x v="5"/>
    <x v="359"/>
    <x v="210"/>
    <n v="1335.7921019231933"/>
    <x v="394"/>
  </r>
  <r>
    <x v="9"/>
    <x v="1"/>
    <x v="5"/>
    <x v="1"/>
    <n v="390"/>
    <x v="6"/>
    <x v="80"/>
    <x v="294"/>
    <n v="1268.84531229258"/>
    <x v="632"/>
  </r>
  <r>
    <x v="9"/>
    <x v="1"/>
    <x v="5"/>
    <x v="1"/>
    <n v="295"/>
    <x v="7"/>
    <x v="462"/>
    <x v="53"/>
    <n v="1210.8533653148934"/>
    <x v="506"/>
  </r>
  <r>
    <x v="9"/>
    <x v="1"/>
    <x v="5"/>
    <x v="1"/>
    <n v="195"/>
    <x v="8"/>
    <x v="28"/>
    <x v="28"/>
    <n v="1159.7008428675122"/>
    <x v="28"/>
  </r>
  <r>
    <x v="9"/>
    <x v="1"/>
    <x v="5"/>
    <x v="1"/>
    <n v="195"/>
    <x v="9"/>
    <x v="116"/>
    <x v="89"/>
    <n v="1113.9433523068369"/>
    <x v="123"/>
  </r>
  <r>
    <x v="9"/>
    <x v="1"/>
    <x v="5"/>
    <x v="1"/>
    <n v="145"/>
    <x v="10"/>
    <x v="573"/>
    <x v="84"/>
    <n v="1072.5506671486119"/>
    <x v="637"/>
  </r>
  <r>
    <x v="9"/>
    <x v="1"/>
    <x v="5"/>
    <x v="1"/>
    <n v="145"/>
    <x v="11"/>
    <x v="21"/>
    <x v="21"/>
    <n v="1034.762106259212"/>
    <x v="21"/>
  </r>
  <r>
    <x v="9"/>
    <x v="1"/>
    <x v="5"/>
    <x v="1"/>
    <n v="100"/>
    <x v="12"/>
    <x v="246"/>
    <x v="34"/>
    <n v="1000.0000000000002"/>
    <x v="270"/>
  </r>
  <r>
    <x v="9"/>
    <x v="1"/>
    <x v="5"/>
    <x v="1"/>
    <n v="100"/>
    <x v="13"/>
    <x v="45"/>
    <x v="73"/>
    <n v="967.81531662859902"/>
    <x v="140"/>
  </r>
  <r>
    <x v="9"/>
    <x v="1"/>
    <x v="5"/>
    <x v="1"/>
    <n v="100"/>
    <x v="14"/>
    <x v="574"/>
    <x v="1"/>
    <n v="937.85209325115557"/>
    <x v="638"/>
  </r>
  <r>
    <x v="9"/>
    <x v="6"/>
    <x v="49"/>
    <x v="1"/>
    <n v="846"/>
    <x v="0"/>
    <x v="128"/>
    <x v="21"/>
    <n v="1707.5701760979362"/>
    <x v="135"/>
  </r>
  <r>
    <x v="9"/>
    <x v="6"/>
    <x v="49"/>
    <x v="1"/>
    <n v="633"/>
    <x v="1"/>
    <x v="153"/>
    <x v="107"/>
    <n v="1406.5401804339549"/>
    <x v="165"/>
  </r>
  <r>
    <x v="9"/>
    <x v="6"/>
    <x v="49"/>
    <x v="1"/>
    <n v="480"/>
    <x v="2"/>
    <x v="99"/>
    <x v="79"/>
    <n v="1230.4489213782738"/>
    <x v="106"/>
  </r>
  <r>
    <x v="9"/>
    <x v="6"/>
    <x v="49"/>
    <x v="1"/>
    <n v="388"/>
    <x v="3"/>
    <x v="484"/>
    <x v="26"/>
    <n v="1105.5101847699736"/>
    <x v="532"/>
  </r>
  <r>
    <x v="9"/>
    <x v="6"/>
    <x v="49"/>
    <x v="1"/>
    <n v="296"/>
    <x v="4"/>
    <x v="456"/>
    <x v="246"/>
    <n v="1008.6001717619175"/>
    <x v="500"/>
  </r>
  <r>
    <x v="9"/>
    <x v="6"/>
    <x v="49"/>
    <x v="1"/>
    <n v="204"/>
    <x v="5"/>
    <x v="142"/>
    <x v="71"/>
    <n v="929.41892571429264"/>
    <x v="152"/>
  </r>
  <r>
    <x v="9"/>
    <x v="6"/>
    <x v="49"/>
    <x v="1"/>
    <n v="143"/>
    <x v="6"/>
    <x v="196"/>
    <x v="92"/>
    <n v="862.4721360836794"/>
    <x v="214"/>
  </r>
  <r>
    <x v="9"/>
    <x v="6"/>
    <x v="49"/>
    <x v="1"/>
    <n v="70"/>
    <x v="7"/>
    <x v="105"/>
    <x v="58"/>
    <n v="804.48018910599274"/>
    <x v="112"/>
  </r>
  <r>
    <x v="9"/>
    <x v="6"/>
    <x v="55"/>
    <x v="4"/>
    <n v="824"/>
    <x v="0"/>
    <x v="575"/>
    <x v="298"/>
    <n v="1690.1960800285137"/>
    <x v="639"/>
  </r>
  <r>
    <x v="9"/>
    <x v="6"/>
    <x v="55"/>
    <x v="4"/>
    <n v="617"/>
    <x v="1"/>
    <x v="249"/>
    <x v="159"/>
    <n v="1389.1660843645325"/>
    <x v="275"/>
  </r>
  <r>
    <x v="9"/>
    <x v="6"/>
    <x v="55"/>
    <x v="4"/>
    <n v="470"/>
    <x v="2"/>
    <x v="484"/>
    <x v="26"/>
    <n v="1213.0748253088514"/>
    <x v="532"/>
  </r>
  <r>
    <x v="9"/>
    <x v="6"/>
    <x v="55"/>
    <x v="4"/>
    <n v="382"/>
    <x v="3"/>
    <x v="255"/>
    <x v="160"/>
    <n v="1088.1360887005512"/>
    <x v="282"/>
  </r>
  <r>
    <x v="9"/>
    <x v="6"/>
    <x v="55"/>
    <x v="4"/>
    <n v="294"/>
    <x v="4"/>
    <x v="352"/>
    <x v="35"/>
    <n v="991.22607569249476"/>
    <x v="386"/>
  </r>
  <r>
    <x v="9"/>
    <x v="6"/>
    <x v="55"/>
    <x v="4"/>
    <n v="206"/>
    <x v="5"/>
    <x v="390"/>
    <x v="202"/>
    <n v="912.04482964486999"/>
    <x v="428"/>
  </r>
  <r>
    <x v="9"/>
    <x v="6"/>
    <x v="50"/>
    <x v="3"/>
    <n v="1134"/>
    <x v="0"/>
    <x v="45"/>
    <x v="224"/>
    <n v="1724.2758696007888"/>
    <x v="429"/>
  </r>
  <r>
    <x v="9"/>
    <x v="6"/>
    <x v="50"/>
    <x v="3"/>
    <n v="1133"/>
    <x v="1"/>
    <x v="576"/>
    <x v="27"/>
    <n v="1423.2458739368076"/>
    <x v="640"/>
  </r>
  <r>
    <x v="9"/>
    <x v="6"/>
    <x v="50"/>
    <x v="3"/>
    <n v="1133"/>
    <x v="2"/>
    <x v="120"/>
    <x v="49"/>
    <n v="1247.1546148811265"/>
    <x v="127"/>
  </r>
  <r>
    <x v="9"/>
    <x v="6"/>
    <x v="50"/>
    <x v="3"/>
    <n v="674"/>
    <x v="3"/>
    <x v="3"/>
    <x v="299"/>
    <n v="1122.2158782728266"/>
    <x v="641"/>
  </r>
  <r>
    <x v="9"/>
    <x v="6"/>
    <x v="50"/>
    <x v="3"/>
    <n v="515"/>
    <x v="4"/>
    <x v="448"/>
    <x v="245"/>
    <n v="1025.3058652647699"/>
    <x v="492"/>
  </r>
  <r>
    <x v="9"/>
    <x v="6"/>
    <x v="50"/>
    <x v="3"/>
    <n v="356"/>
    <x v="5"/>
    <x v="540"/>
    <x v="282"/>
    <n v="946.12461921714532"/>
    <x v="595"/>
  </r>
  <r>
    <x v="9"/>
    <x v="6"/>
    <x v="50"/>
    <x v="3"/>
    <n v="250"/>
    <x v="6"/>
    <x v="134"/>
    <x v="98"/>
    <n v="879.17782958653208"/>
    <x v="142"/>
  </r>
  <r>
    <x v="9"/>
    <x v="6"/>
    <x v="50"/>
    <x v="3"/>
    <n v="105"/>
    <x v="7"/>
    <x v="484"/>
    <x v="26"/>
    <n v="821.18588260884542"/>
    <x v="532"/>
  </r>
  <r>
    <x v="9"/>
    <x v="3"/>
    <x v="31"/>
    <x v="2"/>
    <n v="550"/>
    <x v="0"/>
    <x v="52"/>
    <x v="7"/>
    <n v="1505.149978319906"/>
    <x v="55"/>
  </r>
  <r>
    <x v="9"/>
    <x v="3"/>
    <x v="31"/>
    <x v="2"/>
    <n v="550"/>
    <x v="1"/>
    <x v="501"/>
    <x v="1"/>
    <n v="1204.1199826559248"/>
    <x v="550"/>
  </r>
  <r>
    <x v="9"/>
    <x v="3"/>
    <x v="31"/>
    <x v="2"/>
    <n v="550"/>
    <x v="2"/>
    <x v="473"/>
    <x v="255"/>
    <n v="1028.0287236002437"/>
    <x v="519"/>
  </r>
  <r>
    <x v="9"/>
    <x v="3"/>
    <x v="31"/>
    <x v="2"/>
    <n v="550"/>
    <x v="3"/>
    <x v="482"/>
    <x v="37"/>
    <n v="903.08998699194365"/>
    <x v="530"/>
  </r>
  <r>
    <x v="9"/>
    <x v="3"/>
    <x v="31"/>
    <x v="2"/>
    <n v="250"/>
    <x v="97"/>
    <x v="15"/>
    <x v="15"/>
    <n v="692.23662167705049"/>
    <x v="15"/>
  </r>
  <r>
    <x v="9"/>
    <x v="3"/>
    <x v="31"/>
    <x v="2"/>
    <n v="250"/>
    <x v="97"/>
    <x v="269"/>
    <x v="300"/>
    <n v="692.23662167705049"/>
    <x v="642"/>
  </r>
  <r>
    <x v="9"/>
    <x v="3"/>
    <x v="31"/>
    <x v="2"/>
    <n v="250"/>
    <x v="97"/>
    <x v="527"/>
    <x v="275"/>
    <n v="692.23662167705049"/>
    <x v="579"/>
  </r>
  <r>
    <x v="9"/>
    <x v="3"/>
    <x v="31"/>
    <x v="2"/>
    <n v="250"/>
    <x v="97"/>
    <x v="552"/>
    <x v="15"/>
    <n v="692.23662167705049"/>
    <x v="611"/>
  </r>
  <r>
    <x v="9"/>
    <x v="3"/>
    <x v="56"/>
    <x v="1"/>
    <n v="1189"/>
    <x v="0"/>
    <x v="355"/>
    <x v="115"/>
    <n v="1544.0680443502756"/>
    <x v="389"/>
  </r>
  <r>
    <x v="9"/>
    <x v="3"/>
    <x v="56"/>
    <x v="1"/>
    <n v="713"/>
    <x v="1"/>
    <x v="482"/>
    <x v="37"/>
    <n v="1243.0380486862944"/>
    <x v="530"/>
  </r>
  <r>
    <x v="9"/>
    <x v="3"/>
    <x v="56"/>
    <x v="1"/>
    <n v="475"/>
    <x v="2"/>
    <x v="15"/>
    <x v="15"/>
    <n v="1066.9467896306132"/>
    <x v="15"/>
  </r>
  <r>
    <x v="9"/>
    <x v="3"/>
    <x v="56"/>
    <x v="1"/>
    <n v="407"/>
    <x v="3"/>
    <x v="49"/>
    <x v="46"/>
    <n v="942.00805302231322"/>
    <x v="54"/>
  </r>
  <r>
    <x v="9"/>
    <x v="3"/>
    <x v="56"/>
    <x v="1"/>
    <n v="340"/>
    <x v="4"/>
    <x v="124"/>
    <x v="49"/>
    <n v="845.09804001425687"/>
    <x v="131"/>
  </r>
  <r>
    <x v="9"/>
    <x v="3"/>
    <x v="56"/>
    <x v="1"/>
    <n v="271"/>
    <x v="5"/>
    <x v="62"/>
    <x v="214"/>
    <n v="765.91679396663199"/>
    <x v="409"/>
  </r>
  <r>
    <x v="9"/>
    <x v="3"/>
    <x v="2"/>
    <x v="2"/>
    <n v="1976"/>
    <x v="0"/>
    <x v="5"/>
    <x v="5"/>
    <n v="1857.3324964312685"/>
    <x v="5"/>
  </r>
  <r>
    <x v="9"/>
    <x v="3"/>
    <x v="2"/>
    <x v="2"/>
    <n v="1327"/>
    <x v="1"/>
    <x v="83"/>
    <x v="57"/>
    <n v="1556.3025007672873"/>
    <x v="89"/>
  </r>
  <r>
    <x v="9"/>
    <x v="3"/>
    <x v="2"/>
    <x v="2"/>
    <n v="908"/>
    <x v="2"/>
    <x v="577"/>
    <x v="301"/>
    <n v="1380.2112417116061"/>
    <x v="643"/>
  </r>
  <r>
    <x v="9"/>
    <x v="3"/>
    <x v="2"/>
    <x v="2"/>
    <n v="733"/>
    <x v="3"/>
    <x v="408"/>
    <x v="94"/>
    <n v="1255.272505103306"/>
    <x v="448"/>
  </r>
  <r>
    <x v="9"/>
    <x v="3"/>
    <x v="2"/>
    <x v="2"/>
    <n v="628"/>
    <x v="4"/>
    <x v="176"/>
    <x v="126"/>
    <n v="1158.3624920952498"/>
    <x v="196"/>
  </r>
  <r>
    <x v="9"/>
    <x v="3"/>
    <x v="2"/>
    <x v="2"/>
    <n v="524"/>
    <x v="5"/>
    <x v="319"/>
    <x v="193"/>
    <n v="1079.1812460476249"/>
    <x v="349"/>
  </r>
  <r>
    <x v="9"/>
    <x v="3"/>
    <x v="2"/>
    <x v="2"/>
    <n v="419"/>
    <x v="6"/>
    <x v="4"/>
    <x v="4"/>
    <n v="1012.2344564170116"/>
    <x v="4"/>
  </r>
  <r>
    <x v="9"/>
    <x v="3"/>
    <x v="2"/>
    <x v="2"/>
    <n v="349"/>
    <x v="7"/>
    <x v="378"/>
    <x v="217"/>
    <n v="954.24250943932498"/>
    <x v="415"/>
  </r>
  <r>
    <x v="9"/>
    <x v="3"/>
    <x v="2"/>
    <x v="2"/>
    <n v="120"/>
    <x v="8"/>
    <x v="473"/>
    <x v="255"/>
    <n v="903.08998699194365"/>
    <x v="519"/>
  </r>
  <r>
    <x v="9"/>
    <x v="3"/>
    <x v="17"/>
    <x v="1"/>
    <n v="752.5"/>
    <x v="0"/>
    <x v="21"/>
    <x v="21"/>
    <n v="772.03402217513781"/>
    <x v="21"/>
  </r>
  <r>
    <x v="9"/>
    <x v="3"/>
    <x v="17"/>
    <x v="1"/>
    <n v="752.5"/>
    <x v="0"/>
    <x v="51"/>
    <x v="24"/>
    <n v="772.03402217513781"/>
    <x v="53"/>
  </r>
  <r>
    <x v="9"/>
    <x v="3"/>
    <x v="17"/>
    <x v="1"/>
    <n v="752"/>
    <x v="1"/>
    <x v="420"/>
    <x v="11"/>
    <n v="621.51902434314718"/>
    <x v="462"/>
  </r>
  <r>
    <x v="9"/>
    <x v="3"/>
    <x v="17"/>
    <x v="1"/>
    <n v="752"/>
    <x v="1"/>
    <x v="578"/>
    <x v="302"/>
    <n v="621.51902434314718"/>
    <x v="644"/>
  </r>
  <r>
    <x v="9"/>
    <x v="3"/>
    <x v="17"/>
    <x v="1"/>
    <n v="792"/>
    <x v="2"/>
    <x v="176"/>
    <x v="276"/>
    <n v="533.47339481530662"/>
    <x v="581"/>
  </r>
  <r>
    <x v="9"/>
    <x v="3"/>
    <x v="17"/>
    <x v="1"/>
    <n v="792"/>
    <x v="2"/>
    <x v="108"/>
    <x v="37"/>
    <n v="533.47339481530662"/>
    <x v="235"/>
  </r>
  <r>
    <x v="9"/>
    <x v="3"/>
    <x v="17"/>
    <x v="1"/>
    <n v="367.5"/>
    <x v="3"/>
    <x v="355"/>
    <x v="115"/>
    <n v="471.00402651115661"/>
    <x v="389"/>
  </r>
  <r>
    <x v="9"/>
    <x v="3"/>
    <x v="17"/>
    <x v="1"/>
    <n v="367.5"/>
    <x v="3"/>
    <x v="544"/>
    <x v="50"/>
    <n v="471.00402651115661"/>
    <x v="601"/>
  </r>
  <r>
    <x v="9"/>
    <x v="3"/>
    <x v="17"/>
    <x v="1"/>
    <n v="299.5"/>
    <x v="4"/>
    <x v="579"/>
    <x v="303"/>
    <n v="422.54902000712843"/>
    <x v="645"/>
  </r>
  <r>
    <x v="9"/>
    <x v="3"/>
    <x v="17"/>
    <x v="1"/>
    <n v="299.5"/>
    <x v="4"/>
    <x v="179"/>
    <x v="105"/>
    <n v="422.54902000712843"/>
    <x v="195"/>
  </r>
  <r>
    <x v="9"/>
    <x v="3"/>
    <x v="17"/>
    <x v="1"/>
    <n v="231.5"/>
    <x v="5"/>
    <x v="165"/>
    <x v="115"/>
    <n v="382.95839698331599"/>
    <x v="177"/>
  </r>
  <r>
    <x v="9"/>
    <x v="3"/>
    <x v="17"/>
    <x v="1"/>
    <n v="231.5"/>
    <x v="5"/>
    <x v="165"/>
    <x v="115"/>
    <n v="382.95839698331599"/>
    <x v="177"/>
  </r>
  <r>
    <x v="9"/>
    <x v="3"/>
    <x v="17"/>
    <x v="1"/>
    <n v="100"/>
    <x v="6"/>
    <x v="551"/>
    <x v="285"/>
    <n v="349.48500216800943"/>
    <x v="609"/>
  </r>
  <r>
    <x v="9"/>
    <x v="3"/>
    <x v="17"/>
    <x v="1"/>
    <n v="100"/>
    <x v="6"/>
    <x v="190"/>
    <x v="287"/>
    <n v="349.48500216800943"/>
    <x v="614"/>
  </r>
  <r>
    <x v="9"/>
    <x v="3"/>
    <x v="17"/>
    <x v="1"/>
    <n v="100"/>
    <x v="7"/>
    <x v="32"/>
    <x v="33"/>
    <n v="320.48902867916604"/>
    <x v="34"/>
  </r>
  <r>
    <x v="9"/>
    <x v="3"/>
    <x v="17"/>
    <x v="1"/>
    <n v="100"/>
    <x v="7"/>
    <x v="28"/>
    <x v="28"/>
    <n v="320.48902867916604"/>
    <x v="28"/>
  </r>
  <r>
    <x v="10"/>
    <x v="0"/>
    <x v="2"/>
    <x v="2"/>
    <n v="1800"/>
    <x v="0"/>
    <x v="153"/>
    <x v="107"/>
    <n v="2021.1892990699382"/>
    <x v="165"/>
  </r>
  <r>
    <x v="10"/>
    <x v="0"/>
    <x v="2"/>
    <x v="2"/>
    <n v="1800"/>
    <x v="1"/>
    <x v="10"/>
    <x v="10"/>
    <n v="1720.159303405957"/>
    <x v="10"/>
  </r>
  <r>
    <x v="10"/>
    <x v="0"/>
    <x v="2"/>
    <x v="2"/>
    <n v="1800"/>
    <x v="2"/>
    <x v="580"/>
    <x v="155"/>
    <n v="1544.0680443502758"/>
    <x v="646"/>
  </r>
  <r>
    <x v="10"/>
    <x v="0"/>
    <x v="2"/>
    <x v="2"/>
    <n v="1800"/>
    <x v="3"/>
    <x v="40"/>
    <x v="38"/>
    <n v="1419.1293077419757"/>
    <x v="42"/>
  </r>
  <r>
    <x v="10"/>
    <x v="0"/>
    <x v="2"/>
    <x v="2"/>
    <n v="1800"/>
    <x v="4"/>
    <x v="479"/>
    <x v="25"/>
    <n v="1322.2192947339195"/>
    <x v="526"/>
  </r>
  <r>
    <x v="10"/>
    <x v="0"/>
    <x v="2"/>
    <x v="2"/>
    <n v="1800"/>
    <x v="5"/>
    <x v="581"/>
    <x v="33"/>
    <n v="1243.0380486862946"/>
    <x v="647"/>
  </r>
  <r>
    <x v="10"/>
    <x v="0"/>
    <x v="2"/>
    <x v="2"/>
    <n v="1800"/>
    <x v="6"/>
    <x v="379"/>
    <x v="53"/>
    <n v="1176.0912590556813"/>
    <x v="417"/>
  </r>
  <r>
    <x v="10"/>
    <x v="0"/>
    <x v="2"/>
    <x v="2"/>
    <n v="1800"/>
    <x v="7"/>
    <x v="473"/>
    <x v="255"/>
    <n v="1118.0993120779947"/>
    <x v="519"/>
  </r>
  <r>
    <x v="10"/>
    <x v="0"/>
    <x v="2"/>
    <x v="2"/>
    <n v="1800"/>
    <x v="8"/>
    <x v="32"/>
    <x v="33"/>
    <n v="1066.9467896306135"/>
    <x v="34"/>
  </r>
  <r>
    <x v="10"/>
    <x v="0"/>
    <x v="46"/>
    <x v="4"/>
    <n v="1800"/>
    <x v="0"/>
    <x v="472"/>
    <x v="13"/>
    <n v="1579.7835966168102"/>
    <x v="518"/>
  </r>
  <r>
    <x v="10"/>
    <x v="0"/>
    <x v="46"/>
    <x v="4"/>
    <n v="1800"/>
    <x v="1"/>
    <x v="582"/>
    <x v="33"/>
    <n v="1278.7536009528289"/>
    <x v="648"/>
  </r>
  <r>
    <x v="10"/>
    <x v="0"/>
    <x v="46"/>
    <x v="4"/>
    <n v="1800"/>
    <x v="2"/>
    <x v="583"/>
    <x v="149"/>
    <n v="1102.6623418971478"/>
    <x v="649"/>
  </r>
  <r>
    <x v="10"/>
    <x v="0"/>
    <x v="46"/>
    <x v="4"/>
    <n v="1800"/>
    <x v="3"/>
    <x v="432"/>
    <x v="91"/>
    <n v="977.72360528884769"/>
    <x v="475"/>
  </r>
  <r>
    <x v="10"/>
    <x v="0"/>
    <x v="46"/>
    <x v="4"/>
    <n v="1800"/>
    <x v="4"/>
    <x v="1"/>
    <x v="1"/>
    <n v="880.81359228079123"/>
    <x v="1"/>
  </r>
  <r>
    <x v="10"/>
    <x v="0"/>
    <x v="5"/>
    <x v="1"/>
    <n v="1800"/>
    <x v="0"/>
    <x v="15"/>
    <x v="15"/>
    <n v="1897.6270912904413"/>
    <x v="15"/>
  </r>
  <r>
    <x v="10"/>
    <x v="0"/>
    <x v="5"/>
    <x v="1"/>
    <n v="1400"/>
    <x v="1"/>
    <x v="516"/>
    <x v="11"/>
    <n v="1596.59709562646"/>
    <x v="650"/>
  </r>
  <r>
    <x v="10"/>
    <x v="0"/>
    <x v="5"/>
    <x v="1"/>
    <n v="1278"/>
    <x v="2"/>
    <x v="55"/>
    <x v="47"/>
    <n v="1420.5058365707789"/>
    <x v="58"/>
  </r>
  <r>
    <x v="10"/>
    <x v="0"/>
    <x v="5"/>
    <x v="1"/>
    <n v="1000"/>
    <x v="3"/>
    <x v="102"/>
    <x v="37"/>
    <n v="1295.5670999624788"/>
    <x v="109"/>
  </r>
  <r>
    <x v="10"/>
    <x v="0"/>
    <x v="5"/>
    <x v="1"/>
    <n v="1000"/>
    <x v="4"/>
    <x v="49"/>
    <x v="13"/>
    <n v="1198.6570869544225"/>
    <x v="51"/>
  </r>
  <r>
    <x v="10"/>
    <x v="0"/>
    <x v="5"/>
    <x v="1"/>
    <n v="474"/>
    <x v="5"/>
    <x v="584"/>
    <x v="304"/>
    <n v="1119.4758409067977"/>
    <x v="651"/>
  </r>
  <r>
    <x v="10"/>
    <x v="0"/>
    <x v="5"/>
    <x v="1"/>
    <n v="395"/>
    <x v="6"/>
    <x v="28"/>
    <x v="305"/>
    <n v="1052.5290512761844"/>
    <x v="652"/>
  </r>
  <r>
    <x v="10"/>
    <x v="0"/>
    <x v="5"/>
    <x v="1"/>
    <n v="316"/>
    <x v="7"/>
    <x v="585"/>
    <x v="25"/>
    <n v="994.53710429849787"/>
    <x v="653"/>
  </r>
  <r>
    <x v="10"/>
    <x v="0"/>
    <x v="5"/>
    <x v="1"/>
    <n v="237"/>
    <x v="8"/>
    <x v="586"/>
    <x v="124"/>
    <n v="943.38458185111654"/>
    <x v="654"/>
  </r>
  <r>
    <x v="10"/>
    <x v="1"/>
    <x v="53"/>
    <x v="1"/>
    <n v="1710"/>
    <x v="0"/>
    <x v="453"/>
    <x v="13"/>
    <n v="1944.4826721501686"/>
    <x v="655"/>
  </r>
  <r>
    <x v="10"/>
    <x v="1"/>
    <x v="53"/>
    <x v="1"/>
    <n v="1245"/>
    <x v="1"/>
    <x v="106"/>
    <x v="13"/>
    <n v="1643.4526764861873"/>
    <x v="575"/>
  </r>
  <r>
    <x v="10"/>
    <x v="1"/>
    <x v="53"/>
    <x v="1"/>
    <n v="980"/>
    <x v="2"/>
    <x v="1"/>
    <x v="1"/>
    <n v="1467.3614174305062"/>
    <x v="1"/>
  </r>
  <r>
    <x v="10"/>
    <x v="1"/>
    <x v="53"/>
    <x v="1"/>
    <n v="780"/>
    <x v="3"/>
    <x v="467"/>
    <x v="13"/>
    <n v="1342.4226808222061"/>
    <x v="511"/>
  </r>
  <r>
    <x v="10"/>
    <x v="1"/>
    <x v="53"/>
    <x v="1"/>
    <n v="585"/>
    <x v="4"/>
    <x v="205"/>
    <x v="138"/>
    <n v="1245.5126678141498"/>
    <x v="223"/>
  </r>
  <r>
    <x v="10"/>
    <x v="1"/>
    <x v="53"/>
    <x v="1"/>
    <n v="450"/>
    <x v="5"/>
    <x v="21"/>
    <x v="21"/>
    <n v="1166.331421766525"/>
    <x v="21"/>
  </r>
  <r>
    <x v="10"/>
    <x v="1"/>
    <x v="53"/>
    <x v="1"/>
    <n v="320"/>
    <x v="6"/>
    <x v="120"/>
    <x v="49"/>
    <n v="1099.3846321359117"/>
    <x v="127"/>
  </r>
  <r>
    <x v="10"/>
    <x v="1"/>
    <x v="53"/>
    <x v="1"/>
    <n v="190"/>
    <x v="7"/>
    <x v="122"/>
    <x v="91"/>
    <n v="1041.392685158225"/>
    <x v="129"/>
  </r>
  <r>
    <x v="10"/>
    <x v="1"/>
    <x v="53"/>
    <x v="1"/>
    <n v="120"/>
    <x v="8"/>
    <x v="9"/>
    <x v="9"/>
    <n v="990.24016271084383"/>
    <x v="9"/>
  </r>
  <r>
    <x v="10"/>
    <x v="1"/>
    <x v="53"/>
    <x v="1"/>
    <n v="120"/>
    <x v="9"/>
    <x v="305"/>
    <x v="98"/>
    <n v="944.4826721501687"/>
    <x v="333"/>
  </r>
  <r>
    <x v="10"/>
    <x v="1"/>
    <x v="53"/>
    <x v="1"/>
    <n v="100"/>
    <x v="10"/>
    <x v="198"/>
    <x v="86"/>
    <n v="903.08998699194353"/>
    <x v="656"/>
  </r>
  <r>
    <x v="10"/>
    <x v="1"/>
    <x v="44"/>
    <x v="8"/>
    <n v="765"/>
    <x v="0"/>
    <x v="198"/>
    <x v="86"/>
    <n v="1740.3626894942438"/>
    <x v="656"/>
  </r>
  <r>
    <x v="10"/>
    <x v="1"/>
    <x v="44"/>
    <x v="8"/>
    <n v="575"/>
    <x v="1"/>
    <x v="443"/>
    <x v="7"/>
    <n v="1439.3326938302625"/>
    <x v="486"/>
  </r>
  <r>
    <x v="10"/>
    <x v="1"/>
    <x v="44"/>
    <x v="8"/>
    <n v="440"/>
    <x v="2"/>
    <x v="355"/>
    <x v="115"/>
    <n v="1263.2414347745814"/>
    <x v="389"/>
  </r>
  <r>
    <x v="10"/>
    <x v="1"/>
    <x v="44"/>
    <x v="8"/>
    <n v="360"/>
    <x v="3"/>
    <x v="36"/>
    <x v="35"/>
    <n v="1138.3026981662815"/>
    <x v="38"/>
  </r>
  <r>
    <x v="10"/>
    <x v="1"/>
    <x v="44"/>
    <x v="8"/>
    <n v="275"/>
    <x v="4"/>
    <x v="45"/>
    <x v="73"/>
    <n v="1041.3926851582248"/>
    <x v="140"/>
  </r>
  <r>
    <x v="10"/>
    <x v="1"/>
    <x v="44"/>
    <x v="8"/>
    <n v="195"/>
    <x v="5"/>
    <x v="27"/>
    <x v="21"/>
    <n v="962.21143911060028"/>
    <x v="91"/>
  </r>
  <r>
    <x v="10"/>
    <x v="1"/>
    <x v="44"/>
    <x v="8"/>
    <n v="140"/>
    <x v="6"/>
    <x v="587"/>
    <x v="115"/>
    <n v="895.26464947998704"/>
    <x v="657"/>
  </r>
  <r>
    <x v="10"/>
    <x v="1"/>
    <x v="2"/>
    <x v="2"/>
    <n v="3100"/>
    <x v="0"/>
    <x v="453"/>
    <x v="13"/>
    <n v="2158.3624920952498"/>
    <x v="655"/>
  </r>
  <r>
    <x v="10"/>
    <x v="1"/>
    <x v="2"/>
    <x v="2"/>
    <n v="3090"/>
    <x v="1"/>
    <x v="377"/>
    <x v="92"/>
    <n v="1857.3324964312685"/>
    <x v="414"/>
  </r>
  <r>
    <x v="10"/>
    <x v="1"/>
    <x v="2"/>
    <x v="2"/>
    <n v="2015"/>
    <x v="2"/>
    <x v="248"/>
    <x v="158"/>
    <n v="1681.2412373755874"/>
    <x v="274"/>
  </r>
  <r>
    <x v="10"/>
    <x v="1"/>
    <x v="2"/>
    <x v="2"/>
    <n v="1585"/>
    <x v="3"/>
    <x v="306"/>
    <x v="15"/>
    <n v="1556.3025007672873"/>
    <x v="334"/>
  </r>
  <r>
    <x v="10"/>
    <x v="1"/>
    <x v="2"/>
    <x v="2"/>
    <n v="1150"/>
    <x v="4"/>
    <x v="352"/>
    <x v="35"/>
    <n v="1459.392487759231"/>
    <x v="386"/>
  </r>
  <r>
    <x v="10"/>
    <x v="1"/>
    <x v="2"/>
    <x v="2"/>
    <n v="865"/>
    <x v="5"/>
    <x v="119"/>
    <x v="3"/>
    <n v="1380.2112417116061"/>
    <x v="126"/>
  </r>
  <r>
    <x v="10"/>
    <x v="1"/>
    <x v="2"/>
    <x v="2"/>
    <n v="575"/>
    <x v="6"/>
    <x v="173"/>
    <x v="121"/>
    <n v="1313.2644520809929"/>
    <x v="188"/>
  </r>
  <r>
    <x v="10"/>
    <x v="1"/>
    <x v="2"/>
    <x v="2"/>
    <n v="430"/>
    <x v="7"/>
    <x v="246"/>
    <x v="34"/>
    <n v="1255.2725051033062"/>
    <x v="270"/>
  </r>
  <r>
    <x v="10"/>
    <x v="1"/>
    <x v="2"/>
    <x v="2"/>
    <n v="290"/>
    <x v="8"/>
    <x v="517"/>
    <x v="273"/>
    <n v="1204.119982655925"/>
    <x v="568"/>
  </r>
  <r>
    <x v="10"/>
    <x v="1"/>
    <x v="2"/>
    <x v="2"/>
    <n v="290"/>
    <x v="9"/>
    <x v="140"/>
    <x v="64"/>
    <n v="1158.3624920952498"/>
    <x v="150"/>
  </r>
  <r>
    <x v="10"/>
    <x v="1"/>
    <x v="2"/>
    <x v="2"/>
    <n v="215"/>
    <x v="10"/>
    <x v="588"/>
    <x v="260"/>
    <n v="1116.9698069370247"/>
    <x v="658"/>
  </r>
  <r>
    <x v="10"/>
    <x v="1"/>
    <x v="2"/>
    <x v="2"/>
    <n v="215"/>
    <x v="11"/>
    <x v="96"/>
    <x v="77"/>
    <n v="1079.1812460476249"/>
    <x v="103"/>
  </r>
  <r>
    <x v="10"/>
    <x v="1"/>
    <x v="2"/>
    <x v="2"/>
    <n v="145"/>
    <x v="12"/>
    <x v="589"/>
    <x v="240"/>
    <n v="1044.4191397884131"/>
    <x v="659"/>
  </r>
  <r>
    <x v="10"/>
    <x v="1"/>
    <x v="2"/>
    <x v="2"/>
    <n v="145"/>
    <x v="13"/>
    <x v="249"/>
    <x v="159"/>
    <n v="1012.2344564170119"/>
    <x v="275"/>
  </r>
  <r>
    <x v="10"/>
    <x v="1"/>
    <x v="2"/>
    <x v="2"/>
    <n v="145"/>
    <x v="14"/>
    <x v="590"/>
    <x v="306"/>
    <n v="982.27123303956841"/>
    <x v="660"/>
  </r>
  <r>
    <x v="10"/>
    <x v="1"/>
    <x v="2"/>
    <x v="2"/>
    <n v="145"/>
    <x v="15"/>
    <x v="241"/>
    <x v="156"/>
    <n v="954.24250943932498"/>
    <x v="265"/>
  </r>
  <r>
    <x v="10"/>
    <x v="1"/>
    <x v="57"/>
    <x v="4"/>
    <n v="1205"/>
    <x v="0"/>
    <x v="452"/>
    <x v="144"/>
    <n v="1869.2317197309762"/>
    <x v="496"/>
  </r>
  <r>
    <x v="10"/>
    <x v="1"/>
    <x v="57"/>
    <x v="4"/>
    <n v="1200"/>
    <x v="1"/>
    <x v="108"/>
    <x v="37"/>
    <n v="1568.201724066995"/>
    <x v="235"/>
  </r>
  <r>
    <x v="10"/>
    <x v="1"/>
    <x v="57"/>
    <x v="4"/>
    <n v="835"/>
    <x v="2"/>
    <x v="591"/>
    <x v="1"/>
    <n v="1392.1104650113139"/>
    <x v="661"/>
  </r>
  <r>
    <x v="10"/>
    <x v="1"/>
    <x v="57"/>
    <x v="4"/>
    <n v="665"/>
    <x v="3"/>
    <x v="255"/>
    <x v="160"/>
    <n v="1267.1717284030137"/>
    <x v="282"/>
  </r>
  <r>
    <x v="10"/>
    <x v="1"/>
    <x v="57"/>
    <x v="4"/>
    <n v="555"/>
    <x v="4"/>
    <x v="87"/>
    <x v="72"/>
    <n v="1170.2617153949575"/>
    <x v="94"/>
  </r>
  <r>
    <x v="10"/>
    <x v="1"/>
    <x v="57"/>
    <x v="4"/>
    <n v="390"/>
    <x v="5"/>
    <x v="446"/>
    <x v="13"/>
    <n v="1091.0804693473326"/>
    <x v="490"/>
  </r>
  <r>
    <x v="10"/>
    <x v="1"/>
    <x v="57"/>
    <x v="4"/>
    <n v="280"/>
    <x v="6"/>
    <x v="45"/>
    <x v="73"/>
    <n v="1024.1336797167194"/>
    <x v="140"/>
  </r>
  <r>
    <x v="10"/>
    <x v="1"/>
    <x v="57"/>
    <x v="4"/>
    <n v="220"/>
    <x v="7"/>
    <x v="126"/>
    <x v="93"/>
    <n v="966.1417327390327"/>
    <x v="133"/>
  </r>
  <r>
    <x v="10"/>
    <x v="1"/>
    <x v="57"/>
    <x v="4"/>
    <n v="100"/>
    <x v="8"/>
    <x v="195"/>
    <x v="134"/>
    <n v="914.98921029165137"/>
    <x v="213"/>
  </r>
  <r>
    <x v="10"/>
    <x v="1"/>
    <x v="57"/>
    <x v="4"/>
    <n v="100"/>
    <x v="9"/>
    <x v="592"/>
    <x v="24"/>
    <n v="869.23171973097624"/>
    <x v="662"/>
  </r>
  <r>
    <x v="10"/>
    <x v="1"/>
    <x v="5"/>
    <x v="1"/>
    <n v="2150"/>
    <x v="0"/>
    <x v="116"/>
    <x v="89"/>
    <n v="2060.6978403536118"/>
    <x v="123"/>
  </r>
  <r>
    <x v="10"/>
    <x v="1"/>
    <x v="5"/>
    <x v="1"/>
    <n v="1635"/>
    <x v="1"/>
    <x v="593"/>
    <x v="215"/>
    <n v="1759.6678446896306"/>
    <x v="663"/>
  </r>
  <r>
    <x v="10"/>
    <x v="1"/>
    <x v="5"/>
    <x v="1"/>
    <n v="1210"/>
    <x v="2"/>
    <x v="290"/>
    <x v="67"/>
    <n v="1583.5765856339494"/>
    <x v="318"/>
  </r>
  <r>
    <x v="10"/>
    <x v="1"/>
    <x v="5"/>
    <x v="1"/>
    <n v="950"/>
    <x v="3"/>
    <x v="93"/>
    <x v="4"/>
    <n v="1458.6378490256493"/>
    <x v="144"/>
  </r>
  <r>
    <x v="10"/>
    <x v="1"/>
    <x v="5"/>
    <x v="1"/>
    <n v="775"/>
    <x v="4"/>
    <x v="241"/>
    <x v="156"/>
    <n v="1361.7278360175931"/>
    <x v="265"/>
  </r>
  <r>
    <x v="10"/>
    <x v="1"/>
    <x v="5"/>
    <x v="1"/>
    <n v="605"/>
    <x v="5"/>
    <x v="118"/>
    <x v="4"/>
    <n v="1282.5465899699682"/>
    <x v="125"/>
  </r>
  <r>
    <x v="10"/>
    <x v="1"/>
    <x v="5"/>
    <x v="1"/>
    <n v="430"/>
    <x v="6"/>
    <x v="10"/>
    <x v="10"/>
    <n v="1215.5998003393549"/>
    <x v="10"/>
  </r>
  <r>
    <x v="10"/>
    <x v="1"/>
    <x v="5"/>
    <x v="1"/>
    <n v="260"/>
    <x v="7"/>
    <x v="52"/>
    <x v="7"/>
    <n v="1157.6078533616683"/>
    <x v="55"/>
  </r>
  <r>
    <x v="10"/>
    <x v="1"/>
    <x v="5"/>
    <x v="1"/>
    <n v="175"/>
    <x v="8"/>
    <x v="196"/>
    <x v="92"/>
    <n v="1106.4553309142871"/>
    <x v="214"/>
  </r>
  <r>
    <x v="10"/>
    <x v="1"/>
    <x v="5"/>
    <x v="1"/>
    <n v="175"/>
    <x v="9"/>
    <x v="31"/>
    <x v="50"/>
    <n v="1060.6978403536118"/>
    <x v="273"/>
  </r>
  <r>
    <x v="10"/>
    <x v="1"/>
    <x v="5"/>
    <x v="1"/>
    <n v="130"/>
    <x v="10"/>
    <x v="126"/>
    <x v="93"/>
    <n v="1019.3051551953866"/>
    <x v="133"/>
  </r>
  <r>
    <x v="10"/>
    <x v="1"/>
    <x v="5"/>
    <x v="1"/>
    <n v="130"/>
    <x v="11"/>
    <x v="88"/>
    <x v="49"/>
    <n v="981.51659430598693"/>
    <x v="95"/>
  </r>
  <r>
    <x v="10"/>
    <x v="6"/>
    <x v="49"/>
    <x v="1"/>
    <n v="715"/>
    <x v="0"/>
    <x v="462"/>
    <x v="53"/>
    <n v="1531.478917042255"/>
    <x v="506"/>
  </r>
  <r>
    <x v="10"/>
    <x v="6"/>
    <x v="49"/>
    <x v="1"/>
    <n v="470"/>
    <x v="1"/>
    <x v="249"/>
    <x v="159"/>
    <n v="1230.4489213782738"/>
    <x v="275"/>
  </r>
  <r>
    <x v="10"/>
    <x v="6"/>
    <x v="49"/>
    <x v="1"/>
    <n v="325"/>
    <x v="2"/>
    <x v="311"/>
    <x v="22"/>
    <n v="1054.3576623225927"/>
    <x v="340"/>
  </r>
  <r>
    <x v="10"/>
    <x v="6"/>
    <x v="49"/>
    <x v="1"/>
    <n v="245"/>
    <x v="3"/>
    <x v="518"/>
    <x v="222"/>
    <n v="929.41892571429275"/>
    <x v="569"/>
  </r>
  <r>
    <x v="10"/>
    <x v="6"/>
    <x v="49"/>
    <x v="1"/>
    <n v="185"/>
    <x v="4"/>
    <x v="17"/>
    <x v="17"/>
    <n v="832.50891270623629"/>
    <x v="17"/>
  </r>
  <r>
    <x v="10"/>
    <x v="6"/>
    <x v="49"/>
    <x v="1"/>
    <n v="100"/>
    <x v="5"/>
    <x v="390"/>
    <x v="202"/>
    <n v="753.32766665861152"/>
    <x v="428"/>
  </r>
  <r>
    <x v="10"/>
    <x v="6"/>
    <x v="58"/>
    <x v="2"/>
    <n v="0"/>
    <x v="0"/>
    <x v="452"/>
    <x v="144"/>
    <n v="1505.149978319906"/>
    <x v="496"/>
  </r>
  <r>
    <x v="10"/>
    <x v="6"/>
    <x v="58"/>
    <x v="2"/>
    <n v="0"/>
    <x v="1"/>
    <x v="99"/>
    <x v="79"/>
    <n v="1204.1199826559248"/>
    <x v="106"/>
  </r>
  <r>
    <x v="10"/>
    <x v="6"/>
    <x v="58"/>
    <x v="2"/>
    <n v="0"/>
    <x v="2"/>
    <x v="305"/>
    <x v="98"/>
    <n v="1028.0287236002437"/>
    <x v="333"/>
  </r>
  <r>
    <x v="10"/>
    <x v="6"/>
    <x v="58"/>
    <x v="2"/>
    <n v="0"/>
    <x v="3"/>
    <x v="153"/>
    <x v="107"/>
    <n v="903.08998699194365"/>
    <x v="165"/>
  </r>
  <r>
    <x v="10"/>
    <x v="6"/>
    <x v="58"/>
    <x v="2"/>
    <n v="0"/>
    <x v="98"/>
    <x v="140"/>
    <x v="64"/>
    <n v="764.78728882566213"/>
    <x v="150"/>
  </r>
  <r>
    <x v="10"/>
    <x v="6"/>
    <x v="58"/>
    <x v="2"/>
    <n v="0"/>
    <x v="98"/>
    <x v="355"/>
    <x v="115"/>
    <n v="764.78728882566213"/>
    <x v="389"/>
  </r>
  <r>
    <x v="10"/>
    <x v="6"/>
    <x v="50"/>
    <x v="7"/>
    <n v="735"/>
    <x v="0"/>
    <x v="17"/>
    <x v="17"/>
    <n v="1544.0680443502756"/>
    <x v="17"/>
  </r>
  <r>
    <x v="10"/>
    <x v="6"/>
    <x v="50"/>
    <x v="7"/>
    <n v="485"/>
    <x v="1"/>
    <x v="593"/>
    <x v="215"/>
    <n v="1243.0380486862944"/>
    <x v="663"/>
  </r>
  <r>
    <x v="10"/>
    <x v="6"/>
    <x v="50"/>
    <x v="7"/>
    <n v="335"/>
    <x v="2"/>
    <x v="118"/>
    <x v="4"/>
    <n v="1066.9467896306132"/>
    <x v="125"/>
  </r>
  <r>
    <x v="10"/>
    <x v="6"/>
    <x v="50"/>
    <x v="7"/>
    <n v="255"/>
    <x v="3"/>
    <x v="128"/>
    <x v="21"/>
    <n v="942.00805302231322"/>
    <x v="135"/>
  </r>
  <r>
    <x v="10"/>
    <x v="6"/>
    <x v="50"/>
    <x v="7"/>
    <n v="190"/>
    <x v="4"/>
    <x v="12"/>
    <x v="251"/>
    <n v="845.09804001425687"/>
    <x v="512"/>
  </r>
  <r>
    <x v="10"/>
    <x v="6"/>
    <x v="50"/>
    <x v="7"/>
    <n v="100"/>
    <x v="5"/>
    <x v="314"/>
    <x v="189"/>
    <n v="765.91679396663199"/>
    <x v="344"/>
  </r>
  <r>
    <x v="10"/>
    <x v="3"/>
    <x v="31"/>
    <x v="2"/>
    <n v="725.5"/>
    <x v="0"/>
    <x v="270"/>
    <x v="30"/>
    <n v="1505.149978319906"/>
    <x v="298"/>
  </r>
  <r>
    <x v="10"/>
    <x v="3"/>
    <x v="31"/>
    <x v="2"/>
    <n v="556.25"/>
    <x v="1"/>
    <x v="594"/>
    <x v="81"/>
    <n v="1204.1199826559248"/>
    <x v="664"/>
  </r>
  <r>
    <x v="10"/>
    <x v="3"/>
    <x v="31"/>
    <x v="2"/>
    <n v="556.25"/>
    <x v="2"/>
    <x v="381"/>
    <x v="279"/>
    <n v="1028.0287236002437"/>
    <x v="589"/>
  </r>
  <r>
    <x v="10"/>
    <x v="3"/>
    <x v="31"/>
    <x v="2"/>
    <n v="362.5"/>
    <x v="3"/>
    <x v="472"/>
    <x v="13"/>
    <n v="903.08998699194365"/>
    <x v="518"/>
  </r>
  <r>
    <x v="10"/>
    <x v="3"/>
    <x v="31"/>
    <x v="2"/>
    <n v="250"/>
    <x v="4"/>
    <x v="355"/>
    <x v="115"/>
    <n v="806.17997398388718"/>
    <x v="389"/>
  </r>
  <r>
    <x v="10"/>
    <x v="3"/>
    <x v="31"/>
    <x v="2"/>
    <n v="250"/>
    <x v="4"/>
    <x v="4"/>
    <x v="4"/>
    <n v="806.17997398388718"/>
    <x v="4"/>
  </r>
  <r>
    <x v="10"/>
    <x v="3"/>
    <x v="31"/>
    <x v="2"/>
    <n v="250"/>
    <x v="4"/>
    <x v="556"/>
    <x v="13"/>
    <n v="806.17997398388718"/>
    <x v="617"/>
  </r>
  <r>
    <x v="10"/>
    <x v="3"/>
    <x v="31"/>
    <x v="2"/>
    <n v="250"/>
    <x v="4"/>
    <x v="292"/>
    <x v="177"/>
    <n v="806.17997398388718"/>
    <x v="320"/>
  </r>
  <r>
    <x v="10"/>
    <x v="3"/>
    <x v="59"/>
    <x v="1"/>
    <n v="1340"/>
    <x v="0"/>
    <x v="164"/>
    <x v="82"/>
    <n v="1568.201724066995"/>
    <x v="176"/>
  </r>
  <r>
    <x v="10"/>
    <x v="3"/>
    <x v="59"/>
    <x v="1"/>
    <n v="786"/>
    <x v="1"/>
    <x v="481"/>
    <x v="261"/>
    <n v="1267.1717284030137"/>
    <x v="529"/>
  </r>
  <r>
    <x v="10"/>
    <x v="3"/>
    <x v="59"/>
    <x v="1"/>
    <n v="554"/>
    <x v="2"/>
    <x v="483"/>
    <x v="7"/>
    <n v="1091.0804693473326"/>
    <x v="531"/>
  </r>
  <r>
    <x v="10"/>
    <x v="3"/>
    <x v="59"/>
    <x v="1"/>
    <n v="431"/>
    <x v="3"/>
    <x v="469"/>
    <x v="177"/>
    <n v="966.14173273903259"/>
    <x v="515"/>
  </r>
  <r>
    <x v="10"/>
    <x v="3"/>
    <x v="59"/>
    <x v="1"/>
    <n v="358"/>
    <x v="4"/>
    <x v="15"/>
    <x v="15"/>
    <n v="869.23171973097612"/>
    <x v="15"/>
  </r>
  <r>
    <x v="10"/>
    <x v="3"/>
    <x v="59"/>
    <x v="1"/>
    <n v="120"/>
    <x v="5"/>
    <x v="379"/>
    <x v="53"/>
    <n v="790.05047368335136"/>
    <x v="417"/>
  </r>
  <r>
    <x v="10"/>
    <x v="3"/>
    <x v="2"/>
    <x v="2"/>
    <n v="1437"/>
    <x v="0"/>
    <x v="459"/>
    <x v="248"/>
    <n v="1919.078092376074"/>
    <x v="503"/>
  </r>
  <r>
    <x v="10"/>
    <x v="3"/>
    <x v="2"/>
    <x v="2"/>
    <n v="1000"/>
    <x v="1"/>
    <x v="52"/>
    <x v="7"/>
    <n v="1618.0480967120927"/>
    <x v="55"/>
  </r>
  <r>
    <x v="10"/>
    <x v="3"/>
    <x v="2"/>
    <x v="2"/>
    <n v="900"/>
    <x v="2"/>
    <x v="505"/>
    <x v="268"/>
    <n v="1441.9568376564116"/>
    <x v="554"/>
  </r>
  <r>
    <x v="10"/>
    <x v="3"/>
    <x v="2"/>
    <x v="2"/>
    <n v="900"/>
    <x v="3"/>
    <x v="63"/>
    <x v="76"/>
    <n v="1317.0181010481117"/>
    <x v="665"/>
  </r>
  <r>
    <x v="10"/>
    <x v="3"/>
    <x v="2"/>
    <x v="2"/>
    <n v="900"/>
    <x v="4"/>
    <x v="108"/>
    <x v="84"/>
    <n v="1220.108088040055"/>
    <x v="555"/>
  </r>
  <r>
    <x v="10"/>
    <x v="3"/>
    <x v="2"/>
    <x v="2"/>
    <n v="900"/>
    <x v="5"/>
    <x v="581"/>
    <x v="33"/>
    <n v="1140.9268419924304"/>
    <x v="647"/>
  </r>
  <r>
    <x v="10"/>
    <x v="3"/>
    <x v="2"/>
    <x v="2"/>
    <n v="900"/>
    <x v="6"/>
    <x v="376"/>
    <x v="202"/>
    <n v="1073.9800523618173"/>
    <x v="413"/>
  </r>
  <r>
    <x v="10"/>
    <x v="3"/>
    <x v="2"/>
    <x v="2"/>
    <n v="391"/>
    <x v="7"/>
    <x v="62"/>
    <x v="214"/>
    <n v="1015.9881053841304"/>
    <x v="409"/>
  </r>
  <r>
    <x v="10"/>
    <x v="3"/>
    <x v="2"/>
    <x v="2"/>
    <n v="330"/>
    <x v="8"/>
    <x v="408"/>
    <x v="94"/>
    <n v="964.83558293674912"/>
    <x v="448"/>
  </r>
  <r>
    <x v="10"/>
    <x v="3"/>
    <x v="2"/>
    <x v="2"/>
    <n v="273"/>
    <x v="9"/>
    <x v="557"/>
    <x v="289"/>
    <n v="919.07809237607398"/>
    <x v="618"/>
  </r>
  <r>
    <x v="10"/>
    <x v="3"/>
    <x v="2"/>
    <x v="2"/>
    <n v="120"/>
    <x v="10"/>
    <x v="483"/>
    <x v="307"/>
    <n v="877.68540721784882"/>
    <x v="666"/>
  </r>
  <r>
    <x v="10"/>
    <x v="3"/>
    <x v="17"/>
    <x v="7"/>
    <n v="1105.5"/>
    <x v="0"/>
    <x v="557"/>
    <x v="289"/>
    <n v="784.10086203349749"/>
    <x v="618"/>
  </r>
  <r>
    <x v="10"/>
    <x v="3"/>
    <x v="17"/>
    <x v="7"/>
    <n v="1105.5"/>
    <x v="0"/>
    <x v="501"/>
    <x v="1"/>
    <n v="784.10086203349749"/>
    <x v="550"/>
  </r>
  <r>
    <x v="10"/>
    <x v="3"/>
    <x v="17"/>
    <x v="7"/>
    <n v="1000"/>
    <x v="1"/>
    <x v="62"/>
    <x v="214"/>
    <n v="633.58586420150687"/>
    <x v="409"/>
  </r>
  <r>
    <x v="10"/>
    <x v="3"/>
    <x v="17"/>
    <x v="7"/>
    <n v="1000"/>
    <x v="1"/>
    <x v="416"/>
    <x v="153"/>
    <n v="633.58586420150687"/>
    <x v="458"/>
  </r>
  <r>
    <x v="10"/>
    <x v="3"/>
    <x v="17"/>
    <x v="7"/>
    <n v="574"/>
    <x v="2"/>
    <x v="15"/>
    <x v="31"/>
    <n v="545.5402346736663"/>
    <x v="32"/>
  </r>
  <r>
    <x v="10"/>
    <x v="3"/>
    <x v="17"/>
    <x v="7"/>
    <n v="574"/>
    <x v="2"/>
    <x v="595"/>
    <x v="308"/>
    <n v="545.5402346736663"/>
    <x v="667"/>
  </r>
  <r>
    <x v="10"/>
    <x v="3"/>
    <x v="17"/>
    <x v="7"/>
    <n v="431"/>
    <x v="3"/>
    <x v="596"/>
    <x v="309"/>
    <n v="483.0708663695163"/>
    <x v="668"/>
  </r>
  <r>
    <x v="10"/>
    <x v="3"/>
    <x v="17"/>
    <x v="7"/>
    <n v="431"/>
    <x v="3"/>
    <x v="597"/>
    <x v="25"/>
    <n v="483.0708663695163"/>
    <x v="669"/>
  </r>
  <r>
    <x v="10"/>
    <x v="3"/>
    <x v="17"/>
    <x v="7"/>
    <n v="359"/>
    <x v="4"/>
    <x v="577"/>
    <x v="301"/>
    <n v="434.61585986548806"/>
    <x v="643"/>
  </r>
  <r>
    <x v="10"/>
    <x v="3"/>
    <x v="17"/>
    <x v="7"/>
    <n v="359"/>
    <x v="4"/>
    <x v="459"/>
    <x v="248"/>
    <n v="434.61585986548806"/>
    <x v="503"/>
  </r>
  <r>
    <x v="10"/>
    <x v="3"/>
    <x v="17"/>
    <x v="7"/>
    <n v="120"/>
    <x v="5"/>
    <x v="420"/>
    <x v="11"/>
    <n v="395.02523684167568"/>
    <x v="462"/>
  </r>
  <r>
    <x v="10"/>
    <x v="3"/>
    <x v="17"/>
    <x v="7"/>
    <n v="120"/>
    <x v="5"/>
    <x v="353"/>
    <x v="207"/>
    <n v="395.02523684167568"/>
    <x v="387"/>
  </r>
  <r>
    <x v="11"/>
    <x v="0"/>
    <x v="2"/>
    <x v="2"/>
    <n v="2500"/>
    <x v="0"/>
    <x v="598"/>
    <x v="13"/>
    <n v="2012.837224705172"/>
    <x v="670"/>
  </r>
  <r>
    <x v="11"/>
    <x v="0"/>
    <x v="2"/>
    <x v="2"/>
    <n v="1800"/>
    <x v="1"/>
    <x v="453"/>
    <x v="13"/>
    <n v="1711.8072290411908"/>
    <x v="655"/>
  </r>
  <r>
    <x v="11"/>
    <x v="0"/>
    <x v="2"/>
    <x v="2"/>
    <n v="1400"/>
    <x v="2"/>
    <x v="16"/>
    <x v="21"/>
    <n v="1535.7159699855097"/>
    <x v="671"/>
  </r>
  <r>
    <x v="11"/>
    <x v="0"/>
    <x v="2"/>
    <x v="2"/>
    <n v="1000"/>
    <x v="3"/>
    <x v="432"/>
    <x v="91"/>
    <n v="1410.7772333772095"/>
    <x v="475"/>
  </r>
  <r>
    <x v="11"/>
    <x v="0"/>
    <x v="2"/>
    <x v="2"/>
    <n v="800"/>
    <x v="4"/>
    <x v="356"/>
    <x v="310"/>
    <n v="1313.8672203691533"/>
    <x v="672"/>
  </r>
  <r>
    <x v="11"/>
    <x v="0"/>
    <x v="2"/>
    <x v="2"/>
    <n v="700"/>
    <x v="5"/>
    <x v="599"/>
    <x v="311"/>
    <n v="1234.6859743215284"/>
    <x v="673"/>
  </r>
  <r>
    <x v="11"/>
    <x v="0"/>
    <x v="2"/>
    <x v="2"/>
    <n v="600"/>
    <x v="6"/>
    <x v="63"/>
    <x v="21"/>
    <n v="1167.7391846909152"/>
    <x v="67"/>
  </r>
  <r>
    <x v="11"/>
    <x v="0"/>
    <x v="2"/>
    <x v="2"/>
    <n v="500"/>
    <x v="7"/>
    <x v="582"/>
    <x v="33"/>
    <n v="1109.7472377132285"/>
    <x v="648"/>
  </r>
  <r>
    <x v="11"/>
    <x v="0"/>
    <x v="2"/>
    <x v="2"/>
    <n v="400"/>
    <x v="8"/>
    <x v="584"/>
    <x v="304"/>
    <n v="1058.5947152658473"/>
    <x v="651"/>
  </r>
  <r>
    <x v="11"/>
    <x v="0"/>
    <x v="2"/>
    <x v="2"/>
    <n v="300"/>
    <x v="9"/>
    <x v="532"/>
    <x v="239"/>
    <n v="1012.837224705172"/>
    <x v="586"/>
  </r>
  <r>
    <x v="11"/>
    <x v="0"/>
    <x v="46"/>
    <x v="4"/>
    <n v="928"/>
    <x v="0"/>
    <x v="600"/>
    <x v="3"/>
    <n v="1568.201724066995"/>
    <x v="674"/>
  </r>
  <r>
    <x v="11"/>
    <x v="0"/>
    <x v="46"/>
    <x v="4"/>
    <n v="599"/>
    <x v="1"/>
    <x v="515"/>
    <x v="106"/>
    <n v="1267.1717284030137"/>
    <x v="675"/>
  </r>
  <r>
    <x v="11"/>
    <x v="0"/>
    <x v="46"/>
    <x v="4"/>
    <n v="543"/>
    <x v="2"/>
    <x v="516"/>
    <x v="11"/>
    <n v="1091.0804693473326"/>
    <x v="650"/>
  </r>
  <r>
    <x v="11"/>
    <x v="0"/>
    <x v="46"/>
    <x v="4"/>
    <n v="440"/>
    <x v="3"/>
    <x v="532"/>
    <x v="239"/>
    <n v="966.14173273903259"/>
    <x v="586"/>
  </r>
  <r>
    <x v="11"/>
    <x v="0"/>
    <x v="46"/>
    <x v="4"/>
    <n v="422"/>
    <x v="4"/>
    <x v="481"/>
    <x v="261"/>
    <n v="869.23171973097612"/>
    <x v="529"/>
  </r>
  <r>
    <x v="11"/>
    <x v="0"/>
    <x v="46"/>
    <x v="4"/>
    <n v="376"/>
    <x v="5"/>
    <x v="516"/>
    <x v="272"/>
    <n v="790.05047368335136"/>
    <x v="567"/>
  </r>
  <r>
    <x v="11"/>
    <x v="0"/>
    <x v="46"/>
    <x v="4"/>
    <n v="240"/>
    <x v="6"/>
    <x v="32"/>
    <x v="33"/>
    <n v="723.10368405273812"/>
    <x v="34"/>
  </r>
  <r>
    <x v="11"/>
    <x v="0"/>
    <x v="46"/>
    <x v="4"/>
    <n v="150"/>
    <x v="7"/>
    <x v="480"/>
    <x v="260"/>
    <n v="665.11173707505145"/>
    <x v="528"/>
  </r>
  <r>
    <x v="11"/>
    <x v="0"/>
    <x v="5"/>
    <x v="1"/>
    <n v="1875"/>
    <x v="0"/>
    <x v="89"/>
    <x v="37"/>
    <n v="1913.8138523837167"/>
    <x v="96"/>
  </r>
  <r>
    <x v="11"/>
    <x v="0"/>
    <x v="5"/>
    <x v="1"/>
    <n v="1350"/>
    <x v="1"/>
    <x v="472"/>
    <x v="7"/>
    <n v="1612.7838567197355"/>
    <x v="676"/>
  </r>
  <r>
    <x v="11"/>
    <x v="0"/>
    <x v="5"/>
    <x v="1"/>
    <n v="975"/>
    <x v="2"/>
    <x v="453"/>
    <x v="13"/>
    <n v="1436.6925976640543"/>
    <x v="655"/>
  </r>
  <r>
    <x v="11"/>
    <x v="0"/>
    <x v="5"/>
    <x v="1"/>
    <n v="750"/>
    <x v="3"/>
    <x v="587"/>
    <x v="115"/>
    <n v="1311.7538610557542"/>
    <x v="657"/>
  </r>
  <r>
    <x v="11"/>
    <x v="0"/>
    <x v="5"/>
    <x v="1"/>
    <n v="600"/>
    <x v="4"/>
    <x v="382"/>
    <x v="11"/>
    <n v="1214.843848047698"/>
    <x v="420"/>
  </r>
  <r>
    <x v="11"/>
    <x v="0"/>
    <x v="5"/>
    <x v="1"/>
    <n v="450"/>
    <x v="5"/>
    <x v="51"/>
    <x v="24"/>
    <n v="1135.6626020000731"/>
    <x v="53"/>
  </r>
  <r>
    <x v="11"/>
    <x v="0"/>
    <x v="5"/>
    <x v="1"/>
    <n v="300"/>
    <x v="6"/>
    <x v="601"/>
    <x v="312"/>
    <n v="1068.7158123694599"/>
    <x v="677"/>
  </r>
  <r>
    <x v="11"/>
    <x v="0"/>
    <x v="5"/>
    <x v="1"/>
    <n v="206"/>
    <x v="7"/>
    <x v="516"/>
    <x v="272"/>
    <n v="1010.7238653917732"/>
    <x v="567"/>
  </r>
  <r>
    <x v="11"/>
    <x v="0"/>
    <x v="5"/>
    <x v="1"/>
    <n v="150"/>
    <x v="8"/>
    <x v="482"/>
    <x v="37"/>
    <n v="959.57134294439186"/>
    <x v="530"/>
  </r>
  <r>
    <x v="11"/>
    <x v="0"/>
    <x v="5"/>
    <x v="1"/>
    <n v="112"/>
    <x v="9"/>
    <x v="379"/>
    <x v="53"/>
    <n v="913.81385238371672"/>
    <x v="417"/>
  </r>
  <r>
    <x v="11"/>
    <x v="0"/>
    <x v="5"/>
    <x v="1"/>
    <n v="112"/>
    <x v="10"/>
    <x v="83"/>
    <x v="57"/>
    <n v="872.42116722549156"/>
    <x v="89"/>
  </r>
  <r>
    <x v="11"/>
    <x v="0"/>
    <x v="5"/>
    <x v="1"/>
    <n v="112"/>
    <x v="11"/>
    <x v="586"/>
    <x v="124"/>
    <n v="834.63260633609184"/>
    <x v="654"/>
  </r>
  <r>
    <x v="11"/>
    <x v="0"/>
    <x v="5"/>
    <x v="1"/>
    <n v="94"/>
    <x v="12"/>
    <x v="356"/>
    <x v="310"/>
    <n v="799.87050007688003"/>
    <x v="672"/>
  </r>
  <r>
    <x v="11"/>
    <x v="0"/>
    <x v="5"/>
    <x v="1"/>
    <n v="94"/>
    <x v="13"/>
    <x v="602"/>
    <x v="313"/>
    <n v="767.68581670547871"/>
    <x v="678"/>
  </r>
  <r>
    <x v="11"/>
    <x v="0"/>
    <x v="5"/>
    <x v="1"/>
    <n v="94"/>
    <x v="14"/>
    <x v="28"/>
    <x v="28"/>
    <n v="737.72259332803537"/>
    <x v="28"/>
  </r>
  <r>
    <x v="11"/>
    <x v="0"/>
    <x v="5"/>
    <x v="1"/>
    <n v="75"/>
    <x v="15"/>
    <x v="543"/>
    <x v="25"/>
    <n v="709.69386972779193"/>
    <x v="600"/>
  </r>
  <r>
    <x v="11"/>
    <x v="0"/>
    <x v="5"/>
    <x v="1"/>
    <n v="75"/>
    <x v="16"/>
    <x v="535"/>
    <x v="114"/>
    <n v="683.36493100544283"/>
    <x v="590"/>
  </r>
  <r>
    <x v="11"/>
    <x v="0"/>
    <x v="5"/>
    <x v="1"/>
    <n v="75"/>
    <x v="17"/>
    <x v="61"/>
    <x v="314"/>
    <n v="658.54134728041072"/>
    <x v="679"/>
  </r>
  <r>
    <x v="11"/>
    <x v="1"/>
    <x v="42"/>
    <x v="1"/>
    <n v="1700"/>
    <x v="0"/>
    <x v="411"/>
    <x v="231"/>
    <n v="1939.5192526186186"/>
    <x v="452"/>
  </r>
  <r>
    <x v="11"/>
    <x v="1"/>
    <x v="42"/>
    <x v="1"/>
    <n v="1240"/>
    <x v="1"/>
    <x v="377"/>
    <x v="92"/>
    <n v="1638.4892569546373"/>
    <x v="414"/>
  </r>
  <r>
    <x v="11"/>
    <x v="1"/>
    <x v="42"/>
    <x v="1"/>
    <n v="980"/>
    <x v="2"/>
    <x v="153"/>
    <x v="107"/>
    <n v="1462.3979978989562"/>
    <x v="165"/>
  </r>
  <r>
    <x v="11"/>
    <x v="1"/>
    <x v="42"/>
    <x v="1"/>
    <n v="785"/>
    <x v="3"/>
    <x v="603"/>
    <x v="92"/>
    <n v="1337.4592612906563"/>
    <x v="680"/>
  </r>
  <r>
    <x v="11"/>
    <x v="1"/>
    <x v="42"/>
    <x v="1"/>
    <n v="585"/>
    <x v="4"/>
    <x v="398"/>
    <x v="82"/>
    <n v="1240.5492482825996"/>
    <x v="437"/>
  </r>
  <r>
    <x v="11"/>
    <x v="1"/>
    <x v="42"/>
    <x v="1"/>
    <n v="455"/>
    <x v="5"/>
    <x v="99"/>
    <x v="79"/>
    <n v="1161.3680022349749"/>
    <x v="106"/>
  </r>
  <r>
    <x v="11"/>
    <x v="1"/>
    <x v="42"/>
    <x v="1"/>
    <n v="325"/>
    <x v="6"/>
    <x v="540"/>
    <x v="282"/>
    <n v="1094.4212126043617"/>
    <x v="595"/>
  </r>
  <r>
    <x v="11"/>
    <x v="1"/>
    <x v="42"/>
    <x v="1"/>
    <n v="195"/>
    <x v="7"/>
    <x v="485"/>
    <x v="262"/>
    <n v="1036.429265626675"/>
    <x v="533"/>
  </r>
  <r>
    <x v="11"/>
    <x v="1"/>
    <x v="42"/>
    <x v="1"/>
    <n v="130"/>
    <x v="8"/>
    <x v="520"/>
    <x v="76"/>
    <n v="985.27674317929359"/>
    <x v="571"/>
  </r>
  <r>
    <x v="11"/>
    <x v="1"/>
    <x v="42"/>
    <x v="1"/>
    <n v="130"/>
    <x v="9"/>
    <x v="573"/>
    <x v="297"/>
    <n v="939.51925261861845"/>
    <x v="636"/>
  </r>
  <r>
    <x v="11"/>
    <x v="1"/>
    <x v="60"/>
    <x v="1"/>
    <n v="940"/>
    <x v="0"/>
    <x v="381"/>
    <x v="279"/>
    <n v="1939.5192526186186"/>
    <x v="589"/>
  </r>
  <r>
    <x v="11"/>
    <x v="1"/>
    <x v="60"/>
    <x v="1"/>
    <n v="685"/>
    <x v="1"/>
    <x v="40"/>
    <x v="99"/>
    <n v="1638.4892569546373"/>
    <x v="681"/>
  </r>
  <r>
    <x v="11"/>
    <x v="1"/>
    <x v="60"/>
    <x v="1"/>
    <n v="545"/>
    <x v="2"/>
    <x v="153"/>
    <x v="107"/>
    <n v="1462.3979978989562"/>
    <x v="165"/>
  </r>
  <r>
    <x v="11"/>
    <x v="1"/>
    <x v="60"/>
    <x v="1"/>
    <n v="435"/>
    <x v="3"/>
    <x v="446"/>
    <x v="13"/>
    <n v="1337.4592612906563"/>
    <x v="490"/>
  </r>
  <r>
    <x v="11"/>
    <x v="1"/>
    <x v="60"/>
    <x v="1"/>
    <n v="365"/>
    <x v="4"/>
    <x v="22"/>
    <x v="22"/>
    <n v="1240.5492482825996"/>
    <x v="22"/>
  </r>
  <r>
    <x v="11"/>
    <x v="1"/>
    <x v="60"/>
    <x v="1"/>
    <n v="255"/>
    <x v="5"/>
    <x v="4"/>
    <x v="4"/>
    <n v="1161.3680022349749"/>
    <x v="4"/>
  </r>
  <r>
    <x v="11"/>
    <x v="1"/>
    <x v="60"/>
    <x v="1"/>
    <n v="180"/>
    <x v="6"/>
    <x v="399"/>
    <x v="204"/>
    <n v="1094.4212126043617"/>
    <x v="438"/>
  </r>
  <r>
    <x v="11"/>
    <x v="1"/>
    <x v="60"/>
    <x v="1"/>
    <n v="145"/>
    <x v="7"/>
    <x v="437"/>
    <x v="243"/>
    <n v="1036.429265626675"/>
    <x v="480"/>
  </r>
  <r>
    <x v="11"/>
    <x v="1"/>
    <x v="60"/>
    <x v="1"/>
    <n v="80"/>
    <x v="8"/>
    <x v="292"/>
    <x v="177"/>
    <n v="985.27674317929359"/>
    <x v="320"/>
  </r>
  <r>
    <x v="11"/>
    <x v="1"/>
    <x v="3"/>
    <x v="1"/>
    <n v="960"/>
    <x v="0"/>
    <x v="239"/>
    <x v="92"/>
    <n v="1755.8748556724915"/>
    <x v="263"/>
  </r>
  <r>
    <x v="11"/>
    <x v="1"/>
    <x v="3"/>
    <x v="1"/>
    <n v="720"/>
    <x v="1"/>
    <x v="22"/>
    <x v="22"/>
    <n v="1454.8448600085103"/>
    <x v="22"/>
  </r>
  <r>
    <x v="11"/>
    <x v="1"/>
    <x v="3"/>
    <x v="1"/>
    <n v="545"/>
    <x v="2"/>
    <x v="355"/>
    <x v="115"/>
    <n v="1278.7536009528292"/>
    <x v="389"/>
  </r>
  <r>
    <x v="11"/>
    <x v="1"/>
    <x v="3"/>
    <x v="1"/>
    <n v="445"/>
    <x v="3"/>
    <x v="91"/>
    <x v="3"/>
    <n v="1153.814864344529"/>
    <x v="98"/>
  </r>
  <r>
    <x v="11"/>
    <x v="1"/>
    <x v="3"/>
    <x v="1"/>
    <n v="340"/>
    <x v="4"/>
    <x v="132"/>
    <x v="96"/>
    <n v="1056.9048513364728"/>
    <x v="139"/>
  </r>
  <r>
    <x v="11"/>
    <x v="1"/>
    <x v="3"/>
    <x v="1"/>
    <n v="240"/>
    <x v="5"/>
    <x v="482"/>
    <x v="37"/>
    <n v="977.72360528884781"/>
    <x v="530"/>
  </r>
  <r>
    <x v="11"/>
    <x v="1"/>
    <x v="3"/>
    <x v="1"/>
    <n v="170"/>
    <x v="6"/>
    <x v="592"/>
    <x v="24"/>
    <n v="910.77681565823468"/>
    <x v="662"/>
  </r>
  <r>
    <x v="11"/>
    <x v="1"/>
    <x v="2"/>
    <x v="2"/>
    <n v="3150"/>
    <x v="0"/>
    <x v="604"/>
    <x v="315"/>
    <n v="2178.9769472931694"/>
    <x v="682"/>
  </r>
  <r>
    <x v="11"/>
    <x v="1"/>
    <x v="2"/>
    <x v="2"/>
    <n v="3150"/>
    <x v="1"/>
    <x v="377"/>
    <x v="92"/>
    <n v="1877.9469516291881"/>
    <x v="414"/>
  </r>
  <r>
    <x v="11"/>
    <x v="1"/>
    <x v="2"/>
    <x v="2"/>
    <n v="2115"/>
    <x v="2"/>
    <x v="205"/>
    <x v="138"/>
    <n v="1701.855692573507"/>
    <x v="223"/>
  </r>
  <r>
    <x v="11"/>
    <x v="1"/>
    <x v="2"/>
    <x v="2"/>
    <n v="1660"/>
    <x v="3"/>
    <x v="91"/>
    <x v="3"/>
    <n v="1576.9169559652069"/>
    <x v="98"/>
  </r>
  <r>
    <x v="11"/>
    <x v="1"/>
    <x v="2"/>
    <x v="2"/>
    <n v="1210"/>
    <x v="4"/>
    <x v="306"/>
    <x v="15"/>
    <n v="1480.0069429571506"/>
    <x v="334"/>
  </r>
  <r>
    <x v="11"/>
    <x v="1"/>
    <x v="2"/>
    <x v="2"/>
    <n v="905"/>
    <x v="5"/>
    <x v="153"/>
    <x v="107"/>
    <n v="1400.8256969095257"/>
    <x v="165"/>
  </r>
  <r>
    <x v="11"/>
    <x v="1"/>
    <x v="2"/>
    <x v="2"/>
    <n v="605"/>
    <x v="6"/>
    <x v="391"/>
    <x v="25"/>
    <n v="1333.8789072789123"/>
    <x v="430"/>
  </r>
  <r>
    <x v="11"/>
    <x v="1"/>
    <x v="2"/>
    <x v="2"/>
    <n v="455"/>
    <x v="7"/>
    <x v="443"/>
    <x v="7"/>
    <n v="1275.8869603012258"/>
    <x v="486"/>
  </r>
  <r>
    <x v="11"/>
    <x v="1"/>
    <x v="2"/>
    <x v="2"/>
    <n v="300"/>
    <x v="8"/>
    <x v="247"/>
    <x v="25"/>
    <n v="1224.7344378538446"/>
    <x v="271"/>
  </r>
  <r>
    <x v="11"/>
    <x v="1"/>
    <x v="2"/>
    <x v="2"/>
    <n v="300"/>
    <x v="9"/>
    <x v="87"/>
    <x v="72"/>
    <n v="1178.9769472931694"/>
    <x v="94"/>
  </r>
  <r>
    <x v="11"/>
    <x v="1"/>
    <x v="2"/>
    <x v="2"/>
    <n v="225"/>
    <x v="10"/>
    <x v="605"/>
    <x v="120"/>
    <n v="1137.5842621349441"/>
    <x v="683"/>
  </r>
  <r>
    <x v="11"/>
    <x v="1"/>
    <x v="2"/>
    <x v="2"/>
    <n v="225"/>
    <x v="11"/>
    <x v="575"/>
    <x v="298"/>
    <n v="1099.7957012455445"/>
    <x v="639"/>
  </r>
  <r>
    <x v="11"/>
    <x v="1"/>
    <x v="2"/>
    <x v="2"/>
    <n v="150"/>
    <x v="12"/>
    <x v="196"/>
    <x v="92"/>
    <n v="1065.0335949863324"/>
    <x v="214"/>
  </r>
  <r>
    <x v="11"/>
    <x v="1"/>
    <x v="2"/>
    <x v="2"/>
    <n v="150"/>
    <x v="13"/>
    <x v="542"/>
    <x v="4"/>
    <n v="1032.8489116149312"/>
    <x v="598"/>
  </r>
  <r>
    <x v="11"/>
    <x v="1"/>
    <x v="2"/>
    <x v="2"/>
    <n v="150"/>
    <x v="14"/>
    <x v="28"/>
    <x v="28"/>
    <n v="1002.8856882374879"/>
    <x v="28"/>
  </r>
  <r>
    <x v="11"/>
    <x v="1"/>
    <x v="2"/>
    <x v="2"/>
    <n v="150"/>
    <x v="15"/>
    <x v="22"/>
    <x v="22"/>
    <n v="974.85696463724446"/>
    <x v="22"/>
  </r>
  <r>
    <x v="11"/>
    <x v="1"/>
    <x v="2"/>
    <x v="2"/>
    <n v="100"/>
    <x v="16"/>
    <x v="173"/>
    <x v="121"/>
    <n v="948.52802591489535"/>
    <x v="188"/>
  </r>
  <r>
    <x v="11"/>
    <x v="1"/>
    <x v="2"/>
    <x v="2"/>
    <n v="100"/>
    <x v="17"/>
    <x v="116"/>
    <x v="89"/>
    <n v="923.70444218986324"/>
    <x v="123"/>
  </r>
  <r>
    <x v="11"/>
    <x v="1"/>
    <x v="46"/>
    <x v="4"/>
    <n v="1585"/>
    <x v="0"/>
    <x v="497"/>
    <x v="266"/>
    <n v="1908.4850188786497"/>
    <x v="546"/>
  </r>
  <r>
    <x v="11"/>
    <x v="1"/>
    <x v="46"/>
    <x v="4"/>
    <n v="1155"/>
    <x v="1"/>
    <x v="45"/>
    <x v="224"/>
    <n v="1607.4550232146685"/>
    <x v="429"/>
  </r>
  <r>
    <x v="11"/>
    <x v="1"/>
    <x v="46"/>
    <x v="4"/>
    <n v="910"/>
    <x v="2"/>
    <x v="173"/>
    <x v="121"/>
    <n v="1431.3637641589874"/>
    <x v="188"/>
  </r>
  <r>
    <x v="11"/>
    <x v="1"/>
    <x v="46"/>
    <x v="4"/>
    <n v="730"/>
    <x v="3"/>
    <x v="301"/>
    <x v="182"/>
    <n v="1306.4250275506874"/>
    <x v="329"/>
  </r>
  <r>
    <x v="11"/>
    <x v="1"/>
    <x v="46"/>
    <x v="4"/>
    <n v="545"/>
    <x v="4"/>
    <x v="198"/>
    <x v="81"/>
    <n v="1209.5150145426308"/>
    <x v="216"/>
  </r>
  <r>
    <x v="11"/>
    <x v="1"/>
    <x v="46"/>
    <x v="4"/>
    <n v="425"/>
    <x v="5"/>
    <x v="451"/>
    <x v="135"/>
    <n v="1130.3337684950061"/>
    <x v="495"/>
  </r>
  <r>
    <x v="11"/>
    <x v="1"/>
    <x v="46"/>
    <x v="4"/>
    <n v="305"/>
    <x v="6"/>
    <x v="453"/>
    <x v="13"/>
    <n v="1063.3869788643931"/>
    <x v="655"/>
  </r>
  <r>
    <x v="11"/>
    <x v="1"/>
    <x v="46"/>
    <x v="4"/>
    <n v="180"/>
    <x v="7"/>
    <x v="306"/>
    <x v="15"/>
    <n v="1005.3950318867062"/>
    <x v="334"/>
  </r>
  <r>
    <x v="11"/>
    <x v="1"/>
    <x v="46"/>
    <x v="4"/>
    <n v="120"/>
    <x v="8"/>
    <x v="42"/>
    <x v="40"/>
    <n v="954.24250943932486"/>
    <x v="44"/>
  </r>
  <r>
    <x v="11"/>
    <x v="1"/>
    <x v="46"/>
    <x v="4"/>
    <n v="120"/>
    <x v="9"/>
    <x v="592"/>
    <x v="24"/>
    <n v="908.48501887864973"/>
    <x v="662"/>
  </r>
  <r>
    <x v="11"/>
    <x v="1"/>
    <x v="5"/>
    <x v="1"/>
    <n v="2505"/>
    <x v="0"/>
    <x v="540"/>
    <x v="282"/>
    <n v="2127.1047983648077"/>
    <x v="595"/>
  </r>
  <r>
    <x v="11"/>
    <x v="1"/>
    <x v="5"/>
    <x v="1"/>
    <n v="1910"/>
    <x v="1"/>
    <x v="398"/>
    <x v="153"/>
    <n v="1826.0748027008265"/>
    <x v="684"/>
  </r>
  <r>
    <x v="11"/>
    <x v="1"/>
    <x v="5"/>
    <x v="1"/>
    <n v="1405"/>
    <x v="2"/>
    <x v="446"/>
    <x v="13"/>
    <n v="1649.9835436451453"/>
    <x v="490"/>
  </r>
  <r>
    <x v="11"/>
    <x v="1"/>
    <x v="5"/>
    <x v="1"/>
    <n v="1105"/>
    <x v="3"/>
    <x v="292"/>
    <x v="177"/>
    <n v="1525.0448070368452"/>
    <x v="320"/>
  </r>
  <r>
    <x v="11"/>
    <x v="1"/>
    <x v="5"/>
    <x v="1"/>
    <n v="805"/>
    <x v="4"/>
    <x v="472"/>
    <x v="7"/>
    <n v="1428.134794028789"/>
    <x v="676"/>
  </r>
  <r>
    <x v="11"/>
    <x v="1"/>
    <x v="5"/>
    <x v="1"/>
    <n v="605"/>
    <x v="5"/>
    <x v="606"/>
    <x v="29"/>
    <n v="1348.9535479811641"/>
    <x v="685"/>
  </r>
  <r>
    <x v="11"/>
    <x v="1"/>
    <x v="5"/>
    <x v="1"/>
    <n v="400"/>
    <x v="6"/>
    <x v="391"/>
    <x v="258"/>
    <n v="1282.0067583505509"/>
    <x v="523"/>
  </r>
  <r>
    <x v="11"/>
    <x v="1"/>
    <x v="5"/>
    <x v="1"/>
    <n v="300"/>
    <x v="7"/>
    <x v="573"/>
    <x v="297"/>
    <n v="1224.0148113728642"/>
    <x v="636"/>
  </r>
  <r>
    <x v="11"/>
    <x v="1"/>
    <x v="5"/>
    <x v="1"/>
    <n v="200"/>
    <x v="8"/>
    <x v="15"/>
    <x v="15"/>
    <n v="1172.862288925483"/>
    <x v="15"/>
  </r>
  <r>
    <x v="11"/>
    <x v="1"/>
    <x v="5"/>
    <x v="1"/>
    <n v="200"/>
    <x v="9"/>
    <x v="255"/>
    <x v="160"/>
    <n v="1127.1047983648077"/>
    <x v="282"/>
  </r>
  <r>
    <x v="11"/>
    <x v="1"/>
    <x v="5"/>
    <x v="1"/>
    <n v="150"/>
    <x v="10"/>
    <x v="447"/>
    <x v="7"/>
    <n v="1085.7121132065827"/>
    <x v="491"/>
  </r>
  <r>
    <x v="11"/>
    <x v="1"/>
    <x v="5"/>
    <x v="1"/>
    <n v="150"/>
    <x v="11"/>
    <x v="381"/>
    <x v="279"/>
    <n v="1047.9235523171828"/>
    <x v="589"/>
  </r>
  <r>
    <x v="11"/>
    <x v="1"/>
    <x v="5"/>
    <x v="1"/>
    <n v="105"/>
    <x v="12"/>
    <x v="311"/>
    <x v="22"/>
    <n v="1013.161446057971"/>
    <x v="340"/>
  </r>
  <r>
    <x v="11"/>
    <x v="1"/>
    <x v="5"/>
    <x v="1"/>
    <n v="105"/>
    <x v="13"/>
    <x v="497"/>
    <x v="266"/>
    <n v="980.97676268656971"/>
    <x v="546"/>
  </r>
  <r>
    <x v="11"/>
    <x v="1"/>
    <x v="5"/>
    <x v="1"/>
    <n v="105"/>
    <x v="14"/>
    <x v="301"/>
    <x v="182"/>
    <n v="951.01353930912637"/>
    <x v="329"/>
  </r>
  <r>
    <x v="11"/>
    <x v="6"/>
    <x v="14"/>
    <x v="7"/>
    <n v="803"/>
    <x v="0"/>
    <x v="453"/>
    <x v="13"/>
    <n v="1643.4526764861873"/>
    <x v="655"/>
  </r>
  <r>
    <x v="11"/>
    <x v="6"/>
    <x v="14"/>
    <x v="7"/>
    <n v="570"/>
    <x v="1"/>
    <x v="239"/>
    <x v="92"/>
    <n v="1342.4226808222061"/>
    <x v="263"/>
  </r>
  <r>
    <x v="11"/>
    <x v="6"/>
    <x v="14"/>
    <x v="7"/>
    <n v="439"/>
    <x v="2"/>
    <x v="12"/>
    <x v="251"/>
    <n v="1166.331421766525"/>
    <x v="512"/>
  </r>
  <r>
    <x v="11"/>
    <x v="6"/>
    <x v="14"/>
    <x v="7"/>
    <n v="333"/>
    <x v="3"/>
    <x v="255"/>
    <x v="160"/>
    <n v="1041.3926851582248"/>
    <x v="282"/>
  </r>
  <r>
    <x v="11"/>
    <x v="6"/>
    <x v="14"/>
    <x v="7"/>
    <n v="255"/>
    <x v="4"/>
    <x v="446"/>
    <x v="13"/>
    <n v="944.48267215016858"/>
    <x v="490"/>
  </r>
  <r>
    <x v="11"/>
    <x v="6"/>
    <x v="14"/>
    <x v="7"/>
    <n v="175"/>
    <x v="5"/>
    <x v="390"/>
    <x v="202"/>
    <n v="865.30142610254381"/>
    <x v="428"/>
  </r>
  <r>
    <x v="11"/>
    <x v="6"/>
    <x v="14"/>
    <x v="7"/>
    <n v="65"/>
    <x v="6"/>
    <x v="320"/>
    <x v="263"/>
    <n v="798.35463647193058"/>
    <x v="537"/>
  </r>
  <r>
    <x v="11"/>
    <x v="6"/>
    <x v="61"/>
    <x v="1"/>
    <n v="1085"/>
    <x v="0"/>
    <x v="485"/>
    <x v="262"/>
    <n v="1826.0748027008265"/>
    <x v="533"/>
  </r>
  <r>
    <x v="11"/>
    <x v="6"/>
    <x v="61"/>
    <x v="1"/>
    <n v="804"/>
    <x v="1"/>
    <x v="452"/>
    <x v="144"/>
    <n v="1525.0448070368452"/>
    <x v="496"/>
  </r>
  <r>
    <x v="11"/>
    <x v="6"/>
    <x v="61"/>
    <x v="1"/>
    <n v="603"/>
    <x v="2"/>
    <x v="607"/>
    <x v="180"/>
    <n v="1348.9535479811641"/>
    <x v="686"/>
  </r>
  <r>
    <x v="11"/>
    <x v="6"/>
    <x v="61"/>
    <x v="1"/>
    <n v="482"/>
    <x v="3"/>
    <x v="573"/>
    <x v="297"/>
    <n v="1224.014811372864"/>
    <x v="636"/>
  </r>
  <r>
    <x v="11"/>
    <x v="6"/>
    <x v="61"/>
    <x v="1"/>
    <n v="402"/>
    <x v="4"/>
    <x v="605"/>
    <x v="120"/>
    <n v="1127.1047983648077"/>
    <x v="683"/>
  </r>
  <r>
    <x v="11"/>
    <x v="6"/>
    <x v="61"/>
    <x v="1"/>
    <n v="281"/>
    <x v="5"/>
    <x v="126"/>
    <x v="93"/>
    <n v="1047.9235523171828"/>
    <x v="133"/>
  </r>
  <r>
    <x v="11"/>
    <x v="6"/>
    <x v="61"/>
    <x v="1"/>
    <n v="201"/>
    <x v="6"/>
    <x v="381"/>
    <x v="279"/>
    <n v="980.9767626865696"/>
    <x v="589"/>
  </r>
  <r>
    <x v="11"/>
    <x v="6"/>
    <x v="61"/>
    <x v="1"/>
    <n v="162"/>
    <x v="7"/>
    <x v="116"/>
    <x v="89"/>
    <n v="922.98481570888293"/>
    <x v="123"/>
  </r>
  <r>
    <x v="11"/>
    <x v="6"/>
    <x v="62"/>
    <x v="2"/>
    <n v="698"/>
    <x v="0"/>
    <x v="205"/>
    <x v="138"/>
    <n v="1653.2125137753437"/>
    <x v="223"/>
  </r>
  <r>
    <x v="11"/>
    <x v="6"/>
    <x v="62"/>
    <x v="2"/>
    <n v="495"/>
    <x v="1"/>
    <x v="607"/>
    <x v="316"/>
    <n v="1352.1825181113625"/>
    <x v="687"/>
  </r>
  <r>
    <x v="11"/>
    <x v="6"/>
    <x v="62"/>
    <x v="2"/>
    <n v="382"/>
    <x v="2"/>
    <x v="377"/>
    <x v="92"/>
    <n v="1176.0912590556813"/>
    <x v="414"/>
  </r>
  <r>
    <x v="11"/>
    <x v="6"/>
    <x v="62"/>
    <x v="2"/>
    <n v="293"/>
    <x v="3"/>
    <x v="87"/>
    <x v="72"/>
    <n v="1051.1525224473814"/>
    <x v="94"/>
  </r>
  <r>
    <x v="11"/>
    <x v="6"/>
    <x v="62"/>
    <x v="2"/>
    <n v="225"/>
    <x v="4"/>
    <x v="45"/>
    <x v="73"/>
    <n v="954.24250943932486"/>
    <x v="140"/>
  </r>
  <r>
    <x v="11"/>
    <x v="6"/>
    <x v="62"/>
    <x v="2"/>
    <n v="157"/>
    <x v="5"/>
    <x v="572"/>
    <x v="163"/>
    <n v="875.06126339170009"/>
    <x v="688"/>
  </r>
  <r>
    <x v="11"/>
    <x v="3"/>
    <x v="31"/>
    <x v="2"/>
    <n v="875"/>
    <x v="0"/>
    <x v="481"/>
    <x v="261"/>
    <n v="1505.149978319906"/>
    <x v="529"/>
  </r>
  <r>
    <x v="11"/>
    <x v="3"/>
    <x v="31"/>
    <x v="2"/>
    <n v="600"/>
    <x v="1"/>
    <x v="532"/>
    <x v="239"/>
    <n v="1204.1199826559248"/>
    <x v="586"/>
  </r>
  <r>
    <x v="11"/>
    <x v="3"/>
    <x v="31"/>
    <x v="2"/>
    <n v="400"/>
    <x v="2"/>
    <x v="94"/>
    <x v="75"/>
    <n v="1028.0287236002437"/>
    <x v="101"/>
  </r>
  <r>
    <x v="11"/>
    <x v="3"/>
    <x v="31"/>
    <x v="2"/>
    <n v="325"/>
    <x v="3"/>
    <x v="544"/>
    <x v="50"/>
    <n v="903.08998699194365"/>
    <x v="601"/>
  </r>
  <r>
    <x v="11"/>
    <x v="3"/>
    <x v="31"/>
    <x v="2"/>
    <n v="250"/>
    <x v="4"/>
    <x v="557"/>
    <x v="289"/>
    <n v="806.17997398388718"/>
    <x v="618"/>
  </r>
  <r>
    <x v="11"/>
    <x v="3"/>
    <x v="31"/>
    <x v="2"/>
    <n v="250"/>
    <x v="4"/>
    <x v="355"/>
    <x v="115"/>
    <n v="806.17997398388718"/>
    <x v="389"/>
  </r>
  <r>
    <x v="11"/>
    <x v="3"/>
    <x v="31"/>
    <x v="2"/>
    <n v="250"/>
    <x v="4"/>
    <x v="501"/>
    <x v="1"/>
    <n v="806.17997398388718"/>
    <x v="550"/>
  </r>
  <r>
    <x v="11"/>
    <x v="3"/>
    <x v="31"/>
    <x v="2"/>
    <n v="250"/>
    <x v="4"/>
    <x v="108"/>
    <x v="84"/>
    <n v="806.17997398388718"/>
    <x v="555"/>
  </r>
  <r>
    <x v="11"/>
    <x v="3"/>
    <x v="2"/>
    <x v="2"/>
    <n v="1766"/>
    <x v="0"/>
    <x v="15"/>
    <x v="31"/>
    <n v="1857.3324964312685"/>
    <x v="32"/>
  </r>
  <r>
    <x v="11"/>
    <x v="3"/>
    <x v="2"/>
    <x v="2"/>
    <n v="1766"/>
    <x v="1"/>
    <x v="52"/>
    <x v="7"/>
    <n v="1556.3025007672873"/>
    <x v="55"/>
  </r>
  <r>
    <x v="11"/>
    <x v="3"/>
    <x v="2"/>
    <x v="2"/>
    <n v="928"/>
    <x v="2"/>
    <x v="49"/>
    <x v="13"/>
    <n v="1380.2112417116061"/>
    <x v="51"/>
  </r>
  <r>
    <x v="11"/>
    <x v="3"/>
    <x v="2"/>
    <x v="2"/>
    <n v="684"/>
    <x v="3"/>
    <x v="608"/>
    <x v="69"/>
    <n v="1255.272505103306"/>
    <x v="689"/>
  </r>
  <r>
    <x v="11"/>
    <x v="3"/>
    <x v="2"/>
    <x v="2"/>
    <n v="508"/>
    <x v="4"/>
    <x v="609"/>
    <x v="26"/>
    <n v="1158.3624920952498"/>
    <x v="690"/>
  </r>
  <r>
    <x v="11"/>
    <x v="3"/>
    <x v="2"/>
    <x v="2"/>
    <n v="404"/>
    <x v="5"/>
    <x v="459"/>
    <x v="248"/>
    <n v="1079.1812460476249"/>
    <x v="503"/>
  </r>
  <r>
    <x v="11"/>
    <x v="3"/>
    <x v="2"/>
    <x v="2"/>
    <n v="335"/>
    <x v="6"/>
    <x v="28"/>
    <x v="305"/>
    <n v="1012.2344564170116"/>
    <x v="652"/>
  </r>
  <r>
    <x v="11"/>
    <x v="3"/>
    <x v="2"/>
    <x v="2"/>
    <n v="264"/>
    <x v="7"/>
    <x v="485"/>
    <x v="262"/>
    <n v="954.24250943932498"/>
    <x v="533"/>
  </r>
  <r>
    <x v="11"/>
    <x v="3"/>
    <x v="2"/>
    <x v="2"/>
    <n v="194"/>
    <x v="8"/>
    <x v="40"/>
    <x v="38"/>
    <n v="903.08998699194365"/>
    <x v="42"/>
  </r>
  <r>
    <x v="11"/>
    <x v="3"/>
    <x v="2"/>
    <x v="2"/>
    <n v="135"/>
    <x v="9"/>
    <x v="15"/>
    <x v="15"/>
    <n v="857.33249643126851"/>
    <x v="15"/>
  </r>
  <r>
    <x v="11"/>
    <x v="3"/>
    <x v="17"/>
    <x v="7"/>
    <n v="943"/>
    <x v="0"/>
    <x v="532"/>
    <x v="239"/>
    <n v="745.68084691713636"/>
    <x v="586"/>
  </r>
  <r>
    <x v="11"/>
    <x v="3"/>
    <x v="17"/>
    <x v="7"/>
    <n v="943"/>
    <x v="0"/>
    <x v="469"/>
    <x v="177"/>
    <n v="745.68084691713636"/>
    <x v="515"/>
  </r>
  <r>
    <x v="11"/>
    <x v="3"/>
    <x v="17"/>
    <x v="7"/>
    <n v="657"/>
    <x v="1"/>
    <x v="528"/>
    <x v="267"/>
    <n v="595.16584908514574"/>
    <x v="580"/>
  </r>
  <r>
    <x v="11"/>
    <x v="3"/>
    <x v="17"/>
    <x v="7"/>
    <n v="656"/>
    <x v="1"/>
    <x v="549"/>
    <x v="25"/>
    <n v="595.16584908514574"/>
    <x v="607"/>
  </r>
  <r>
    <x v="11"/>
    <x v="3"/>
    <x v="17"/>
    <x v="7"/>
    <n v="536"/>
    <x v="2"/>
    <x v="595"/>
    <x v="308"/>
    <n v="507.12021955730512"/>
    <x v="667"/>
  </r>
  <r>
    <x v="11"/>
    <x v="3"/>
    <x v="17"/>
    <x v="7"/>
    <n v="536"/>
    <x v="2"/>
    <x v="600"/>
    <x v="3"/>
    <n v="507.12021955730512"/>
    <x v="674"/>
  </r>
  <r>
    <x v="11"/>
    <x v="3"/>
    <x v="17"/>
    <x v="7"/>
    <n v="536"/>
    <x v="3"/>
    <x v="176"/>
    <x v="276"/>
    <n v="444.65085125315511"/>
    <x v="581"/>
  </r>
  <r>
    <x v="11"/>
    <x v="3"/>
    <x v="17"/>
    <x v="7"/>
    <n v="536"/>
    <x v="3"/>
    <x v="176"/>
    <x v="123"/>
    <n v="444.65085125315511"/>
    <x v="191"/>
  </r>
  <r>
    <x v="11"/>
    <x v="3"/>
    <x v="17"/>
    <x v="7"/>
    <n v="281"/>
    <x v="4"/>
    <x v="49"/>
    <x v="13"/>
    <n v="396.19584474912688"/>
    <x v="51"/>
  </r>
  <r>
    <x v="11"/>
    <x v="3"/>
    <x v="17"/>
    <x v="7"/>
    <n v="280"/>
    <x v="4"/>
    <x v="544"/>
    <x v="50"/>
    <n v="396.19584474912688"/>
    <x v="601"/>
  </r>
  <r>
    <x v="11"/>
    <x v="3"/>
    <x v="17"/>
    <x v="7"/>
    <n v="100"/>
    <x v="5"/>
    <x v="15"/>
    <x v="15"/>
    <n v="356.60522172531449"/>
    <x v="15"/>
  </r>
  <r>
    <x v="11"/>
    <x v="3"/>
    <x v="17"/>
    <x v="7"/>
    <n v="100"/>
    <x v="5"/>
    <x v="15"/>
    <x v="31"/>
    <n v="356.60522172531449"/>
    <x v="32"/>
  </r>
  <r>
    <x v="11"/>
    <x v="3"/>
    <x v="63"/>
    <x v="5"/>
    <n v="1111"/>
    <x v="0"/>
    <x v="549"/>
    <x v="25"/>
    <n v="1556.3025007672873"/>
    <x v="607"/>
  </r>
  <r>
    <x v="11"/>
    <x v="3"/>
    <x v="63"/>
    <x v="5"/>
    <n v="1020"/>
    <x v="1"/>
    <x v="438"/>
    <x v="50"/>
    <n v="1255.272505103306"/>
    <x v="481"/>
  </r>
  <r>
    <x v="11"/>
    <x v="3"/>
    <x v="63"/>
    <x v="5"/>
    <n v="558"/>
    <x v="2"/>
    <x v="482"/>
    <x v="37"/>
    <n v="1079.1812460476249"/>
    <x v="530"/>
  </r>
  <r>
    <x v="11"/>
    <x v="3"/>
    <x v="63"/>
    <x v="5"/>
    <n v="454"/>
    <x v="3"/>
    <x v="554"/>
    <x v="123"/>
    <n v="954.24250943932486"/>
    <x v="613"/>
  </r>
  <r>
    <x v="11"/>
    <x v="3"/>
    <x v="63"/>
    <x v="5"/>
    <n v="349"/>
    <x v="4"/>
    <x v="544"/>
    <x v="50"/>
    <n v="857.3324964312684"/>
    <x v="601"/>
  </r>
  <r>
    <x v="12"/>
    <x v="0"/>
    <x v="2"/>
    <x v="2"/>
    <n v="2920"/>
    <x v="0"/>
    <x v="1"/>
    <x v="1"/>
    <n v="1857.3324964312685"/>
    <x v="1"/>
  </r>
  <r>
    <x v="12"/>
    <x v="0"/>
    <x v="2"/>
    <x v="2"/>
    <n v="1606"/>
    <x v="1"/>
    <x v="481"/>
    <x v="261"/>
    <n v="1556.3025007672873"/>
    <x v="529"/>
  </r>
  <r>
    <x v="12"/>
    <x v="0"/>
    <x v="2"/>
    <x v="2"/>
    <n v="949"/>
    <x v="2"/>
    <x v="13"/>
    <x v="13"/>
    <n v="1380.2112417116061"/>
    <x v="13"/>
  </r>
  <r>
    <x v="12"/>
    <x v="0"/>
    <x v="2"/>
    <x v="2"/>
    <n v="657"/>
    <x v="3"/>
    <x v="610"/>
    <x v="86"/>
    <n v="1255.272505103306"/>
    <x v="691"/>
  </r>
  <r>
    <x v="12"/>
    <x v="0"/>
    <x v="2"/>
    <x v="2"/>
    <n v="511"/>
    <x v="4"/>
    <x v="432"/>
    <x v="91"/>
    <n v="1158.3624920952498"/>
    <x v="475"/>
  </r>
  <r>
    <x v="12"/>
    <x v="0"/>
    <x v="2"/>
    <x v="2"/>
    <n v="365"/>
    <x v="5"/>
    <x v="580"/>
    <x v="155"/>
    <n v="1079.1812460476249"/>
    <x v="646"/>
  </r>
  <r>
    <x v="12"/>
    <x v="0"/>
    <x v="2"/>
    <x v="2"/>
    <n v="292"/>
    <x v="6"/>
    <x v="51"/>
    <x v="24"/>
    <n v="1012.2344564170116"/>
    <x v="53"/>
  </r>
  <r>
    <x v="12"/>
    <x v="0"/>
    <x v="46"/>
    <x v="4"/>
    <n v="1595"/>
    <x v="0"/>
    <x v="45"/>
    <x v="42"/>
    <n v="1462.3979978989562"/>
    <x v="47"/>
  </r>
  <r>
    <x v="12"/>
    <x v="0"/>
    <x v="46"/>
    <x v="4"/>
    <n v="870"/>
    <x v="1"/>
    <x v="543"/>
    <x v="25"/>
    <n v="1161.3680022349749"/>
    <x v="600"/>
  </r>
  <r>
    <x v="12"/>
    <x v="0"/>
    <x v="46"/>
    <x v="4"/>
    <n v="435"/>
    <x v="2"/>
    <x v="568"/>
    <x v="81"/>
    <n v="985.2767431792937"/>
    <x v="629"/>
  </r>
  <r>
    <x v="12"/>
    <x v="0"/>
    <x v="5"/>
    <x v="1"/>
    <n v="2440"/>
    <x v="0"/>
    <x v="13"/>
    <x v="13"/>
    <n v="1785.3298350107671"/>
    <x v="13"/>
  </r>
  <r>
    <x v="12"/>
    <x v="0"/>
    <x v="5"/>
    <x v="1"/>
    <n v="1342"/>
    <x v="1"/>
    <x v="355"/>
    <x v="115"/>
    <n v="1484.2998393467858"/>
    <x v="389"/>
  </r>
  <r>
    <x v="12"/>
    <x v="0"/>
    <x v="5"/>
    <x v="1"/>
    <n v="793"/>
    <x v="2"/>
    <x v="52"/>
    <x v="7"/>
    <n v="1308.2085802911047"/>
    <x v="55"/>
  </r>
  <r>
    <x v="12"/>
    <x v="0"/>
    <x v="5"/>
    <x v="1"/>
    <n v="549"/>
    <x v="3"/>
    <x v="1"/>
    <x v="1"/>
    <n v="1183.2698436828045"/>
    <x v="1"/>
  </r>
  <r>
    <x v="12"/>
    <x v="0"/>
    <x v="5"/>
    <x v="1"/>
    <n v="427"/>
    <x v="4"/>
    <x v="376"/>
    <x v="202"/>
    <n v="1086.3598306747483"/>
    <x v="413"/>
  </r>
  <r>
    <x v="12"/>
    <x v="0"/>
    <x v="5"/>
    <x v="1"/>
    <n v="305"/>
    <x v="5"/>
    <x v="516"/>
    <x v="11"/>
    <n v="1007.1785846271235"/>
    <x v="650"/>
  </r>
  <r>
    <x v="12"/>
    <x v="0"/>
    <x v="5"/>
    <x v="1"/>
    <n v="244"/>
    <x v="6"/>
    <x v="28"/>
    <x v="28"/>
    <n v="940.2317949965103"/>
    <x v="28"/>
  </r>
  <r>
    <x v="12"/>
    <x v="1"/>
    <x v="64"/>
    <x v="1"/>
    <n v="1145"/>
    <x v="0"/>
    <x v="443"/>
    <x v="7"/>
    <n v="1799.3405494535816"/>
    <x v="486"/>
  </r>
  <r>
    <x v="12"/>
    <x v="1"/>
    <x v="64"/>
    <x v="1"/>
    <n v="830"/>
    <x v="1"/>
    <x v="399"/>
    <x v="204"/>
    <n v="1498.3105537896004"/>
    <x v="438"/>
  </r>
  <r>
    <x v="12"/>
    <x v="1"/>
    <x v="64"/>
    <x v="1"/>
    <n v="660"/>
    <x v="2"/>
    <x v="276"/>
    <x v="168"/>
    <n v="1322.2192947339192"/>
    <x v="304"/>
  </r>
  <r>
    <x v="12"/>
    <x v="1"/>
    <x v="64"/>
    <x v="1"/>
    <n v="530"/>
    <x v="3"/>
    <x v="1"/>
    <x v="1"/>
    <n v="1197.2805581256191"/>
    <x v="1"/>
  </r>
  <r>
    <x v="12"/>
    <x v="1"/>
    <x v="64"/>
    <x v="1"/>
    <n v="440"/>
    <x v="4"/>
    <x v="453"/>
    <x v="13"/>
    <n v="1100.3705451175629"/>
    <x v="655"/>
  </r>
  <r>
    <x v="12"/>
    <x v="1"/>
    <x v="64"/>
    <x v="1"/>
    <n v="310"/>
    <x v="5"/>
    <x v="452"/>
    <x v="144"/>
    <n v="1021.1892990699381"/>
    <x v="496"/>
  </r>
  <r>
    <x v="12"/>
    <x v="1"/>
    <x v="64"/>
    <x v="1"/>
    <n v="220"/>
    <x v="6"/>
    <x v="45"/>
    <x v="73"/>
    <n v="954.24250943932486"/>
    <x v="140"/>
  </r>
  <r>
    <x v="12"/>
    <x v="1"/>
    <x v="64"/>
    <x v="1"/>
    <n v="175"/>
    <x v="7"/>
    <x v="87"/>
    <x v="72"/>
    <n v="896.2505624616382"/>
    <x v="94"/>
  </r>
  <r>
    <x v="12"/>
    <x v="1"/>
    <x v="64"/>
    <x v="1"/>
    <n v="100"/>
    <x v="8"/>
    <x v="611"/>
    <x v="50"/>
    <n v="845.09804001425687"/>
    <x v="692"/>
  </r>
  <r>
    <x v="12"/>
    <x v="1"/>
    <x v="65"/>
    <x v="11"/>
    <n v="480"/>
    <x v="0"/>
    <x v="255"/>
    <x v="160"/>
    <n v="1462.3979978989562"/>
    <x v="282"/>
  </r>
  <r>
    <x v="12"/>
    <x v="1"/>
    <x v="65"/>
    <x v="11"/>
    <n v="480"/>
    <x v="1"/>
    <x v="485"/>
    <x v="262"/>
    <n v="1161.3680022349749"/>
    <x v="533"/>
  </r>
  <r>
    <x v="12"/>
    <x v="1"/>
    <x v="65"/>
    <x v="11"/>
    <n v="270"/>
    <x v="2"/>
    <x v="310"/>
    <x v="188"/>
    <n v="985.2767431792937"/>
    <x v="339"/>
  </r>
  <r>
    <x v="12"/>
    <x v="1"/>
    <x v="65"/>
    <x v="11"/>
    <n v="205"/>
    <x v="3"/>
    <x v="518"/>
    <x v="222"/>
    <n v="860.33800657099368"/>
    <x v="569"/>
  </r>
  <r>
    <x v="12"/>
    <x v="1"/>
    <x v="65"/>
    <x v="11"/>
    <n v="160"/>
    <x v="4"/>
    <x v="3"/>
    <x v="317"/>
    <n v="763.42799356293722"/>
    <x v="693"/>
  </r>
  <r>
    <x v="12"/>
    <x v="1"/>
    <x v="32"/>
    <x v="1"/>
    <n v="1620"/>
    <x v="0"/>
    <x v="546"/>
    <x v="113"/>
    <n v="1919.078092376074"/>
    <x v="604"/>
  </r>
  <r>
    <x v="12"/>
    <x v="1"/>
    <x v="32"/>
    <x v="1"/>
    <n v="1186"/>
    <x v="1"/>
    <x v="311"/>
    <x v="22"/>
    <n v="1618.0480967120927"/>
    <x v="340"/>
  </r>
  <r>
    <x v="12"/>
    <x v="1"/>
    <x v="32"/>
    <x v="1"/>
    <n v="935"/>
    <x v="2"/>
    <x v="215"/>
    <x v="1"/>
    <n v="1441.9568376564116"/>
    <x v="238"/>
  </r>
  <r>
    <x v="12"/>
    <x v="1"/>
    <x v="32"/>
    <x v="1"/>
    <n v="745"/>
    <x v="3"/>
    <x v="411"/>
    <x v="231"/>
    <n v="1317.0181010481117"/>
    <x v="452"/>
  </r>
  <r>
    <x v="12"/>
    <x v="1"/>
    <x v="32"/>
    <x v="1"/>
    <n v="560"/>
    <x v="4"/>
    <x v="21"/>
    <x v="21"/>
    <n v="1220.108088040055"/>
    <x v="21"/>
  </r>
  <r>
    <x v="12"/>
    <x v="1"/>
    <x v="32"/>
    <x v="1"/>
    <n v="435"/>
    <x v="5"/>
    <x v="106"/>
    <x v="83"/>
    <n v="1140.9268419924304"/>
    <x v="113"/>
  </r>
  <r>
    <x v="12"/>
    <x v="1"/>
    <x v="32"/>
    <x v="1"/>
    <n v="310"/>
    <x v="6"/>
    <x v="305"/>
    <x v="98"/>
    <n v="1073.9800523618173"/>
    <x v="333"/>
  </r>
  <r>
    <x v="12"/>
    <x v="1"/>
    <x v="32"/>
    <x v="1"/>
    <n v="185"/>
    <x v="7"/>
    <x v="485"/>
    <x v="262"/>
    <n v="1015.9881053841304"/>
    <x v="533"/>
  </r>
  <r>
    <x v="12"/>
    <x v="1"/>
    <x v="32"/>
    <x v="1"/>
    <n v="125"/>
    <x v="8"/>
    <x v="399"/>
    <x v="204"/>
    <n v="964.83558293674912"/>
    <x v="438"/>
  </r>
  <r>
    <x v="12"/>
    <x v="1"/>
    <x v="32"/>
    <x v="1"/>
    <n v="125"/>
    <x v="9"/>
    <x v="45"/>
    <x v="99"/>
    <n v="919.07809237607398"/>
    <x v="343"/>
  </r>
  <r>
    <x v="12"/>
    <x v="1"/>
    <x v="2"/>
    <x v="2"/>
    <n v="4215"/>
    <x v="0"/>
    <x v="612"/>
    <x v="211"/>
    <n v="2149.2191126553798"/>
    <x v="694"/>
  </r>
  <r>
    <x v="12"/>
    <x v="1"/>
    <x v="2"/>
    <x v="2"/>
    <n v="3030"/>
    <x v="1"/>
    <x v="45"/>
    <x v="224"/>
    <n v="1848.1891169913984"/>
    <x v="429"/>
  </r>
  <r>
    <x v="12"/>
    <x v="1"/>
    <x v="2"/>
    <x v="2"/>
    <n v="2360"/>
    <x v="2"/>
    <x v="524"/>
    <x v="274"/>
    <n v="1672.0978579357172"/>
    <x v="576"/>
  </r>
  <r>
    <x v="12"/>
    <x v="1"/>
    <x v="2"/>
    <x v="2"/>
    <n v="1850"/>
    <x v="3"/>
    <x v="613"/>
    <x v="25"/>
    <n v="1547.1591213274171"/>
    <x v="695"/>
  </r>
  <r>
    <x v="12"/>
    <x v="1"/>
    <x v="2"/>
    <x v="2"/>
    <n v="1345"/>
    <x v="4"/>
    <x v="462"/>
    <x v="53"/>
    <n v="1450.2491083193609"/>
    <x v="506"/>
  </r>
  <r>
    <x v="12"/>
    <x v="1"/>
    <x v="2"/>
    <x v="2"/>
    <n v="1005"/>
    <x v="5"/>
    <x v="45"/>
    <x v="99"/>
    <n v="1371.067862271736"/>
    <x v="343"/>
  </r>
  <r>
    <x v="12"/>
    <x v="1"/>
    <x v="2"/>
    <x v="2"/>
    <n v="665"/>
    <x v="6"/>
    <x v="544"/>
    <x v="50"/>
    <n v="1304.1210726411227"/>
    <x v="601"/>
  </r>
  <r>
    <x v="12"/>
    <x v="1"/>
    <x v="2"/>
    <x v="2"/>
    <n v="500"/>
    <x v="7"/>
    <x v="614"/>
    <x v="50"/>
    <n v="1246.1291256634361"/>
    <x v="696"/>
  </r>
  <r>
    <x v="12"/>
    <x v="1"/>
    <x v="2"/>
    <x v="2"/>
    <n v="330"/>
    <x v="8"/>
    <x v="310"/>
    <x v="188"/>
    <n v="1194.9766032160549"/>
    <x v="339"/>
  </r>
  <r>
    <x v="12"/>
    <x v="1"/>
    <x v="2"/>
    <x v="2"/>
    <n v="330"/>
    <x v="9"/>
    <x v="305"/>
    <x v="98"/>
    <n v="1149.2191126553796"/>
    <x v="333"/>
  </r>
  <r>
    <x v="12"/>
    <x v="1"/>
    <x v="2"/>
    <x v="2"/>
    <n v="245"/>
    <x v="10"/>
    <x v="229"/>
    <x v="80"/>
    <n v="1107.8264274971546"/>
    <x v="252"/>
  </r>
  <r>
    <x v="12"/>
    <x v="1"/>
    <x v="2"/>
    <x v="2"/>
    <n v="245"/>
    <x v="11"/>
    <x v="485"/>
    <x v="262"/>
    <n v="1070.0378666077547"/>
    <x v="533"/>
  </r>
  <r>
    <x v="12"/>
    <x v="1"/>
    <x v="2"/>
    <x v="2"/>
    <n v="160"/>
    <x v="12"/>
    <x v="540"/>
    <x v="282"/>
    <n v="1035.2757603485429"/>
    <x v="595"/>
  </r>
  <r>
    <x v="12"/>
    <x v="1"/>
    <x v="2"/>
    <x v="2"/>
    <n v="160"/>
    <x v="13"/>
    <x v="615"/>
    <x v="318"/>
    <n v="1003.0910769771417"/>
    <x v="697"/>
  </r>
  <r>
    <x v="12"/>
    <x v="1"/>
    <x v="2"/>
    <x v="2"/>
    <n v="160"/>
    <x v="14"/>
    <x v="255"/>
    <x v="160"/>
    <n v="973.12785359969837"/>
    <x v="282"/>
  </r>
  <r>
    <x v="12"/>
    <x v="1"/>
    <x v="2"/>
    <x v="2"/>
    <n v="160"/>
    <x v="15"/>
    <x v="123"/>
    <x v="204"/>
    <n v="945.09912999945493"/>
    <x v="633"/>
  </r>
  <r>
    <x v="12"/>
    <x v="1"/>
    <x v="2"/>
    <x v="2"/>
    <n v="160"/>
    <x v="16"/>
    <x v="247"/>
    <x v="25"/>
    <n v="918.77019127710582"/>
    <x v="271"/>
  </r>
  <r>
    <x v="12"/>
    <x v="1"/>
    <x v="62"/>
    <x v="2"/>
    <n v="925"/>
    <x v="0"/>
    <x v="5"/>
    <x v="5"/>
    <n v="1845.0980400142569"/>
    <x v="5"/>
  </r>
  <r>
    <x v="12"/>
    <x v="1"/>
    <x v="62"/>
    <x v="2"/>
    <n v="680"/>
    <x v="1"/>
    <x v="453"/>
    <x v="13"/>
    <n v="1544.0680443502756"/>
    <x v="655"/>
  </r>
  <r>
    <x v="12"/>
    <x v="1"/>
    <x v="62"/>
    <x v="2"/>
    <n v="505"/>
    <x v="2"/>
    <x v="9"/>
    <x v="9"/>
    <n v="1367.9767852945945"/>
    <x v="9"/>
  </r>
  <r>
    <x v="12"/>
    <x v="1"/>
    <x v="62"/>
    <x v="2"/>
    <n v="410"/>
    <x v="3"/>
    <x v="355"/>
    <x v="115"/>
    <n v="1243.0380486862944"/>
    <x v="389"/>
  </r>
  <r>
    <x v="12"/>
    <x v="1"/>
    <x v="62"/>
    <x v="2"/>
    <n v="340"/>
    <x v="4"/>
    <x v="616"/>
    <x v="107"/>
    <n v="1146.1280356782381"/>
    <x v="698"/>
  </r>
  <r>
    <x v="12"/>
    <x v="1"/>
    <x v="62"/>
    <x v="2"/>
    <n v="235"/>
    <x v="5"/>
    <x v="196"/>
    <x v="92"/>
    <n v="1066.9467896306132"/>
    <x v="214"/>
  </r>
  <r>
    <x v="12"/>
    <x v="1"/>
    <x v="62"/>
    <x v="2"/>
    <n v="170"/>
    <x v="6"/>
    <x v="32"/>
    <x v="33"/>
    <n v="1000"/>
    <x v="34"/>
  </r>
  <r>
    <x v="12"/>
    <x v="1"/>
    <x v="62"/>
    <x v="2"/>
    <n v="135"/>
    <x v="7"/>
    <x v="40"/>
    <x v="38"/>
    <n v="942.00805302231333"/>
    <x v="42"/>
  </r>
  <r>
    <x v="12"/>
    <x v="1"/>
    <x v="62"/>
    <x v="2"/>
    <n v="100"/>
    <x v="8"/>
    <x v="239"/>
    <x v="92"/>
    <n v="890.855530574932"/>
    <x v="263"/>
  </r>
  <r>
    <x v="12"/>
    <x v="1"/>
    <x v="66"/>
    <x v="2"/>
    <n v="910"/>
    <x v="0"/>
    <x v="177"/>
    <x v="125"/>
    <n v="1612.7838567197355"/>
    <x v="193"/>
  </r>
  <r>
    <x v="12"/>
    <x v="1"/>
    <x v="66"/>
    <x v="2"/>
    <n v="565"/>
    <x v="1"/>
    <x v="99"/>
    <x v="79"/>
    <n v="1311.7538610557542"/>
    <x v="106"/>
  </r>
  <r>
    <x v="12"/>
    <x v="1"/>
    <x v="66"/>
    <x v="2"/>
    <n v="390"/>
    <x v="2"/>
    <x v="60"/>
    <x v="13"/>
    <n v="1135.6626020000731"/>
    <x v="64"/>
  </r>
  <r>
    <x v="12"/>
    <x v="1"/>
    <x v="66"/>
    <x v="2"/>
    <n v="305"/>
    <x v="3"/>
    <x v="524"/>
    <x v="274"/>
    <n v="1010.723865391773"/>
    <x v="576"/>
  </r>
  <r>
    <x v="12"/>
    <x v="1"/>
    <x v="46"/>
    <x v="4"/>
    <n v="1645"/>
    <x v="0"/>
    <x v="27"/>
    <x v="21"/>
    <n v="1929.4189257142925"/>
    <x v="91"/>
  </r>
  <r>
    <x v="12"/>
    <x v="1"/>
    <x v="46"/>
    <x v="4"/>
    <n v="1200"/>
    <x v="1"/>
    <x v="45"/>
    <x v="99"/>
    <n v="1628.3889300503113"/>
    <x v="343"/>
  </r>
  <r>
    <x v="12"/>
    <x v="1"/>
    <x v="46"/>
    <x v="4"/>
    <n v="945"/>
    <x v="2"/>
    <x v="573"/>
    <x v="84"/>
    <n v="1452.2976709946302"/>
    <x v="637"/>
  </r>
  <r>
    <x v="12"/>
    <x v="1"/>
    <x v="46"/>
    <x v="4"/>
    <n v="755"/>
    <x v="3"/>
    <x v="17"/>
    <x v="17"/>
    <n v="1327.3589343863302"/>
    <x v="17"/>
  </r>
  <r>
    <x v="12"/>
    <x v="1"/>
    <x v="46"/>
    <x v="4"/>
    <n v="565"/>
    <x v="4"/>
    <x v="177"/>
    <x v="125"/>
    <n v="1230.4489213782736"/>
    <x v="193"/>
  </r>
  <r>
    <x v="12"/>
    <x v="1"/>
    <x v="46"/>
    <x v="4"/>
    <n v="435"/>
    <x v="5"/>
    <x v="447"/>
    <x v="7"/>
    <n v="1151.2676753306489"/>
    <x v="491"/>
  </r>
  <r>
    <x v="12"/>
    <x v="1"/>
    <x v="46"/>
    <x v="4"/>
    <n v="310"/>
    <x v="6"/>
    <x v="446"/>
    <x v="13"/>
    <n v="1084.3208857000359"/>
    <x v="490"/>
  </r>
  <r>
    <x v="12"/>
    <x v="1"/>
    <x v="46"/>
    <x v="4"/>
    <n v="180"/>
    <x v="7"/>
    <x v="116"/>
    <x v="89"/>
    <n v="1026.328938722349"/>
    <x v="123"/>
  </r>
  <r>
    <x v="12"/>
    <x v="1"/>
    <x v="46"/>
    <x v="4"/>
    <n v="120"/>
    <x v="8"/>
    <x v="617"/>
    <x v="319"/>
    <n v="975.17641627496778"/>
    <x v="699"/>
  </r>
  <r>
    <x v="12"/>
    <x v="1"/>
    <x v="46"/>
    <x v="4"/>
    <n v="120"/>
    <x v="9"/>
    <x v="543"/>
    <x v="25"/>
    <n v="929.41892571429264"/>
    <x v="600"/>
  </r>
  <r>
    <x v="12"/>
    <x v="1"/>
    <x v="46"/>
    <x v="4"/>
    <n v="100"/>
    <x v="10"/>
    <x v="198"/>
    <x v="81"/>
    <n v="888.02624055606748"/>
    <x v="216"/>
  </r>
  <r>
    <x v="12"/>
    <x v="1"/>
    <x v="67"/>
    <x v="4"/>
    <n v="490"/>
    <x v="0"/>
    <x v="497"/>
    <x v="266"/>
    <n v="1397.9400086720377"/>
    <x v="546"/>
  </r>
  <r>
    <x v="12"/>
    <x v="1"/>
    <x v="67"/>
    <x v="4"/>
    <n v="330"/>
    <x v="1"/>
    <x v="524"/>
    <x v="274"/>
    <n v="1096.9100130080565"/>
    <x v="576"/>
  </r>
  <r>
    <x v="12"/>
    <x v="1"/>
    <x v="67"/>
    <x v="4"/>
    <n v="235"/>
    <x v="2"/>
    <x v="45"/>
    <x v="73"/>
    <n v="920.81875395237535"/>
    <x v="140"/>
  </r>
  <r>
    <x v="12"/>
    <x v="1"/>
    <x v="67"/>
    <x v="4"/>
    <n v="180"/>
    <x v="3"/>
    <x v="292"/>
    <x v="177"/>
    <n v="795.88001734407533"/>
    <x v="320"/>
  </r>
  <r>
    <x v="12"/>
    <x v="1"/>
    <x v="67"/>
    <x v="4"/>
    <n v="140"/>
    <x v="4"/>
    <x v="457"/>
    <x v="107"/>
    <n v="698.97000433601886"/>
    <x v="501"/>
  </r>
  <r>
    <x v="12"/>
    <x v="1"/>
    <x v="5"/>
    <x v="1"/>
    <n v="2860"/>
    <x v="0"/>
    <x v="524"/>
    <x v="274"/>
    <n v="2060.6978403536118"/>
    <x v="576"/>
  </r>
  <r>
    <x v="12"/>
    <x v="1"/>
    <x v="5"/>
    <x v="1"/>
    <n v="2175"/>
    <x v="1"/>
    <x v="618"/>
    <x v="3"/>
    <n v="1759.6678446896306"/>
    <x v="700"/>
  </r>
  <r>
    <x v="12"/>
    <x v="1"/>
    <x v="5"/>
    <x v="1"/>
    <n v="1600"/>
    <x v="2"/>
    <x v="619"/>
    <x v="320"/>
    <n v="1583.5765856339494"/>
    <x v="701"/>
  </r>
  <r>
    <x v="12"/>
    <x v="1"/>
    <x v="5"/>
    <x v="1"/>
    <n v="1255"/>
    <x v="3"/>
    <x v="593"/>
    <x v="215"/>
    <n v="1458.6378490256493"/>
    <x v="663"/>
  </r>
  <r>
    <x v="12"/>
    <x v="1"/>
    <x v="5"/>
    <x v="1"/>
    <n v="1025"/>
    <x v="4"/>
    <x v="443"/>
    <x v="7"/>
    <n v="1361.7278360175931"/>
    <x v="486"/>
  </r>
  <r>
    <x v="12"/>
    <x v="1"/>
    <x v="5"/>
    <x v="1"/>
    <n v="785"/>
    <x v="5"/>
    <x v="569"/>
    <x v="128"/>
    <n v="1282.5465899699682"/>
    <x v="630"/>
  </r>
  <r>
    <x v="12"/>
    <x v="1"/>
    <x v="5"/>
    <x v="1"/>
    <n v="565"/>
    <x v="6"/>
    <x v="60"/>
    <x v="13"/>
    <n v="1215.5998003393549"/>
    <x v="64"/>
  </r>
  <r>
    <x v="12"/>
    <x v="1"/>
    <x v="5"/>
    <x v="1"/>
    <n v="335"/>
    <x v="7"/>
    <x v="228"/>
    <x v="73"/>
    <n v="1157.6078533616683"/>
    <x v="251"/>
  </r>
  <r>
    <x v="12"/>
    <x v="1"/>
    <x v="5"/>
    <x v="1"/>
    <n v="220"/>
    <x v="8"/>
    <x v="302"/>
    <x v="183"/>
    <n v="1106.4553309142871"/>
    <x v="330"/>
  </r>
  <r>
    <x v="12"/>
    <x v="1"/>
    <x v="5"/>
    <x v="1"/>
    <n v="220"/>
    <x v="9"/>
    <x v="140"/>
    <x v="64"/>
    <n v="1060.6978403536118"/>
    <x v="150"/>
  </r>
  <r>
    <x v="12"/>
    <x v="1"/>
    <x v="5"/>
    <x v="1"/>
    <n v="165"/>
    <x v="10"/>
    <x v="28"/>
    <x v="28"/>
    <n v="1019.3051551953866"/>
    <x v="28"/>
  </r>
  <r>
    <x v="12"/>
    <x v="1"/>
    <x v="5"/>
    <x v="1"/>
    <n v="165"/>
    <x v="11"/>
    <x v="462"/>
    <x v="53"/>
    <n v="981.51659430598693"/>
    <x v="506"/>
  </r>
  <r>
    <x v="12"/>
    <x v="1"/>
    <x v="5"/>
    <x v="1"/>
    <n v="120"/>
    <x v="12"/>
    <x v="620"/>
    <x v="168"/>
    <n v="946.75448804677512"/>
    <x v="702"/>
  </r>
  <r>
    <x v="12"/>
    <x v="6"/>
    <x v="14"/>
    <x v="7"/>
    <n v="965"/>
    <x v="0"/>
    <x v="305"/>
    <x v="98"/>
    <n v="1724.2758696007888"/>
    <x v="333"/>
  </r>
  <r>
    <x v="12"/>
    <x v="6"/>
    <x v="14"/>
    <x v="7"/>
    <n v="740"/>
    <x v="1"/>
    <x v="314"/>
    <x v="189"/>
    <n v="1423.2458739368076"/>
    <x v="344"/>
  </r>
  <r>
    <x v="12"/>
    <x v="6"/>
    <x v="14"/>
    <x v="7"/>
    <n v="550"/>
    <x v="2"/>
    <x v="134"/>
    <x v="98"/>
    <n v="1247.1546148811265"/>
    <x v="142"/>
  </r>
  <r>
    <x v="12"/>
    <x v="6"/>
    <x v="14"/>
    <x v="7"/>
    <n v="420"/>
    <x v="3"/>
    <x v="22"/>
    <x v="22"/>
    <n v="1122.2158782728266"/>
    <x v="22"/>
  </r>
  <r>
    <x v="12"/>
    <x v="6"/>
    <x v="14"/>
    <x v="7"/>
    <n v="325"/>
    <x v="4"/>
    <x v="358"/>
    <x v="13"/>
    <n v="1025.3058652647699"/>
    <x v="393"/>
  </r>
  <r>
    <x v="12"/>
    <x v="6"/>
    <x v="14"/>
    <x v="7"/>
    <n v="225"/>
    <x v="5"/>
    <x v="311"/>
    <x v="22"/>
    <n v="946.12461921714532"/>
    <x v="340"/>
  </r>
  <r>
    <x v="12"/>
    <x v="6"/>
    <x v="65"/>
    <x v="11"/>
    <n v="835"/>
    <x v="0"/>
    <x v="355"/>
    <x v="115"/>
    <n v="1707.5701760979362"/>
    <x v="389"/>
  </r>
  <r>
    <x v="12"/>
    <x v="6"/>
    <x v="65"/>
    <x v="11"/>
    <n v="630"/>
    <x v="1"/>
    <x v="17"/>
    <x v="17"/>
    <n v="1406.5401804339549"/>
    <x v="17"/>
  </r>
  <r>
    <x v="12"/>
    <x v="6"/>
    <x v="65"/>
    <x v="11"/>
    <n v="475"/>
    <x v="2"/>
    <x v="45"/>
    <x v="42"/>
    <n v="1230.4489213782738"/>
    <x v="47"/>
  </r>
  <r>
    <x v="12"/>
    <x v="6"/>
    <x v="65"/>
    <x v="11"/>
    <n v="385"/>
    <x v="3"/>
    <x v="134"/>
    <x v="98"/>
    <n v="1105.5101847699736"/>
    <x v="142"/>
  </r>
  <r>
    <x v="12"/>
    <x v="6"/>
    <x v="65"/>
    <x v="11"/>
    <n v="290"/>
    <x v="4"/>
    <x v="87"/>
    <x v="72"/>
    <n v="1008.6001717619175"/>
    <x v="94"/>
  </r>
  <r>
    <x v="12"/>
    <x v="6"/>
    <x v="65"/>
    <x v="11"/>
    <n v="170"/>
    <x v="5"/>
    <x v="576"/>
    <x v="27"/>
    <n v="929.41892571429264"/>
    <x v="640"/>
  </r>
  <r>
    <x v="12"/>
    <x v="6"/>
    <x v="65"/>
    <x v="11"/>
    <n v="170"/>
    <x v="6"/>
    <x v="452"/>
    <x v="144"/>
    <n v="862.4721360836794"/>
    <x v="496"/>
  </r>
  <r>
    <x v="12"/>
    <x v="6"/>
    <x v="65"/>
    <x v="11"/>
    <n v="105"/>
    <x v="7"/>
    <x v="255"/>
    <x v="160"/>
    <n v="804.48018910599274"/>
    <x v="282"/>
  </r>
  <r>
    <x v="12"/>
    <x v="6"/>
    <x v="68"/>
    <x v="8"/>
    <n v="580"/>
    <x v="0"/>
    <x v="22"/>
    <x v="22"/>
    <n v="1380.2112417116059"/>
    <x v="22"/>
  </r>
  <r>
    <x v="12"/>
    <x v="6"/>
    <x v="68"/>
    <x v="8"/>
    <n v="350"/>
    <x v="1"/>
    <x v="576"/>
    <x v="27"/>
    <n v="1079.1812460476247"/>
    <x v="640"/>
  </r>
  <r>
    <x v="12"/>
    <x v="6"/>
    <x v="68"/>
    <x v="8"/>
    <n v="235"/>
    <x v="2"/>
    <x v="456"/>
    <x v="246"/>
    <n v="903.08998699194353"/>
    <x v="500"/>
  </r>
  <r>
    <x v="12"/>
    <x v="6"/>
    <x v="68"/>
    <x v="8"/>
    <n v="175"/>
    <x v="3"/>
    <x v="177"/>
    <x v="125"/>
    <n v="778.15125038364351"/>
    <x v="193"/>
  </r>
  <r>
    <x v="12"/>
    <x v="6"/>
    <x v="68"/>
    <x v="8"/>
    <n v="100"/>
    <x v="4"/>
    <x v="126"/>
    <x v="93"/>
    <n v="681.24123737558705"/>
    <x v="133"/>
  </r>
  <r>
    <x v="12"/>
    <x v="6"/>
    <x v="69"/>
    <x v="1"/>
    <n v="1165"/>
    <x v="0"/>
    <x v="22"/>
    <x v="22"/>
    <n v="1748.1880270062004"/>
    <x v="22"/>
  </r>
  <r>
    <x v="12"/>
    <x v="6"/>
    <x v="69"/>
    <x v="1"/>
    <n v="865"/>
    <x v="1"/>
    <x v="255"/>
    <x v="160"/>
    <n v="1447.1580313422191"/>
    <x v="282"/>
  </r>
  <r>
    <x v="12"/>
    <x v="6"/>
    <x v="69"/>
    <x v="1"/>
    <n v="655"/>
    <x v="2"/>
    <x v="31"/>
    <x v="32"/>
    <n v="1271.066772286538"/>
    <x v="33"/>
  </r>
  <r>
    <x v="12"/>
    <x v="6"/>
    <x v="69"/>
    <x v="1"/>
    <n v="530"/>
    <x v="3"/>
    <x v="605"/>
    <x v="120"/>
    <n v="1146.1280356782381"/>
    <x v="683"/>
  </r>
  <r>
    <x v="12"/>
    <x v="6"/>
    <x v="69"/>
    <x v="1"/>
    <n v="405"/>
    <x v="4"/>
    <x v="576"/>
    <x v="27"/>
    <n v="1049.2180226701814"/>
    <x v="640"/>
  </r>
  <r>
    <x v="12"/>
    <x v="6"/>
    <x v="69"/>
    <x v="1"/>
    <n v="280"/>
    <x v="5"/>
    <x v="62"/>
    <x v="67"/>
    <n v="970.03677662255677"/>
    <x v="703"/>
  </r>
  <r>
    <x v="12"/>
    <x v="6"/>
    <x v="69"/>
    <x v="1"/>
    <n v="195"/>
    <x v="6"/>
    <x v="62"/>
    <x v="228"/>
    <n v="903.08998699194365"/>
    <x v="442"/>
  </r>
  <r>
    <x v="12"/>
    <x v="6"/>
    <x v="69"/>
    <x v="1"/>
    <n v="105"/>
    <x v="7"/>
    <x v="134"/>
    <x v="98"/>
    <n v="845.09804001425687"/>
    <x v="142"/>
  </r>
  <r>
    <x v="12"/>
    <x v="6"/>
    <x v="70"/>
    <x v="2"/>
    <n v="1550"/>
    <x v="0"/>
    <x v="518"/>
    <x v="222"/>
    <n v="1748.1880270062004"/>
    <x v="569"/>
  </r>
  <r>
    <x v="12"/>
    <x v="6"/>
    <x v="70"/>
    <x v="2"/>
    <n v="1155"/>
    <x v="1"/>
    <x v="485"/>
    <x v="262"/>
    <n v="1447.1580313422191"/>
    <x v="533"/>
  </r>
  <r>
    <x v="12"/>
    <x v="6"/>
    <x v="70"/>
    <x v="2"/>
    <n v="875"/>
    <x v="2"/>
    <x v="573"/>
    <x v="297"/>
    <n v="1271.066772286538"/>
    <x v="636"/>
  </r>
  <r>
    <x v="12"/>
    <x v="6"/>
    <x v="70"/>
    <x v="2"/>
    <n v="710"/>
    <x v="3"/>
    <x v="153"/>
    <x v="107"/>
    <n v="1146.1280356782381"/>
    <x v="165"/>
  </r>
  <r>
    <x v="12"/>
    <x v="6"/>
    <x v="70"/>
    <x v="2"/>
    <n v="540"/>
    <x v="4"/>
    <x v="22"/>
    <x v="22"/>
    <n v="1049.2180226701814"/>
    <x v="22"/>
  </r>
  <r>
    <x v="12"/>
    <x v="6"/>
    <x v="70"/>
    <x v="2"/>
    <n v="370"/>
    <x v="5"/>
    <x v="305"/>
    <x v="98"/>
    <n v="970.03677662255677"/>
    <x v="333"/>
  </r>
  <r>
    <x v="12"/>
    <x v="6"/>
    <x v="70"/>
    <x v="2"/>
    <n v="260"/>
    <x v="6"/>
    <x v="605"/>
    <x v="120"/>
    <n v="903.08998699194365"/>
    <x v="683"/>
  </r>
  <r>
    <x v="12"/>
    <x v="6"/>
    <x v="70"/>
    <x v="2"/>
    <n v="140"/>
    <x v="7"/>
    <x v="573"/>
    <x v="84"/>
    <n v="845.09804001425687"/>
    <x v="637"/>
  </r>
  <r>
    <x v="12"/>
    <x v="3"/>
    <x v="71"/>
    <x v="1"/>
    <n v="1670"/>
    <x v="0"/>
    <x v="9"/>
    <x v="9"/>
    <n v="1612.7838567197355"/>
    <x v="9"/>
  </r>
  <r>
    <x v="12"/>
    <x v="3"/>
    <x v="71"/>
    <x v="1"/>
    <n v="835"/>
    <x v="1"/>
    <x v="411"/>
    <x v="231"/>
    <n v="1311.7538610557542"/>
    <x v="452"/>
  </r>
  <r>
    <x v="12"/>
    <x v="3"/>
    <x v="71"/>
    <x v="1"/>
    <n v="517"/>
    <x v="2"/>
    <x v="482"/>
    <x v="37"/>
    <n v="1135.6626020000731"/>
    <x v="530"/>
  </r>
  <r>
    <x v="12"/>
    <x v="3"/>
    <x v="71"/>
    <x v="1"/>
    <n v="398"/>
    <x v="3"/>
    <x v="305"/>
    <x v="98"/>
    <n v="1010.723865391773"/>
    <x v="333"/>
  </r>
  <r>
    <x v="12"/>
    <x v="3"/>
    <x v="71"/>
    <x v="1"/>
    <n v="318"/>
    <x v="4"/>
    <x v="4"/>
    <x v="4"/>
    <n v="913.81385238371661"/>
    <x v="4"/>
  </r>
  <r>
    <x v="12"/>
    <x v="3"/>
    <x v="71"/>
    <x v="1"/>
    <n v="239"/>
    <x v="5"/>
    <x v="377"/>
    <x v="92"/>
    <n v="834.63260633609184"/>
    <x v="414"/>
  </r>
  <r>
    <x v="12"/>
    <x v="3"/>
    <x v="31"/>
    <x v="2"/>
    <n v="1100"/>
    <x v="0"/>
    <x v="501"/>
    <x v="1"/>
    <n v="1633.4684555795864"/>
    <x v="550"/>
  </r>
  <r>
    <x v="12"/>
    <x v="3"/>
    <x v="31"/>
    <x v="2"/>
    <n v="800"/>
    <x v="1"/>
    <x v="482"/>
    <x v="37"/>
    <n v="1332.4384599156051"/>
    <x v="530"/>
  </r>
  <r>
    <x v="12"/>
    <x v="3"/>
    <x v="31"/>
    <x v="2"/>
    <n v="550"/>
    <x v="2"/>
    <x v="1"/>
    <x v="1"/>
    <n v="1156.347200859924"/>
    <x v="1"/>
  </r>
  <r>
    <x v="12"/>
    <x v="3"/>
    <x v="31"/>
    <x v="2"/>
    <n v="450"/>
    <x v="3"/>
    <x v="472"/>
    <x v="13"/>
    <n v="1031.4084642516241"/>
    <x v="518"/>
  </r>
  <r>
    <x v="12"/>
    <x v="3"/>
    <x v="31"/>
    <x v="2"/>
    <n v="350"/>
    <x v="4"/>
    <x v="355"/>
    <x v="115"/>
    <n v="934.49845124356762"/>
    <x v="389"/>
  </r>
  <r>
    <x v="12"/>
    <x v="3"/>
    <x v="31"/>
    <x v="2"/>
    <n v="350"/>
    <x v="4"/>
    <x v="89"/>
    <x v="37"/>
    <n v="934.49845124356762"/>
    <x v="96"/>
  </r>
  <r>
    <x v="12"/>
    <x v="3"/>
    <x v="31"/>
    <x v="2"/>
    <n v="350"/>
    <x v="4"/>
    <x v="32"/>
    <x v="33"/>
    <n v="934.49845124356762"/>
    <x v="34"/>
  </r>
  <r>
    <x v="12"/>
    <x v="3"/>
    <x v="31"/>
    <x v="2"/>
    <n v="350"/>
    <x v="4"/>
    <x v="621"/>
    <x v="321"/>
    <n v="934.49845124356762"/>
    <x v="704"/>
  </r>
  <r>
    <x v="12"/>
    <x v="3"/>
    <x v="2"/>
    <x v="2"/>
    <n v="1000"/>
    <x v="0"/>
    <x v="578"/>
    <x v="302"/>
    <n v="1913.8138523837167"/>
    <x v="644"/>
  </r>
  <r>
    <x v="12"/>
    <x v="3"/>
    <x v="2"/>
    <x v="2"/>
    <n v="1000"/>
    <x v="1"/>
    <x v="319"/>
    <x v="193"/>
    <n v="1612.7838567197355"/>
    <x v="349"/>
  </r>
  <r>
    <x v="12"/>
    <x v="3"/>
    <x v="2"/>
    <x v="2"/>
    <n v="1000"/>
    <x v="2"/>
    <x v="9"/>
    <x v="9"/>
    <n v="1436.6925976640543"/>
    <x v="9"/>
  </r>
  <r>
    <x v="12"/>
    <x v="3"/>
    <x v="2"/>
    <x v="2"/>
    <n v="1000"/>
    <x v="3"/>
    <x v="438"/>
    <x v="50"/>
    <n v="1311.7538610557542"/>
    <x v="481"/>
  </r>
  <r>
    <x v="12"/>
    <x v="3"/>
    <x v="2"/>
    <x v="2"/>
    <n v="1000"/>
    <x v="4"/>
    <x v="378"/>
    <x v="217"/>
    <n v="1214.843848047698"/>
    <x v="415"/>
  </r>
  <r>
    <x v="12"/>
    <x v="3"/>
    <x v="2"/>
    <x v="2"/>
    <n v="1000"/>
    <x v="5"/>
    <x v="583"/>
    <x v="149"/>
    <n v="1135.6626020000731"/>
    <x v="649"/>
  </r>
  <r>
    <x v="12"/>
    <x v="3"/>
    <x v="2"/>
    <x v="2"/>
    <n v="999"/>
    <x v="6"/>
    <x v="52"/>
    <x v="7"/>
    <n v="1068.7158123694599"/>
    <x v="55"/>
  </r>
  <r>
    <x v="12"/>
    <x v="3"/>
    <x v="2"/>
    <x v="2"/>
    <n v="398"/>
    <x v="7"/>
    <x v="176"/>
    <x v="123"/>
    <n v="1010.7238653917732"/>
    <x v="191"/>
  </r>
  <r>
    <x v="12"/>
    <x v="3"/>
    <x v="2"/>
    <x v="2"/>
    <n v="318"/>
    <x v="8"/>
    <x v="485"/>
    <x v="262"/>
    <n v="959.57134294439186"/>
    <x v="533"/>
  </r>
  <r>
    <x v="12"/>
    <x v="3"/>
    <x v="2"/>
    <x v="2"/>
    <n v="239"/>
    <x v="9"/>
    <x v="622"/>
    <x v="57"/>
    <n v="913.81385238371672"/>
    <x v="705"/>
  </r>
  <r>
    <x v="12"/>
    <x v="3"/>
    <x v="17"/>
    <x v="7"/>
    <n v="925"/>
    <x v="0"/>
    <x v="483"/>
    <x v="7"/>
    <n v="778.15125038364363"/>
    <x v="531"/>
  </r>
  <r>
    <x v="12"/>
    <x v="3"/>
    <x v="17"/>
    <x v="7"/>
    <n v="926"/>
    <x v="0"/>
    <x v="312"/>
    <x v="322"/>
    <n v="778.15125038364363"/>
    <x v="706"/>
  </r>
  <r>
    <x v="12"/>
    <x v="3"/>
    <x v="17"/>
    <x v="7"/>
    <n v="925"/>
    <x v="1"/>
    <x v="557"/>
    <x v="289"/>
    <n v="627.636252551653"/>
    <x v="618"/>
  </r>
  <r>
    <x v="12"/>
    <x v="3"/>
    <x v="17"/>
    <x v="7"/>
    <n v="925"/>
    <x v="1"/>
    <x v="501"/>
    <x v="1"/>
    <n v="627.636252551653"/>
    <x v="550"/>
  </r>
  <r>
    <x v="12"/>
    <x v="3"/>
    <x v="17"/>
    <x v="7"/>
    <n v="454"/>
    <x v="2"/>
    <x v="106"/>
    <x v="13"/>
    <n v="539.59062302381244"/>
    <x v="575"/>
  </r>
  <r>
    <x v="12"/>
    <x v="3"/>
    <x v="17"/>
    <x v="7"/>
    <n v="454"/>
    <x v="2"/>
    <x v="106"/>
    <x v="83"/>
    <n v="539.59062302381244"/>
    <x v="113"/>
  </r>
  <r>
    <x v="12"/>
    <x v="3"/>
    <x v="17"/>
    <x v="7"/>
    <n v="349"/>
    <x v="3"/>
    <x v="482"/>
    <x v="37"/>
    <n v="477.12125471966243"/>
    <x v="530"/>
  </r>
  <r>
    <x v="12"/>
    <x v="3"/>
    <x v="17"/>
    <x v="7"/>
    <n v="349"/>
    <x v="3"/>
    <x v="481"/>
    <x v="261"/>
    <n v="477.12125471966243"/>
    <x v="529"/>
  </r>
  <r>
    <x v="12"/>
    <x v="3"/>
    <x v="17"/>
    <x v="7"/>
    <n v="315"/>
    <x v="4"/>
    <x v="305"/>
    <x v="98"/>
    <n v="428.6662482156342"/>
    <x v="333"/>
  </r>
  <r>
    <x v="12"/>
    <x v="3"/>
    <x v="17"/>
    <x v="7"/>
    <n v="314"/>
    <x v="4"/>
    <x v="399"/>
    <x v="204"/>
    <n v="428.6662482156342"/>
    <x v="438"/>
  </r>
  <r>
    <x v="12"/>
    <x v="3"/>
    <x v="17"/>
    <x v="7"/>
    <n v="280"/>
    <x v="5"/>
    <x v="381"/>
    <x v="279"/>
    <n v="389.07562519182181"/>
    <x v="589"/>
  </r>
  <r>
    <x v="12"/>
    <x v="3"/>
    <x v="17"/>
    <x v="7"/>
    <n v="279"/>
    <x v="5"/>
    <x v="623"/>
    <x v="323"/>
    <n v="389.07562519182181"/>
    <x v="707"/>
  </r>
  <r>
    <x v="12"/>
    <x v="3"/>
    <x v="17"/>
    <x v="7"/>
    <n v="244"/>
    <x v="6"/>
    <x v="21"/>
    <x v="21"/>
    <n v="355.60223037651525"/>
    <x v="21"/>
  </r>
  <r>
    <x v="12"/>
    <x v="3"/>
    <x v="17"/>
    <x v="7"/>
    <n v="245"/>
    <x v="6"/>
    <x v="52"/>
    <x v="7"/>
    <n v="355.60223037651525"/>
    <x v="55"/>
  </r>
  <r>
    <x v="13"/>
    <x v="0"/>
    <x v="2"/>
    <x v="2"/>
    <n v="2483"/>
    <x v="0"/>
    <x v="624"/>
    <x v="81"/>
    <n v="1724.2758696007888"/>
    <x v="708"/>
  </r>
  <r>
    <x v="13"/>
    <x v="0"/>
    <x v="2"/>
    <x v="2"/>
    <n v="1366"/>
    <x v="1"/>
    <x v="428"/>
    <x v="81"/>
    <n v="1423.2458739368076"/>
    <x v="470"/>
  </r>
  <r>
    <x v="13"/>
    <x v="0"/>
    <x v="2"/>
    <x v="2"/>
    <n v="807"/>
    <x v="2"/>
    <x v="21"/>
    <x v="21"/>
    <n v="1247.1546148811265"/>
    <x v="21"/>
  </r>
  <r>
    <x v="13"/>
    <x v="0"/>
    <x v="2"/>
    <x v="2"/>
    <n v="559"/>
    <x v="3"/>
    <x v="51"/>
    <x v="24"/>
    <n v="1122.2158782728266"/>
    <x v="53"/>
  </r>
  <r>
    <x v="13"/>
    <x v="0"/>
    <x v="2"/>
    <x v="2"/>
    <n v="435"/>
    <x v="4"/>
    <x v="176"/>
    <x v="123"/>
    <n v="1025.3058652647699"/>
    <x v="191"/>
  </r>
  <r>
    <x v="13"/>
    <x v="0"/>
    <x v="2"/>
    <x v="2"/>
    <n v="310"/>
    <x v="5"/>
    <x v="580"/>
    <x v="155"/>
    <n v="946.12461921714532"/>
    <x v="646"/>
  </r>
  <r>
    <x v="13"/>
    <x v="0"/>
    <x v="2"/>
    <x v="2"/>
    <n v="248"/>
    <x v="6"/>
    <x v="177"/>
    <x v="125"/>
    <n v="879.17782958653208"/>
    <x v="193"/>
  </r>
  <r>
    <x v="13"/>
    <x v="0"/>
    <x v="72"/>
    <x v="1"/>
    <n v="1280"/>
    <x v="0"/>
    <x v="355"/>
    <x v="115"/>
    <n v="1301.0299956639813"/>
    <x v="389"/>
  </r>
  <r>
    <x v="13"/>
    <x v="0"/>
    <x v="72"/>
    <x v="1"/>
    <n v="699"/>
    <x v="1"/>
    <x v="600"/>
    <x v="3"/>
    <n v="1000"/>
    <x v="674"/>
  </r>
  <r>
    <x v="13"/>
    <x v="0"/>
    <x v="72"/>
    <x v="1"/>
    <n v="349"/>
    <x v="2"/>
    <x v="379"/>
    <x v="53"/>
    <n v="823.90874094431888"/>
    <x v="417"/>
  </r>
  <r>
    <x v="13"/>
    <x v="0"/>
    <x v="5"/>
    <x v="1"/>
    <n v="1500"/>
    <x v="0"/>
    <x v="376"/>
    <x v="202"/>
    <n v="1698.9700043360187"/>
    <x v="413"/>
  </r>
  <r>
    <x v="13"/>
    <x v="0"/>
    <x v="5"/>
    <x v="1"/>
    <n v="1400"/>
    <x v="1"/>
    <x v="462"/>
    <x v="53"/>
    <n v="1397.9400086720375"/>
    <x v="506"/>
  </r>
  <r>
    <x v="13"/>
    <x v="0"/>
    <x v="5"/>
    <x v="1"/>
    <n v="1400"/>
    <x v="2"/>
    <x v="15"/>
    <x v="15"/>
    <n v="1221.8487496163564"/>
    <x v="15"/>
  </r>
  <r>
    <x v="13"/>
    <x v="0"/>
    <x v="5"/>
    <x v="1"/>
    <n v="524"/>
    <x v="3"/>
    <x v="83"/>
    <x v="57"/>
    <n v="1096.9100130080562"/>
    <x v="89"/>
  </r>
  <r>
    <x v="13"/>
    <x v="0"/>
    <x v="5"/>
    <x v="1"/>
    <n v="407"/>
    <x v="4"/>
    <x v="516"/>
    <x v="272"/>
    <n v="999.99999999999989"/>
    <x v="567"/>
  </r>
  <r>
    <x v="13"/>
    <x v="0"/>
    <x v="5"/>
    <x v="1"/>
    <n v="291"/>
    <x v="5"/>
    <x v="272"/>
    <x v="27"/>
    <n v="920.81875395237512"/>
    <x v="300"/>
  </r>
  <r>
    <x v="13"/>
    <x v="0"/>
    <x v="5"/>
    <x v="1"/>
    <n v="233"/>
    <x v="6"/>
    <x v="625"/>
    <x v="324"/>
    <n v="853.87196432176188"/>
    <x v="709"/>
  </r>
  <r>
    <x v="13"/>
    <x v="1"/>
    <x v="73"/>
    <x v="1"/>
    <n v="1552"/>
    <x v="0"/>
    <x v="626"/>
    <x v="7"/>
    <n v="1819.5439355418687"/>
    <x v="710"/>
  </r>
  <r>
    <x v="13"/>
    <x v="1"/>
    <x v="73"/>
    <x v="1"/>
    <n v="1150"/>
    <x v="1"/>
    <x v="462"/>
    <x v="53"/>
    <n v="1518.5139398778874"/>
    <x v="506"/>
  </r>
  <r>
    <x v="13"/>
    <x v="1"/>
    <x v="73"/>
    <x v="1"/>
    <n v="860"/>
    <x v="2"/>
    <x v="248"/>
    <x v="158"/>
    <n v="1342.4226808222063"/>
    <x v="274"/>
  </r>
  <r>
    <x v="13"/>
    <x v="1"/>
    <x v="73"/>
    <x v="1"/>
    <n v="690"/>
    <x v="3"/>
    <x v="495"/>
    <x v="30"/>
    <n v="1217.4839442139062"/>
    <x v="544"/>
  </r>
  <r>
    <x v="13"/>
    <x v="1"/>
    <x v="73"/>
    <x v="1"/>
    <n v="575"/>
    <x v="4"/>
    <x v="611"/>
    <x v="50"/>
    <n v="1120.5739312058499"/>
    <x v="692"/>
  </r>
  <r>
    <x v="13"/>
    <x v="1"/>
    <x v="73"/>
    <x v="1"/>
    <n v="400"/>
    <x v="5"/>
    <x v="446"/>
    <x v="13"/>
    <n v="1041.392685158225"/>
    <x v="490"/>
  </r>
  <r>
    <x v="13"/>
    <x v="1"/>
    <x v="73"/>
    <x v="1"/>
    <n v="285"/>
    <x v="6"/>
    <x v="456"/>
    <x v="246"/>
    <n v="974.44589552761192"/>
    <x v="500"/>
  </r>
  <r>
    <x v="13"/>
    <x v="1"/>
    <x v="73"/>
    <x v="1"/>
    <n v="230"/>
    <x v="7"/>
    <x v="627"/>
    <x v="325"/>
    <n v="916.45394854992526"/>
    <x v="711"/>
  </r>
  <r>
    <x v="13"/>
    <x v="1"/>
    <x v="74"/>
    <x v="7"/>
    <n v="510"/>
    <x v="0"/>
    <x v="628"/>
    <x v="60"/>
    <n v="1414.9733479708179"/>
    <x v="712"/>
  </r>
  <r>
    <x v="13"/>
    <x v="1"/>
    <x v="74"/>
    <x v="7"/>
    <n v="345"/>
    <x v="1"/>
    <x v="292"/>
    <x v="177"/>
    <n v="1113.9433523068367"/>
    <x v="320"/>
  </r>
  <r>
    <x v="13"/>
    <x v="1"/>
    <x v="74"/>
    <x v="7"/>
    <n v="245"/>
    <x v="2"/>
    <x v="443"/>
    <x v="7"/>
    <n v="937.85209325115557"/>
    <x v="486"/>
  </r>
  <r>
    <x v="13"/>
    <x v="1"/>
    <x v="74"/>
    <x v="7"/>
    <n v="185"/>
    <x v="3"/>
    <x v="177"/>
    <x v="125"/>
    <n v="812.91335664285555"/>
    <x v="193"/>
  </r>
  <r>
    <x v="13"/>
    <x v="1"/>
    <x v="74"/>
    <x v="7"/>
    <n v="145"/>
    <x v="4"/>
    <x v="446"/>
    <x v="13"/>
    <n v="716.00334363479908"/>
    <x v="490"/>
  </r>
  <r>
    <x v="13"/>
    <x v="1"/>
    <x v="75"/>
    <x v="8"/>
    <n v="1286"/>
    <x v="0"/>
    <x v="106"/>
    <x v="13"/>
    <n v="1799.3405494535816"/>
    <x v="575"/>
  </r>
  <r>
    <x v="13"/>
    <x v="1"/>
    <x v="75"/>
    <x v="8"/>
    <n v="1285"/>
    <x v="1"/>
    <x v="446"/>
    <x v="13"/>
    <n v="1498.3105537896004"/>
    <x v="490"/>
  </r>
  <r>
    <x v="13"/>
    <x v="1"/>
    <x v="75"/>
    <x v="8"/>
    <n v="820"/>
    <x v="2"/>
    <x v="17"/>
    <x v="17"/>
    <n v="1322.2192947339192"/>
    <x v="17"/>
  </r>
  <r>
    <x v="13"/>
    <x v="1"/>
    <x v="75"/>
    <x v="8"/>
    <n v="660"/>
    <x v="3"/>
    <x v="355"/>
    <x v="115"/>
    <n v="1197.2805581256191"/>
    <x v="389"/>
  </r>
  <r>
    <x v="13"/>
    <x v="1"/>
    <x v="75"/>
    <x v="8"/>
    <n v="550"/>
    <x v="4"/>
    <x v="305"/>
    <x v="98"/>
    <n v="1100.3705451175629"/>
    <x v="333"/>
  </r>
  <r>
    <x v="13"/>
    <x v="1"/>
    <x v="75"/>
    <x v="8"/>
    <n v="385"/>
    <x v="5"/>
    <x v="239"/>
    <x v="92"/>
    <n v="1021.1892990699381"/>
    <x v="263"/>
  </r>
  <r>
    <x v="13"/>
    <x v="1"/>
    <x v="75"/>
    <x v="8"/>
    <n v="275"/>
    <x v="6"/>
    <x v="31"/>
    <x v="32"/>
    <n v="954.24250943932486"/>
    <x v="33"/>
  </r>
  <r>
    <x v="13"/>
    <x v="1"/>
    <x v="75"/>
    <x v="8"/>
    <n v="220"/>
    <x v="7"/>
    <x v="111"/>
    <x v="244"/>
    <n v="896.2505624616382"/>
    <x v="489"/>
  </r>
  <r>
    <x v="13"/>
    <x v="1"/>
    <x v="76"/>
    <x v="2"/>
    <n v="3886"/>
    <x v="0"/>
    <x v="573"/>
    <x v="297"/>
    <n v="2139.8790864012367"/>
    <x v="636"/>
  </r>
  <r>
    <x v="13"/>
    <x v="1"/>
    <x v="76"/>
    <x v="2"/>
    <n v="3385"/>
    <x v="1"/>
    <x v="12"/>
    <x v="251"/>
    <n v="1838.8490907372552"/>
    <x v="512"/>
  </r>
  <r>
    <x v="13"/>
    <x v="1"/>
    <x v="76"/>
    <x v="2"/>
    <n v="2320"/>
    <x v="2"/>
    <x v="292"/>
    <x v="177"/>
    <n v="1662.7578316815741"/>
    <x v="320"/>
  </r>
  <r>
    <x v="13"/>
    <x v="1"/>
    <x v="76"/>
    <x v="2"/>
    <n v="1850"/>
    <x v="3"/>
    <x v="83"/>
    <x v="57"/>
    <n v="1537.819095073274"/>
    <x v="89"/>
  </r>
  <r>
    <x v="13"/>
    <x v="1"/>
    <x v="76"/>
    <x v="2"/>
    <n v="1345"/>
    <x v="4"/>
    <x v="497"/>
    <x v="266"/>
    <n v="1440.9090820652177"/>
    <x v="546"/>
  </r>
  <r>
    <x v="13"/>
    <x v="1"/>
    <x v="76"/>
    <x v="2"/>
    <n v="1010"/>
    <x v="5"/>
    <x v="346"/>
    <x v="326"/>
    <n v="1361.7278360175928"/>
    <x v="713"/>
  </r>
  <r>
    <x v="13"/>
    <x v="1"/>
    <x v="76"/>
    <x v="2"/>
    <n v="675"/>
    <x v="6"/>
    <x v="431"/>
    <x v="25"/>
    <n v="1294.7810463869796"/>
    <x v="714"/>
  </r>
  <r>
    <x v="13"/>
    <x v="1"/>
    <x v="76"/>
    <x v="2"/>
    <n v="505"/>
    <x v="7"/>
    <x v="399"/>
    <x v="204"/>
    <n v="1236.7890994092929"/>
    <x v="438"/>
  </r>
  <r>
    <x v="13"/>
    <x v="1"/>
    <x v="76"/>
    <x v="2"/>
    <n v="335"/>
    <x v="8"/>
    <x v="15"/>
    <x v="15"/>
    <n v="1185.6365769619117"/>
    <x v="15"/>
  </r>
  <r>
    <x v="13"/>
    <x v="1"/>
    <x v="76"/>
    <x v="2"/>
    <n v="335"/>
    <x v="9"/>
    <x v="9"/>
    <x v="9"/>
    <n v="1139.8790864012365"/>
    <x v="9"/>
  </r>
  <r>
    <x v="13"/>
    <x v="1"/>
    <x v="76"/>
    <x v="2"/>
    <n v="255"/>
    <x v="10"/>
    <x v="120"/>
    <x v="49"/>
    <n v="1098.4864012430114"/>
    <x v="127"/>
  </r>
  <r>
    <x v="13"/>
    <x v="1"/>
    <x v="76"/>
    <x v="2"/>
    <n v="255"/>
    <x v="11"/>
    <x v="576"/>
    <x v="27"/>
    <n v="1060.6978403536116"/>
    <x v="640"/>
  </r>
  <r>
    <x v="13"/>
    <x v="1"/>
    <x v="76"/>
    <x v="2"/>
    <n v="170"/>
    <x v="12"/>
    <x v="445"/>
    <x v="273"/>
    <n v="1025.9357340943998"/>
    <x v="715"/>
  </r>
  <r>
    <x v="13"/>
    <x v="1"/>
    <x v="76"/>
    <x v="2"/>
    <n v="170"/>
    <x v="13"/>
    <x v="453"/>
    <x v="13"/>
    <n v="993.75105072299857"/>
    <x v="655"/>
  </r>
  <r>
    <x v="13"/>
    <x v="1"/>
    <x v="76"/>
    <x v="2"/>
    <n v="170"/>
    <x v="14"/>
    <x v="28"/>
    <x v="28"/>
    <n v="963.78782734555512"/>
    <x v="28"/>
  </r>
  <r>
    <x v="13"/>
    <x v="1"/>
    <x v="76"/>
    <x v="2"/>
    <n v="170"/>
    <x v="15"/>
    <x v="629"/>
    <x v="242"/>
    <n v="935.75910374531168"/>
    <x v="716"/>
  </r>
  <r>
    <x v="13"/>
    <x v="1"/>
    <x v="77"/>
    <x v="2"/>
    <n v="365"/>
    <x v="0"/>
    <x v="40"/>
    <x v="38"/>
    <n v="1204.1199826559248"/>
    <x v="42"/>
  </r>
  <r>
    <x v="13"/>
    <x v="1"/>
    <x v="77"/>
    <x v="2"/>
    <n v="230"/>
    <x v="1"/>
    <x v="445"/>
    <x v="327"/>
    <n v="903.08998699194353"/>
    <x v="717"/>
  </r>
  <r>
    <x v="13"/>
    <x v="1"/>
    <x v="77"/>
    <x v="2"/>
    <n v="160"/>
    <x v="2"/>
    <x v="462"/>
    <x v="53"/>
    <n v="726.99872793626241"/>
    <x v="506"/>
  </r>
  <r>
    <x v="13"/>
    <x v="1"/>
    <x v="77"/>
    <x v="2"/>
    <n v="125"/>
    <x v="3"/>
    <x v="359"/>
    <x v="210"/>
    <n v="602.05999132796239"/>
    <x v="394"/>
  </r>
  <r>
    <x v="13"/>
    <x v="1"/>
    <x v="78"/>
    <x v="2"/>
    <n v="1410"/>
    <x v="0"/>
    <x v="452"/>
    <x v="144"/>
    <n v="1732.3937598229686"/>
    <x v="496"/>
  </r>
  <r>
    <x v="13"/>
    <x v="1"/>
    <x v="78"/>
    <x v="2"/>
    <n v="1080"/>
    <x v="1"/>
    <x v="306"/>
    <x v="15"/>
    <n v="1431.3637641589874"/>
    <x v="334"/>
  </r>
  <r>
    <x v="13"/>
    <x v="1"/>
    <x v="78"/>
    <x v="2"/>
    <n v="800"/>
    <x v="2"/>
    <x v="431"/>
    <x v="25"/>
    <n v="1255.2725051033062"/>
    <x v="714"/>
  </r>
  <r>
    <x v="13"/>
    <x v="1"/>
    <x v="78"/>
    <x v="2"/>
    <n v="610"/>
    <x v="3"/>
    <x v="614"/>
    <x v="50"/>
    <n v="1130.3337684950061"/>
    <x v="696"/>
  </r>
  <r>
    <x v="13"/>
    <x v="1"/>
    <x v="78"/>
    <x v="2"/>
    <n v="470"/>
    <x v="4"/>
    <x v="456"/>
    <x v="246"/>
    <n v="1033.4237554869499"/>
    <x v="500"/>
  </r>
  <r>
    <x v="13"/>
    <x v="1"/>
    <x v="78"/>
    <x v="2"/>
    <n v="328"/>
    <x v="5"/>
    <x v="443"/>
    <x v="7"/>
    <n v="954.24250943932498"/>
    <x v="486"/>
  </r>
  <r>
    <x v="13"/>
    <x v="1"/>
    <x v="46"/>
    <x v="4"/>
    <n v="1981"/>
    <x v="0"/>
    <x v="13"/>
    <x v="13"/>
    <n v="1944.4826721501686"/>
    <x v="13"/>
  </r>
  <r>
    <x v="13"/>
    <x v="1"/>
    <x v="46"/>
    <x v="4"/>
    <n v="1455"/>
    <x v="1"/>
    <x v="573"/>
    <x v="84"/>
    <n v="1643.4526764861873"/>
    <x v="637"/>
  </r>
  <r>
    <x v="13"/>
    <x v="1"/>
    <x v="46"/>
    <x v="4"/>
    <n v="1150"/>
    <x v="2"/>
    <x v="140"/>
    <x v="64"/>
    <n v="1467.3614174305062"/>
    <x v="150"/>
  </r>
  <r>
    <x v="13"/>
    <x v="1"/>
    <x v="46"/>
    <x v="4"/>
    <n v="920"/>
    <x v="3"/>
    <x v="630"/>
    <x v="328"/>
    <n v="1342.4226808222061"/>
    <x v="718"/>
  </r>
  <r>
    <x v="13"/>
    <x v="1"/>
    <x v="46"/>
    <x v="4"/>
    <n v="690"/>
    <x v="4"/>
    <x v="45"/>
    <x v="73"/>
    <n v="1245.5126678141498"/>
    <x v="140"/>
  </r>
  <r>
    <x v="13"/>
    <x v="1"/>
    <x v="46"/>
    <x v="4"/>
    <n v="535"/>
    <x v="5"/>
    <x v="15"/>
    <x v="31"/>
    <n v="1166.331421766525"/>
    <x v="32"/>
  </r>
  <r>
    <x v="13"/>
    <x v="1"/>
    <x v="46"/>
    <x v="4"/>
    <n v="385"/>
    <x v="6"/>
    <x v="464"/>
    <x v="329"/>
    <n v="1099.3846321359117"/>
    <x v="719"/>
  </r>
  <r>
    <x v="13"/>
    <x v="1"/>
    <x v="46"/>
    <x v="4"/>
    <n v="230"/>
    <x v="7"/>
    <x v="83"/>
    <x v="57"/>
    <n v="1041.392685158225"/>
    <x v="89"/>
  </r>
  <r>
    <x v="13"/>
    <x v="1"/>
    <x v="46"/>
    <x v="4"/>
    <n v="155"/>
    <x v="8"/>
    <x v="238"/>
    <x v="1"/>
    <n v="990.24016271084383"/>
    <x v="262"/>
  </r>
  <r>
    <x v="13"/>
    <x v="1"/>
    <x v="46"/>
    <x v="4"/>
    <n v="155"/>
    <x v="9"/>
    <x v="309"/>
    <x v="186"/>
    <n v="944.4826721501687"/>
    <x v="337"/>
  </r>
  <r>
    <x v="13"/>
    <x v="1"/>
    <x v="5"/>
    <x v="1"/>
    <n v="2572"/>
    <x v="0"/>
    <x v="141"/>
    <x v="56"/>
    <n v="2068.1858617461617"/>
    <x v="151"/>
  </r>
  <r>
    <x v="13"/>
    <x v="1"/>
    <x v="5"/>
    <x v="1"/>
    <n v="2572"/>
    <x v="1"/>
    <x v="255"/>
    <x v="160"/>
    <n v="1767.1558660821804"/>
    <x v="282"/>
  </r>
  <r>
    <x v="13"/>
    <x v="1"/>
    <x v="5"/>
    <x v="1"/>
    <n v="1670"/>
    <x v="2"/>
    <x v="22"/>
    <x v="22"/>
    <n v="1591.0646070264993"/>
    <x v="22"/>
  </r>
  <r>
    <x v="13"/>
    <x v="1"/>
    <x v="5"/>
    <x v="1"/>
    <n v="1325"/>
    <x v="3"/>
    <x v="575"/>
    <x v="298"/>
    <n v="1466.1258704181992"/>
    <x v="639"/>
  </r>
  <r>
    <x v="13"/>
    <x v="1"/>
    <x v="5"/>
    <x v="1"/>
    <n v="1075"/>
    <x v="4"/>
    <x v="631"/>
    <x v="163"/>
    <n v="1369.2158574101429"/>
    <x v="720"/>
  </r>
  <r>
    <x v="13"/>
    <x v="1"/>
    <x v="5"/>
    <x v="1"/>
    <n v="835"/>
    <x v="5"/>
    <x v="228"/>
    <x v="73"/>
    <n v="1290.034611362518"/>
    <x v="251"/>
  </r>
  <r>
    <x v="13"/>
    <x v="1"/>
    <x v="5"/>
    <x v="1"/>
    <n v="594"/>
    <x v="6"/>
    <x v="52"/>
    <x v="7"/>
    <n v="1223.0878217319048"/>
    <x v="55"/>
  </r>
  <r>
    <x v="13"/>
    <x v="1"/>
    <x v="5"/>
    <x v="1"/>
    <n v="360"/>
    <x v="7"/>
    <x v="116"/>
    <x v="89"/>
    <n v="1165.0958747542181"/>
    <x v="123"/>
  </r>
  <r>
    <x v="13"/>
    <x v="1"/>
    <x v="5"/>
    <x v="1"/>
    <n v="240"/>
    <x v="8"/>
    <x v="546"/>
    <x v="113"/>
    <n v="1113.9433523068369"/>
    <x v="604"/>
  </r>
  <r>
    <x v="13"/>
    <x v="1"/>
    <x v="5"/>
    <x v="1"/>
    <n v="240"/>
    <x v="9"/>
    <x v="3"/>
    <x v="317"/>
    <n v="1068.1858617461617"/>
    <x v="693"/>
  </r>
  <r>
    <x v="13"/>
    <x v="1"/>
    <x v="5"/>
    <x v="1"/>
    <n v="180"/>
    <x v="10"/>
    <x v="310"/>
    <x v="188"/>
    <n v="1026.7931765879366"/>
    <x v="339"/>
  </r>
  <r>
    <x v="13"/>
    <x v="1"/>
    <x v="5"/>
    <x v="1"/>
    <n v="180"/>
    <x v="11"/>
    <x v="311"/>
    <x v="22"/>
    <n v="989.00461569853678"/>
    <x v="340"/>
  </r>
  <r>
    <x v="13"/>
    <x v="1"/>
    <x v="5"/>
    <x v="1"/>
    <n v="100"/>
    <x v="12"/>
    <x v="122"/>
    <x v="91"/>
    <n v="954.24250943932498"/>
    <x v="129"/>
  </r>
  <r>
    <x v="13"/>
    <x v="1"/>
    <x v="79"/>
    <x v="1"/>
    <n v="460"/>
    <x v="0"/>
    <x v="538"/>
    <x v="280"/>
    <n v="1397.9400086720377"/>
    <x v="593"/>
  </r>
  <r>
    <x v="13"/>
    <x v="1"/>
    <x v="79"/>
    <x v="1"/>
    <n v="305"/>
    <x v="1"/>
    <x v="40"/>
    <x v="38"/>
    <n v="1096.9100130080565"/>
    <x v="42"/>
  </r>
  <r>
    <x v="13"/>
    <x v="1"/>
    <x v="79"/>
    <x v="1"/>
    <n v="215"/>
    <x v="2"/>
    <x v="390"/>
    <x v="202"/>
    <n v="920.81875395237535"/>
    <x v="428"/>
  </r>
  <r>
    <x v="13"/>
    <x v="1"/>
    <x v="79"/>
    <x v="1"/>
    <n v="165"/>
    <x v="3"/>
    <x v="443"/>
    <x v="7"/>
    <n v="795.88001734407533"/>
    <x v="486"/>
  </r>
  <r>
    <x v="13"/>
    <x v="1"/>
    <x v="79"/>
    <x v="1"/>
    <n v="130"/>
    <x v="4"/>
    <x v="583"/>
    <x v="149"/>
    <n v="698.97000433601886"/>
    <x v="649"/>
  </r>
  <r>
    <x v="13"/>
    <x v="1"/>
    <x v="79"/>
    <x v="1"/>
    <n v="100"/>
    <x v="5"/>
    <x v="495"/>
    <x v="30"/>
    <n v="619.78875828839409"/>
    <x v="544"/>
  </r>
  <r>
    <x v="13"/>
    <x v="6"/>
    <x v="80"/>
    <x v="4"/>
    <n v="890"/>
    <x v="0"/>
    <x v="462"/>
    <x v="53"/>
    <n v="1518.5139398778874"/>
    <x v="506"/>
  </r>
  <r>
    <x v="13"/>
    <x v="6"/>
    <x v="80"/>
    <x v="4"/>
    <n v="595"/>
    <x v="1"/>
    <x v="390"/>
    <x v="202"/>
    <n v="1217.4839442139062"/>
    <x v="428"/>
  </r>
  <r>
    <x v="13"/>
    <x v="6"/>
    <x v="80"/>
    <x v="4"/>
    <n v="420"/>
    <x v="2"/>
    <x v="177"/>
    <x v="125"/>
    <n v="1041.392685158225"/>
    <x v="193"/>
  </r>
  <r>
    <x v="13"/>
    <x v="6"/>
    <x v="80"/>
    <x v="4"/>
    <n v="320"/>
    <x v="3"/>
    <x v="238"/>
    <x v="1"/>
    <n v="916.45394854992514"/>
    <x v="262"/>
  </r>
  <r>
    <x v="13"/>
    <x v="6"/>
    <x v="80"/>
    <x v="4"/>
    <n v="250"/>
    <x v="4"/>
    <x v="448"/>
    <x v="245"/>
    <n v="819.54393554186868"/>
    <x v="492"/>
  </r>
  <r>
    <x v="13"/>
    <x v="6"/>
    <x v="14"/>
    <x v="7"/>
    <n v="935"/>
    <x v="0"/>
    <x v="87"/>
    <x v="72"/>
    <n v="1623.2492903979005"/>
    <x v="94"/>
  </r>
  <r>
    <x v="13"/>
    <x v="6"/>
    <x v="14"/>
    <x v="7"/>
    <n v="715"/>
    <x v="1"/>
    <x v="632"/>
    <x v="330"/>
    <n v="1322.2192947339192"/>
    <x v="721"/>
  </r>
  <r>
    <x v="13"/>
    <x v="6"/>
    <x v="14"/>
    <x v="7"/>
    <n v="525"/>
    <x v="2"/>
    <x v="443"/>
    <x v="7"/>
    <n v="1146.1280356782381"/>
    <x v="486"/>
  </r>
  <r>
    <x v="13"/>
    <x v="6"/>
    <x v="14"/>
    <x v="7"/>
    <n v="400"/>
    <x v="3"/>
    <x v="290"/>
    <x v="67"/>
    <n v="1021.1892990699382"/>
    <x v="318"/>
  </r>
  <r>
    <x v="13"/>
    <x v="6"/>
    <x v="14"/>
    <x v="7"/>
    <n v="305"/>
    <x v="4"/>
    <x v="295"/>
    <x v="178"/>
    <n v="924.27928606188175"/>
    <x v="323"/>
  </r>
  <r>
    <x v="13"/>
    <x v="6"/>
    <x v="14"/>
    <x v="7"/>
    <n v="210"/>
    <x v="5"/>
    <x v="229"/>
    <x v="80"/>
    <n v="845.09804001425687"/>
    <x v="252"/>
  </r>
  <r>
    <x v="13"/>
    <x v="6"/>
    <x v="14"/>
    <x v="7"/>
    <n v="60"/>
    <x v="6"/>
    <x v="573"/>
    <x v="84"/>
    <n v="778.15125038364374"/>
    <x v="637"/>
  </r>
  <r>
    <x v="13"/>
    <x v="6"/>
    <x v="2"/>
    <x v="2"/>
    <n v="1505"/>
    <x v="0"/>
    <x v="40"/>
    <x v="38"/>
    <n v="1690.1960800285137"/>
    <x v="42"/>
  </r>
  <r>
    <x v="13"/>
    <x v="6"/>
    <x v="2"/>
    <x v="2"/>
    <n v="1120"/>
    <x v="1"/>
    <x v="573"/>
    <x v="84"/>
    <n v="1389.1660843645325"/>
    <x v="637"/>
  </r>
  <r>
    <x v="13"/>
    <x v="6"/>
    <x v="2"/>
    <x v="2"/>
    <n v="850"/>
    <x v="2"/>
    <x v="241"/>
    <x v="156"/>
    <n v="1213.0748253088514"/>
    <x v="265"/>
  </r>
  <r>
    <x v="13"/>
    <x v="6"/>
    <x v="2"/>
    <x v="2"/>
    <n v="690"/>
    <x v="3"/>
    <x v="311"/>
    <x v="22"/>
    <n v="1088.1360887005512"/>
    <x v="340"/>
  </r>
  <r>
    <x v="13"/>
    <x v="6"/>
    <x v="2"/>
    <x v="2"/>
    <n v="530"/>
    <x v="4"/>
    <x v="453"/>
    <x v="13"/>
    <n v="991.22607569249476"/>
    <x v="655"/>
  </r>
  <r>
    <x v="13"/>
    <x v="6"/>
    <x v="2"/>
    <x v="2"/>
    <n v="365"/>
    <x v="5"/>
    <x v="229"/>
    <x v="80"/>
    <n v="912.04482964486999"/>
    <x v="252"/>
  </r>
  <r>
    <x v="13"/>
    <x v="6"/>
    <x v="2"/>
    <x v="2"/>
    <n v="260"/>
    <x v="6"/>
    <x v="633"/>
    <x v="331"/>
    <n v="845.09804001425687"/>
    <x v="722"/>
  </r>
  <r>
    <x v="13"/>
    <x v="6"/>
    <x v="2"/>
    <x v="2"/>
    <n v="70"/>
    <x v="7"/>
    <x v="124"/>
    <x v="49"/>
    <n v="787.10609303657009"/>
    <x v="131"/>
  </r>
  <r>
    <x v="13"/>
    <x v="6"/>
    <x v="81"/>
    <x v="1"/>
    <n v="843"/>
    <x v="0"/>
    <x v="40"/>
    <x v="38"/>
    <n v="1633.4684555795864"/>
    <x v="42"/>
  </r>
  <r>
    <x v="13"/>
    <x v="6"/>
    <x v="81"/>
    <x v="1"/>
    <n v="842"/>
    <x v="1"/>
    <x v="583"/>
    <x v="149"/>
    <n v="1332.4384599156051"/>
    <x v="649"/>
  </r>
  <r>
    <x v="13"/>
    <x v="6"/>
    <x v="81"/>
    <x v="1"/>
    <n v="540"/>
    <x v="2"/>
    <x v="518"/>
    <x v="222"/>
    <n v="1156.347200859924"/>
    <x v="569"/>
  </r>
  <r>
    <x v="13"/>
    <x v="6"/>
    <x v="81"/>
    <x v="1"/>
    <n v="410"/>
    <x v="3"/>
    <x v="290"/>
    <x v="67"/>
    <n v="1031.4084642516241"/>
    <x v="318"/>
  </r>
  <r>
    <x v="13"/>
    <x v="6"/>
    <x v="81"/>
    <x v="1"/>
    <n v="315"/>
    <x v="4"/>
    <x v="446"/>
    <x v="13"/>
    <n v="934.49845124356762"/>
    <x v="490"/>
  </r>
  <r>
    <x v="13"/>
    <x v="6"/>
    <x v="81"/>
    <x v="1"/>
    <n v="215"/>
    <x v="5"/>
    <x v="573"/>
    <x v="84"/>
    <n v="855.31720519594273"/>
    <x v="637"/>
  </r>
  <r>
    <x v="13"/>
    <x v="6"/>
    <x v="81"/>
    <x v="1"/>
    <n v="60"/>
    <x v="6"/>
    <x v="453"/>
    <x v="13"/>
    <n v="788.37041556532961"/>
    <x v="655"/>
  </r>
  <r>
    <x v="13"/>
    <x v="6"/>
    <x v="82"/>
    <x v="1"/>
    <n v="670"/>
    <x v="0"/>
    <x v="27"/>
    <x v="21"/>
    <n v="1397.9400086720377"/>
    <x v="91"/>
  </r>
  <r>
    <x v="13"/>
    <x v="6"/>
    <x v="82"/>
    <x v="1"/>
    <n v="450"/>
    <x v="1"/>
    <x v="248"/>
    <x v="158"/>
    <n v="1096.9100130080565"/>
    <x v="274"/>
  </r>
  <r>
    <x v="13"/>
    <x v="6"/>
    <x v="82"/>
    <x v="1"/>
    <n v="320"/>
    <x v="2"/>
    <x v="573"/>
    <x v="84"/>
    <n v="920.81875395237535"/>
    <x v="637"/>
  </r>
  <r>
    <x v="13"/>
    <x v="6"/>
    <x v="82"/>
    <x v="1"/>
    <n v="245"/>
    <x v="3"/>
    <x v="177"/>
    <x v="125"/>
    <n v="795.88001734407533"/>
    <x v="193"/>
  </r>
  <r>
    <x v="13"/>
    <x v="6"/>
    <x v="82"/>
    <x v="1"/>
    <n v="190"/>
    <x v="4"/>
    <x v="540"/>
    <x v="282"/>
    <n v="698.97000433601886"/>
    <x v="595"/>
  </r>
  <r>
    <x v="13"/>
    <x v="3"/>
    <x v="31"/>
    <x v="2"/>
    <n v="1120"/>
    <x v="0"/>
    <x v="557"/>
    <x v="289"/>
    <n v="1447.1580313422191"/>
    <x v="618"/>
  </r>
  <r>
    <x v="13"/>
    <x v="3"/>
    <x v="31"/>
    <x v="2"/>
    <n v="840"/>
    <x v="1"/>
    <x v="483"/>
    <x v="7"/>
    <n v="1146.1280356782379"/>
    <x v="531"/>
  </r>
  <r>
    <x v="13"/>
    <x v="3"/>
    <x v="31"/>
    <x v="2"/>
    <n v="420"/>
    <x v="2"/>
    <x v="581"/>
    <x v="33"/>
    <n v="970.03677662255677"/>
    <x v="647"/>
  </r>
  <r>
    <x v="13"/>
    <x v="3"/>
    <x v="31"/>
    <x v="2"/>
    <n v="420"/>
    <x v="3"/>
    <x v="416"/>
    <x v="153"/>
    <n v="845.09804001425687"/>
    <x v="458"/>
  </r>
  <r>
    <x v="13"/>
    <x v="3"/>
    <x v="83"/>
    <x v="1"/>
    <n v="844"/>
    <x v="0"/>
    <x v="52"/>
    <x v="7"/>
    <n v="1568.201724066995"/>
    <x v="55"/>
  </r>
  <r>
    <x v="13"/>
    <x v="3"/>
    <x v="83"/>
    <x v="1"/>
    <n v="980"/>
    <x v="1"/>
    <x v="549"/>
    <x v="25"/>
    <n v="1267.1717284030137"/>
    <x v="607"/>
  </r>
  <r>
    <x v="13"/>
    <x v="3"/>
    <x v="83"/>
    <x v="1"/>
    <n v="844"/>
    <x v="2"/>
    <x v="164"/>
    <x v="82"/>
    <n v="1091.0804693473326"/>
    <x v="176"/>
  </r>
  <r>
    <x v="13"/>
    <x v="3"/>
    <x v="83"/>
    <x v="1"/>
    <n v="339"/>
    <x v="3"/>
    <x v="501"/>
    <x v="1"/>
    <n v="966.14173273903259"/>
    <x v="550"/>
  </r>
  <r>
    <x v="13"/>
    <x v="3"/>
    <x v="83"/>
    <x v="1"/>
    <n v="267"/>
    <x v="4"/>
    <x v="40"/>
    <x v="38"/>
    <n v="869.23171973097612"/>
    <x v="42"/>
  </r>
  <r>
    <x v="13"/>
    <x v="3"/>
    <x v="83"/>
    <x v="1"/>
    <n v="195"/>
    <x v="5"/>
    <x v="319"/>
    <x v="193"/>
    <n v="790.05047368335136"/>
    <x v="349"/>
  </r>
  <r>
    <x v="13"/>
    <x v="3"/>
    <x v="83"/>
    <x v="1"/>
    <n v="120"/>
    <x v="6"/>
    <x v="28"/>
    <x v="305"/>
    <n v="723.10368405273812"/>
    <x v="652"/>
  </r>
  <r>
    <x v="13"/>
    <x v="3"/>
    <x v="2"/>
    <x v="2"/>
    <n v="1994"/>
    <x v="0"/>
    <x v="544"/>
    <x v="332"/>
    <n v="1826.0748027008265"/>
    <x v="723"/>
  </r>
  <r>
    <x v="13"/>
    <x v="3"/>
    <x v="2"/>
    <x v="2"/>
    <n v="1080"/>
    <x v="1"/>
    <x v="581"/>
    <x v="333"/>
    <n v="1525.0448070368452"/>
    <x v="724"/>
  </r>
  <r>
    <x v="13"/>
    <x v="3"/>
    <x v="2"/>
    <x v="2"/>
    <n v="785"/>
    <x v="2"/>
    <x v="177"/>
    <x v="125"/>
    <n v="1348.9535479811641"/>
    <x v="193"/>
  </r>
  <r>
    <x v="13"/>
    <x v="3"/>
    <x v="2"/>
    <x v="2"/>
    <n v="650"/>
    <x v="3"/>
    <x v="532"/>
    <x v="239"/>
    <n v="1224.014811372864"/>
    <x v="586"/>
  </r>
  <r>
    <x v="13"/>
    <x v="3"/>
    <x v="2"/>
    <x v="2"/>
    <n v="650"/>
    <x v="4"/>
    <x v="21"/>
    <x v="21"/>
    <n v="1127.1047983648077"/>
    <x v="21"/>
  </r>
  <r>
    <x v="13"/>
    <x v="3"/>
    <x v="2"/>
    <x v="2"/>
    <n v="455"/>
    <x v="5"/>
    <x v="190"/>
    <x v="287"/>
    <n v="1047.9235523171828"/>
    <x v="614"/>
  </r>
  <r>
    <x v="13"/>
    <x v="3"/>
    <x v="2"/>
    <x v="2"/>
    <n v="325"/>
    <x v="6"/>
    <x v="52"/>
    <x v="7"/>
    <n v="980.9767626865696"/>
    <x v="55"/>
  </r>
  <r>
    <x v="13"/>
    <x v="3"/>
    <x v="2"/>
    <x v="2"/>
    <n v="260"/>
    <x v="7"/>
    <x v="554"/>
    <x v="123"/>
    <n v="922.98481570888293"/>
    <x v="613"/>
  </r>
  <r>
    <x v="13"/>
    <x v="3"/>
    <x v="2"/>
    <x v="2"/>
    <n v="150"/>
    <x v="8"/>
    <x v="15"/>
    <x v="15"/>
    <n v="871.8322932615016"/>
    <x v="15"/>
  </r>
  <r>
    <x v="13"/>
    <x v="3"/>
    <x v="2"/>
    <x v="2"/>
    <n v="150"/>
    <x v="9"/>
    <x v="32"/>
    <x v="33"/>
    <n v="826.07480270082647"/>
    <x v="34"/>
  </r>
  <r>
    <x v="13"/>
    <x v="3"/>
    <x v="17"/>
    <x v="1"/>
    <n v="1103"/>
    <x v="0"/>
    <x v="381"/>
    <x v="279"/>
    <n v="745.68084691713636"/>
    <x v="589"/>
  </r>
  <r>
    <x v="13"/>
    <x v="3"/>
    <x v="17"/>
    <x v="1"/>
    <n v="1103"/>
    <x v="0"/>
    <x v="623"/>
    <x v="323"/>
    <n v="745.68084691713636"/>
    <x v="707"/>
  </r>
  <r>
    <x v="13"/>
    <x v="3"/>
    <x v="17"/>
    <x v="1"/>
    <n v="761"/>
    <x v="1"/>
    <x v="94"/>
    <x v="75"/>
    <n v="595.16584908514574"/>
    <x v="101"/>
  </r>
  <r>
    <x v="13"/>
    <x v="3"/>
    <x v="17"/>
    <x v="1"/>
    <n v="761"/>
    <x v="1"/>
    <x v="164"/>
    <x v="82"/>
    <n v="595.16584908514574"/>
    <x v="176"/>
  </r>
  <r>
    <x v="13"/>
    <x v="3"/>
    <x v="17"/>
    <x v="1"/>
    <n v="376"/>
    <x v="2"/>
    <x v="634"/>
    <x v="34"/>
    <n v="507.12021955730512"/>
    <x v="725"/>
  </r>
  <r>
    <x v="13"/>
    <x v="3"/>
    <x v="17"/>
    <x v="1"/>
    <n v="376"/>
    <x v="2"/>
    <x v="556"/>
    <x v="13"/>
    <n v="507.12021955730512"/>
    <x v="617"/>
  </r>
  <r>
    <x v="13"/>
    <x v="3"/>
    <x v="17"/>
    <x v="1"/>
    <n v="286"/>
    <x v="3"/>
    <x v="15"/>
    <x v="15"/>
    <n v="444.65085125315511"/>
    <x v="15"/>
  </r>
  <r>
    <x v="13"/>
    <x v="3"/>
    <x v="17"/>
    <x v="1"/>
    <n v="286"/>
    <x v="3"/>
    <x v="28"/>
    <x v="305"/>
    <n v="444.65085125315511"/>
    <x v="652"/>
  </r>
  <r>
    <x v="13"/>
    <x v="3"/>
    <x v="17"/>
    <x v="1"/>
    <n v="226"/>
    <x v="4"/>
    <x v="557"/>
    <x v="289"/>
    <n v="396.19584474912688"/>
    <x v="618"/>
  </r>
  <r>
    <x v="13"/>
    <x v="3"/>
    <x v="17"/>
    <x v="1"/>
    <n v="226"/>
    <x v="4"/>
    <x v="501"/>
    <x v="1"/>
    <n v="396.19584474912688"/>
    <x v="550"/>
  </r>
  <r>
    <x v="13"/>
    <x v="3"/>
    <x v="17"/>
    <x v="1"/>
    <n v="165"/>
    <x v="5"/>
    <x v="379"/>
    <x v="53"/>
    <n v="356.60522172531449"/>
    <x v="417"/>
  </r>
  <r>
    <x v="13"/>
    <x v="3"/>
    <x v="17"/>
    <x v="1"/>
    <n v="165"/>
    <x v="5"/>
    <x v="33"/>
    <x v="27"/>
    <n v="356.60522172531449"/>
    <x v="35"/>
  </r>
  <r>
    <x v="13"/>
    <x v="3"/>
    <x v="17"/>
    <x v="1"/>
    <n v="90"/>
    <x v="6"/>
    <x v="32"/>
    <x v="33"/>
    <n v="323.13182691000793"/>
    <x v="34"/>
  </r>
  <r>
    <x v="13"/>
    <x v="3"/>
    <x v="17"/>
    <x v="1"/>
    <n v="90"/>
    <x v="6"/>
    <x v="40"/>
    <x v="99"/>
    <n v="323.13182691000793"/>
    <x v="681"/>
  </r>
  <r>
    <x v="14"/>
    <x v="0"/>
    <x v="2"/>
    <x v="2"/>
    <n v="2405"/>
    <x v="0"/>
    <x v="355"/>
    <x v="115"/>
    <n v="1792.391689498254"/>
    <x v="389"/>
  </r>
  <r>
    <x v="14"/>
    <x v="0"/>
    <x v="2"/>
    <x v="2"/>
    <n v="1323"/>
    <x v="1"/>
    <x v="635"/>
    <x v="81"/>
    <n v="1491.3616938342727"/>
    <x v="726"/>
  </r>
  <r>
    <x v="14"/>
    <x v="0"/>
    <x v="2"/>
    <x v="2"/>
    <n v="782"/>
    <x v="2"/>
    <x v="16"/>
    <x v="50"/>
    <n v="1315.2704347785916"/>
    <x v="368"/>
  </r>
  <r>
    <x v="14"/>
    <x v="0"/>
    <x v="2"/>
    <x v="2"/>
    <n v="541"/>
    <x v="3"/>
    <x v="511"/>
    <x v="87"/>
    <n v="1190.3316981702915"/>
    <x v="562"/>
  </r>
  <r>
    <x v="14"/>
    <x v="0"/>
    <x v="2"/>
    <x v="2"/>
    <n v="421"/>
    <x v="4"/>
    <x v="516"/>
    <x v="272"/>
    <n v="1093.4216851622352"/>
    <x v="567"/>
  </r>
  <r>
    <x v="14"/>
    <x v="0"/>
    <x v="2"/>
    <x v="2"/>
    <n v="301"/>
    <x v="5"/>
    <x v="26"/>
    <x v="51"/>
    <n v="1014.2404391146102"/>
    <x v="62"/>
  </r>
  <r>
    <x v="14"/>
    <x v="0"/>
    <x v="2"/>
    <x v="2"/>
    <n v="241"/>
    <x v="6"/>
    <x v="40"/>
    <x v="38"/>
    <n v="947.29364948399711"/>
    <x v="42"/>
  </r>
  <r>
    <x v="14"/>
    <x v="0"/>
    <x v="72"/>
    <x v="4"/>
    <n v="1226"/>
    <x v="0"/>
    <x v="472"/>
    <x v="13"/>
    <n v="1361.7278360175928"/>
    <x v="518"/>
  </r>
  <r>
    <x v="14"/>
    <x v="0"/>
    <x v="72"/>
    <x v="4"/>
    <n v="670"/>
    <x v="1"/>
    <x v="272"/>
    <x v="27"/>
    <n v="1060.6978403536116"/>
    <x v="300"/>
  </r>
  <r>
    <x v="14"/>
    <x v="0"/>
    <x v="72"/>
    <x v="4"/>
    <n v="335"/>
    <x v="2"/>
    <x v="28"/>
    <x v="28"/>
    <n v="884.60658129793046"/>
    <x v="28"/>
  </r>
  <r>
    <x v="14"/>
    <x v="0"/>
    <x v="5"/>
    <x v="1"/>
    <n v="2366"/>
    <x v="0"/>
    <x v="355"/>
    <x v="115"/>
    <n v="1785.3298350107671"/>
    <x v="389"/>
  </r>
  <r>
    <x v="14"/>
    <x v="0"/>
    <x v="5"/>
    <x v="1"/>
    <n v="1302"/>
    <x v="1"/>
    <x v="26"/>
    <x v="26"/>
    <n v="1484.2998393467858"/>
    <x v="26"/>
  </r>
  <r>
    <x v="14"/>
    <x v="0"/>
    <x v="5"/>
    <x v="1"/>
    <n v="769"/>
    <x v="2"/>
    <x v="625"/>
    <x v="324"/>
    <n v="1308.2085802911047"/>
    <x v="709"/>
  </r>
  <r>
    <x v="14"/>
    <x v="0"/>
    <x v="5"/>
    <x v="1"/>
    <n v="533"/>
    <x v="3"/>
    <x v="566"/>
    <x v="293"/>
    <n v="1183.2698436828045"/>
    <x v="627"/>
  </r>
  <r>
    <x v="14"/>
    <x v="0"/>
    <x v="5"/>
    <x v="1"/>
    <n v="414"/>
    <x v="4"/>
    <x v="430"/>
    <x v="62"/>
    <n v="1086.3598306747483"/>
    <x v="473"/>
  </r>
  <r>
    <x v="14"/>
    <x v="0"/>
    <x v="5"/>
    <x v="1"/>
    <n v="296"/>
    <x v="5"/>
    <x v="102"/>
    <x v="37"/>
    <n v="1007.1785846271235"/>
    <x v="109"/>
  </r>
  <r>
    <x v="14"/>
    <x v="0"/>
    <x v="5"/>
    <x v="1"/>
    <n v="237"/>
    <x v="6"/>
    <x v="481"/>
    <x v="261"/>
    <n v="940.2317949965103"/>
    <x v="529"/>
  </r>
  <r>
    <x v="14"/>
    <x v="1"/>
    <x v="84"/>
    <x v="1"/>
    <n v="1260"/>
    <x v="0"/>
    <x v="587"/>
    <x v="115"/>
    <n v="1740.3626894942438"/>
    <x v="657"/>
  </r>
  <r>
    <x v="14"/>
    <x v="1"/>
    <x v="84"/>
    <x v="1"/>
    <n v="965"/>
    <x v="1"/>
    <x v="4"/>
    <x v="4"/>
    <n v="1439.3326938302625"/>
    <x v="4"/>
  </r>
  <r>
    <x v="14"/>
    <x v="1"/>
    <x v="84"/>
    <x v="1"/>
    <n v="745"/>
    <x v="2"/>
    <x v="636"/>
    <x v="81"/>
    <n v="1263.2414347745814"/>
    <x v="727"/>
  </r>
  <r>
    <x v="14"/>
    <x v="1"/>
    <x v="84"/>
    <x v="1"/>
    <n v="620"/>
    <x v="3"/>
    <x v="355"/>
    <x v="115"/>
    <n v="1138.3026981662815"/>
    <x v="389"/>
  </r>
  <r>
    <x v="14"/>
    <x v="1"/>
    <x v="84"/>
    <x v="1"/>
    <n v="480"/>
    <x v="4"/>
    <x v="126"/>
    <x v="93"/>
    <n v="1041.3926851582248"/>
    <x v="133"/>
  </r>
  <r>
    <x v="14"/>
    <x v="1"/>
    <x v="84"/>
    <x v="1"/>
    <n v="335"/>
    <x v="5"/>
    <x v="122"/>
    <x v="91"/>
    <n v="962.21143911060028"/>
    <x v="129"/>
  </r>
  <r>
    <x v="14"/>
    <x v="1"/>
    <x v="84"/>
    <x v="1"/>
    <n v="240"/>
    <x v="6"/>
    <x v="619"/>
    <x v="320"/>
    <n v="895.26464947998704"/>
    <x v="701"/>
  </r>
  <r>
    <x v="14"/>
    <x v="1"/>
    <x v="84"/>
    <x v="1"/>
    <n v="140"/>
    <x v="7"/>
    <x v="573"/>
    <x v="297"/>
    <n v="837.27270250230038"/>
    <x v="636"/>
  </r>
  <r>
    <x v="14"/>
    <x v="1"/>
    <x v="85"/>
    <x v="3"/>
    <n v="230"/>
    <x v="0"/>
    <x v="126"/>
    <x v="93"/>
    <n v="778.15125038364363"/>
    <x v="133"/>
  </r>
  <r>
    <x v="14"/>
    <x v="1"/>
    <x v="85"/>
    <x v="3"/>
    <n v="100"/>
    <x v="1"/>
    <x v="310"/>
    <x v="188"/>
    <n v="477.12125471966243"/>
    <x v="339"/>
  </r>
  <r>
    <x v="14"/>
    <x v="1"/>
    <x v="86"/>
    <x v="1"/>
    <n v="1425"/>
    <x v="0"/>
    <x v="637"/>
    <x v="334"/>
    <n v="1778.1512503836436"/>
    <x v="728"/>
  </r>
  <r>
    <x v="14"/>
    <x v="1"/>
    <x v="86"/>
    <x v="1"/>
    <n v="1075"/>
    <x v="1"/>
    <x v="443"/>
    <x v="7"/>
    <n v="1477.1212547196624"/>
    <x v="486"/>
  </r>
  <r>
    <x v="14"/>
    <x v="1"/>
    <x v="86"/>
    <x v="1"/>
    <n v="815"/>
    <x v="2"/>
    <x v="452"/>
    <x v="144"/>
    <n v="1301.0299956639813"/>
    <x v="496"/>
  </r>
  <r>
    <x v="14"/>
    <x v="1"/>
    <x v="86"/>
    <x v="1"/>
    <n v="660"/>
    <x v="3"/>
    <x v="628"/>
    <x v="60"/>
    <n v="1176.0912590556813"/>
    <x v="712"/>
  </r>
  <r>
    <x v="14"/>
    <x v="1"/>
    <x v="86"/>
    <x v="1"/>
    <n v="500"/>
    <x v="4"/>
    <x v="128"/>
    <x v="21"/>
    <n v="1079.1812460476247"/>
    <x v="135"/>
  </r>
  <r>
    <x v="14"/>
    <x v="1"/>
    <x v="86"/>
    <x v="1"/>
    <n v="345"/>
    <x v="5"/>
    <x v="447"/>
    <x v="7"/>
    <n v="1000"/>
    <x v="491"/>
  </r>
  <r>
    <x v="14"/>
    <x v="1"/>
    <x v="86"/>
    <x v="1"/>
    <n v="260"/>
    <x v="6"/>
    <x v="614"/>
    <x v="50"/>
    <n v="933.05321036938687"/>
    <x v="696"/>
  </r>
  <r>
    <x v="14"/>
    <x v="1"/>
    <x v="86"/>
    <x v="1"/>
    <n v="140"/>
    <x v="7"/>
    <x v="17"/>
    <x v="17"/>
    <n v="875.06126339170009"/>
    <x v="17"/>
  </r>
  <r>
    <x v="14"/>
    <x v="1"/>
    <x v="87"/>
    <x v="3"/>
    <n v="500"/>
    <x v="0"/>
    <x v="446"/>
    <x v="13"/>
    <n v="1477.1212547196624"/>
    <x v="490"/>
  </r>
  <r>
    <x v="14"/>
    <x v="1"/>
    <x v="87"/>
    <x v="3"/>
    <n v="490"/>
    <x v="1"/>
    <x v="453"/>
    <x v="13"/>
    <n v="1176.0912590556811"/>
    <x v="655"/>
  </r>
  <r>
    <x v="14"/>
    <x v="1"/>
    <x v="87"/>
    <x v="3"/>
    <n v="280"/>
    <x v="2"/>
    <x v="40"/>
    <x v="38"/>
    <n v="1000"/>
    <x v="42"/>
  </r>
  <r>
    <x v="14"/>
    <x v="1"/>
    <x v="87"/>
    <x v="3"/>
    <n v="215"/>
    <x v="3"/>
    <x v="614"/>
    <x v="50"/>
    <n v="875.06126339169998"/>
    <x v="696"/>
  </r>
  <r>
    <x v="14"/>
    <x v="1"/>
    <x v="87"/>
    <x v="3"/>
    <n v="165"/>
    <x v="4"/>
    <x v="573"/>
    <x v="84"/>
    <n v="778.15125038364351"/>
    <x v="637"/>
  </r>
  <r>
    <x v="14"/>
    <x v="1"/>
    <x v="88"/>
    <x v="2"/>
    <n v="1150"/>
    <x v="0"/>
    <x v="453"/>
    <x v="13"/>
    <n v="1672.0978579357175"/>
    <x v="655"/>
  </r>
  <r>
    <x v="14"/>
    <x v="1"/>
    <x v="88"/>
    <x v="2"/>
    <n v="1130"/>
    <x v="1"/>
    <x v="462"/>
    <x v="53"/>
    <n v="1371.0678622717362"/>
    <x v="506"/>
  </r>
  <r>
    <x v="14"/>
    <x v="1"/>
    <x v="88"/>
    <x v="2"/>
    <n v="835"/>
    <x v="2"/>
    <x v="241"/>
    <x v="156"/>
    <n v="1194.9766032160551"/>
    <x v="265"/>
  </r>
  <r>
    <x v="14"/>
    <x v="1"/>
    <x v="88"/>
    <x v="2"/>
    <n v="670"/>
    <x v="3"/>
    <x v="4"/>
    <x v="4"/>
    <n v="1070.0378666077549"/>
    <x v="4"/>
  </r>
  <r>
    <x v="14"/>
    <x v="1"/>
    <x v="88"/>
    <x v="2"/>
    <n v="305"/>
    <x v="4"/>
    <x v="616"/>
    <x v="107"/>
    <n v="973.12785359969871"/>
    <x v="698"/>
  </r>
  <r>
    <x v="14"/>
    <x v="1"/>
    <x v="2"/>
    <x v="2"/>
    <n v="3992"/>
    <x v="0"/>
    <x v="443"/>
    <x v="7"/>
    <n v="2120.5739312058499"/>
    <x v="486"/>
  </r>
  <r>
    <x v="14"/>
    <x v="1"/>
    <x v="2"/>
    <x v="2"/>
    <n v="3035"/>
    <x v="1"/>
    <x v="546"/>
    <x v="113"/>
    <n v="1819.5439355418687"/>
    <x v="604"/>
  </r>
  <r>
    <x v="14"/>
    <x v="1"/>
    <x v="2"/>
    <x v="2"/>
    <n v="2235"/>
    <x v="2"/>
    <x v="620"/>
    <x v="168"/>
    <n v="1643.4526764861876"/>
    <x v="702"/>
  </r>
  <r>
    <x v="14"/>
    <x v="1"/>
    <x v="2"/>
    <x v="2"/>
    <n v="1760"/>
    <x v="3"/>
    <x v="462"/>
    <x v="53"/>
    <n v="1518.5139398778874"/>
    <x v="506"/>
  </r>
  <r>
    <x v="14"/>
    <x v="1"/>
    <x v="2"/>
    <x v="2"/>
    <n v="1280"/>
    <x v="4"/>
    <x v="126"/>
    <x v="93"/>
    <n v="1421.6039268698312"/>
    <x v="133"/>
  </r>
  <r>
    <x v="14"/>
    <x v="1"/>
    <x v="2"/>
    <x v="2"/>
    <n v="960"/>
    <x v="5"/>
    <x v="255"/>
    <x v="160"/>
    <n v="1342.4226808222063"/>
    <x v="282"/>
  </r>
  <r>
    <x v="14"/>
    <x v="1"/>
    <x v="2"/>
    <x v="2"/>
    <n v="640"/>
    <x v="6"/>
    <x v="638"/>
    <x v="21"/>
    <n v="1275.4758911915931"/>
    <x v="729"/>
  </r>
  <r>
    <x v="14"/>
    <x v="1"/>
    <x v="2"/>
    <x v="2"/>
    <n v="480"/>
    <x v="7"/>
    <x v="120"/>
    <x v="49"/>
    <n v="1217.4839442139064"/>
    <x v="127"/>
  </r>
  <r>
    <x v="14"/>
    <x v="1"/>
    <x v="2"/>
    <x v="2"/>
    <n v="320"/>
    <x v="8"/>
    <x v="4"/>
    <x v="4"/>
    <n v="1166.3314217665252"/>
    <x v="4"/>
  </r>
  <r>
    <x v="14"/>
    <x v="1"/>
    <x v="2"/>
    <x v="2"/>
    <n v="320"/>
    <x v="9"/>
    <x v="118"/>
    <x v="4"/>
    <n v="1120.5739312058499"/>
    <x v="125"/>
  </r>
  <r>
    <x v="14"/>
    <x v="1"/>
    <x v="2"/>
    <x v="2"/>
    <n v="240"/>
    <x v="10"/>
    <x v="52"/>
    <x v="7"/>
    <n v="1079.1812460476249"/>
    <x v="55"/>
  </r>
  <r>
    <x v="14"/>
    <x v="1"/>
    <x v="2"/>
    <x v="2"/>
    <n v="240"/>
    <x v="11"/>
    <x v="198"/>
    <x v="81"/>
    <n v="1041.392685158225"/>
    <x v="216"/>
  </r>
  <r>
    <x v="14"/>
    <x v="1"/>
    <x v="2"/>
    <x v="2"/>
    <n v="160"/>
    <x v="12"/>
    <x v="445"/>
    <x v="123"/>
    <n v="1006.6305788990134"/>
    <x v="488"/>
  </r>
  <r>
    <x v="14"/>
    <x v="1"/>
    <x v="2"/>
    <x v="2"/>
    <n v="160"/>
    <x v="13"/>
    <x v="639"/>
    <x v="81"/>
    <n v="974.44589552761204"/>
    <x v="730"/>
  </r>
  <r>
    <x v="14"/>
    <x v="1"/>
    <x v="2"/>
    <x v="2"/>
    <n v="160"/>
    <x v="14"/>
    <x v="290"/>
    <x v="67"/>
    <n v="944.4826721501687"/>
    <x v="318"/>
  </r>
  <r>
    <x v="14"/>
    <x v="1"/>
    <x v="46"/>
    <x v="4"/>
    <n v="1650"/>
    <x v="0"/>
    <x v="462"/>
    <x v="53"/>
    <n v="1897.6270912904413"/>
    <x v="506"/>
  </r>
  <r>
    <x v="14"/>
    <x v="1"/>
    <x v="46"/>
    <x v="4"/>
    <n v="1245"/>
    <x v="1"/>
    <x v="196"/>
    <x v="92"/>
    <n v="1596.59709562646"/>
    <x v="214"/>
  </r>
  <r>
    <x v="14"/>
    <x v="1"/>
    <x v="46"/>
    <x v="4"/>
    <n v="1120"/>
    <x v="2"/>
    <x v="52"/>
    <x v="7"/>
    <n v="1420.5058365707789"/>
    <x v="55"/>
  </r>
  <r>
    <x v="14"/>
    <x v="1"/>
    <x v="46"/>
    <x v="4"/>
    <n v="1070"/>
    <x v="3"/>
    <x v="351"/>
    <x v="206"/>
    <n v="1295.5670999624788"/>
    <x v="385"/>
  </r>
  <r>
    <x v="14"/>
    <x v="1"/>
    <x v="46"/>
    <x v="4"/>
    <n v="685"/>
    <x v="4"/>
    <x v="1"/>
    <x v="1"/>
    <n v="1198.6570869544225"/>
    <x v="1"/>
  </r>
  <r>
    <x v="14"/>
    <x v="1"/>
    <x v="46"/>
    <x v="4"/>
    <n v="480"/>
    <x v="5"/>
    <x v="456"/>
    <x v="246"/>
    <n v="1119.4758409067977"/>
    <x v="500"/>
  </r>
  <r>
    <x v="14"/>
    <x v="1"/>
    <x v="46"/>
    <x v="4"/>
    <n v="345"/>
    <x v="6"/>
    <x v="446"/>
    <x v="13"/>
    <n v="1052.5290512761844"/>
    <x v="490"/>
  </r>
  <r>
    <x v="14"/>
    <x v="1"/>
    <x v="46"/>
    <x v="4"/>
    <n v="278"/>
    <x v="7"/>
    <x v="640"/>
    <x v="335"/>
    <n v="994.53710429849787"/>
    <x v="731"/>
  </r>
  <r>
    <x v="14"/>
    <x v="1"/>
    <x v="5"/>
    <x v="1"/>
    <n v="2570"/>
    <x v="0"/>
    <x v="120"/>
    <x v="49"/>
    <n v="2017.0333392987802"/>
    <x v="127"/>
  </r>
  <r>
    <x v="14"/>
    <x v="1"/>
    <x v="5"/>
    <x v="1"/>
    <n v="1935"/>
    <x v="1"/>
    <x v="593"/>
    <x v="215"/>
    <n v="1716.003343634799"/>
    <x v="663"/>
  </r>
  <r>
    <x v="14"/>
    <x v="1"/>
    <x v="5"/>
    <x v="1"/>
    <n v="1485"/>
    <x v="2"/>
    <x v="128"/>
    <x v="21"/>
    <n v="1539.9120845791178"/>
    <x v="135"/>
  </r>
  <r>
    <x v="14"/>
    <x v="1"/>
    <x v="5"/>
    <x v="1"/>
    <n v="1165"/>
    <x v="3"/>
    <x v="355"/>
    <x v="115"/>
    <n v="1414.9733479708177"/>
    <x v="389"/>
  </r>
  <r>
    <x v="14"/>
    <x v="1"/>
    <x v="5"/>
    <x v="1"/>
    <n v="955"/>
    <x v="4"/>
    <x v="573"/>
    <x v="84"/>
    <n v="1318.0633349627615"/>
    <x v="637"/>
  </r>
  <r>
    <x v="14"/>
    <x v="1"/>
    <x v="5"/>
    <x v="1"/>
    <n v="745"/>
    <x v="5"/>
    <x v="472"/>
    <x v="13"/>
    <n v="1238.8820889151366"/>
    <x v="518"/>
  </r>
  <r>
    <x v="14"/>
    <x v="1"/>
    <x v="5"/>
    <x v="1"/>
    <n v="530"/>
    <x v="6"/>
    <x v="40"/>
    <x v="38"/>
    <n v="1171.9352992845234"/>
    <x v="42"/>
  </r>
  <r>
    <x v="14"/>
    <x v="1"/>
    <x v="5"/>
    <x v="1"/>
    <n v="323"/>
    <x v="7"/>
    <x v="569"/>
    <x v="128"/>
    <n v="1113.9433523068367"/>
    <x v="630"/>
  </r>
  <r>
    <x v="14"/>
    <x v="1"/>
    <x v="5"/>
    <x v="1"/>
    <n v="210"/>
    <x v="8"/>
    <x v="301"/>
    <x v="182"/>
    <n v="1062.7908298594555"/>
    <x v="329"/>
  </r>
  <r>
    <x v="14"/>
    <x v="1"/>
    <x v="5"/>
    <x v="1"/>
    <n v="210"/>
    <x v="9"/>
    <x v="446"/>
    <x v="13"/>
    <n v="1017.0333392987802"/>
    <x v="490"/>
  </r>
  <r>
    <x v="14"/>
    <x v="1"/>
    <x v="5"/>
    <x v="1"/>
    <n v="160"/>
    <x v="10"/>
    <x v="17"/>
    <x v="17"/>
    <n v="975.64065414055517"/>
    <x v="17"/>
  </r>
  <r>
    <x v="14"/>
    <x v="1"/>
    <x v="5"/>
    <x v="1"/>
    <n v="160"/>
    <x v="11"/>
    <x v="196"/>
    <x v="92"/>
    <n v="937.85209325115534"/>
    <x v="214"/>
  </r>
  <r>
    <x v="14"/>
    <x v="1"/>
    <x v="5"/>
    <x v="1"/>
    <n v="160"/>
    <x v="12"/>
    <x v="445"/>
    <x v="123"/>
    <n v="903.08998699194353"/>
    <x v="488"/>
  </r>
  <r>
    <x v="14"/>
    <x v="6"/>
    <x v="89"/>
    <x v="1"/>
    <n v="904"/>
    <x v="0"/>
    <x v="641"/>
    <x v="336"/>
    <n v="1643.4526764861873"/>
    <x v="732"/>
  </r>
  <r>
    <x v="14"/>
    <x v="6"/>
    <x v="89"/>
    <x v="1"/>
    <n v="628"/>
    <x v="1"/>
    <x v="543"/>
    <x v="25"/>
    <n v="1342.4226808222061"/>
    <x v="600"/>
  </r>
  <r>
    <x v="14"/>
    <x v="6"/>
    <x v="89"/>
    <x v="1"/>
    <n v="524"/>
    <x v="2"/>
    <x v="99"/>
    <x v="79"/>
    <n v="1166.331421766525"/>
    <x v="106"/>
  </r>
  <r>
    <x v="14"/>
    <x v="6"/>
    <x v="89"/>
    <x v="1"/>
    <n v="400"/>
    <x v="3"/>
    <x v="134"/>
    <x v="98"/>
    <n v="1041.3926851582248"/>
    <x v="142"/>
  </r>
  <r>
    <x v="14"/>
    <x v="6"/>
    <x v="89"/>
    <x v="1"/>
    <n v="308"/>
    <x v="4"/>
    <x v="355"/>
    <x v="115"/>
    <n v="944.48267215016858"/>
    <x v="389"/>
  </r>
  <r>
    <x v="14"/>
    <x v="6"/>
    <x v="89"/>
    <x v="1"/>
    <n v="216"/>
    <x v="5"/>
    <x v="153"/>
    <x v="107"/>
    <n v="865.30142610254381"/>
    <x v="165"/>
  </r>
  <r>
    <x v="14"/>
    <x v="6"/>
    <x v="89"/>
    <x v="1"/>
    <n v="100"/>
    <x v="6"/>
    <x v="17"/>
    <x v="17"/>
    <n v="798.35463647193058"/>
    <x v="17"/>
  </r>
  <r>
    <x v="14"/>
    <x v="6"/>
    <x v="14"/>
    <x v="3"/>
    <n v="857"/>
    <x v="0"/>
    <x v="453"/>
    <x v="13"/>
    <n v="1531.478917042255"/>
    <x v="655"/>
  </r>
  <r>
    <x v="14"/>
    <x v="6"/>
    <x v="14"/>
    <x v="3"/>
    <n v="571"/>
    <x v="1"/>
    <x v="310"/>
    <x v="188"/>
    <n v="1230.4489213782738"/>
    <x v="339"/>
  </r>
  <r>
    <x v="14"/>
    <x v="6"/>
    <x v="14"/>
    <x v="3"/>
    <n v="405"/>
    <x v="2"/>
    <x v="606"/>
    <x v="29"/>
    <n v="1054.3576623225927"/>
    <x v="685"/>
  </r>
  <r>
    <x v="14"/>
    <x v="6"/>
    <x v="14"/>
    <x v="3"/>
    <n v="309"/>
    <x v="3"/>
    <x v="637"/>
    <x v="334"/>
    <n v="929.41892571429275"/>
    <x v="728"/>
  </r>
  <r>
    <x v="14"/>
    <x v="6"/>
    <x v="14"/>
    <x v="3"/>
    <n v="238"/>
    <x v="4"/>
    <x v="87"/>
    <x v="72"/>
    <n v="832.50891270623629"/>
    <x v="94"/>
  </r>
  <r>
    <x v="14"/>
    <x v="6"/>
    <x v="90"/>
    <x v="1"/>
    <n v="630"/>
    <x v="0"/>
    <x v="637"/>
    <x v="334"/>
    <n v="1397.9400086720377"/>
    <x v="728"/>
  </r>
  <r>
    <x v="14"/>
    <x v="6"/>
    <x v="90"/>
    <x v="1"/>
    <n v="420"/>
    <x v="1"/>
    <x v="453"/>
    <x v="13"/>
    <n v="1096.9100130080565"/>
    <x v="655"/>
  </r>
  <r>
    <x v="14"/>
    <x v="6"/>
    <x v="90"/>
    <x v="1"/>
    <n v="298"/>
    <x v="2"/>
    <x v="17"/>
    <x v="17"/>
    <n v="920.81875395237535"/>
    <x v="17"/>
  </r>
  <r>
    <x v="14"/>
    <x v="6"/>
    <x v="90"/>
    <x v="1"/>
    <n v="228"/>
    <x v="3"/>
    <x v="17"/>
    <x v="209"/>
    <n v="795.88001734407533"/>
    <x v="390"/>
  </r>
  <r>
    <x v="14"/>
    <x v="6"/>
    <x v="90"/>
    <x v="1"/>
    <n v="176"/>
    <x v="4"/>
    <x v="196"/>
    <x v="92"/>
    <n v="698.97000433601886"/>
    <x v="214"/>
  </r>
  <r>
    <x v="14"/>
    <x v="6"/>
    <x v="91"/>
    <x v="2"/>
    <n v="1432"/>
    <x v="0"/>
    <x v="17"/>
    <x v="17"/>
    <n v="1623.2492903979005"/>
    <x v="17"/>
  </r>
  <r>
    <x v="14"/>
    <x v="6"/>
    <x v="91"/>
    <x v="2"/>
    <n v="1016"/>
    <x v="1"/>
    <x v="391"/>
    <x v="25"/>
    <n v="1322.2192947339192"/>
    <x v="430"/>
  </r>
  <r>
    <x v="14"/>
    <x v="6"/>
    <x v="91"/>
    <x v="2"/>
    <n v="785"/>
    <x v="2"/>
    <x v="177"/>
    <x v="125"/>
    <n v="1146.1280356782381"/>
    <x v="193"/>
  </r>
  <r>
    <x v="14"/>
    <x v="6"/>
    <x v="91"/>
    <x v="2"/>
    <n v="601"/>
    <x v="3"/>
    <x v="642"/>
    <x v="222"/>
    <n v="1021.1892990699382"/>
    <x v="733"/>
  </r>
  <r>
    <x v="14"/>
    <x v="6"/>
    <x v="91"/>
    <x v="2"/>
    <n v="462"/>
    <x v="4"/>
    <x v="593"/>
    <x v="215"/>
    <n v="924.27928606188175"/>
    <x v="663"/>
  </r>
  <r>
    <x v="14"/>
    <x v="6"/>
    <x v="91"/>
    <x v="2"/>
    <n v="323"/>
    <x v="5"/>
    <x v="632"/>
    <x v="330"/>
    <n v="845.09804001425687"/>
    <x v="721"/>
  </r>
  <r>
    <x v="14"/>
    <x v="6"/>
    <x v="91"/>
    <x v="2"/>
    <n v="140"/>
    <x v="6"/>
    <x v="485"/>
    <x v="262"/>
    <n v="778.15125038364374"/>
    <x v="533"/>
  </r>
  <r>
    <x v="14"/>
    <x v="6"/>
    <x v="92"/>
    <x v="4"/>
    <n v="655"/>
    <x v="0"/>
    <x v="45"/>
    <x v="73"/>
    <n v="1414.9733479708179"/>
    <x v="140"/>
  </r>
  <r>
    <x v="14"/>
    <x v="6"/>
    <x v="92"/>
    <x v="4"/>
    <n v="437"/>
    <x v="1"/>
    <x v="196"/>
    <x v="92"/>
    <n v="1113.9433523068367"/>
    <x v="214"/>
  </r>
  <r>
    <x v="14"/>
    <x v="6"/>
    <x v="92"/>
    <x v="4"/>
    <n v="309"/>
    <x v="2"/>
    <x v="643"/>
    <x v="64"/>
    <n v="937.85209325115557"/>
    <x v="734"/>
  </r>
  <r>
    <x v="14"/>
    <x v="6"/>
    <x v="92"/>
    <x v="4"/>
    <n v="237"/>
    <x v="3"/>
    <x v="453"/>
    <x v="13"/>
    <n v="812.91335664285555"/>
    <x v="655"/>
  </r>
  <r>
    <x v="14"/>
    <x v="6"/>
    <x v="92"/>
    <x v="4"/>
    <n v="182"/>
    <x v="4"/>
    <x v="177"/>
    <x v="125"/>
    <n v="716.00334363479908"/>
    <x v="193"/>
  </r>
  <r>
    <x v="14"/>
    <x v="3"/>
    <x v="31"/>
    <x v="2"/>
    <n v="480"/>
    <x v="0"/>
    <x v="557"/>
    <x v="289"/>
    <n v="1079.1812460476249"/>
    <x v="618"/>
  </r>
  <r>
    <x v="14"/>
    <x v="3"/>
    <x v="31"/>
    <x v="2"/>
    <n v="360"/>
    <x v="1"/>
    <x v="15"/>
    <x v="31"/>
    <n v="778.15125038364363"/>
    <x v="32"/>
  </r>
  <r>
    <x v="14"/>
    <x v="3"/>
    <x v="31"/>
    <x v="2"/>
    <n v="180"/>
    <x v="2"/>
    <x v="644"/>
    <x v="56"/>
    <n v="602.05999132796251"/>
    <x v="735"/>
  </r>
  <r>
    <x v="14"/>
    <x v="3"/>
    <x v="31"/>
    <x v="2"/>
    <n v="180"/>
    <x v="3"/>
    <x v="312"/>
    <x v="322"/>
    <n v="477.12125471966249"/>
    <x v="706"/>
  </r>
  <r>
    <x v="14"/>
    <x v="3"/>
    <x v="2"/>
    <x v="1"/>
    <n v="1577"/>
    <x v="0"/>
    <x v="544"/>
    <x v="50"/>
    <n v="1748.1880270062004"/>
    <x v="601"/>
  </r>
  <r>
    <x v="14"/>
    <x v="3"/>
    <x v="2"/>
    <x v="1"/>
    <n v="1193"/>
    <x v="1"/>
    <x v="164"/>
    <x v="82"/>
    <n v="1447.1580313422191"/>
    <x v="176"/>
  </r>
  <r>
    <x v="14"/>
    <x v="3"/>
    <x v="2"/>
    <x v="1"/>
    <n v="706"/>
    <x v="2"/>
    <x v="89"/>
    <x v="37"/>
    <n v="1271.066772286538"/>
    <x v="96"/>
  </r>
  <r>
    <x v="14"/>
    <x v="3"/>
    <x v="2"/>
    <x v="1"/>
    <n v="598"/>
    <x v="3"/>
    <x v="428"/>
    <x v="81"/>
    <n v="1146.1280356782381"/>
    <x v="470"/>
  </r>
  <r>
    <x v="14"/>
    <x v="3"/>
    <x v="2"/>
    <x v="1"/>
    <n v="489"/>
    <x v="4"/>
    <x v="15"/>
    <x v="15"/>
    <n v="1049.2180226701814"/>
    <x v="15"/>
  </r>
  <r>
    <x v="14"/>
    <x v="3"/>
    <x v="2"/>
    <x v="1"/>
    <n v="380"/>
    <x v="5"/>
    <x v="554"/>
    <x v="123"/>
    <n v="970.03677662255677"/>
    <x v="613"/>
  </r>
  <r>
    <x v="14"/>
    <x v="3"/>
    <x v="2"/>
    <x v="1"/>
    <n v="272"/>
    <x v="6"/>
    <x v="556"/>
    <x v="13"/>
    <n v="903.08998699194365"/>
    <x v="617"/>
  </r>
  <r>
    <x v="14"/>
    <x v="3"/>
    <x v="2"/>
    <x v="1"/>
    <n v="217"/>
    <x v="7"/>
    <x v="578"/>
    <x v="302"/>
    <n v="845.09804001425687"/>
    <x v="644"/>
  </r>
  <r>
    <x v="14"/>
    <x v="3"/>
    <x v="17"/>
    <x v="2"/>
    <n v="700"/>
    <x v="0"/>
    <x v="531"/>
    <x v="7"/>
    <n v="680.86391800879642"/>
    <x v="585"/>
  </r>
  <r>
    <x v="14"/>
    <x v="3"/>
    <x v="17"/>
    <x v="2"/>
    <n v="700"/>
    <x v="0"/>
    <x v="428"/>
    <x v="81"/>
    <n v="680.86391800879642"/>
    <x v="470"/>
  </r>
  <r>
    <x v="14"/>
    <x v="3"/>
    <x v="17"/>
    <x v="2"/>
    <n v="500"/>
    <x v="1"/>
    <x v="49"/>
    <x v="13"/>
    <n v="530.34892017680579"/>
    <x v="51"/>
  </r>
  <r>
    <x v="14"/>
    <x v="3"/>
    <x v="17"/>
    <x v="2"/>
    <n v="500"/>
    <x v="1"/>
    <x v="49"/>
    <x v="46"/>
    <n v="530.34892017680579"/>
    <x v="54"/>
  </r>
  <r>
    <x v="14"/>
    <x v="3"/>
    <x v="17"/>
    <x v="2"/>
    <n v="495"/>
    <x v="2"/>
    <x v="94"/>
    <x v="75"/>
    <n v="442.30329064896523"/>
    <x v="101"/>
  </r>
  <r>
    <x v="14"/>
    <x v="3"/>
    <x v="17"/>
    <x v="2"/>
    <n v="495"/>
    <x v="2"/>
    <x v="164"/>
    <x v="82"/>
    <n v="442.30329064896523"/>
    <x v="176"/>
  </r>
  <r>
    <x v="14"/>
    <x v="3"/>
    <x v="17"/>
    <x v="2"/>
    <n v="223"/>
    <x v="3"/>
    <x v="448"/>
    <x v="245"/>
    <n v="379.83392234481522"/>
    <x v="492"/>
  </r>
  <r>
    <x v="14"/>
    <x v="3"/>
    <x v="17"/>
    <x v="2"/>
    <n v="223"/>
    <x v="3"/>
    <x v="402"/>
    <x v="81"/>
    <n v="379.83392234481522"/>
    <x v="441"/>
  </r>
  <r>
    <x v="14"/>
    <x v="3"/>
    <x v="17"/>
    <x v="1"/>
    <n v="178"/>
    <x v="4"/>
    <x v="645"/>
    <x v="337"/>
    <n v="331.37891584078699"/>
    <x v="736"/>
  </r>
  <r>
    <x v="14"/>
    <x v="3"/>
    <x v="17"/>
    <x v="1"/>
    <n v="178"/>
    <x v="4"/>
    <x v="393"/>
    <x v="225"/>
    <n v="331.37891584078699"/>
    <x v="432"/>
  </r>
  <r>
    <x v="14"/>
    <x v="3"/>
    <x v="17"/>
    <x v="1"/>
    <n v="135"/>
    <x v="5"/>
    <x v="482"/>
    <x v="37"/>
    <n v="291.7882928169746"/>
    <x v="530"/>
  </r>
  <r>
    <x v="14"/>
    <x v="3"/>
    <x v="17"/>
    <x v="1"/>
    <n v="135"/>
    <x v="5"/>
    <x v="177"/>
    <x v="125"/>
    <n v="291.7882928169746"/>
    <x v="193"/>
  </r>
  <r>
    <x v="14"/>
    <x v="3"/>
    <x v="93"/>
    <x v="1"/>
    <n v="959"/>
    <x v="0"/>
    <x v="4"/>
    <x v="4"/>
    <n v="1414.9733479708179"/>
    <x v="4"/>
  </r>
  <r>
    <x v="14"/>
    <x v="3"/>
    <x v="93"/>
    <x v="1"/>
    <n v="959"/>
    <x v="1"/>
    <x v="557"/>
    <x v="289"/>
    <n v="1113.9433523068367"/>
    <x v="618"/>
  </r>
  <r>
    <x v="14"/>
    <x v="3"/>
    <x v="93"/>
    <x v="1"/>
    <n v="504"/>
    <x v="2"/>
    <x v="600"/>
    <x v="3"/>
    <n v="937.85209325115557"/>
    <x v="674"/>
  </r>
  <r>
    <x v="14"/>
    <x v="3"/>
    <x v="93"/>
    <x v="1"/>
    <n v="100"/>
    <x v="3"/>
    <x v="554"/>
    <x v="123"/>
    <n v="812.91335664285555"/>
    <x v="613"/>
  </r>
  <r>
    <x v="15"/>
    <x v="7"/>
    <x v="94"/>
    <x v="4"/>
    <n v="983"/>
    <x v="0"/>
    <x v="646"/>
    <x v="25"/>
    <n v="1556.3025007672873"/>
    <x v="737"/>
  </r>
  <r>
    <x v="15"/>
    <x v="7"/>
    <x v="94"/>
    <x v="4"/>
    <n v="938"/>
    <x v="1"/>
    <x v="647"/>
    <x v="62"/>
    <n v="1255.272505103306"/>
    <x v="738"/>
  </r>
  <r>
    <x v="15"/>
    <x v="7"/>
    <x v="94"/>
    <x v="4"/>
    <n v="766"/>
    <x v="2"/>
    <x v="648"/>
    <x v="338"/>
    <n v="1079.1812460476249"/>
    <x v="739"/>
  </r>
  <r>
    <x v="15"/>
    <x v="7"/>
    <x v="94"/>
    <x v="4"/>
    <n v="625"/>
    <x v="3"/>
    <x v="49"/>
    <x v="13"/>
    <n v="954.24250943932486"/>
    <x v="51"/>
  </r>
  <r>
    <x v="15"/>
    <x v="7"/>
    <x v="94"/>
    <x v="4"/>
    <n v="288"/>
    <x v="4"/>
    <x v="356"/>
    <x v="310"/>
    <n v="857.3324964312684"/>
    <x v="672"/>
  </r>
  <r>
    <x v="15"/>
    <x v="7"/>
    <x v="32"/>
    <x v="1"/>
    <n v="1811"/>
    <x v="0"/>
    <x v="356"/>
    <x v="310"/>
    <n v="1690.1960800285137"/>
    <x v="672"/>
  </r>
  <r>
    <x v="15"/>
    <x v="7"/>
    <x v="32"/>
    <x v="1"/>
    <n v="1078"/>
    <x v="1"/>
    <x v="355"/>
    <x v="115"/>
    <n v="1389.1660843645325"/>
    <x v="389"/>
  </r>
  <r>
    <x v="15"/>
    <x v="7"/>
    <x v="32"/>
    <x v="1"/>
    <n v="662"/>
    <x v="2"/>
    <x v="649"/>
    <x v="3"/>
    <n v="1213.0748253088514"/>
    <x v="740"/>
  </r>
  <r>
    <x v="15"/>
    <x v="7"/>
    <x v="32"/>
    <x v="1"/>
    <n v="466"/>
    <x v="3"/>
    <x v="406"/>
    <x v="70"/>
    <n v="1088.1360887005512"/>
    <x v="446"/>
  </r>
  <r>
    <x v="15"/>
    <x v="7"/>
    <x v="32"/>
    <x v="1"/>
    <n v="368"/>
    <x v="4"/>
    <x v="462"/>
    <x v="53"/>
    <n v="991.22607569249476"/>
    <x v="506"/>
  </r>
  <r>
    <x v="15"/>
    <x v="7"/>
    <x v="32"/>
    <x v="1"/>
    <n v="294"/>
    <x v="5"/>
    <x v="516"/>
    <x v="11"/>
    <n v="912.04482964486999"/>
    <x v="650"/>
  </r>
  <r>
    <x v="15"/>
    <x v="7"/>
    <x v="32"/>
    <x v="1"/>
    <n v="221"/>
    <x v="6"/>
    <x v="646"/>
    <x v="25"/>
    <n v="845.09804001425687"/>
    <x v="737"/>
  </r>
  <r>
    <x v="15"/>
    <x v="7"/>
    <x v="76"/>
    <x v="2"/>
    <n v="1998"/>
    <x v="0"/>
    <x v="462"/>
    <x v="53"/>
    <n v="1732.3937598229686"/>
    <x v="506"/>
  </r>
  <r>
    <x v="15"/>
    <x v="7"/>
    <x v="76"/>
    <x v="2"/>
    <n v="1188"/>
    <x v="1"/>
    <x v="406"/>
    <x v="70"/>
    <n v="1431.3637641589874"/>
    <x v="446"/>
  </r>
  <r>
    <x v="15"/>
    <x v="7"/>
    <x v="76"/>
    <x v="2"/>
    <n v="729"/>
    <x v="2"/>
    <x v="650"/>
    <x v="153"/>
    <n v="1255.2725051033062"/>
    <x v="741"/>
  </r>
  <r>
    <x v="15"/>
    <x v="7"/>
    <x v="76"/>
    <x v="2"/>
    <n v="513"/>
    <x v="3"/>
    <x v="346"/>
    <x v="37"/>
    <n v="1130.3337684950061"/>
    <x v="380"/>
  </r>
  <r>
    <x v="15"/>
    <x v="7"/>
    <x v="76"/>
    <x v="2"/>
    <n v="405"/>
    <x v="4"/>
    <x v="22"/>
    <x v="22"/>
    <n v="1033.4237554869499"/>
    <x v="22"/>
  </r>
  <r>
    <x v="15"/>
    <x v="7"/>
    <x v="76"/>
    <x v="2"/>
    <n v="324"/>
    <x v="5"/>
    <x v="4"/>
    <x v="4"/>
    <n v="954.24250943932498"/>
    <x v="4"/>
  </r>
  <r>
    <x v="15"/>
    <x v="7"/>
    <x v="76"/>
    <x v="2"/>
    <n v="243"/>
    <x v="6"/>
    <x v="49"/>
    <x v="13"/>
    <n v="887.29571980871185"/>
    <x v="51"/>
  </r>
  <r>
    <x v="15"/>
    <x v="0"/>
    <x v="2"/>
    <x v="2"/>
    <n v="2468"/>
    <x v="0"/>
    <x v="272"/>
    <x v="27"/>
    <n v="1755.8748556724915"/>
    <x v="300"/>
  </r>
  <r>
    <x v="15"/>
    <x v="0"/>
    <x v="2"/>
    <x v="2"/>
    <n v="1252"/>
    <x v="1"/>
    <x v="516"/>
    <x v="50"/>
    <n v="1454.8448600085103"/>
    <x v="742"/>
  </r>
  <r>
    <x v="15"/>
    <x v="0"/>
    <x v="2"/>
    <x v="2"/>
    <n v="754"/>
    <x v="2"/>
    <x v="28"/>
    <x v="28"/>
    <n v="1278.7536009528292"/>
    <x v="28"/>
  </r>
  <r>
    <x v="15"/>
    <x v="0"/>
    <x v="2"/>
    <x v="2"/>
    <n v="533"/>
    <x v="3"/>
    <x v="40"/>
    <x v="99"/>
    <n v="1153.814864344529"/>
    <x v="681"/>
  </r>
  <r>
    <x v="15"/>
    <x v="0"/>
    <x v="2"/>
    <x v="2"/>
    <n v="422"/>
    <x v="4"/>
    <x v="651"/>
    <x v="25"/>
    <n v="1056.9048513364728"/>
    <x v="743"/>
  </r>
  <r>
    <x v="15"/>
    <x v="0"/>
    <x v="2"/>
    <x v="2"/>
    <n v="100"/>
    <x v="5"/>
    <x v="543"/>
    <x v="25"/>
    <n v="977.72360528884781"/>
    <x v="600"/>
  </r>
  <r>
    <x v="15"/>
    <x v="0"/>
    <x v="95"/>
    <x v="4"/>
    <n v="1275"/>
    <x v="0"/>
    <x v="472"/>
    <x v="13"/>
    <n v="1380.2112417116059"/>
    <x v="518"/>
  </r>
  <r>
    <x v="15"/>
    <x v="0"/>
    <x v="95"/>
    <x v="4"/>
    <n v="693"/>
    <x v="1"/>
    <x v="355"/>
    <x v="115"/>
    <n v="1079.1812460476247"/>
    <x v="389"/>
  </r>
  <r>
    <x v="15"/>
    <x v="0"/>
    <x v="95"/>
    <x v="4"/>
    <n v="345"/>
    <x v="2"/>
    <x v="652"/>
    <x v="9"/>
    <n v="903.08998699194353"/>
    <x v="744"/>
  </r>
  <r>
    <x v="15"/>
    <x v="0"/>
    <x v="95"/>
    <x v="4"/>
    <n v="15"/>
    <x v="3"/>
    <x v="531"/>
    <x v="7"/>
    <n v="778.15125038364351"/>
    <x v="585"/>
  </r>
  <r>
    <x v="15"/>
    <x v="0"/>
    <x v="5"/>
    <x v="1"/>
    <n v="2105"/>
    <x v="0"/>
    <x v="516"/>
    <x v="11"/>
    <n v="1707.5701760979362"/>
    <x v="650"/>
  </r>
  <r>
    <x v="15"/>
    <x v="0"/>
    <x v="5"/>
    <x v="1"/>
    <n v="1138"/>
    <x v="1"/>
    <x v="473"/>
    <x v="255"/>
    <n v="1406.5401804339549"/>
    <x v="519"/>
  </r>
  <r>
    <x v="15"/>
    <x v="0"/>
    <x v="5"/>
    <x v="1"/>
    <n v="693"/>
    <x v="2"/>
    <x v="153"/>
    <x v="107"/>
    <n v="1230.4489213782738"/>
    <x v="165"/>
  </r>
  <r>
    <x v="15"/>
    <x v="0"/>
    <x v="5"/>
    <x v="1"/>
    <n v="495"/>
    <x v="3"/>
    <x v="183"/>
    <x v="128"/>
    <n v="1105.5101847699736"/>
    <x v="200"/>
  </r>
  <r>
    <x v="15"/>
    <x v="0"/>
    <x v="5"/>
    <x v="1"/>
    <n v="396"/>
    <x v="4"/>
    <x v="4"/>
    <x v="4"/>
    <n v="1008.6001717619175"/>
    <x v="4"/>
  </r>
  <r>
    <x v="15"/>
    <x v="0"/>
    <x v="5"/>
    <x v="1"/>
    <n v="120"/>
    <x v="5"/>
    <x v="532"/>
    <x v="239"/>
    <n v="929.41892571429264"/>
    <x v="586"/>
  </r>
  <r>
    <x v="15"/>
    <x v="1"/>
    <x v="96"/>
    <x v="1"/>
    <n v="1318"/>
    <x v="0"/>
    <x v="355"/>
    <x v="115"/>
    <n v="1732.3937598229686"/>
    <x v="389"/>
  </r>
  <r>
    <x v="15"/>
    <x v="1"/>
    <x v="96"/>
    <x v="1"/>
    <n v="985"/>
    <x v="1"/>
    <x v="177"/>
    <x v="125"/>
    <n v="1431.3637641589874"/>
    <x v="193"/>
  </r>
  <r>
    <x v="15"/>
    <x v="1"/>
    <x v="96"/>
    <x v="1"/>
    <n v="750"/>
    <x v="2"/>
    <x v="8"/>
    <x v="29"/>
    <n v="1255.2725051033062"/>
    <x v="29"/>
  </r>
  <r>
    <x v="15"/>
    <x v="1"/>
    <x v="96"/>
    <x v="1"/>
    <n v="610"/>
    <x v="3"/>
    <x v="653"/>
    <x v="339"/>
    <n v="1130.3337684950061"/>
    <x v="745"/>
  </r>
  <r>
    <x v="15"/>
    <x v="1"/>
    <x v="96"/>
    <x v="1"/>
    <n v="470"/>
    <x v="4"/>
    <x v="311"/>
    <x v="22"/>
    <n v="1033.4237554869499"/>
    <x v="340"/>
  </r>
  <r>
    <x v="15"/>
    <x v="1"/>
    <x v="96"/>
    <x v="1"/>
    <n v="330"/>
    <x v="5"/>
    <x v="640"/>
    <x v="335"/>
    <n v="954.24250943932498"/>
    <x v="731"/>
  </r>
  <r>
    <x v="15"/>
    <x v="1"/>
    <x v="96"/>
    <x v="1"/>
    <n v="235"/>
    <x v="6"/>
    <x v="99"/>
    <x v="79"/>
    <n v="887.29571980871185"/>
    <x v="106"/>
  </r>
  <r>
    <x v="15"/>
    <x v="1"/>
    <x v="65"/>
    <x v="1"/>
    <n v="450"/>
    <x v="0"/>
    <x v="637"/>
    <x v="334"/>
    <n v="1301.0299956639813"/>
    <x v="728"/>
  </r>
  <r>
    <x v="15"/>
    <x v="1"/>
    <x v="65"/>
    <x v="1"/>
    <n v="275"/>
    <x v="1"/>
    <x v="654"/>
    <x v="81"/>
    <n v="1000"/>
    <x v="746"/>
  </r>
  <r>
    <x v="15"/>
    <x v="1"/>
    <x v="65"/>
    <x v="1"/>
    <n v="190"/>
    <x v="2"/>
    <x v="87"/>
    <x v="72"/>
    <n v="823.90874094431888"/>
    <x v="94"/>
  </r>
  <r>
    <x v="15"/>
    <x v="1"/>
    <x v="65"/>
    <x v="1"/>
    <n v="145"/>
    <x v="3"/>
    <x v="655"/>
    <x v="340"/>
    <n v="698.97000433601886"/>
    <x v="747"/>
  </r>
  <r>
    <x v="15"/>
    <x v="1"/>
    <x v="65"/>
    <x v="1"/>
    <n v="40"/>
    <x v="4"/>
    <x v="301"/>
    <x v="182"/>
    <n v="602.05999132796239"/>
    <x v="329"/>
  </r>
  <r>
    <x v="15"/>
    <x v="1"/>
    <x v="97"/>
    <x v="1"/>
    <n v="1689"/>
    <x v="0"/>
    <x v="31"/>
    <x v="32"/>
    <n v="1857.3324964312685"/>
    <x v="33"/>
  </r>
  <r>
    <x v="15"/>
    <x v="1"/>
    <x v="97"/>
    <x v="1"/>
    <n v="1255"/>
    <x v="1"/>
    <x v="587"/>
    <x v="115"/>
    <n v="1556.3025007672873"/>
    <x v="657"/>
  </r>
  <r>
    <x v="15"/>
    <x v="1"/>
    <x v="97"/>
    <x v="1"/>
    <n v="940"/>
    <x v="2"/>
    <x v="546"/>
    <x v="113"/>
    <n v="1380.2112417116061"/>
    <x v="604"/>
  </r>
  <r>
    <x v="15"/>
    <x v="1"/>
    <x v="97"/>
    <x v="1"/>
    <n v="750"/>
    <x v="3"/>
    <x v="467"/>
    <x v="13"/>
    <n v="1255.272505103306"/>
    <x v="511"/>
  </r>
  <r>
    <x v="15"/>
    <x v="1"/>
    <x v="97"/>
    <x v="1"/>
    <n v="625"/>
    <x v="4"/>
    <x v="205"/>
    <x v="138"/>
    <n v="1158.3624920952498"/>
    <x v="223"/>
  </r>
  <r>
    <x v="15"/>
    <x v="1"/>
    <x v="97"/>
    <x v="1"/>
    <n v="440"/>
    <x v="5"/>
    <x v="351"/>
    <x v="206"/>
    <n v="1079.1812460476249"/>
    <x v="385"/>
  </r>
  <r>
    <x v="15"/>
    <x v="1"/>
    <x v="97"/>
    <x v="1"/>
    <n v="315"/>
    <x v="6"/>
    <x v="116"/>
    <x v="89"/>
    <n v="1012.2344564170116"/>
    <x v="123"/>
  </r>
  <r>
    <x v="15"/>
    <x v="1"/>
    <x v="97"/>
    <x v="1"/>
    <n v="250"/>
    <x v="7"/>
    <x v="637"/>
    <x v="334"/>
    <n v="954.24250943932498"/>
    <x v="728"/>
  </r>
  <r>
    <x v="15"/>
    <x v="1"/>
    <x v="44"/>
    <x v="8"/>
    <n v="1060"/>
    <x v="0"/>
    <x v="443"/>
    <x v="7"/>
    <n v="1602.0599913279623"/>
    <x v="486"/>
  </r>
  <r>
    <x v="15"/>
    <x v="1"/>
    <x v="44"/>
    <x v="8"/>
    <n v="745"/>
    <x v="1"/>
    <x v="276"/>
    <x v="168"/>
    <n v="1301.029995663981"/>
    <x v="304"/>
  </r>
  <r>
    <x v="15"/>
    <x v="1"/>
    <x v="44"/>
    <x v="8"/>
    <n v="570"/>
    <x v="2"/>
    <x v="9"/>
    <x v="9"/>
    <n v="1124.9387366082999"/>
    <x v="9"/>
  </r>
  <r>
    <x v="15"/>
    <x v="1"/>
    <x v="44"/>
    <x v="8"/>
    <n v="430"/>
    <x v="3"/>
    <x v="45"/>
    <x v="99"/>
    <n v="999.99999999999989"/>
    <x v="343"/>
  </r>
  <r>
    <x v="15"/>
    <x v="1"/>
    <x v="44"/>
    <x v="8"/>
    <n v="330"/>
    <x v="4"/>
    <x v="106"/>
    <x v="13"/>
    <n v="903.08998699194342"/>
    <x v="575"/>
  </r>
  <r>
    <x v="15"/>
    <x v="1"/>
    <x v="44"/>
    <x v="8"/>
    <n v="225"/>
    <x v="5"/>
    <x v="656"/>
    <x v="341"/>
    <n v="823.90874094431865"/>
    <x v="748"/>
  </r>
  <r>
    <x v="15"/>
    <x v="1"/>
    <x v="44"/>
    <x v="8"/>
    <n v="120"/>
    <x v="6"/>
    <x v="356"/>
    <x v="310"/>
    <n v="756.96195131370553"/>
    <x v="672"/>
  </r>
  <r>
    <x v="15"/>
    <x v="1"/>
    <x v="2"/>
    <x v="2"/>
    <n v="3811"/>
    <x v="0"/>
    <x v="290"/>
    <x v="67"/>
    <n v="2107.2099696478685"/>
    <x v="318"/>
  </r>
  <r>
    <x v="15"/>
    <x v="1"/>
    <x v="2"/>
    <x v="2"/>
    <n v="2865"/>
    <x v="1"/>
    <x v="319"/>
    <x v="193"/>
    <n v="1806.1799739838871"/>
    <x v="349"/>
  </r>
  <r>
    <x v="15"/>
    <x v="1"/>
    <x v="2"/>
    <x v="2"/>
    <n v="2085"/>
    <x v="2"/>
    <x v="445"/>
    <x v="327"/>
    <n v="1630.0887149282059"/>
    <x v="717"/>
  </r>
  <r>
    <x v="15"/>
    <x v="1"/>
    <x v="2"/>
    <x v="2"/>
    <n v="1620"/>
    <x v="3"/>
    <x v="8"/>
    <x v="29"/>
    <n v="1505.1499783199058"/>
    <x v="29"/>
  </r>
  <r>
    <x v="15"/>
    <x v="1"/>
    <x v="2"/>
    <x v="2"/>
    <n v="1200"/>
    <x v="4"/>
    <x v="300"/>
    <x v="25"/>
    <n v="1408.2399653118496"/>
    <x v="328"/>
  </r>
  <r>
    <x v="15"/>
    <x v="1"/>
    <x v="2"/>
    <x v="2"/>
    <n v="935"/>
    <x v="5"/>
    <x v="276"/>
    <x v="168"/>
    <n v="1329.0587192642247"/>
    <x v="304"/>
  </r>
  <r>
    <x v="15"/>
    <x v="1"/>
    <x v="2"/>
    <x v="2"/>
    <n v="625"/>
    <x v="6"/>
    <x v="239"/>
    <x v="92"/>
    <n v="1262.1119296336115"/>
    <x v="263"/>
  </r>
  <r>
    <x v="15"/>
    <x v="1"/>
    <x v="2"/>
    <x v="2"/>
    <n v="470"/>
    <x v="7"/>
    <x v="447"/>
    <x v="7"/>
    <n v="1204.1199826559248"/>
    <x v="491"/>
  </r>
  <r>
    <x v="15"/>
    <x v="1"/>
    <x v="2"/>
    <x v="2"/>
    <n v="310"/>
    <x v="8"/>
    <x v="394"/>
    <x v="21"/>
    <n v="1152.9674602085436"/>
    <x v="433"/>
  </r>
  <r>
    <x v="15"/>
    <x v="1"/>
    <x v="2"/>
    <x v="2"/>
    <n v="310"/>
    <x v="9"/>
    <x v="399"/>
    <x v="204"/>
    <n v="1107.2099696478683"/>
    <x v="438"/>
  </r>
  <r>
    <x v="15"/>
    <x v="1"/>
    <x v="2"/>
    <x v="2"/>
    <n v="235"/>
    <x v="10"/>
    <x v="86"/>
    <x v="71"/>
    <n v="1065.8172844896433"/>
    <x v="93"/>
  </r>
  <r>
    <x v="15"/>
    <x v="1"/>
    <x v="2"/>
    <x v="2"/>
    <n v="235"/>
    <x v="11"/>
    <x v="392"/>
    <x v="13"/>
    <n v="1028.0287236002434"/>
    <x v="431"/>
  </r>
  <r>
    <x v="15"/>
    <x v="1"/>
    <x v="2"/>
    <x v="2"/>
    <n v="155"/>
    <x v="12"/>
    <x v="472"/>
    <x v="13"/>
    <n v="993.26661734103163"/>
    <x v="518"/>
  </r>
  <r>
    <x v="15"/>
    <x v="1"/>
    <x v="2"/>
    <x v="2"/>
    <n v="155"/>
    <x v="13"/>
    <x v="472"/>
    <x v="7"/>
    <n v="961.08193396963043"/>
    <x v="676"/>
  </r>
  <r>
    <x v="15"/>
    <x v="1"/>
    <x v="2"/>
    <x v="2"/>
    <n v="155"/>
    <x v="14"/>
    <x v="573"/>
    <x v="84"/>
    <n v="931.11871059218697"/>
    <x v="637"/>
  </r>
  <r>
    <x v="15"/>
    <x v="1"/>
    <x v="2"/>
    <x v="2"/>
    <n v="150"/>
    <x v="15"/>
    <x v="227"/>
    <x v="342"/>
    <n v="903.08998699194353"/>
    <x v="749"/>
  </r>
  <r>
    <x v="15"/>
    <x v="1"/>
    <x v="2"/>
    <x v="2"/>
    <n v="150"/>
    <x v="16"/>
    <x v="153"/>
    <x v="107"/>
    <n v="876.76104826959443"/>
    <x v="165"/>
  </r>
  <r>
    <x v="15"/>
    <x v="1"/>
    <x v="2"/>
    <x v="2"/>
    <n v="150"/>
    <x v="17"/>
    <x v="99"/>
    <x v="79"/>
    <n v="851.93746454456232"/>
    <x v="106"/>
  </r>
  <r>
    <x v="15"/>
    <x v="1"/>
    <x v="98"/>
    <x v="2"/>
    <n v="1100"/>
    <x v="0"/>
    <x v="45"/>
    <x v="73"/>
    <n v="1698.9700043360187"/>
    <x v="140"/>
  </r>
  <r>
    <x v="15"/>
    <x v="1"/>
    <x v="98"/>
    <x v="2"/>
    <n v="915"/>
    <x v="1"/>
    <x v="215"/>
    <x v="1"/>
    <n v="1397.9400086720375"/>
    <x v="238"/>
  </r>
  <r>
    <x v="15"/>
    <x v="1"/>
    <x v="98"/>
    <x v="2"/>
    <n v="695"/>
    <x v="2"/>
    <x v="120"/>
    <x v="49"/>
    <n v="1221.8487496163564"/>
    <x v="127"/>
  </r>
  <r>
    <x v="15"/>
    <x v="1"/>
    <x v="98"/>
    <x v="2"/>
    <n v="565"/>
    <x v="3"/>
    <x v="657"/>
    <x v="343"/>
    <n v="1096.9100130080562"/>
    <x v="750"/>
  </r>
  <r>
    <x v="15"/>
    <x v="1"/>
    <x v="98"/>
    <x v="2"/>
    <n v="435"/>
    <x v="4"/>
    <x v="45"/>
    <x v="99"/>
    <n v="999.99999999999989"/>
    <x v="343"/>
  </r>
  <r>
    <x v="15"/>
    <x v="1"/>
    <x v="98"/>
    <x v="2"/>
    <n v="305"/>
    <x v="5"/>
    <x v="399"/>
    <x v="204"/>
    <n v="920.81875395237512"/>
    <x v="438"/>
  </r>
  <r>
    <x v="15"/>
    <x v="1"/>
    <x v="98"/>
    <x v="2"/>
    <n v="220"/>
    <x v="6"/>
    <x v="616"/>
    <x v="107"/>
    <n v="853.87196432176188"/>
    <x v="698"/>
  </r>
  <r>
    <x v="15"/>
    <x v="1"/>
    <x v="98"/>
    <x v="2"/>
    <n v="115"/>
    <x v="7"/>
    <x v="355"/>
    <x v="115"/>
    <n v="795.88001734407521"/>
    <x v="389"/>
  </r>
  <r>
    <x v="15"/>
    <x v="1"/>
    <x v="99"/>
    <x v="1"/>
    <n v="365"/>
    <x v="0"/>
    <x v="437"/>
    <x v="243"/>
    <n v="1204.1199826559248"/>
    <x v="480"/>
  </r>
  <r>
    <x v="15"/>
    <x v="1"/>
    <x v="99"/>
    <x v="1"/>
    <n v="230"/>
    <x v="1"/>
    <x v="462"/>
    <x v="53"/>
    <n v="903.08998699194353"/>
    <x v="506"/>
  </r>
  <r>
    <x v="15"/>
    <x v="1"/>
    <x v="99"/>
    <x v="1"/>
    <n v="160"/>
    <x v="2"/>
    <x v="658"/>
    <x v="344"/>
    <n v="726.99872793626241"/>
    <x v="751"/>
  </r>
  <r>
    <x v="15"/>
    <x v="1"/>
    <x v="99"/>
    <x v="1"/>
    <n v="125"/>
    <x v="3"/>
    <x v="122"/>
    <x v="91"/>
    <n v="602.05999132796239"/>
    <x v="129"/>
  </r>
  <r>
    <x v="15"/>
    <x v="1"/>
    <x v="46"/>
    <x v="4"/>
    <n v="1664"/>
    <x v="0"/>
    <x v="356"/>
    <x v="310"/>
    <n v="1857.3324964312685"/>
    <x v="672"/>
  </r>
  <r>
    <x v="15"/>
    <x v="1"/>
    <x v="46"/>
    <x v="4"/>
    <n v="1230"/>
    <x v="1"/>
    <x v="603"/>
    <x v="92"/>
    <n v="1556.3025007672873"/>
    <x v="680"/>
  </r>
  <r>
    <x v="15"/>
    <x v="1"/>
    <x v="46"/>
    <x v="4"/>
    <n v="920"/>
    <x v="2"/>
    <x v="4"/>
    <x v="4"/>
    <n v="1380.2112417116061"/>
    <x v="4"/>
  </r>
  <r>
    <x v="15"/>
    <x v="1"/>
    <x v="46"/>
    <x v="4"/>
    <n v="735"/>
    <x v="3"/>
    <x v="544"/>
    <x v="50"/>
    <n v="1255.272505103306"/>
    <x v="601"/>
  </r>
  <r>
    <x v="15"/>
    <x v="1"/>
    <x v="46"/>
    <x v="4"/>
    <n v="615"/>
    <x v="4"/>
    <x v="17"/>
    <x v="17"/>
    <n v="1158.3624920952498"/>
    <x v="17"/>
  </r>
  <r>
    <x v="15"/>
    <x v="1"/>
    <x v="46"/>
    <x v="4"/>
    <n v="430"/>
    <x v="5"/>
    <x v="355"/>
    <x v="115"/>
    <n v="1079.1812460476249"/>
    <x v="389"/>
  </r>
  <r>
    <x v="15"/>
    <x v="1"/>
    <x v="46"/>
    <x v="4"/>
    <n v="305"/>
    <x v="6"/>
    <x v="305"/>
    <x v="98"/>
    <n v="1012.2344564170116"/>
    <x v="333"/>
  </r>
  <r>
    <x v="15"/>
    <x v="1"/>
    <x v="46"/>
    <x v="4"/>
    <n v="245"/>
    <x v="7"/>
    <x v="32"/>
    <x v="33"/>
    <n v="954.24250943932498"/>
    <x v="34"/>
  </r>
  <r>
    <x v="15"/>
    <x v="1"/>
    <x v="46"/>
    <x v="4"/>
    <n v="120"/>
    <x v="8"/>
    <x v="140"/>
    <x v="64"/>
    <n v="903.08998699194365"/>
    <x v="150"/>
  </r>
  <r>
    <x v="15"/>
    <x v="1"/>
    <x v="5"/>
    <x v="1"/>
    <n v="2550"/>
    <x v="0"/>
    <x v="120"/>
    <x v="49"/>
    <n v="2025.3058652647703"/>
    <x v="127"/>
  </r>
  <r>
    <x v="15"/>
    <x v="1"/>
    <x v="5"/>
    <x v="1"/>
    <n v="2112"/>
    <x v="1"/>
    <x v="105"/>
    <x v="58"/>
    <n v="1724.2758696007891"/>
    <x v="112"/>
  </r>
  <r>
    <x v="15"/>
    <x v="1"/>
    <x v="5"/>
    <x v="1"/>
    <n v="1470"/>
    <x v="2"/>
    <x v="83"/>
    <x v="57"/>
    <n v="1548.1846105451079"/>
    <x v="89"/>
  </r>
  <r>
    <x v="15"/>
    <x v="1"/>
    <x v="5"/>
    <x v="1"/>
    <n v="1190"/>
    <x v="3"/>
    <x v="1"/>
    <x v="1"/>
    <n v="1423.2458739368078"/>
    <x v="1"/>
  </r>
  <r>
    <x v="15"/>
    <x v="1"/>
    <x v="5"/>
    <x v="1"/>
    <n v="975"/>
    <x v="4"/>
    <x v="453"/>
    <x v="13"/>
    <n v="1326.3358609287516"/>
    <x v="655"/>
  </r>
  <r>
    <x v="15"/>
    <x v="1"/>
    <x v="5"/>
    <x v="1"/>
    <n v="755"/>
    <x v="5"/>
    <x v="241"/>
    <x v="156"/>
    <n v="1247.1546148811267"/>
    <x v="265"/>
  </r>
  <r>
    <x v="15"/>
    <x v="1"/>
    <x v="5"/>
    <x v="1"/>
    <n v="540"/>
    <x v="6"/>
    <x v="116"/>
    <x v="89"/>
    <n v="1180.2078252505135"/>
    <x v="123"/>
  </r>
  <r>
    <x v="15"/>
    <x v="1"/>
    <x v="5"/>
    <x v="1"/>
    <n v="325"/>
    <x v="7"/>
    <x v="445"/>
    <x v="327"/>
    <n v="1122.2158782728268"/>
    <x v="717"/>
  </r>
  <r>
    <x v="15"/>
    <x v="1"/>
    <x v="5"/>
    <x v="1"/>
    <n v="215"/>
    <x v="8"/>
    <x v="78"/>
    <x v="17"/>
    <n v="1071.0633558254456"/>
    <x v="84"/>
  </r>
  <r>
    <x v="15"/>
    <x v="1"/>
    <x v="5"/>
    <x v="1"/>
    <n v="215"/>
    <x v="9"/>
    <x v="93"/>
    <x v="157"/>
    <n v="1025.3058652647703"/>
    <x v="272"/>
  </r>
  <r>
    <x v="15"/>
    <x v="1"/>
    <x v="5"/>
    <x v="1"/>
    <n v="160"/>
    <x v="10"/>
    <x v="91"/>
    <x v="3"/>
    <n v="983.91318010654527"/>
    <x v="98"/>
  </r>
  <r>
    <x v="15"/>
    <x v="1"/>
    <x v="5"/>
    <x v="1"/>
    <n v="160"/>
    <x v="11"/>
    <x v="319"/>
    <x v="193"/>
    <n v="946.12461921714555"/>
    <x v="349"/>
  </r>
  <r>
    <x v="15"/>
    <x v="1"/>
    <x v="5"/>
    <x v="1"/>
    <n v="135"/>
    <x v="12"/>
    <x v="228"/>
    <x v="73"/>
    <n v="911.36251295793375"/>
    <x v="251"/>
  </r>
  <r>
    <x v="15"/>
    <x v="6"/>
    <x v="14"/>
    <x v="3"/>
    <n v="955"/>
    <x v="0"/>
    <x v="4"/>
    <x v="4"/>
    <n v="1643.4526764861873"/>
    <x v="4"/>
  </r>
  <r>
    <x v="15"/>
    <x v="6"/>
    <x v="14"/>
    <x v="3"/>
    <n v="675"/>
    <x v="1"/>
    <x v="120"/>
    <x v="49"/>
    <n v="1342.4226808222061"/>
    <x v="127"/>
  </r>
  <r>
    <x v="15"/>
    <x v="6"/>
    <x v="14"/>
    <x v="3"/>
    <n v="525"/>
    <x v="2"/>
    <x v="87"/>
    <x v="72"/>
    <n v="1166.331421766525"/>
    <x v="94"/>
  </r>
  <r>
    <x v="15"/>
    <x v="6"/>
    <x v="14"/>
    <x v="3"/>
    <n v="400"/>
    <x v="3"/>
    <x v="393"/>
    <x v="225"/>
    <n v="1041.3926851582248"/>
    <x v="432"/>
  </r>
  <r>
    <x v="15"/>
    <x v="6"/>
    <x v="14"/>
    <x v="3"/>
    <n v="310"/>
    <x v="4"/>
    <x v="446"/>
    <x v="13"/>
    <n v="944.48267215016858"/>
    <x v="490"/>
  </r>
  <r>
    <x v="15"/>
    <x v="6"/>
    <x v="14"/>
    <x v="3"/>
    <n v="215"/>
    <x v="5"/>
    <x v="122"/>
    <x v="91"/>
    <n v="865.30142610254381"/>
    <x v="129"/>
  </r>
  <r>
    <x v="15"/>
    <x v="6"/>
    <x v="100"/>
    <x v="1"/>
    <n v="600"/>
    <x v="0"/>
    <x v="640"/>
    <x v="335"/>
    <n v="1477.1212547196624"/>
    <x v="731"/>
  </r>
  <r>
    <x v="15"/>
    <x v="6"/>
    <x v="100"/>
    <x v="1"/>
    <n v="560"/>
    <x v="1"/>
    <x v="45"/>
    <x v="73"/>
    <n v="1176.0912590556811"/>
    <x v="140"/>
  </r>
  <r>
    <x v="15"/>
    <x v="6"/>
    <x v="100"/>
    <x v="1"/>
    <n v="355"/>
    <x v="2"/>
    <x v="45"/>
    <x v="224"/>
    <n v="1000"/>
    <x v="429"/>
  </r>
  <r>
    <x v="15"/>
    <x v="6"/>
    <x v="100"/>
    <x v="1"/>
    <n v="275"/>
    <x v="3"/>
    <x v="4"/>
    <x v="4"/>
    <n v="875.06126339169998"/>
    <x v="4"/>
  </r>
  <r>
    <x v="15"/>
    <x v="6"/>
    <x v="100"/>
    <x v="1"/>
    <n v="210"/>
    <x v="4"/>
    <x v="472"/>
    <x v="13"/>
    <n v="778.15125038364351"/>
    <x v="518"/>
  </r>
  <r>
    <x v="15"/>
    <x v="6"/>
    <x v="100"/>
    <x v="1"/>
    <n v="100"/>
    <x v="5"/>
    <x v="42"/>
    <x v="40"/>
    <n v="698.97000433601875"/>
    <x v="44"/>
  </r>
  <r>
    <x v="15"/>
    <x v="6"/>
    <x v="101"/>
    <x v="2"/>
    <n v="765"/>
    <x v="0"/>
    <x v="42"/>
    <x v="40"/>
    <n v="1491.3616938342727"/>
    <x v="44"/>
  </r>
  <r>
    <x v="15"/>
    <x v="6"/>
    <x v="101"/>
    <x v="2"/>
    <n v="500"/>
    <x v="1"/>
    <x v="575"/>
    <x v="298"/>
    <n v="1190.3316981702915"/>
    <x v="639"/>
  </r>
  <r>
    <x v="15"/>
    <x v="6"/>
    <x v="101"/>
    <x v="2"/>
    <n v="350"/>
    <x v="2"/>
    <x v="324"/>
    <x v="200"/>
    <n v="1014.2404391146102"/>
    <x v="752"/>
  </r>
  <r>
    <x v="15"/>
    <x v="6"/>
    <x v="101"/>
    <x v="2"/>
    <n v="260"/>
    <x v="3"/>
    <x v="399"/>
    <x v="204"/>
    <n v="889.30170250631022"/>
    <x v="438"/>
  </r>
  <r>
    <x v="15"/>
    <x v="6"/>
    <x v="101"/>
    <x v="2"/>
    <n v="195"/>
    <x v="4"/>
    <x v="292"/>
    <x v="177"/>
    <n v="792.39168949825375"/>
    <x v="320"/>
  </r>
  <r>
    <x v="15"/>
    <x v="6"/>
    <x v="101"/>
    <x v="2"/>
    <n v="100"/>
    <x v="5"/>
    <x v="656"/>
    <x v="341"/>
    <n v="713.21044345062899"/>
    <x v="748"/>
  </r>
  <r>
    <x v="15"/>
    <x v="6"/>
    <x v="102"/>
    <x v="2"/>
    <n v="1750"/>
    <x v="0"/>
    <x v="659"/>
    <x v="345"/>
    <n v="1672.0978579357175"/>
    <x v="753"/>
  </r>
  <r>
    <x v="15"/>
    <x v="6"/>
    <x v="102"/>
    <x v="2"/>
    <n v="1240"/>
    <x v="1"/>
    <x v="45"/>
    <x v="73"/>
    <n v="1371.0678622717362"/>
    <x v="140"/>
  </r>
  <r>
    <x v="15"/>
    <x v="6"/>
    <x v="102"/>
    <x v="2"/>
    <n v="960"/>
    <x v="2"/>
    <x v="17"/>
    <x v="17"/>
    <n v="1194.9766032160551"/>
    <x v="17"/>
  </r>
  <r>
    <x v="15"/>
    <x v="6"/>
    <x v="102"/>
    <x v="2"/>
    <n v="735"/>
    <x v="3"/>
    <x v="9"/>
    <x v="9"/>
    <n v="1070.0378666077549"/>
    <x v="9"/>
  </r>
  <r>
    <x v="15"/>
    <x v="6"/>
    <x v="102"/>
    <x v="2"/>
    <n v="565"/>
    <x v="4"/>
    <x v="381"/>
    <x v="279"/>
    <n v="973.12785359969871"/>
    <x v="589"/>
  </r>
  <r>
    <x v="15"/>
    <x v="6"/>
    <x v="102"/>
    <x v="2"/>
    <n v="390"/>
    <x v="5"/>
    <x v="224"/>
    <x v="22"/>
    <n v="893.94660755207394"/>
    <x v="247"/>
  </r>
  <r>
    <x v="15"/>
    <x v="6"/>
    <x v="103"/>
    <x v="4"/>
    <n v="660"/>
    <x v="0"/>
    <x v="292"/>
    <x v="177"/>
    <n v="1414.9733479708179"/>
    <x v="320"/>
  </r>
  <r>
    <x v="15"/>
    <x v="6"/>
    <x v="103"/>
    <x v="4"/>
    <n v="375"/>
    <x v="1"/>
    <x v="658"/>
    <x v="344"/>
    <n v="1113.9433523068367"/>
    <x v="751"/>
  </r>
  <r>
    <x v="15"/>
    <x v="6"/>
    <x v="103"/>
    <x v="4"/>
    <n v="370"/>
    <x v="2"/>
    <x v="140"/>
    <x v="64"/>
    <n v="937.85209325115557"/>
    <x v="150"/>
  </r>
  <r>
    <x v="15"/>
    <x v="6"/>
    <x v="103"/>
    <x v="4"/>
    <n v="235"/>
    <x v="3"/>
    <x v="614"/>
    <x v="50"/>
    <n v="812.91335664285555"/>
    <x v="696"/>
  </r>
  <r>
    <x v="15"/>
    <x v="6"/>
    <x v="103"/>
    <x v="4"/>
    <n v="180"/>
    <x v="4"/>
    <x v="42"/>
    <x v="40"/>
    <n v="716.00334363479908"/>
    <x v="44"/>
  </r>
  <r>
    <x v="15"/>
    <x v="3"/>
    <x v="31"/>
    <x v="2"/>
    <n v="980"/>
    <x v="0"/>
    <x v="501"/>
    <x v="1"/>
    <n v="1447.1580313422191"/>
    <x v="550"/>
  </r>
  <r>
    <x v="15"/>
    <x v="3"/>
    <x v="31"/>
    <x v="2"/>
    <n v="980"/>
    <x v="1"/>
    <x v="544"/>
    <x v="50"/>
    <n v="1146.1280356782379"/>
    <x v="601"/>
  </r>
  <r>
    <x v="15"/>
    <x v="3"/>
    <x v="31"/>
    <x v="2"/>
    <n v="420"/>
    <x v="2"/>
    <x v="300"/>
    <x v="319"/>
    <n v="970.03677662255677"/>
    <x v="754"/>
  </r>
  <r>
    <x v="15"/>
    <x v="3"/>
    <x v="31"/>
    <x v="2"/>
    <n v="420"/>
    <x v="3"/>
    <x v="446"/>
    <x v="13"/>
    <n v="845.09804001425687"/>
    <x v="490"/>
  </r>
  <r>
    <x v="15"/>
    <x v="3"/>
    <x v="104"/>
    <x v="1"/>
    <n v="1344"/>
    <x v="0"/>
    <x v="557"/>
    <x v="289"/>
    <n v="1623.2492903979005"/>
    <x v="618"/>
  </r>
  <r>
    <x v="15"/>
    <x v="3"/>
    <x v="104"/>
    <x v="1"/>
    <n v="733"/>
    <x v="1"/>
    <x v="482"/>
    <x v="37"/>
    <n v="1322.2192947339192"/>
    <x v="530"/>
  </r>
  <r>
    <x v="15"/>
    <x v="3"/>
    <x v="104"/>
    <x v="1"/>
    <n v="530"/>
    <x v="2"/>
    <x v="355"/>
    <x v="115"/>
    <n v="1146.1280356782381"/>
    <x v="389"/>
  </r>
  <r>
    <x v="15"/>
    <x v="3"/>
    <x v="104"/>
    <x v="1"/>
    <n v="448"/>
    <x v="3"/>
    <x v="178"/>
    <x v="81"/>
    <n v="1021.1892990699382"/>
    <x v="194"/>
  </r>
  <r>
    <x v="15"/>
    <x v="3"/>
    <x v="104"/>
    <x v="1"/>
    <n v="367"/>
    <x v="4"/>
    <x v="52"/>
    <x v="7"/>
    <n v="924.27928606188175"/>
    <x v="55"/>
  </r>
  <r>
    <x v="15"/>
    <x v="3"/>
    <x v="104"/>
    <x v="1"/>
    <n v="285"/>
    <x v="5"/>
    <x v="51"/>
    <x v="24"/>
    <n v="845.09804001425687"/>
    <x v="53"/>
  </r>
  <r>
    <x v="15"/>
    <x v="3"/>
    <x v="104"/>
    <x v="1"/>
    <n v="204"/>
    <x v="6"/>
    <x v="660"/>
    <x v="13"/>
    <n v="778.15125038364374"/>
    <x v="755"/>
  </r>
  <r>
    <x v="15"/>
    <x v="3"/>
    <x v="104"/>
    <x v="1"/>
    <n v="163"/>
    <x v="7"/>
    <x v="544"/>
    <x v="50"/>
    <n v="720.15930340595696"/>
    <x v="601"/>
  </r>
  <r>
    <x v="15"/>
    <x v="3"/>
    <x v="2"/>
    <x v="2"/>
    <n v="2184"/>
    <x v="0"/>
    <x v="376"/>
    <x v="202"/>
    <n v="1892.0946026904803"/>
    <x v="413"/>
  </r>
  <r>
    <x v="15"/>
    <x v="3"/>
    <x v="2"/>
    <x v="2"/>
    <n v="1276"/>
    <x v="1"/>
    <x v="15"/>
    <x v="31"/>
    <n v="1591.0646070264991"/>
    <x v="32"/>
  </r>
  <r>
    <x v="15"/>
    <x v="3"/>
    <x v="2"/>
    <x v="2"/>
    <n v="860"/>
    <x v="2"/>
    <x v="4"/>
    <x v="4"/>
    <n v="1414.9733479708179"/>
    <x v="4"/>
  </r>
  <r>
    <x v="15"/>
    <x v="3"/>
    <x v="2"/>
    <x v="2"/>
    <n v="709"/>
    <x v="3"/>
    <x v="661"/>
    <x v="23"/>
    <n v="1290.0346113625178"/>
    <x v="756"/>
  </r>
  <r>
    <x v="15"/>
    <x v="3"/>
    <x v="2"/>
    <x v="2"/>
    <n v="595"/>
    <x v="4"/>
    <x v="356"/>
    <x v="310"/>
    <n v="1193.1245983544616"/>
    <x v="672"/>
  </r>
  <r>
    <x v="15"/>
    <x v="3"/>
    <x v="2"/>
    <x v="2"/>
    <n v="520"/>
    <x v="5"/>
    <x v="40"/>
    <x v="99"/>
    <n v="1113.9433523068367"/>
    <x v="681"/>
  </r>
  <r>
    <x v="15"/>
    <x v="3"/>
    <x v="2"/>
    <x v="2"/>
    <n v="444"/>
    <x v="6"/>
    <x v="164"/>
    <x v="82"/>
    <n v="1046.9965626762234"/>
    <x v="176"/>
  </r>
  <r>
    <x v="15"/>
    <x v="3"/>
    <x v="2"/>
    <x v="2"/>
    <n v="368"/>
    <x v="7"/>
    <x v="378"/>
    <x v="217"/>
    <n v="989.00461569853678"/>
    <x v="415"/>
  </r>
  <r>
    <x v="15"/>
    <x v="3"/>
    <x v="2"/>
    <x v="2"/>
    <n v="293"/>
    <x v="8"/>
    <x v="381"/>
    <x v="279"/>
    <n v="937.85209325115545"/>
    <x v="589"/>
  </r>
  <r>
    <x v="15"/>
    <x v="3"/>
    <x v="2"/>
    <x v="2"/>
    <n v="217"/>
    <x v="9"/>
    <x v="634"/>
    <x v="34"/>
    <n v="892.09460269048031"/>
    <x v="725"/>
  </r>
  <r>
    <x v="15"/>
    <x v="3"/>
    <x v="2"/>
    <x v="2"/>
    <n v="100"/>
    <x v="10"/>
    <x v="108"/>
    <x v="84"/>
    <n v="850.70191753225527"/>
    <x v="555"/>
  </r>
  <r>
    <x v="15"/>
    <x v="3"/>
    <x v="17"/>
    <x v="1"/>
    <n v="902"/>
    <x v="0"/>
    <x v="399"/>
    <x v="204"/>
    <n v="723.57901567110957"/>
    <x v="438"/>
  </r>
  <r>
    <x v="15"/>
    <x v="3"/>
    <x v="17"/>
    <x v="1"/>
    <n v="902"/>
    <x v="0"/>
    <x v="446"/>
    <x v="13"/>
    <n v="723.57901567110957"/>
    <x v="490"/>
  </r>
  <r>
    <x v="15"/>
    <x v="3"/>
    <x v="17"/>
    <x v="1"/>
    <n v="703"/>
    <x v="1"/>
    <x v="152"/>
    <x v="346"/>
    <n v="573.06401783911895"/>
    <x v="757"/>
  </r>
  <r>
    <x v="15"/>
    <x v="3"/>
    <x v="17"/>
    <x v="1"/>
    <n v="703"/>
    <x v="1"/>
    <x v="634"/>
    <x v="34"/>
    <n v="573.06401783911895"/>
    <x v="725"/>
  </r>
  <r>
    <x v="15"/>
    <x v="3"/>
    <x v="17"/>
    <x v="1"/>
    <n v="427"/>
    <x v="2"/>
    <x v="49"/>
    <x v="13"/>
    <n v="485.01838831127839"/>
    <x v="51"/>
  </r>
  <r>
    <x v="15"/>
    <x v="3"/>
    <x v="17"/>
    <x v="1"/>
    <n v="427"/>
    <x v="2"/>
    <x v="49"/>
    <x v="46"/>
    <n v="485.01838831127839"/>
    <x v="54"/>
  </r>
  <r>
    <x v="15"/>
    <x v="3"/>
    <x v="17"/>
    <x v="1"/>
    <n v="284"/>
    <x v="3"/>
    <x v="532"/>
    <x v="239"/>
    <n v="422.54902000712843"/>
    <x v="586"/>
  </r>
  <r>
    <x v="15"/>
    <x v="3"/>
    <x v="17"/>
    <x v="1"/>
    <n v="284"/>
    <x v="3"/>
    <x v="644"/>
    <x v="56"/>
    <n v="422.54902000712843"/>
    <x v="735"/>
  </r>
  <r>
    <x v="15"/>
    <x v="3"/>
    <x v="17"/>
    <x v="1"/>
    <n v="230"/>
    <x v="4"/>
    <x v="334"/>
    <x v="13"/>
    <n v="374.0940135031002"/>
    <x v="367"/>
  </r>
  <r>
    <x v="15"/>
    <x v="3"/>
    <x v="17"/>
    <x v="1"/>
    <n v="230"/>
    <x v="4"/>
    <x v="419"/>
    <x v="237"/>
    <n v="374.0940135031002"/>
    <x v="461"/>
  </r>
  <r>
    <x v="15"/>
    <x v="3"/>
    <x v="17"/>
    <x v="1"/>
    <n v="170"/>
    <x v="5"/>
    <x v="94"/>
    <x v="75"/>
    <n v="334.50339047928776"/>
    <x v="101"/>
  </r>
  <r>
    <x v="15"/>
    <x v="3"/>
    <x v="17"/>
    <x v="1"/>
    <n v="170"/>
    <x v="5"/>
    <x v="164"/>
    <x v="82"/>
    <n v="334.50339047928776"/>
    <x v="176"/>
  </r>
  <r>
    <x v="16"/>
    <x v="7"/>
    <x v="32"/>
    <x v="1"/>
    <n v="1500"/>
    <x v="0"/>
    <x v="662"/>
    <x v="26"/>
    <n v="1698.9700043360187"/>
    <x v="758"/>
  </r>
  <r>
    <x v="16"/>
    <x v="7"/>
    <x v="32"/>
    <x v="1"/>
    <n v="1100"/>
    <x v="1"/>
    <x v="406"/>
    <x v="70"/>
    <n v="1397.9400086720375"/>
    <x v="446"/>
  </r>
  <r>
    <x v="16"/>
    <x v="7"/>
    <x v="32"/>
    <x v="1"/>
    <n v="1025"/>
    <x v="2"/>
    <x v="663"/>
    <x v="202"/>
    <n v="1221.8487496163564"/>
    <x v="759"/>
  </r>
  <r>
    <x v="16"/>
    <x v="7"/>
    <x v="32"/>
    <x v="1"/>
    <n v="475"/>
    <x v="3"/>
    <x v="15"/>
    <x v="31"/>
    <n v="1096.9100130080562"/>
    <x v="32"/>
  </r>
  <r>
    <x v="16"/>
    <x v="7"/>
    <x v="32"/>
    <x v="1"/>
    <n v="375"/>
    <x v="4"/>
    <x v="4"/>
    <x v="4"/>
    <n v="999.99999999999989"/>
    <x v="4"/>
  </r>
  <r>
    <x v="16"/>
    <x v="7"/>
    <x v="32"/>
    <x v="1"/>
    <n v="300"/>
    <x v="5"/>
    <x v="462"/>
    <x v="53"/>
    <n v="920.81875395237512"/>
    <x v="506"/>
  </r>
  <r>
    <x v="16"/>
    <x v="7"/>
    <x v="32"/>
    <x v="1"/>
    <n v="225"/>
    <x v="6"/>
    <x v="658"/>
    <x v="344"/>
    <n v="853.87196432176188"/>
    <x v="751"/>
  </r>
  <r>
    <x v="16"/>
    <x v="7"/>
    <x v="105"/>
    <x v="4"/>
    <n v="1517"/>
    <x v="0"/>
    <x v="456"/>
    <x v="246"/>
    <n v="1568.201724066995"/>
    <x v="500"/>
  </r>
  <r>
    <x v="16"/>
    <x v="7"/>
    <x v="105"/>
    <x v="4"/>
    <n v="925"/>
    <x v="1"/>
    <x v="356"/>
    <x v="310"/>
    <n v="1267.1717284030137"/>
    <x v="672"/>
  </r>
  <r>
    <x v="16"/>
    <x v="7"/>
    <x v="105"/>
    <x v="4"/>
    <n v="555"/>
    <x v="2"/>
    <x v="600"/>
    <x v="3"/>
    <n v="1091.0804693473326"/>
    <x v="674"/>
  </r>
  <r>
    <x v="16"/>
    <x v="7"/>
    <x v="105"/>
    <x v="4"/>
    <n v="407"/>
    <x v="3"/>
    <x v="664"/>
    <x v="21"/>
    <n v="966.14173273903259"/>
    <x v="760"/>
  </r>
  <r>
    <x v="16"/>
    <x v="7"/>
    <x v="105"/>
    <x v="4"/>
    <n v="296"/>
    <x v="4"/>
    <x v="379"/>
    <x v="53"/>
    <n v="869.23171973097612"/>
    <x v="417"/>
  </r>
  <r>
    <x v="16"/>
    <x v="7"/>
    <x v="105"/>
    <x v="4"/>
    <n v="120"/>
    <x v="5"/>
    <x v="247"/>
    <x v="25"/>
    <n v="790.05047368335136"/>
    <x v="271"/>
  </r>
  <r>
    <x v="16"/>
    <x v="7"/>
    <x v="106"/>
    <x v="2"/>
    <n v="1084"/>
    <x v="0"/>
    <x v="665"/>
    <x v="347"/>
    <n v="1707.5701760979362"/>
    <x v="761"/>
  </r>
  <r>
    <x v="16"/>
    <x v="7"/>
    <x v="106"/>
    <x v="2"/>
    <n v="817"/>
    <x v="1"/>
    <x v="346"/>
    <x v="37"/>
    <n v="1406.5401804339549"/>
    <x v="380"/>
  </r>
  <r>
    <x v="16"/>
    <x v="7"/>
    <x v="106"/>
    <x v="2"/>
    <n v="768"/>
    <x v="2"/>
    <x v="663"/>
    <x v="202"/>
    <n v="1230.4489213782738"/>
    <x v="759"/>
  </r>
  <r>
    <x v="16"/>
    <x v="7"/>
    <x v="106"/>
    <x v="2"/>
    <n v="601"/>
    <x v="3"/>
    <x v="247"/>
    <x v="25"/>
    <n v="1105.5101847699736"/>
    <x v="271"/>
  </r>
  <r>
    <x v="16"/>
    <x v="7"/>
    <x v="106"/>
    <x v="2"/>
    <n v="800"/>
    <x v="4"/>
    <x v="32"/>
    <x v="33"/>
    <n v="1008.6001717619175"/>
    <x v="34"/>
  </r>
  <r>
    <x v="16"/>
    <x v="7"/>
    <x v="106"/>
    <x v="2"/>
    <n v="800"/>
    <x v="5"/>
    <x v="600"/>
    <x v="3"/>
    <n v="929.41892571429264"/>
    <x v="674"/>
  </r>
  <r>
    <x v="16"/>
    <x v="7"/>
    <x v="106"/>
    <x v="2"/>
    <n v="230"/>
    <x v="6"/>
    <x v="666"/>
    <x v="348"/>
    <n v="862.4721360836794"/>
    <x v="762"/>
  </r>
  <r>
    <x v="16"/>
    <x v="7"/>
    <x v="106"/>
    <x v="2"/>
    <n v="160"/>
    <x v="7"/>
    <x v="667"/>
    <x v="82"/>
    <n v="804.48018910599274"/>
    <x v="763"/>
  </r>
  <r>
    <x v="16"/>
    <x v="0"/>
    <x v="2"/>
    <x v="2"/>
    <n v="1935"/>
    <x v="0"/>
    <x v="18"/>
    <x v="13"/>
    <n v="1755.8748556724915"/>
    <x v="764"/>
  </r>
  <r>
    <x v="16"/>
    <x v="0"/>
    <x v="2"/>
    <x v="2"/>
    <n v="1051"/>
    <x v="1"/>
    <x v="481"/>
    <x v="261"/>
    <n v="1454.8448600085103"/>
    <x v="529"/>
  </r>
  <r>
    <x v="16"/>
    <x v="0"/>
    <x v="2"/>
    <x v="2"/>
    <n v="663"/>
    <x v="2"/>
    <x v="16"/>
    <x v="50"/>
    <n v="1278.7536009528292"/>
    <x v="368"/>
  </r>
  <r>
    <x v="16"/>
    <x v="0"/>
    <x v="2"/>
    <x v="2"/>
    <n v="498"/>
    <x v="3"/>
    <x v="4"/>
    <x v="4"/>
    <n v="1153.814864344529"/>
    <x v="4"/>
  </r>
  <r>
    <x v="16"/>
    <x v="0"/>
    <x v="2"/>
    <x v="2"/>
    <n v="387"/>
    <x v="4"/>
    <x v="668"/>
    <x v="115"/>
    <n v="1056.9048513364728"/>
    <x v="765"/>
  </r>
  <r>
    <x v="16"/>
    <x v="0"/>
    <x v="2"/>
    <x v="2"/>
    <n v="332"/>
    <x v="5"/>
    <x v="356"/>
    <x v="310"/>
    <n v="977.72360528884781"/>
    <x v="672"/>
  </r>
  <r>
    <x v="16"/>
    <x v="0"/>
    <x v="2"/>
    <x v="2"/>
    <n v="276"/>
    <x v="6"/>
    <x v="173"/>
    <x v="121"/>
    <n v="910.77681565823468"/>
    <x v="188"/>
  </r>
  <r>
    <x v="16"/>
    <x v="0"/>
    <x v="2"/>
    <x v="2"/>
    <n v="221"/>
    <x v="7"/>
    <x v="635"/>
    <x v="81"/>
    <n v="852.7848686805479"/>
    <x v="726"/>
  </r>
  <r>
    <x v="16"/>
    <x v="0"/>
    <x v="2"/>
    <x v="2"/>
    <n v="166"/>
    <x v="8"/>
    <x v="272"/>
    <x v="27"/>
    <n v="801.63234623316657"/>
    <x v="300"/>
  </r>
  <r>
    <x v="16"/>
    <x v="0"/>
    <x v="46"/>
    <x v="4"/>
    <n v="1298"/>
    <x v="0"/>
    <x v="355"/>
    <x v="115"/>
    <n v="1447.1580313422191"/>
    <x v="389"/>
  </r>
  <r>
    <x v="16"/>
    <x v="0"/>
    <x v="46"/>
    <x v="4"/>
    <n v="755"/>
    <x v="1"/>
    <x v="472"/>
    <x v="7"/>
    <n v="1146.1280356782379"/>
    <x v="676"/>
  </r>
  <r>
    <x v="16"/>
    <x v="0"/>
    <x v="46"/>
    <x v="4"/>
    <n v="543"/>
    <x v="2"/>
    <x v="22"/>
    <x v="22"/>
    <n v="970.03677662255677"/>
    <x v="22"/>
  </r>
  <r>
    <x v="16"/>
    <x v="0"/>
    <x v="46"/>
    <x v="4"/>
    <n v="120"/>
    <x v="3"/>
    <x v="532"/>
    <x v="239"/>
    <n v="845.09804001425687"/>
    <x v="586"/>
  </r>
  <r>
    <x v="16"/>
    <x v="0"/>
    <x v="5"/>
    <x v="1"/>
    <n v="1628"/>
    <x v="0"/>
    <x v="381"/>
    <x v="279"/>
    <n v="1633.4684555795864"/>
    <x v="589"/>
  </r>
  <r>
    <x v="16"/>
    <x v="0"/>
    <x v="5"/>
    <x v="1"/>
    <n v="1023"/>
    <x v="1"/>
    <x v="22"/>
    <x v="22"/>
    <n v="1332.4384599156051"/>
    <x v="22"/>
  </r>
  <r>
    <x v="16"/>
    <x v="0"/>
    <x v="5"/>
    <x v="1"/>
    <n v="606"/>
    <x v="2"/>
    <x v="102"/>
    <x v="37"/>
    <n v="1156.347200859924"/>
    <x v="109"/>
  </r>
  <r>
    <x v="16"/>
    <x v="0"/>
    <x v="5"/>
    <x v="1"/>
    <n v="439"/>
    <x v="3"/>
    <x v="399"/>
    <x v="204"/>
    <n v="1031.4084642516241"/>
    <x v="438"/>
  </r>
  <r>
    <x v="16"/>
    <x v="0"/>
    <x v="5"/>
    <x v="1"/>
    <n v="355"/>
    <x v="4"/>
    <x v="9"/>
    <x v="9"/>
    <n v="934.49845124356762"/>
    <x v="9"/>
  </r>
  <r>
    <x v="16"/>
    <x v="0"/>
    <x v="5"/>
    <x v="1"/>
    <n v="120"/>
    <x v="5"/>
    <x v="322"/>
    <x v="194"/>
    <n v="855.31720519594273"/>
    <x v="352"/>
  </r>
  <r>
    <x v="16"/>
    <x v="1"/>
    <x v="42"/>
    <x v="1"/>
    <n v="1998"/>
    <x v="0"/>
    <x v="31"/>
    <x v="32"/>
    <n v="1869.2317197309762"/>
    <x v="33"/>
  </r>
  <r>
    <x v="16"/>
    <x v="1"/>
    <x v="42"/>
    <x v="1"/>
    <n v="1480"/>
    <x v="1"/>
    <x v="482"/>
    <x v="37"/>
    <n v="1568.201724066995"/>
    <x v="530"/>
  </r>
  <r>
    <x v="16"/>
    <x v="1"/>
    <x v="42"/>
    <x v="1"/>
    <n v="1110"/>
    <x v="2"/>
    <x v="241"/>
    <x v="156"/>
    <n v="1392.1104650113139"/>
    <x v="265"/>
  </r>
  <r>
    <x v="16"/>
    <x v="1"/>
    <x v="42"/>
    <x v="1"/>
    <n v="888"/>
    <x v="3"/>
    <x v="669"/>
    <x v="178"/>
    <n v="1267.1717284030137"/>
    <x v="766"/>
  </r>
  <r>
    <x v="16"/>
    <x v="1"/>
    <x v="42"/>
    <x v="1"/>
    <n v="740"/>
    <x v="4"/>
    <x v="606"/>
    <x v="29"/>
    <n v="1170.2617153949575"/>
    <x v="685"/>
  </r>
  <r>
    <x v="16"/>
    <x v="1"/>
    <x v="42"/>
    <x v="1"/>
    <n v="518"/>
    <x v="5"/>
    <x v="538"/>
    <x v="280"/>
    <n v="1091.0804693473326"/>
    <x v="593"/>
  </r>
  <r>
    <x v="16"/>
    <x v="1"/>
    <x v="42"/>
    <x v="1"/>
    <n v="370"/>
    <x v="6"/>
    <x v="485"/>
    <x v="262"/>
    <n v="1024.1336797167194"/>
    <x v="533"/>
  </r>
  <r>
    <x v="16"/>
    <x v="1"/>
    <x v="42"/>
    <x v="1"/>
    <n v="296"/>
    <x v="7"/>
    <x v="640"/>
    <x v="335"/>
    <n v="966.1417327390327"/>
    <x v="731"/>
  </r>
  <r>
    <x v="16"/>
    <x v="1"/>
    <x v="107"/>
    <x v="1"/>
    <n v="1320"/>
    <x v="0"/>
    <x v="491"/>
    <x v="264"/>
    <n v="1681.2412373755872"/>
    <x v="540"/>
  </r>
  <r>
    <x v="16"/>
    <x v="1"/>
    <x v="107"/>
    <x v="1"/>
    <n v="990"/>
    <x v="1"/>
    <x v="292"/>
    <x v="177"/>
    <n v="1380.2112417116059"/>
    <x v="320"/>
  </r>
  <r>
    <x v="16"/>
    <x v="1"/>
    <x v="107"/>
    <x v="1"/>
    <n v="750"/>
    <x v="2"/>
    <x v="241"/>
    <x v="156"/>
    <n v="1204.1199826559248"/>
    <x v="265"/>
  </r>
  <r>
    <x v="16"/>
    <x v="1"/>
    <x v="107"/>
    <x v="1"/>
    <n v="650"/>
    <x v="3"/>
    <x v="573"/>
    <x v="84"/>
    <n v="1079.1812460476247"/>
    <x v="637"/>
  </r>
  <r>
    <x v="16"/>
    <x v="1"/>
    <x v="107"/>
    <x v="1"/>
    <n v="460"/>
    <x v="4"/>
    <x v="573"/>
    <x v="297"/>
    <n v="982.2712330395683"/>
    <x v="636"/>
  </r>
  <r>
    <x v="16"/>
    <x v="1"/>
    <x v="107"/>
    <x v="1"/>
    <n v="315"/>
    <x v="5"/>
    <x v="305"/>
    <x v="98"/>
    <n v="903.08998699194353"/>
    <x v="333"/>
  </r>
  <r>
    <x v="16"/>
    <x v="1"/>
    <x v="107"/>
    <x v="1"/>
    <n v="220"/>
    <x v="6"/>
    <x v="276"/>
    <x v="168"/>
    <n v="836.14319736133041"/>
    <x v="304"/>
  </r>
  <r>
    <x v="16"/>
    <x v="1"/>
    <x v="107"/>
    <x v="1"/>
    <n v="140"/>
    <x v="7"/>
    <x v="302"/>
    <x v="183"/>
    <n v="778.15125038364363"/>
    <x v="330"/>
  </r>
  <r>
    <x v="16"/>
    <x v="1"/>
    <x v="108"/>
    <x v="7"/>
    <n v="430"/>
    <x v="0"/>
    <x v="573"/>
    <x v="84"/>
    <n v="1255.272505103306"/>
    <x v="637"/>
  </r>
  <r>
    <x v="16"/>
    <x v="1"/>
    <x v="108"/>
    <x v="7"/>
    <n v="267"/>
    <x v="1"/>
    <x v="215"/>
    <x v="1"/>
    <n v="954.24250943932475"/>
    <x v="238"/>
  </r>
  <r>
    <x v="16"/>
    <x v="1"/>
    <x v="108"/>
    <x v="7"/>
    <n v="185"/>
    <x v="2"/>
    <x v="301"/>
    <x v="182"/>
    <n v="778.15125038364363"/>
    <x v="329"/>
  </r>
  <r>
    <x v="16"/>
    <x v="1"/>
    <x v="108"/>
    <x v="7"/>
    <n v="144"/>
    <x v="3"/>
    <x v="670"/>
    <x v="349"/>
    <n v="653.21251377534361"/>
    <x v="767"/>
  </r>
  <r>
    <x v="16"/>
    <x v="1"/>
    <x v="109"/>
    <x v="2"/>
    <n v="4287"/>
    <x v="0"/>
    <x v="224"/>
    <x v="22"/>
    <n v="2103.8037209559566"/>
    <x v="247"/>
  </r>
  <r>
    <x v="16"/>
    <x v="1"/>
    <x v="109"/>
    <x v="2"/>
    <n v="3258"/>
    <x v="1"/>
    <x v="228"/>
    <x v="73"/>
    <n v="1802.7737252919756"/>
    <x v="251"/>
  </r>
  <r>
    <x v="16"/>
    <x v="1"/>
    <x v="109"/>
    <x v="2"/>
    <n v="2400"/>
    <x v="2"/>
    <x v="310"/>
    <x v="188"/>
    <n v="1626.6824662362944"/>
    <x v="339"/>
  </r>
  <r>
    <x v="16"/>
    <x v="1"/>
    <x v="109"/>
    <x v="2"/>
    <n v="1886"/>
    <x v="3"/>
    <x v="40"/>
    <x v="38"/>
    <n v="1501.7437296279943"/>
    <x v="42"/>
  </r>
  <r>
    <x v="16"/>
    <x v="1"/>
    <x v="109"/>
    <x v="2"/>
    <n v="1372"/>
    <x v="4"/>
    <x v="305"/>
    <x v="98"/>
    <n v="1404.8337166199381"/>
    <x v="333"/>
  </r>
  <r>
    <x v="16"/>
    <x v="1"/>
    <x v="109"/>
    <x v="2"/>
    <n v="1372"/>
    <x v="5"/>
    <x v="399"/>
    <x v="204"/>
    <n v="1325.6524705723132"/>
    <x v="438"/>
  </r>
  <r>
    <x v="16"/>
    <x v="1"/>
    <x v="109"/>
    <x v="2"/>
    <n v="1029"/>
    <x v="6"/>
    <x v="445"/>
    <x v="123"/>
    <n v="1258.7056809416999"/>
    <x v="488"/>
  </r>
  <r>
    <x v="16"/>
    <x v="1"/>
    <x v="109"/>
    <x v="2"/>
    <n v="686"/>
    <x v="7"/>
    <x v="1"/>
    <x v="1"/>
    <n v="1200.7137339640133"/>
    <x v="1"/>
  </r>
  <r>
    <x v="16"/>
    <x v="1"/>
    <x v="109"/>
    <x v="2"/>
    <n v="514"/>
    <x v="8"/>
    <x v="671"/>
    <x v="350"/>
    <n v="1149.5612115166321"/>
    <x v="768"/>
  </r>
  <r>
    <x v="16"/>
    <x v="1"/>
    <x v="109"/>
    <x v="2"/>
    <n v="343"/>
    <x v="9"/>
    <x v="453"/>
    <x v="13"/>
    <n v="1103.8037209559568"/>
    <x v="655"/>
  </r>
  <r>
    <x v="16"/>
    <x v="1"/>
    <x v="109"/>
    <x v="2"/>
    <n v="343"/>
    <x v="10"/>
    <x v="87"/>
    <x v="72"/>
    <n v="1062.4110357977318"/>
    <x v="94"/>
  </r>
  <r>
    <x v="16"/>
    <x v="1"/>
    <x v="109"/>
    <x v="2"/>
    <n v="257"/>
    <x v="11"/>
    <x v="99"/>
    <x v="79"/>
    <n v="1024.6224749083319"/>
    <x v="106"/>
  </r>
  <r>
    <x v="16"/>
    <x v="1"/>
    <x v="109"/>
    <x v="2"/>
    <n v="257"/>
    <x v="12"/>
    <x v="632"/>
    <x v="330"/>
    <n v="989.86036864912012"/>
    <x v="721"/>
  </r>
  <r>
    <x v="16"/>
    <x v="1"/>
    <x v="109"/>
    <x v="2"/>
    <n v="171"/>
    <x v="13"/>
    <x v="241"/>
    <x v="156"/>
    <n v="957.6756852777188"/>
    <x v="265"/>
  </r>
  <r>
    <x v="16"/>
    <x v="1"/>
    <x v="109"/>
    <x v="2"/>
    <n v="171"/>
    <x v="14"/>
    <x v="573"/>
    <x v="297"/>
    <n v="927.71246190027546"/>
    <x v="636"/>
  </r>
  <r>
    <x v="16"/>
    <x v="1"/>
    <x v="110"/>
    <x v="3"/>
    <n v="382"/>
    <x v="0"/>
    <x v="484"/>
    <x v="26"/>
    <n v="1176.0912590556813"/>
    <x v="532"/>
  </r>
  <r>
    <x v="16"/>
    <x v="1"/>
    <x v="110"/>
    <x v="3"/>
    <n v="232"/>
    <x v="1"/>
    <x v="611"/>
    <x v="50"/>
    <n v="875.06126339170009"/>
    <x v="692"/>
  </r>
  <r>
    <x v="16"/>
    <x v="1"/>
    <x v="110"/>
    <x v="3"/>
    <n v="161"/>
    <x v="2"/>
    <x v="447"/>
    <x v="7"/>
    <n v="698.97000433601897"/>
    <x v="491"/>
  </r>
  <r>
    <x v="16"/>
    <x v="1"/>
    <x v="110"/>
    <x v="3"/>
    <n v="80"/>
    <x v="3"/>
    <x v="120"/>
    <x v="49"/>
    <n v="574.03126772771896"/>
    <x v="127"/>
  </r>
  <r>
    <x v="16"/>
    <x v="1"/>
    <x v="46"/>
    <x v="4"/>
    <n v="1843"/>
    <x v="0"/>
    <x v="319"/>
    <x v="193"/>
    <n v="1799.3405494535816"/>
    <x v="349"/>
  </r>
  <r>
    <x v="16"/>
    <x v="1"/>
    <x v="46"/>
    <x v="4"/>
    <n v="1360"/>
    <x v="1"/>
    <x v="306"/>
    <x v="15"/>
    <n v="1498.3105537896004"/>
    <x v="334"/>
  </r>
  <r>
    <x v="16"/>
    <x v="1"/>
    <x v="46"/>
    <x v="4"/>
    <n v="1015"/>
    <x v="2"/>
    <x v="4"/>
    <x v="4"/>
    <n v="1322.2192947339192"/>
    <x v="4"/>
  </r>
  <r>
    <x v="16"/>
    <x v="1"/>
    <x v="46"/>
    <x v="4"/>
    <n v="808"/>
    <x v="3"/>
    <x v="78"/>
    <x v="17"/>
    <n v="1197.2805581256191"/>
    <x v="84"/>
  </r>
  <r>
    <x v="16"/>
    <x v="1"/>
    <x v="46"/>
    <x v="4"/>
    <n v="670"/>
    <x v="4"/>
    <x v="614"/>
    <x v="50"/>
    <n v="1100.3705451175629"/>
    <x v="696"/>
  </r>
  <r>
    <x v="16"/>
    <x v="1"/>
    <x v="46"/>
    <x v="4"/>
    <n v="463"/>
    <x v="5"/>
    <x v="640"/>
    <x v="335"/>
    <n v="1021.1892990699381"/>
    <x v="731"/>
  </r>
  <r>
    <x v="16"/>
    <x v="1"/>
    <x v="46"/>
    <x v="4"/>
    <n v="325"/>
    <x v="6"/>
    <x v="302"/>
    <x v="183"/>
    <n v="954.24250943932486"/>
    <x v="330"/>
  </r>
  <r>
    <x v="16"/>
    <x v="1"/>
    <x v="46"/>
    <x v="4"/>
    <n v="276"/>
    <x v="7"/>
    <x v="248"/>
    <x v="158"/>
    <n v="896.2505624616382"/>
    <x v="274"/>
  </r>
  <r>
    <x v="16"/>
    <x v="1"/>
    <x v="46"/>
    <x v="4"/>
    <n v="140"/>
    <x v="8"/>
    <x v="573"/>
    <x v="297"/>
    <n v="845.09804001425687"/>
    <x v="636"/>
  </r>
  <r>
    <x v="16"/>
    <x v="1"/>
    <x v="111"/>
    <x v="1"/>
    <n v="1224"/>
    <x v="0"/>
    <x v="544"/>
    <x v="50"/>
    <n v="1531.478917042255"/>
    <x v="601"/>
  </r>
  <r>
    <x v="16"/>
    <x v="1"/>
    <x v="111"/>
    <x v="1"/>
    <n v="816"/>
    <x v="1"/>
    <x v="177"/>
    <x v="125"/>
    <n v="1230.4489213782738"/>
    <x v="193"/>
  </r>
  <r>
    <x v="16"/>
    <x v="1"/>
    <x v="111"/>
    <x v="1"/>
    <n v="578"/>
    <x v="2"/>
    <x v="196"/>
    <x v="92"/>
    <n v="1054.3576623225927"/>
    <x v="214"/>
  </r>
  <r>
    <x v="16"/>
    <x v="1"/>
    <x v="111"/>
    <x v="1"/>
    <n v="442"/>
    <x v="3"/>
    <x v="637"/>
    <x v="334"/>
    <n v="929.41892571429275"/>
    <x v="728"/>
  </r>
  <r>
    <x v="16"/>
    <x v="1"/>
    <x v="111"/>
    <x v="1"/>
    <n v="340"/>
    <x v="4"/>
    <x v="45"/>
    <x v="73"/>
    <n v="832.50891270623629"/>
    <x v="140"/>
  </r>
  <r>
    <x v="16"/>
    <x v="1"/>
    <x v="106"/>
    <x v="2"/>
    <n v="1109"/>
    <x v="0"/>
    <x v="672"/>
    <x v="13"/>
    <n v="1591.0646070264991"/>
    <x v="769"/>
  </r>
  <r>
    <x v="16"/>
    <x v="1"/>
    <x v="106"/>
    <x v="2"/>
    <n v="808"/>
    <x v="1"/>
    <x v="669"/>
    <x v="178"/>
    <n v="1290.0346113625178"/>
    <x v="766"/>
  </r>
  <r>
    <x v="16"/>
    <x v="1"/>
    <x v="106"/>
    <x v="2"/>
    <n v="638"/>
    <x v="2"/>
    <x v="45"/>
    <x v="42"/>
    <n v="1113.9433523068367"/>
    <x v="47"/>
  </r>
  <r>
    <x v="16"/>
    <x v="1"/>
    <x v="106"/>
    <x v="2"/>
    <n v="582"/>
    <x v="3"/>
    <x v="658"/>
    <x v="344"/>
    <n v="989.00461569853667"/>
    <x v="751"/>
  </r>
  <r>
    <x v="16"/>
    <x v="1"/>
    <x v="106"/>
    <x v="2"/>
    <n v="390"/>
    <x v="4"/>
    <x v="443"/>
    <x v="7"/>
    <n v="892.0946026904802"/>
    <x v="486"/>
  </r>
  <r>
    <x v="16"/>
    <x v="1"/>
    <x v="106"/>
    <x v="2"/>
    <n v="273"/>
    <x v="5"/>
    <x v="673"/>
    <x v="120"/>
    <n v="812.91335664285543"/>
    <x v="770"/>
  </r>
  <r>
    <x v="16"/>
    <x v="1"/>
    <x v="106"/>
    <x v="2"/>
    <n v="100"/>
    <x v="6"/>
    <x v="573"/>
    <x v="297"/>
    <n v="745.96656701224231"/>
    <x v="636"/>
  </r>
  <r>
    <x v="16"/>
    <x v="1"/>
    <x v="106"/>
    <x v="2"/>
    <n v="100"/>
    <x v="7"/>
    <x v="21"/>
    <x v="21"/>
    <n v="687.97462003455553"/>
    <x v="21"/>
  </r>
  <r>
    <x v="16"/>
    <x v="1"/>
    <x v="112"/>
    <x v="1"/>
    <n v="554"/>
    <x v="0"/>
    <x v="637"/>
    <x v="334"/>
    <n v="1431.3637641589874"/>
    <x v="728"/>
  </r>
  <r>
    <x v="16"/>
    <x v="1"/>
    <x v="112"/>
    <x v="1"/>
    <n v="369"/>
    <x v="1"/>
    <x v="116"/>
    <x v="89"/>
    <n v="1130.3337684950061"/>
    <x v="123"/>
  </r>
  <r>
    <x v="16"/>
    <x v="1"/>
    <x v="112"/>
    <x v="1"/>
    <n v="262"/>
    <x v="2"/>
    <x v="446"/>
    <x v="13"/>
    <n v="954.24250943932498"/>
    <x v="490"/>
  </r>
  <r>
    <x v="16"/>
    <x v="1"/>
    <x v="112"/>
    <x v="1"/>
    <n v="200"/>
    <x v="3"/>
    <x v="177"/>
    <x v="125"/>
    <n v="829.30377283102496"/>
    <x v="193"/>
  </r>
  <r>
    <x v="16"/>
    <x v="1"/>
    <x v="112"/>
    <x v="1"/>
    <n v="80"/>
    <x v="4"/>
    <x v="399"/>
    <x v="204"/>
    <n v="732.39375982296849"/>
    <x v="438"/>
  </r>
  <r>
    <x v="16"/>
    <x v="1"/>
    <x v="112"/>
    <x v="1"/>
    <n v="74"/>
    <x v="5"/>
    <x v="311"/>
    <x v="22"/>
    <n v="653.21251377534372"/>
    <x v="340"/>
  </r>
  <r>
    <x v="16"/>
    <x v="1"/>
    <x v="5"/>
    <x v="1"/>
    <n v="3076"/>
    <x v="0"/>
    <x v="22"/>
    <x v="22"/>
    <n v="2029.3837776852097"/>
    <x v="22"/>
  </r>
  <r>
    <x v="16"/>
    <x v="1"/>
    <x v="5"/>
    <x v="1"/>
    <n v="2338"/>
    <x v="1"/>
    <x v="83"/>
    <x v="57"/>
    <n v="1728.3537820212284"/>
    <x v="89"/>
  </r>
  <r>
    <x v="16"/>
    <x v="1"/>
    <x v="5"/>
    <x v="1"/>
    <n v="1723"/>
    <x v="2"/>
    <x v="246"/>
    <x v="34"/>
    <n v="1552.2625229655473"/>
    <x v="270"/>
  </r>
  <r>
    <x v="16"/>
    <x v="1"/>
    <x v="5"/>
    <x v="1"/>
    <n v="1354"/>
    <x v="3"/>
    <x v="28"/>
    <x v="28"/>
    <n v="1427.3237863572472"/>
    <x v="28"/>
  </r>
  <r>
    <x v="16"/>
    <x v="1"/>
    <x v="5"/>
    <x v="1"/>
    <n v="1107"/>
    <x v="4"/>
    <x v="482"/>
    <x v="37"/>
    <n v="1330.4137733491909"/>
    <x v="530"/>
  </r>
  <r>
    <x v="16"/>
    <x v="1"/>
    <x v="5"/>
    <x v="1"/>
    <n v="861"/>
    <x v="5"/>
    <x v="87"/>
    <x v="72"/>
    <n v="1251.2325273015661"/>
    <x v="94"/>
  </r>
  <r>
    <x v="16"/>
    <x v="1"/>
    <x v="5"/>
    <x v="1"/>
    <n v="615"/>
    <x v="6"/>
    <x v="215"/>
    <x v="1"/>
    <n v="1184.2857376709528"/>
    <x v="238"/>
  </r>
  <r>
    <x v="16"/>
    <x v="1"/>
    <x v="5"/>
    <x v="1"/>
    <n v="369"/>
    <x v="7"/>
    <x v="45"/>
    <x v="42"/>
    <n v="1126.2937906932661"/>
    <x v="47"/>
  </r>
  <r>
    <x v="16"/>
    <x v="1"/>
    <x v="5"/>
    <x v="1"/>
    <n v="246"/>
    <x v="8"/>
    <x v="45"/>
    <x v="73"/>
    <n v="1075.1412682458849"/>
    <x v="140"/>
  </r>
  <r>
    <x v="16"/>
    <x v="1"/>
    <x v="5"/>
    <x v="1"/>
    <n v="246"/>
    <x v="9"/>
    <x v="356"/>
    <x v="23"/>
    <n v="1029.3837776852097"/>
    <x v="391"/>
  </r>
  <r>
    <x v="16"/>
    <x v="1"/>
    <x v="5"/>
    <x v="1"/>
    <n v="185"/>
    <x v="10"/>
    <x v="196"/>
    <x v="92"/>
    <n v="987.99109252698463"/>
    <x v="214"/>
  </r>
  <r>
    <x v="16"/>
    <x v="1"/>
    <x v="5"/>
    <x v="1"/>
    <n v="185"/>
    <x v="11"/>
    <x v="606"/>
    <x v="225"/>
    <n v="950.2025316375848"/>
    <x v="771"/>
  </r>
  <r>
    <x v="16"/>
    <x v="1"/>
    <x v="113"/>
    <x v="3"/>
    <n v="514"/>
    <x v="0"/>
    <x v="654"/>
    <x v="81"/>
    <n v="1431.3637641589874"/>
    <x v="746"/>
  </r>
  <r>
    <x v="16"/>
    <x v="1"/>
    <x v="113"/>
    <x v="3"/>
    <n v="339"/>
    <x v="1"/>
    <x v="459"/>
    <x v="248"/>
    <n v="1130.3337684950061"/>
    <x v="503"/>
  </r>
  <r>
    <x v="16"/>
    <x v="1"/>
    <x v="113"/>
    <x v="3"/>
    <n v="242"/>
    <x v="2"/>
    <x v="603"/>
    <x v="92"/>
    <n v="954.24250943932498"/>
    <x v="680"/>
  </r>
  <r>
    <x v="16"/>
    <x v="1"/>
    <x v="113"/>
    <x v="3"/>
    <n v="190"/>
    <x v="3"/>
    <x v="356"/>
    <x v="310"/>
    <n v="829.30377283102496"/>
    <x v="672"/>
  </r>
  <r>
    <x v="16"/>
    <x v="1"/>
    <x v="113"/>
    <x v="3"/>
    <n v="154"/>
    <x v="4"/>
    <x v="255"/>
    <x v="160"/>
    <n v="732.39375982296849"/>
    <x v="282"/>
  </r>
  <r>
    <x v="16"/>
    <x v="1"/>
    <x v="113"/>
    <x v="3"/>
    <n v="100"/>
    <x v="5"/>
    <x v="88"/>
    <x v="49"/>
    <n v="653.21251377534372"/>
    <x v="95"/>
  </r>
  <r>
    <x v="16"/>
    <x v="6"/>
    <x v="114"/>
    <x v="12"/>
    <n v="886"/>
    <x v="0"/>
    <x v="674"/>
    <x v="351"/>
    <n v="1623.2492903979005"/>
    <x v="772"/>
  </r>
  <r>
    <x v="16"/>
    <x v="6"/>
    <x v="114"/>
    <x v="12"/>
    <n v="622"/>
    <x v="1"/>
    <x v="177"/>
    <x v="125"/>
    <n v="1322.2192947339192"/>
    <x v="193"/>
  </r>
  <r>
    <x v="16"/>
    <x v="6"/>
    <x v="114"/>
    <x v="12"/>
    <n v="475"/>
    <x v="2"/>
    <x v="675"/>
    <x v="138"/>
    <n v="1146.1280356782381"/>
    <x v="773"/>
  </r>
  <r>
    <x v="16"/>
    <x v="6"/>
    <x v="114"/>
    <x v="12"/>
    <n v="357"/>
    <x v="3"/>
    <x v="453"/>
    <x v="13"/>
    <n v="1021.1892990699382"/>
    <x v="655"/>
  </r>
  <r>
    <x v="16"/>
    <x v="6"/>
    <x v="114"/>
    <x v="12"/>
    <n v="294"/>
    <x v="4"/>
    <x v="445"/>
    <x v="123"/>
    <n v="924.27928606188175"/>
    <x v="488"/>
  </r>
  <r>
    <x v="16"/>
    <x v="6"/>
    <x v="114"/>
    <x v="12"/>
    <n v="206"/>
    <x v="5"/>
    <x v="126"/>
    <x v="93"/>
    <n v="845.09804001425687"/>
    <x v="133"/>
  </r>
  <r>
    <x v="16"/>
    <x v="6"/>
    <x v="114"/>
    <x v="12"/>
    <n v="100"/>
    <x v="6"/>
    <x v="352"/>
    <x v="35"/>
    <n v="778.15125038364374"/>
    <x v="386"/>
  </r>
  <r>
    <x v="16"/>
    <x v="6"/>
    <x v="14"/>
    <x v="3"/>
    <n v="846"/>
    <x v="0"/>
    <x v="462"/>
    <x v="53"/>
    <n v="1591.0646070264991"/>
    <x v="506"/>
  </r>
  <r>
    <x v="16"/>
    <x v="6"/>
    <x v="14"/>
    <x v="3"/>
    <n v="601"/>
    <x v="1"/>
    <x v="355"/>
    <x v="115"/>
    <n v="1290.0346113625178"/>
    <x v="389"/>
  </r>
  <r>
    <x v="16"/>
    <x v="6"/>
    <x v="14"/>
    <x v="3"/>
    <n v="464"/>
    <x v="2"/>
    <x v="524"/>
    <x v="274"/>
    <n v="1113.9433523068367"/>
    <x v="576"/>
  </r>
  <r>
    <x v="16"/>
    <x v="6"/>
    <x v="14"/>
    <x v="3"/>
    <n v="355"/>
    <x v="3"/>
    <x v="437"/>
    <x v="243"/>
    <n v="989.00461569853667"/>
    <x v="480"/>
  </r>
  <r>
    <x v="16"/>
    <x v="6"/>
    <x v="14"/>
    <x v="3"/>
    <n v="273"/>
    <x v="4"/>
    <x v="17"/>
    <x v="17"/>
    <n v="892.0946026904802"/>
    <x v="17"/>
  </r>
  <r>
    <x v="16"/>
    <x v="6"/>
    <x v="14"/>
    <x v="3"/>
    <n v="191"/>
    <x v="5"/>
    <x v="632"/>
    <x v="330"/>
    <n v="812.91335664285543"/>
    <x v="721"/>
  </r>
  <r>
    <x v="16"/>
    <x v="6"/>
    <x v="32"/>
    <x v="1"/>
    <n v="843"/>
    <x v="0"/>
    <x v="445"/>
    <x v="327"/>
    <n v="1602.0599913279623"/>
    <x v="717"/>
  </r>
  <r>
    <x v="16"/>
    <x v="6"/>
    <x v="32"/>
    <x v="1"/>
    <n v="591"/>
    <x v="1"/>
    <x v="676"/>
    <x v="62"/>
    <n v="1301.029995663981"/>
    <x v="774"/>
  </r>
  <r>
    <x v="16"/>
    <x v="6"/>
    <x v="32"/>
    <x v="1"/>
    <n v="451"/>
    <x v="2"/>
    <x v="177"/>
    <x v="125"/>
    <n v="1124.9387366082999"/>
    <x v="193"/>
  </r>
  <r>
    <x v="16"/>
    <x v="6"/>
    <x v="32"/>
    <x v="1"/>
    <n v="339"/>
    <x v="3"/>
    <x v="314"/>
    <x v="189"/>
    <n v="999.99999999999989"/>
    <x v="344"/>
  </r>
  <r>
    <x v="16"/>
    <x v="6"/>
    <x v="32"/>
    <x v="1"/>
    <n v="280"/>
    <x v="4"/>
    <x v="674"/>
    <x v="351"/>
    <n v="903.08998699194342"/>
    <x v="772"/>
  </r>
  <r>
    <x v="16"/>
    <x v="6"/>
    <x v="32"/>
    <x v="1"/>
    <n v="196"/>
    <x v="5"/>
    <x v="445"/>
    <x v="123"/>
    <n v="823.90874094431865"/>
    <x v="488"/>
  </r>
  <r>
    <x v="16"/>
    <x v="6"/>
    <x v="32"/>
    <x v="1"/>
    <n v="100"/>
    <x v="6"/>
    <x v="62"/>
    <x v="228"/>
    <n v="756.96195131370553"/>
    <x v="442"/>
  </r>
  <r>
    <x v="16"/>
    <x v="6"/>
    <x v="115"/>
    <x v="2"/>
    <n v="400"/>
    <x v="0"/>
    <x v="9"/>
    <x v="9"/>
    <n v="1653.2125137753437"/>
    <x v="9"/>
  </r>
  <r>
    <x v="16"/>
    <x v="6"/>
    <x v="115"/>
    <x v="2"/>
    <n v="500"/>
    <x v="1"/>
    <x v="45"/>
    <x v="42"/>
    <n v="1352.1825181113625"/>
    <x v="47"/>
  </r>
  <r>
    <x v="16"/>
    <x v="6"/>
    <x v="115"/>
    <x v="2"/>
    <n v="600"/>
    <x v="2"/>
    <x v="198"/>
    <x v="81"/>
    <n v="1176.0912590556813"/>
    <x v="216"/>
  </r>
  <r>
    <x v="16"/>
    <x v="6"/>
    <x v="115"/>
    <x v="2"/>
    <n v="400"/>
    <x v="3"/>
    <x v="276"/>
    <x v="168"/>
    <n v="1051.1525224473814"/>
    <x v="304"/>
  </r>
  <r>
    <x v="16"/>
    <x v="6"/>
    <x v="115"/>
    <x v="2"/>
    <n v="100"/>
    <x v="4"/>
    <x v="399"/>
    <x v="204"/>
    <n v="954.24250943932486"/>
    <x v="438"/>
  </r>
  <r>
    <x v="16"/>
    <x v="6"/>
    <x v="115"/>
    <x v="2"/>
    <n v="400"/>
    <x v="5"/>
    <x v="524"/>
    <x v="274"/>
    <n v="875.06126339170009"/>
    <x v="576"/>
  </r>
  <r>
    <x v="16"/>
    <x v="6"/>
    <x v="115"/>
    <x v="2"/>
    <n v="700"/>
    <x v="6"/>
    <x v="637"/>
    <x v="334"/>
    <n v="808.11447376108697"/>
    <x v="728"/>
  </r>
  <r>
    <x v="16"/>
    <x v="6"/>
    <x v="46"/>
    <x v="4"/>
    <n v="806"/>
    <x v="0"/>
    <x v="45"/>
    <x v="42"/>
    <n v="1505.149978319906"/>
    <x v="47"/>
  </r>
  <r>
    <x v="16"/>
    <x v="6"/>
    <x v="46"/>
    <x v="4"/>
    <n v="538"/>
    <x v="1"/>
    <x v="524"/>
    <x v="274"/>
    <n v="1204.1199826559248"/>
    <x v="576"/>
  </r>
  <r>
    <x v="16"/>
    <x v="6"/>
    <x v="46"/>
    <x v="4"/>
    <n v="381"/>
    <x v="2"/>
    <x v="4"/>
    <x v="4"/>
    <n v="1028.0287236002437"/>
    <x v="4"/>
  </r>
  <r>
    <x v="16"/>
    <x v="6"/>
    <x v="46"/>
    <x v="4"/>
    <n v="291"/>
    <x v="3"/>
    <x v="445"/>
    <x v="123"/>
    <n v="903.08998699194365"/>
    <x v="488"/>
  </r>
  <r>
    <x v="16"/>
    <x v="6"/>
    <x v="46"/>
    <x v="4"/>
    <n v="224"/>
    <x v="4"/>
    <x v="87"/>
    <x v="72"/>
    <n v="806.17997398388718"/>
    <x v="94"/>
  </r>
  <r>
    <x v="16"/>
    <x v="3"/>
    <x v="116"/>
    <x v="2"/>
    <n v="422"/>
    <x v="0"/>
    <x v="89"/>
    <x v="37"/>
    <n v="1230.4489213782738"/>
    <x v="96"/>
  </r>
  <r>
    <x v="16"/>
    <x v="3"/>
    <x v="116"/>
    <x v="2"/>
    <n v="300"/>
    <x v="1"/>
    <x v="532"/>
    <x v="239"/>
    <n v="929.41892571429264"/>
    <x v="586"/>
  </r>
  <r>
    <x v="16"/>
    <x v="3"/>
    <x v="116"/>
    <x v="2"/>
    <n v="216"/>
    <x v="2"/>
    <x v="32"/>
    <x v="33"/>
    <n v="753.32766665861152"/>
    <x v="34"/>
  </r>
  <r>
    <x v="16"/>
    <x v="3"/>
    <x v="62"/>
    <x v="2"/>
    <n v="1825"/>
    <x v="0"/>
    <x v="28"/>
    <x v="28"/>
    <n v="1755.8748556724915"/>
    <x v="28"/>
  </r>
  <r>
    <x v="16"/>
    <x v="3"/>
    <x v="62"/>
    <x v="2"/>
    <n v="995"/>
    <x v="1"/>
    <x v="481"/>
    <x v="261"/>
    <n v="1454.8448600085103"/>
    <x v="529"/>
  </r>
  <r>
    <x v="16"/>
    <x v="3"/>
    <x v="62"/>
    <x v="2"/>
    <n v="719"/>
    <x v="2"/>
    <x v="51"/>
    <x v="24"/>
    <n v="1278.7536009528292"/>
    <x v="53"/>
  </r>
  <r>
    <x v="16"/>
    <x v="3"/>
    <x v="62"/>
    <x v="2"/>
    <n v="609"/>
    <x v="3"/>
    <x v="472"/>
    <x v="7"/>
    <n v="1153.814864344529"/>
    <x v="676"/>
  </r>
  <r>
    <x v="16"/>
    <x v="3"/>
    <x v="62"/>
    <x v="2"/>
    <n v="498"/>
    <x v="4"/>
    <x v="89"/>
    <x v="37"/>
    <n v="1056.9048513364728"/>
    <x v="96"/>
  </r>
  <r>
    <x v="16"/>
    <x v="3"/>
    <x v="62"/>
    <x v="2"/>
    <n v="387"/>
    <x v="5"/>
    <x v="473"/>
    <x v="255"/>
    <n v="977.72360528884781"/>
    <x v="519"/>
  </r>
  <r>
    <x v="16"/>
    <x v="3"/>
    <x v="62"/>
    <x v="2"/>
    <n v="276"/>
    <x v="6"/>
    <x v="677"/>
    <x v="352"/>
    <n v="910.77681565823468"/>
    <x v="775"/>
  </r>
  <r>
    <x v="16"/>
    <x v="3"/>
    <x v="62"/>
    <x v="2"/>
    <n v="221"/>
    <x v="7"/>
    <x v="678"/>
    <x v="353"/>
    <n v="852.7848686805479"/>
    <x v="776"/>
  </r>
  <r>
    <x v="16"/>
    <x v="3"/>
    <x v="17"/>
    <x v="1"/>
    <n v="838"/>
    <x v="0"/>
    <x v="152"/>
    <x v="346"/>
    <n v="690.10562085580295"/>
    <x v="757"/>
  </r>
  <r>
    <x v="16"/>
    <x v="3"/>
    <x v="17"/>
    <x v="1"/>
    <n v="838"/>
    <x v="0"/>
    <x v="634"/>
    <x v="34"/>
    <n v="690.10562085580295"/>
    <x v="725"/>
  </r>
  <r>
    <x v="16"/>
    <x v="3"/>
    <x v="17"/>
    <x v="1"/>
    <n v="582"/>
    <x v="1"/>
    <x v="557"/>
    <x v="289"/>
    <n v="539.59062302381233"/>
    <x v="618"/>
  </r>
  <r>
    <x v="16"/>
    <x v="3"/>
    <x v="17"/>
    <x v="1"/>
    <n v="582"/>
    <x v="1"/>
    <x v="679"/>
    <x v="4"/>
    <n v="539.59062302381233"/>
    <x v="777"/>
  </r>
  <r>
    <x v="16"/>
    <x v="3"/>
    <x v="17"/>
    <x v="1"/>
    <n v="373"/>
    <x v="2"/>
    <x v="83"/>
    <x v="57"/>
    <n v="451.54499349597177"/>
    <x v="89"/>
  </r>
  <r>
    <x v="16"/>
    <x v="3"/>
    <x v="17"/>
    <x v="1"/>
    <n v="373"/>
    <x v="2"/>
    <x v="28"/>
    <x v="28"/>
    <n v="451.54499349597177"/>
    <x v="28"/>
  </r>
  <r>
    <x v="16"/>
    <x v="3"/>
    <x v="17"/>
    <x v="1"/>
    <n v="302"/>
    <x v="3"/>
    <x v="531"/>
    <x v="7"/>
    <n v="389.07562519182176"/>
    <x v="585"/>
  </r>
  <r>
    <x v="16"/>
    <x v="3"/>
    <x v="17"/>
    <x v="1"/>
    <n v="302"/>
    <x v="3"/>
    <x v="312"/>
    <x v="322"/>
    <n v="389.07562519182176"/>
    <x v="706"/>
  </r>
  <r>
    <x v="16"/>
    <x v="3"/>
    <x v="17"/>
    <x v="1"/>
    <n v="233"/>
    <x v="4"/>
    <x v="32"/>
    <x v="33"/>
    <n v="340.62061868779352"/>
    <x v="34"/>
  </r>
  <r>
    <x v="16"/>
    <x v="3"/>
    <x v="17"/>
    <x v="1"/>
    <n v="233"/>
    <x v="4"/>
    <x v="40"/>
    <x v="99"/>
    <n v="340.62061868779352"/>
    <x v="681"/>
  </r>
  <r>
    <x v="16"/>
    <x v="3"/>
    <x v="117"/>
    <x v="1"/>
    <n v="1222"/>
    <x v="0"/>
    <x v="15"/>
    <x v="31"/>
    <n v="1477.1212547196624"/>
    <x v="32"/>
  </r>
  <r>
    <x v="16"/>
    <x v="3"/>
    <x v="117"/>
    <x v="1"/>
    <n v="611"/>
    <x v="1"/>
    <x v="634"/>
    <x v="34"/>
    <n v="1176.0912590556811"/>
    <x v="725"/>
  </r>
  <r>
    <x v="16"/>
    <x v="3"/>
    <x v="117"/>
    <x v="1"/>
    <n v="378"/>
    <x v="2"/>
    <x v="4"/>
    <x v="4"/>
    <n v="1000"/>
    <x v="4"/>
  </r>
  <r>
    <x v="16"/>
    <x v="3"/>
    <x v="117"/>
    <x v="1"/>
    <n v="291"/>
    <x v="3"/>
    <x v="22"/>
    <x v="22"/>
    <n v="875.06126339169998"/>
    <x v="22"/>
  </r>
  <r>
    <x v="16"/>
    <x v="3"/>
    <x v="117"/>
    <x v="1"/>
    <n v="233"/>
    <x v="4"/>
    <x v="609"/>
    <x v="26"/>
    <n v="778.15125038364351"/>
    <x v="690"/>
  </r>
  <r>
    <x v="16"/>
    <x v="3"/>
    <x v="117"/>
    <x v="1"/>
    <n v="175"/>
    <x v="5"/>
    <x v="473"/>
    <x v="255"/>
    <n v="698.97000433601875"/>
    <x v="519"/>
  </r>
  <r>
    <x v="17"/>
    <x v="0"/>
    <x v="65"/>
    <x v="7"/>
    <m/>
    <x v="0"/>
    <x v="355"/>
    <x v="115"/>
    <n v="1505.149978319906"/>
    <x v="389"/>
  </r>
  <r>
    <x v="17"/>
    <x v="0"/>
    <x v="65"/>
    <x v="7"/>
    <m/>
    <x v="1"/>
    <x v="86"/>
    <x v="71"/>
    <n v="1204.1199826559248"/>
    <x v="93"/>
  </r>
  <r>
    <x v="17"/>
    <x v="0"/>
    <x v="65"/>
    <x v="7"/>
    <m/>
    <x v="2"/>
    <x v="134"/>
    <x v="98"/>
    <n v="1028.0287236002437"/>
    <x v="142"/>
  </r>
  <r>
    <x v="17"/>
    <x v="0"/>
    <x v="65"/>
    <x v="7"/>
    <m/>
    <x v="3"/>
    <x v="410"/>
    <x v="229"/>
    <n v="903.08998699194365"/>
    <x v="450"/>
  </r>
  <r>
    <x v="17"/>
    <x v="0"/>
    <x v="65"/>
    <x v="7"/>
    <m/>
    <x v="4"/>
    <x v="487"/>
    <x v="25"/>
    <n v="806.17997398388718"/>
    <x v="535"/>
  </r>
  <r>
    <x v="17"/>
    <x v="0"/>
    <x v="2"/>
    <x v="2"/>
    <m/>
    <x v="0"/>
    <x v="45"/>
    <x v="42"/>
    <n v="1770.8520116421441"/>
    <x v="47"/>
  </r>
  <r>
    <x v="17"/>
    <x v="0"/>
    <x v="2"/>
    <x v="2"/>
    <m/>
    <x v="1"/>
    <x v="641"/>
    <x v="336"/>
    <n v="1469.8220159781629"/>
    <x v="732"/>
  </r>
  <r>
    <x v="17"/>
    <x v="0"/>
    <x v="2"/>
    <x v="2"/>
    <m/>
    <x v="2"/>
    <x v="128"/>
    <x v="21"/>
    <n v="1293.7307569224818"/>
    <x v="135"/>
  </r>
  <r>
    <x v="17"/>
    <x v="0"/>
    <x v="2"/>
    <x v="2"/>
    <m/>
    <x v="3"/>
    <x v="134"/>
    <x v="98"/>
    <n v="1168.7920203141816"/>
    <x v="142"/>
  </r>
  <r>
    <x v="17"/>
    <x v="0"/>
    <x v="2"/>
    <x v="2"/>
    <m/>
    <x v="4"/>
    <x v="1"/>
    <x v="1"/>
    <n v="1071.8820073061254"/>
    <x v="1"/>
  </r>
  <r>
    <x v="17"/>
    <x v="0"/>
    <x v="2"/>
    <x v="2"/>
    <m/>
    <x v="5"/>
    <x v="484"/>
    <x v="26"/>
    <n v="992.70076125850062"/>
    <x v="532"/>
  </r>
  <r>
    <x v="17"/>
    <x v="0"/>
    <x v="2"/>
    <x v="2"/>
    <m/>
    <x v="6"/>
    <x v="491"/>
    <x v="264"/>
    <n v="925.75397162788738"/>
    <x v="540"/>
  </r>
  <r>
    <x v="17"/>
    <x v="0"/>
    <x v="2"/>
    <x v="2"/>
    <m/>
    <x v="7"/>
    <x v="511"/>
    <x v="354"/>
    <n v="867.76202465020071"/>
    <x v="778"/>
  </r>
  <r>
    <x v="17"/>
    <x v="0"/>
    <x v="2"/>
    <x v="2"/>
    <m/>
    <x v="8"/>
    <x v="543"/>
    <x v="25"/>
    <n v="816.60950220281939"/>
    <x v="600"/>
  </r>
  <r>
    <x v="17"/>
    <x v="0"/>
    <x v="46"/>
    <x v="4"/>
    <m/>
    <x v="0"/>
    <x v="604"/>
    <x v="315"/>
    <n v="1707.5701760979362"/>
    <x v="682"/>
  </r>
  <r>
    <x v="17"/>
    <x v="0"/>
    <x v="46"/>
    <x v="4"/>
    <m/>
    <x v="1"/>
    <x v="659"/>
    <x v="345"/>
    <n v="1406.5401804339549"/>
    <x v="753"/>
  </r>
  <r>
    <x v="17"/>
    <x v="0"/>
    <x v="46"/>
    <x v="4"/>
    <m/>
    <x v="2"/>
    <x v="9"/>
    <x v="9"/>
    <n v="1230.4489213782738"/>
    <x v="9"/>
  </r>
  <r>
    <x v="17"/>
    <x v="0"/>
    <x v="46"/>
    <x v="4"/>
    <m/>
    <x v="3"/>
    <x v="355"/>
    <x v="115"/>
    <n v="1105.5101847699736"/>
    <x v="389"/>
  </r>
  <r>
    <x v="17"/>
    <x v="0"/>
    <x v="46"/>
    <x v="4"/>
    <m/>
    <x v="4"/>
    <x v="134"/>
    <x v="98"/>
    <n v="1008.6001717619175"/>
    <x v="142"/>
  </r>
  <r>
    <x v="17"/>
    <x v="0"/>
    <x v="46"/>
    <x v="4"/>
    <m/>
    <x v="5"/>
    <x v="491"/>
    <x v="264"/>
    <n v="929.41892571429264"/>
    <x v="540"/>
  </r>
  <r>
    <x v="17"/>
    <x v="0"/>
    <x v="46"/>
    <x v="4"/>
    <m/>
    <x v="6"/>
    <x v="87"/>
    <x v="72"/>
    <n v="862.4721360836794"/>
    <x v="94"/>
  </r>
  <r>
    <x v="17"/>
    <x v="0"/>
    <x v="5"/>
    <x v="1"/>
    <m/>
    <x v="0"/>
    <x v="487"/>
    <x v="25"/>
    <n v="1755.8748556724915"/>
    <x v="535"/>
  </r>
  <r>
    <x v="17"/>
    <x v="0"/>
    <x v="5"/>
    <x v="1"/>
    <m/>
    <x v="1"/>
    <x v="659"/>
    <x v="345"/>
    <n v="1454.8448600085103"/>
    <x v="753"/>
  </r>
  <r>
    <x v="17"/>
    <x v="0"/>
    <x v="5"/>
    <x v="1"/>
    <m/>
    <x v="2"/>
    <x v="355"/>
    <x v="115"/>
    <n v="1278.7536009528292"/>
    <x v="389"/>
  </r>
  <r>
    <x v="17"/>
    <x v="0"/>
    <x v="5"/>
    <x v="1"/>
    <m/>
    <x v="3"/>
    <x v="399"/>
    <x v="204"/>
    <n v="1153.814864344529"/>
    <x v="438"/>
  </r>
  <r>
    <x v="17"/>
    <x v="0"/>
    <x v="5"/>
    <x v="1"/>
    <m/>
    <x v="4"/>
    <x v="573"/>
    <x v="297"/>
    <n v="1056.9048513364728"/>
    <x v="636"/>
  </r>
  <r>
    <x v="17"/>
    <x v="1"/>
    <x v="118"/>
    <x v="2"/>
    <n v="2160"/>
    <x v="0"/>
    <x v="309"/>
    <x v="186"/>
    <n v="1903.0899869919435"/>
    <x v="337"/>
  </r>
  <r>
    <x v="17"/>
    <x v="1"/>
    <x v="118"/>
    <x v="2"/>
    <n v="1600"/>
    <x v="1"/>
    <x v="149"/>
    <x v="15"/>
    <n v="1602.0599913279623"/>
    <x v="160"/>
  </r>
  <r>
    <x v="17"/>
    <x v="1"/>
    <x v="118"/>
    <x v="2"/>
    <n v="1200"/>
    <x v="2"/>
    <x v="573"/>
    <x v="84"/>
    <n v="1425.9687322722812"/>
    <x v="637"/>
  </r>
  <r>
    <x v="17"/>
    <x v="1"/>
    <x v="118"/>
    <x v="2"/>
    <n v="960"/>
    <x v="3"/>
    <x v="40"/>
    <x v="38"/>
    <n v="1301.0299956639813"/>
    <x v="42"/>
  </r>
  <r>
    <x v="17"/>
    <x v="1"/>
    <x v="118"/>
    <x v="2"/>
    <n v="800"/>
    <x v="4"/>
    <x v="86"/>
    <x v="71"/>
    <n v="1204.1199826559246"/>
    <x v="93"/>
  </r>
  <r>
    <x v="17"/>
    <x v="1"/>
    <x v="118"/>
    <x v="2"/>
    <n v="560"/>
    <x v="5"/>
    <x v="40"/>
    <x v="22"/>
    <n v="1124.9387366082999"/>
    <x v="779"/>
  </r>
  <r>
    <x v="17"/>
    <x v="1"/>
    <x v="118"/>
    <x v="2"/>
    <n v="400"/>
    <x v="6"/>
    <x v="319"/>
    <x v="193"/>
    <n v="1057.9919469776869"/>
    <x v="349"/>
  </r>
  <r>
    <x v="17"/>
    <x v="1"/>
    <x v="118"/>
    <x v="2"/>
    <n v="320"/>
    <x v="7"/>
    <x v="9"/>
    <x v="9"/>
    <n v="1000"/>
    <x v="9"/>
  </r>
  <r>
    <x v="17"/>
    <x v="1"/>
    <x v="119"/>
    <x v="1"/>
    <n v="2184"/>
    <x v="0"/>
    <x v="60"/>
    <x v="13"/>
    <n v="1924.2792860618815"/>
    <x v="64"/>
  </r>
  <r>
    <x v="17"/>
    <x v="1"/>
    <x v="119"/>
    <x v="1"/>
    <n v="1596"/>
    <x v="1"/>
    <x v="45"/>
    <x v="73"/>
    <n v="1623.2492903979003"/>
    <x v="140"/>
  </r>
  <r>
    <x v="17"/>
    <x v="1"/>
    <x v="119"/>
    <x v="1"/>
    <n v="1260"/>
    <x v="2"/>
    <x v="355"/>
    <x v="115"/>
    <n v="1447.1580313422191"/>
    <x v="389"/>
  </r>
  <r>
    <x v="17"/>
    <x v="1"/>
    <x v="119"/>
    <x v="1"/>
    <n v="1008"/>
    <x v="3"/>
    <x v="106"/>
    <x v="13"/>
    <n v="1322.219294733919"/>
    <x v="575"/>
  </r>
  <r>
    <x v="17"/>
    <x v="1"/>
    <x v="119"/>
    <x v="1"/>
    <n v="756"/>
    <x v="4"/>
    <x v="673"/>
    <x v="120"/>
    <n v="1225.3092817258628"/>
    <x v="770"/>
  </r>
  <r>
    <x v="17"/>
    <x v="1"/>
    <x v="119"/>
    <x v="1"/>
    <n v="588"/>
    <x v="5"/>
    <x v="106"/>
    <x v="83"/>
    <n v="1146.1280356782379"/>
    <x v="113"/>
  </r>
  <r>
    <x v="17"/>
    <x v="1"/>
    <x v="119"/>
    <x v="1"/>
    <n v="420"/>
    <x v="6"/>
    <x v="311"/>
    <x v="22"/>
    <n v="1079.1812460476247"/>
    <x v="340"/>
  </r>
  <r>
    <x v="17"/>
    <x v="1"/>
    <x v="119"/>
    <x v="1"/>
    <n v="252"/>
    <x v="7"/>
    <x v="491"/>
    <x v="264"/>
    <n v="1021.1892990699381"/>
    <x v="540"/>
  </r>
  <r>
    <x v="17"/>
    <x v="1"/>
    <x v="119"/>
    <x v="1"/>
    <n v="168"/>
    <x v="8"/>
    <x v="462"/>
    <x v="53"/>
    <n v="970.03677662255677"/>
    <x v="506"/>
  </r>
  <r>
    <x v="17"/>
    <x v="1"/>
    <x v="119"/>
    <x v="1"/>
    <n v="168"/>
    <x v="9"/>
    <x v="91"/>
    <x v="3"/>
    <n v="924.27928606188163"/>
    <x v="98"/>
  </r>
  <r>
    <x v="17"/>
    <x v="1"/>
    <x v="120"/>
    <x v="7"/>
    <n v="1264"/>
    <x v="0"/>
    <x v="680"/>
    <x v="355"/>
    <n v="1892.0946026904803"/>
    <x v="780"/>
  </r>
  <r>
    <x v="17"/>
    <x v="1"/>
    <x v="120"/>
    <x v="7"/>
    <n v="936"/>
    <x v="1"/>
    <x v="8"/>
    <x v="29"/>
    <n v="1591.0646070264991"/>
    <x v="29"/>
  </r>
  <r>
    <x v="17"/>
    <x v="1"/>
    <x v="120"/>
    <x v="7"/>
    <n v="702"/>
    <x v="2"/>
    <x v="446"/>
    <x v="13"/>
    <n v="1414.9733479708179"/>
    <x v="490"/>
  </r>
  <r>
    <x v="17"/>
    <x v="1"/>
    <x v="120"/>
    <x v="7"/>
    <n v="562"/>
    <x v="3"/>
    <x v="573"/>
    <x v="84"/>
    <n v="1290.0346113625178"/>
    <x v="637"/>
  </r>
  <r>
    <x v="17"/>
    <x v="1"/>
    <x v="120"/>
    <x v="7"/>
    <n v="468"/>
    <x v="4"/>
    <x v="116"/>
    <x v="89"/>
    <n v="1193.1245983544616"/>
    <x v="123"/>
  </r>
  <r>
    <x v="17"/>
    <x v="1"/>
    <x v="120"/>
    <x v="7"/>
    <n v="327"/>
    <x v="5"/>
    <x v="87"/>
    <x v="72"/>
    <n v="1113.9433523068367"/>
    <x v="94"/>
  </r>
  <r>
    <x v="17"/>
    <x v="1"/>
    <x v="120"/>
    <x v="7"/>
    <n v="234"/>
    <x v="6"/>
    <x v="177"/>
    <x v="125"/>
    <n v="1046.9965626762234"/>
    <x v="193"/>
  </r>
  <r>
    <x v="17"/>
    <x v="1"/>
    <x v="120"/>
    <x v="7"/>
    <n v="187"/>
    <x v="7"/>
    <x v="89"/>
    <x v="37"/>
    <n v="989.00461569853678"/>
    <x v="96"/>
  </r>
  <r>
    <x v="17"/>
    <x v="1"/>
    <x v="121"/>
    <x v="1"/>
    <n v="1264"/>
    <x v="0"/>
    <x v="673"/>
    <x v="120"/>
    <n v="1908.4850188786497"/>
    <x v="770"/>
  </r>
  <r>
    <x v="17"/>
    <x v="1"/>
    <x v="121"/>
    <x v="1"/>
    <n v="924"/>
    <x v="1"/>
    <x v="355"/>
    <x v="115"/>
    <n v="1607.4550232146685"/>
    <x v="389"/>
  </r>
  <r>
    <x v="17"/>
    <x v="1"/>
    <x v="121"/>
    <x v="1"/>
    <n v="729"/>
    <x v="2"/>
    <x v="411"/>
    <x v="231"/>
    <n v="1431.3637641589874"/>
    <x v="452"/>
  </r>
  <r>
    <x v="17"/>
    <x v="1"/>
    <x v="121"/>
    <x v="1"/>
    <n v="583"/>
    <x v="3"/>
    <x v="399"/>
    <x v="204"/>
    <n v="1306.4250275506874"/>
    <x v="438"/>
  </r>
  <r>
    <x v="17"/>
    <x v="1"/>
    <x v="121"/>
    <x v="1"/>
    <n v="437"/>
    <x v="4"/>
    <x v="681"/>
    <x v="104"/>
    <n v="1209.5150145426308"/>
    <x v="781"/>
  </r>
  <r>
    <x v="17"/>
    <x v="1"/>
    <x v="121"/>
    <x v="1"/>
    <n v="340"/>
    <x v="5"/>
    <x v="453"/>
    <x v="13"/>
    <n v="1130.3337684950061"/>
    <x v="655"/>
  </r>
  <r>
    <x v="17"/>
    <x v="1"/>
    <x v="121"/>
    <x v="1"/>
    <n v="243"/>
    <x v="6"/>
    <x v="443"/>
    <x v="7"/>
    <n v="1063.3869788643931"/>
    <x v="486"/>
  </r>
  <r>
    <x v="17"/>
    <x v="1"/>
    <x v="121"/>
    <x v="1"/>
    <n v="146"/>
    <x v="7"/>
    <x v="630"/>
    <x v="328"/>
    <n v="1005.3950318867062"/>
    <x v="718"/>
  </r>
  <r>
    <x v="17"/>
    <x v="1"/>
    <x v="121"/>
    <x v="1"/>
    <n v="97"/>
    <x v="8"/>
    <x v="462"/>
    <x v="53"/>
    <n v="954.24250943932486"/>
    <x v="506"/>
  </r>
  <r>
    <x v="17"/>
    <x v="1"/>
    <x v="121"/>
    <x v="1"/>
    <n v="97"/>
    <x v="9"/>
    <x v="641"/>
    <x v="336"/>
    <n v="908.48501887864973"/>
    <x v="732"/>
  </r>
  <r>
    <x v="17"/>
    <x v="1"/>
    <x v="2"/>
    <x v="2"/>
    <n v="4060"/>
    <x v="0"/>
    <x v="9"/>
    <x v="9"/>
    <n v="2064.4579892269185"/>
    <x v="9"/>
  </r>
  <r>
    <x v="17"/>
    <x v="1"/>
    <x v="2"/>
    <x v="2"/>
    <n v="3086"/>
    <x v="1"/>
    <x v="247"/>
    <x v="25"/>
    <n v="1763.4279935629374"/>
    <x v="271"/>
  </r>
  <r>
    <x v="17"/>
    <x v="1"/>
    <x v="2"/>
    <x v="2"/>
    <n v="2274"/>
    <x v="2"/>
    <x v="391"/>
    <x v="25"/>
    <n v="1587.3367345072561"/>
    <x v="430"/>
  </r>
  <r>
    <x v="17"/>
    <x v="1"/>
    <x v="2"/>
    <x v="2"/>
    <n v="1786"/>
    <x v="3"/>
    <x v="116"/>
    <x v="89"/>
    <n v="1462.3979978989562"/>
    <x v="123"/>
  </r>
  <r>
    <x v="17"/>
    <x v="1"/>
    <x v="2"/>
    <x v="2"/>
    <n v="1462"/>
    <x v="4"/>
    <x v="443"/>
    <x v="7"/>
    <n v="1365.4879848909"/>
    <x v="486"/>
  </r>
  <r>
    <x v="17"/>
    <x v="1"/>
    <x v="2"/>
    <x v="2"/>
    <n v="1137"/>
    <x v="5"/>
    <x v="177"/>
    <x v="125"/>
    <n v="1286.3067388432748"/>
    <x v="193"/>
  </r>
  <r>
    <x v="17"/>
    <x v="1"/>
    <x v="2"/>
    <x v="2"/>
    <n v="812"/>
    <x v="6"/>
    <x v="301"/>
    <x v="182"/>
    <n v="1219.3599492126616"/>
    <x v="329"/>
  </r>
  <r>
    <x v="17"/>
    <x v="1"/>
    <x v="2"/>
    <x v="2"/>
    <n v="487"/>
    <x v="7"/>
    <x v="437"/>
    <x v="243"/>
    <n v="1161.3680022349749"/>
    <x v="480"/>
  </r>
  <r>
    <x v="17"/>
    <x v="1"/>
    <x v="2"/>
    <x v="2"/>
    <n v="325"/>
    <x v="8"/>
    <x v="641"/>
    <x v="336"/>
    <n v="1110.2154797875937"/>
    <x v="732"/>
  </r>
  <r>
    <x v="17"/>
    <x v="1"/>
    <x v="2"/>
    <x v="2"/>
    <n v="325"/>
    <x v="9"/>
    <x v="682"/>
    <x v="21"/>
    <n v="1064.4579892269187"/>
    <x v="782"/>
  </r>
  <r>
    <x v="17"/>
    <x v="1"/>
    <x v="2"/>
    <x v="2"/>
    <n v="243"/>
    <x v="10"/>
    <x v="32"/>
    <x v="33"/>
    <n v="1023.0653040686934"/>
    <x v="34"/>
  </r>
  <r>
    <x v="17"/>
    <x v="1"/>
    <x v="2"/>
    <x v="2"/>
    <n v="243"/>
    <x v="11"/>
    <x v="487"/>
    <x v="25"/>
    <n v="985.2767431792937"/>
    <x v="535"/>
  </r>
  <r>
    <x v="17"/>
    <x v="1"/>
    <x v="46"/>
    <x v="4"/>
    <n v="2106"/>
    <x v="0"/>
    <x v="604"/>
    <x v="315"/>
    <n v="1908.4850188786497"/>
    <x v="682"/>
  </r>
  <r>
    <x v="17"/>
    <x v="1"/>
    <x v="46"/>
    <x v="4"/>
    <n v="1539"/>
    <x v="1"/>
    <x v="487"/>
    <x v="25"/>
    <n v="1607.4550232146685"/>
    <x v="535"/>
  </r>
  <r>
    <x v="17"/>
    <x v="1"/>
    <x v="46"/>
    <x v="4"/>
    <n v="1215"/>
    <x v="2"/>
    <x v="300"/>
    <x v="25"/>
    <n v="1431.3637641589874"/>
    <x v="328"/>
  </r>
  <r>
    <x v="17"/>
    <x v="1"/>
    <x v="46"/>
    <x v="4"/>
    <n v="972"/>
    <x v="3"/>
    <x v="573"/>
    <x v="297"/>
    <n v="1306.4250275506874"/>
    <x v="636"/>
  </r>
  <r>
    <x v="17"/>
    <x v="1"/>
    <x v="46"/>
    <x v="4"/>
    <n v="729"/>
    <x v="4"/>
    <x v="443"/>
    <x v="7"/>
    <n v="1209.5150145426308"/>
    <x v="486"/>
  </r>
  <r>
    <x v="17"/>
    <x v="1"/>
    <x v="46"/>
    <x v="4"/>
    <n v="567"/>
    <x v="5"/>
    <x v="45"/>
    <x v="73"/>
    <n v="1130.3337684950061"/>
    <x v="140"/>
  </r>
  <r>
    <x v="17"/>
    <x v="1"/>
    <x v="46"/>
    <x v="4"/>
    <n v="405"/>
    <x v="6"/>
    <x v="448"/>
    <x v="245"/>
    <n v="1063.3869788643931"/>
    <x v="492"/>
  </r>
  <r>
    <x v="17"/>
    <x v="1"/>
    <x v="46"/>
    <x v="4"/>
    <n v="243"/>
    <x v="7"/>
    <x v="45"/>
    <x v="99"/>
    <n v="1005.3950318867062"/>
    <x v="343"/>
  </r>
  <r>
    <x v="17"/>
    <x v="1"/>
    <x v="46"/>
    <x v="4"/>
    <n v="162"/>
    <x v="8"/>
    <x v="32"/>
    <x v="33"/>
    <n v="954.24250943932486"/>
    <x v="34"/>
  </r>
  <r>
    <x v="17"/>
    <x v="1"/>
    <x v="46"/>
    <x v="4"/>
    <n v="162"/>
    <x v="9"/>
    <x v="17"/>
    <x v="17"/>
    <n v="908.48501887864973"/>
    <x v="17"/>
  </r>
  <r>
    <x v="17"/>
    <x v="1"/>
    <x v="5"/>
    <x v="1"/>
    <n v="2772"/>
    <x v="0"/>
    <x v="89"/>
    <x v="37"/>
    <n v="1949.3900066449128"/>
    <x v="96"/>
  </r>
  <r>
    <x v="17"/>
    <x v="1"/>
    <x v="5"/>
    <x v="1"/>
    <n v="2026"/>
    <x v="1"/>
    <x v="248"/>
    <x v="158"/>
    <n v="1648.3600109809315"/>
    <x v="274"/>
  </r>
  <r>
    <x v="17"/>
    <x v="1"/>
    <x v="5"/>
    <x v="1"/>
    <n v="1599"/>
    <x v="2"/>
    <x v="31"/>
    <x v="32"/>
    <n v="1472.2687519252504"/>
    <x v="33"/>
  </r>
  <r>
    <x v="17"/>
    <x v="1"/>
    <x v="5"/>
    <x v="1"/>
    <n v="1279"/>
    <x v="3"/>
    <x v="255"/>
    <x v="160"/>
    <n v="1347.3300153169503"/>
    <x v="282"/>
  </r>
  <r>
    <x v="17"/>
    <x v="1"/>
    <x v="5"/>
    <x v="1"/>
    <n v="959"/>
    <x v="4"/>
    <x v="45"/>
    <x v="73"/>
    <n v="1250.420002308894"/>
    <x v="140"/>
  </r>
  <r>
    <x v="17"/>
    <x v="1"/>
    <x v="5"/>
    <x v="1"/>
    <n v="746"/>
    <x v="5"/>
    <x v="445"/>
    <x v="123"/>
    <n v="1171.2387562612691"/>
    <x v="488"/>
  </r>
  <r>
    <x v="17"/>
    <x v="1"/>
    <x v="5"/>
    <x v="1"/>
    <n v="533"/>
    <x v="6"/>
    <x v="87"/>
    <x v="72"/>
    <n v="1104.2919666306559"/>
    <x v="94"/>
  </r>
  <r>
    <x v="17"/>
    <x v="1"/>
    <x v="5"/>
    <x v="1"/>
    <n v="320"/>
    <x v="7"/>
    <x v="40"/>
    <x v="38"/>
    <n v="1046.3000196529692"/>
    <x v="42"/>
  </r>
  <r>
    <x v="17"/>
    <x v="1"/>
    <x v="5"/>
    <x v="1"/>
    <n v="213"/>
    <x v="8"/>
    <x v="52"/>
    <x v="7"/>
    <n v="995.14749720558791"/>
    <x v="55"/>
  </r>
  <r>
    <x v="17"/>
    <x v="1"/>
    <x v="5"/>
    <x v="1"/>
    <n v="213"/>
    <x v="9"/>
    <x v="22"/>
    <x v="22"/>
    <n v="949.39000664491277"/>
    <x v="22"/>
  </r>
  <r>
    <x v="17"/>
    <x v="1"/>
    <x v="122"/>
    <x v="1"/>
    <n v="1290"/>
    <x v="0"/>
    <x v="397"/>
    <x v="104"/>
    <n v="1929.4189257142925"/>
    <x v="436"/>
  </r>
  <r>
    <x v="17"/>
    <x v="1"/>
    <x v="122"/>
    <x v="1"/>
    <n v="943"/>
    <x v="1"/>
    <x v="604"/>
    <x v="315"/>
    <n v="1628.3889300503113"/>
    <x v="682"/>
  </r>
  <r>
    <x v="17"/>
    <x v="1"/>
    <x v="122"/>
    <x v="1"/>
    <n v="744"/>
    <x v="2"/>
    <x v="310"/>
    <x v="188"/>
    <n v="1452.2976709946302"/>
    <x v="339"/>
  </r>
  <r>
    <x v="17"/>
    <x v="1"/>
    <x v="122"/>
    <x v="1"/>
    <n v="595"/>
    <x v="3"/>
    <x v="410"/>
    <x v="229"/>
    <n v="1327.3589343863302"/>
    <x v="450"/>
  </r>
  <r>
    <x v="17"/>
    <x v="1"/>
    <x v="122"/>
    <x v="1"/>
    <n v="446"/>
    <x v="4"/>
    <x v="128"/>
    <x v="21"/>
    <n v="1230.4489213782736"/>
    <x v="135"/>
  </r>
  <r>
    <x v="17"/>
    <x v="1"/>
    <x v="122"/>
    <x v="1"/>
    <n v="357"/>
    <x v="5"/>
    <x v="462"/>
    <x v="53"/>
    <n v="1151.2676753306489"/>
    <x v="506"/>
  </r>
  <r>
    <x v="17"/>
    <x v="1"/>
    <x v="122"/>
    <x v="1"/>
    <n v="248"/>
    <x v="6"/>
    <x v="453"/>
    <x v="13"/>
    <n v="1084.3208857000359"/>
    <x v="655"/>
  </r>
  <r>
    <x v="17"/>
    <x v="1"/>
    <x v="122"/>
    <x v="1"/>
    <n v="149"/>
    <x v="7"/>
    <x v="22"/>
    <x v="22"/>
    <n v="1026.328938722349"/>
    <x v="22"/>
  </r>
  <r>
    <x v="17"/>
    <x v="1"/>
    <x v="122"/>
    <x v="1"/>
    <n v="99"/>
    <x v="8"/>
    <x v="45"/>
    <x v="73"/>
    <n v="975.17641627496778"/>
    <x v="140"/>
  </r>
  <r>
    <x v="17"/>
    <x v="1"/>
    <x v="122"/>
    <x v="1"/>
    <n v="99"/>
    <x v="9"/>
    <x v="153"/>
    <x v="107"/>
    <n v="929.41892571429264"/>
    <x v="165"/>
  </r>
  <r>
    <x v="17"/>
    <x v="6"/>
    <x v="123"/>
    <x v="2"/>
    <n v="1372"/>
    <x v="0"/>
    <x v="445"/>
    <x v="327"/>
    <n v="1732.3937598229686"/>
    <x v="717"/>
  </r>
  <r>
    <x v="17"/>
    <x v="6"/>
    <x v="123"/>
    <x v="2"/>
    <n v="1134"/>
    <x v="1"/>
    <x v="9"/>
    <x v="9"/>
    <n v="1431.3637641589874"/>
    <x v="9"/>
  </r>
  <r>
    <x v="17"/>
    <x v="6"/>
    <x v="123"/>
    <x v="2"/>
    <n v="864"/>
    <x v="2"/>
    <x v="40"/>
    <x v="38"/>
    <n v="1255.2725051033062"/>
    <x v="42"/>
  </r>
  <r>
    <x v="17"/>
    <x v="6"/>
    <x v="123"/>
    <x v="2"/>
    <n v="702"/>
    <x v="3"/>
    <x v="446"/>
    <x v="13"/>
    <n v="1130.3337684950061"/>
    <x v="490"/>
  </r>
  <r>
    <x v="17"/>
    <x v="6"/>
    <x v="123"/>
    <x v="2"/>
    <n v="540"/>
    <x v="4"/>
    <x v="118"/>
    <x v="4"/>
    <n v="1033.4237554869499"/>
    <x v="125"/>
  </r>
  <r>
    <x v="17"/>
    <x v="6"/>
    <x v="123"/>
    <x v="2"/>
    <n v="378"/>
    <x v="5"/>
    <x v="569"/>
    <x v="128"/>
    <n v="954.24250943932498"/>
    <x v="630"/>
  </r>
  <r>
    <x v="17"/>
    <x v="6"/>
    <x v="123"/>
    <x v="2"/>
    <n v="270"/>
    <x v="6"/>
    <x v="99"/>
    <x v="79"/>
    <n v="887.29571980871185"/>
    <x v="106"/>
  </r>
  <r>
    <x v="17"/>
    <x v="6"/>
    <x v="123"/>
    <x v="2"/>
    <n v="140"/>
    <x v="7"/>
    <x v="3"/>
    <x v="317"/>
    <n v="829.30377283102507"/>
    <x v="693"/>
  </r>
  <r>
    <x v="17"/>
    <x v="6"/>
    <x v="14"/>
    <x v="3"/>
    <n v="800"/>
    <x v="0"/>
    <x v="472"/>
    <x v="13"/>
    <n v="1690.1960800285137"/>
    <x v="518"/>
  </r>
  <r>
    <x v="17"/>
    <x v="6"/>
    <x v="14"/>
    <x v="3"/>
    <n v="685"/>
    <x v="1"/>
    <x v="546"/>
    <x v="113"/>
    <n v="1389.1660843645325"/>
    <x v="604"/>
  </r>
  <r>
    <x v="17"/>
    <x v="6"/>
    <x v="14"/>
    <x v="3"/>
    <n v="684"/>
    <x v="2"/>
    <x v="62"/>
    <x v="228"/>
    <n v="1213.0748253088514"/>
    <x v="442"/>
  </r>
  <r>
    <x v="17"/>
    <x v="6"/>
    <x v="14"/>
    <x v="3"/>
    <n v="426"/>
    <x v="3"/>
    <x v="484"/>
    <x v="26"/>
    <n v="1088.1360887005512"/>
    <x v="532"/>
  </r>
  <r>
    <x v="17"/>
    <x v="6"/>
    <x v="14"/>
    <x v="3"/>
    <n v="323"/>
    <x v="4"/>
    <x v="448"/>
    <x v="245"/>
    <n v="991.22607569249476"/>
    <x v="492"/>
  </r>
  <r>
    <x v="17"/>
    <x v="6"/>
    <x v="14"/>
    <x v="3"/>
    <n v="240"/>
    <x v="5"/>
    <x v="17"/>
    <x v="209"/>
    <n v="912.04482964486999"/>
    <x v="390"/>
  </r>
  <r>
    <x v="17"/>
    <x v="6"/>
    <x v="14"/>
    <x v="3"/>
    <n v="172"/>
    <x v="6"/>
    <x v="62"/>
    <x v="67"/>
    <n v="845.09804001425687"/>
    <x v="703"/>
  </r>
  <r>
    <x v="17"/>
    <x v="6"/>
    <x v="14"/>
    <x v="3"/>
    <n v="100"/>
    <x v="7"/>
    <x v="472"/>
    <x v="7"/>
    <n v="787.10609303657009"/>
    <x v="676"/>
  </r>
  <r>
    <x v="17"/>
    <x v="6"/>
    <x v="1"/>
    <x v="1"/>
    <n v="1080"/>
    <x v="0"/>
    <x v="314"/>
    <x v="189"/>
    <n v="1763.4279935629374"/>
    <x v="344"/>
  </r>
  <r>
    <x v="17"/>
    <x v="6"/>
    <x v="1"/>
    <x v="1"/>
    <n v="811"/>
    <x v="1"/>
    <x v="311"/>
    <x v="22"/>
    <n v="1462.3979978989562"/>
    <x v="340"/>
  </r>
  <r>
    <x v="17"/>
    <x v="6"/>
    <x v="1"/>
    <x v="1"/>
    <n v="618"/>
    <x v="2"/>
    <x v="87"/>
    <x v="72"/>
    <n v="1286.3067388432748"/>
    <x v="94"/>
  </r>
  <r>
    <x v="17"/>
    <x v="6"/>
    <x v="1"/>
    <x v="1"/>
    <n v="502"/>
    <x v="3"/>
    <x v="128"/>
    <x v="21"/>
    <n v="1161.3680022349749"/>
    <x v="135"/>
  </r>
  <r>
    <x v="17"/>
    <x v="6"/>
    <x v="1"/>
    <x v="1"/>
    <n v="386"/>
    <x v="4"/>
    <x v="658"/>
    <x v="320"/>
    <n v="1064.4579892269187"/>
    <x v="783"/>
  </r>
  <r>
    <x v="17"/>
    <x v="6"/>
    <x v="1"/>
    <x v="1"/>
    <n v="270"/>
    <x v="5"/>
    <x v="10"/>
    <x v="10"/>
    <n v="985.2767431792937"/>
    <x v="10"/>
  </r>
  <r>
    <x v="17"/>
    <x v="6"/>
    <x v="1"/>
    <x v="1"/>
    <n v="193"/>
    <x v="6"/>
    <x v="40"/>
    <x v="38"/>
    <n v="918.32995354868058"/>
    <x v="42"/>
  </r>
  <r>
    <x v="17"/>
    <x v="6"/>
    <x v="1"/>
    <x v="1"/>
    <n v="100"/>
    <x v="7"/>
    <x v="485"/>
    <x v="262"/>
    <n v="860.3380065709938"/>
    <x v="533"/>
  </r>
  <r>
    <x v="17"/>
    <x v="6"/>
    <x v="1"/>
    <x v="1"/>
    <n v="100"/>
    <x v="7"/>
    <x v="587"/>
    <x v="115"/>
    <n v="860.3380065709938"/>
    <x v="657"/>
  </r>
  <r>
    <x v="17"/>
    <x v="6"/>
    <x v="124"/>
    <x v="7"/>
    <n v="654"/>
    <x v="0"/>
    <x v="472"/>
    <x v="7"/>
    <n v="1531.478917042255"/>
    <x v="676"/>
  </r>
  <r>
    <x v="17"/>
    <x v="6"/>
    <x v="124"/>
    <x v="7"/>
    <n v="654"/>
    <x v="1"/>
    <x v="255"/>
    <x v="160"/>
    <n v="1230.4489213782738"/>
    <x v="282"/>
  </r>
  <r>
    <x v="17"/>
    <x v="6"/>
    <x v="124"/>
    <x v="7"/>
    <n v="371"/>
    <x v="2"/>
    <x v="453"/>
    <x v="13"/>
    <n v="1054.3576623225927"/>
    <x v="655"/>
  </r>
  <r>
    <x v="17"/>
    <x v="6"/>
    <x v="124"/>
    <x v="7"/>
    <n v="283"/>
    <x v="3"/>
    <x v="631"/>
    <x v="163"/>
    <n v="929.41892571429275"/>
    <x v="720"/>
  </r>
  <r>
    <x v="17"/>
    <x v="6"/>
    <x v="124"/>
    <x v="7"/>
    <n v="218"/>
    <x v="4"/>
    <x v="355"/>
    <x v="115"/>
    <n v="832.50891270623629"/>
    <x v="389"/>
  </r>
  <r>
    <x v="17"/>
    <x v="6"/>
    <x v="124"/>
    <x v="7"/>
    <n v="100"/>
    <x v="5"/>
    <x v="487"/>
    <x v="25"/>
    <n v="753.32766665861152"/>
    <x v="535"/>
  </r>
  <r>
    <x v="17"/>
    <x v="6"/>
    <x v="124"/>
    <x v="7"/>
    <n v="100"/>
    <x v="6"/>
    <x v="485"/>
    <x v="262"/>
    <n v="686.38087702799828"/>
    <x v="533"/>
  </r>
  <r>
    <x v="17"/>
    <x v="6"/>
    <x v="125"/>
    <x v="4"/>
    <n v="756"/>
    <x v="0"/>
    <x v="573"/>
    <x v="297"/>
    <n v="1491.3616938342727"/>
    <x v="636"/>
  </r>
  <r>
    <x v="17"/>
    <x v="6"/>
    <x v="125"/>
    <x v="4"/>
    <n v="496"/>
    <x v="1"/>
    <x v="464"/>
    <x v="112"/>
    <n v="1190.3316981702915"/>
    <x v="508"/>
  </r>
  <r>
    <x v="17"/>
    <x v="6"/>
    <x v="125"/>
    <x v="4"/>
    <n v="344"/>
    <x v="2"/>
    <x v="604"/>
    <x v="315"/>
    <n v="1014.2404391146102"/>
    <x v="682"/>
  </r>
  <r>
    <x v="17"/>
    <x v="6"/>
    <x v="125"/>
    <x v="4"/>
    <n v="257"/>
    <x v="3"/>
    <x v="658"/>
    <x v="344"/>
    <n v="889.30170250631022"/>
    <x v="751"/>
  </r>
  <r>
    <x v="17"/>
    <x v="6"/>
    <x v="125"/>
    <x v="4"/>
    <n v="192"/>
    <x v="4"/>
    <x v="614"/>
    <x v="50"/>
    <n v="792.39168949825375"/>
    <x v="696"/>
  </r>
  <r>
    <x v="17"/>
    <x v="6"/>
    <x v="125"/>
    <x v="4"/>
    <n v="125"/>
    <x v="5"/>
    <x v="683"/>
    <x v="317"/>
    <n v="713.21044345062899"/>
    <x v="784"/>
  </r>
  <r>
    <x v="17"/>
    <x v="3"/>
    <x v="116"/>
    <x v="2"/>
    <n v="460"/>
    <x v="0"/>
    <x v="640"/>
    <x v="335"/>
    <n v="1079.1812460476249"/>
    <x v="731"/>
  </r>
  <r>
    <x v="17"/>
    <x v="3"/>
    <x v="116"/>
    <x v="2"/>
    <n v="265"/>
    <x v="1"/>
    <x v="355"/>
    <x v="115"/>
    <n v="778.15125038364363"/>
    <x v="389"/>
  </r>
  <r>
    <x v="17"/>
    <x v="3"/>
    <x v="116"/>
    <x v="2"/>
    <n v="189"/>
    <x v="2"/>
    <x v="15"/>
    <x v="15"/>
    <n v="602.05999132796251"/>
    <x v="15"/>
  </r>
  <r>
    <x v="17"/>
    <x v="3"/>
    <x v="116"/>
    <x v="2"/>
    <n v="189"/>
    <x v="2"/>
    <x v="505"/>
    <x v="268"/>
    <n v="602.05999132796251"/>
    <x v="554"/>
  </r>
  <r>
    <x v="17"/>
    <x v="3"/>
    <x v="76"/>
    <x v="2"/>
    <n v="2049"/>
    <x v="0"/>
    <x v="355"/>
    <x v="115"/>
    <n v="1806.1799739838871"/>
    <x v="389"/>
  </r>
  <r>
    <x v="17"/>
    <x v="3"/>
    <x v="76"/>
    <x v="2"/>
    <n v="1117"/>
    <x v="1"/>
    <x v="472"/>
    <x v="7"/>
    <n v="1505.1499783199058"/>
    <x v="676"/>
  </r>
  <r>
    <x v="17"/>
    <x v="3"/>
    <x v="76"/>
    <x v="2"/>
    <n v="807"/>
    <x v="2"/>
    <x v="51"/>
    <x v="24"/>
    <n v="1329.0587192642247"/>
    <x v="53"/>
  </r>
  <r>
    <x v="17"/>
    <x v="3"/>
    <x v="76"/>
    <x v="2"/>
    <n v="683"/>
    <x v="3"/>
    <x v="684"/>
    <x v="356"/>
    <n v="1204.1199826559246"/>
    <x v="785"/>
  </r>
  <r>
    <x v="17"/>
    <x v="3"/>
    <x v="76"/>
    <x v="2"/>
    <n v="559"/>
    <x v="4"/>
    <x v="15"/>
    <x v="31"/>
    <n v="1107.2099696478683"/>
    <x v="32"/>
  </r>
  <r>
    <x v="17"/>
    <x v="3"/>
    <x v="76"/>
    <x v="2"/>
    <n v="435"/>
    <x v="5"/>
    <x v="481"/>
    <x v="261"/>
    <n v="1028.0287236002434"/>
    <x v="529"/>
  </r>
  <r>
    <x v="17"/>
    <x v="3"/>
    <x v="76"/>
    <x v="2"/>
    <n v="310"/>
    <x v="6"/>
    <x v="622"/>
    <x v="57"/>
    <n v="961.08193396963031"/>
    <x v="705"/>
  </r>
  <r>
    <x v="17"/>
    <x v="3"/>
    <x v="76"/>
    <x v="2"/>
    <n v="248"/>
    <x v="7"/>
    <x v="600"/>
    <x v="3"/>
    <n v="903.08998699194353"/>
    <x v="674"/>
  </r>
  <r>
    <x v="17"/>
    <x v="3"/>
    <x v="17"/>
    <x v="1"/>
    <n v="818"/>
    <x v="0"/>
    <x v="22"/>
    <x v="22"/>
    <n v="690.10562085580295"/>
    <x v="22"/>
  </r>
  <r>
    <x v="17"/>
    <x v="3"/>
    <x v="17"/>
    <x v="1"/>
    <n v="818"/>
    <x v="0"/>
    <x v="324"/>
    <x v="200"/>
    <n v="690.10562085580295"/>
    <x v="752"/>
  </r>
  <r>
    <x v="17"/>
    <x v="3"/>
    <x v="17"/>
    <x v="1"/>
    <n v="562"/>
    <x v="1"/>
    <x v="472"/>
    <x v="13"/>
    <n v="539.59062302381233"/>
    <x v="518"/>
  </r>
  <r>
    <x v="17"/>
    <x v="3"/>
    <x v="17"/>
    <x v="1"/>
    <n v="562"/>
    <x v="1"/>
    <x v="164"/>
    <x v="82"/>
    <n v="539.59062302381233"/>
    <x v="176"/>
  </r>
  <r>
    <x v="17"/>
    <x v="3"/>
    <x v="17"/>
    <x v="1"/>
    <n v="353"/>
    <x v="2"/>
    <x v="4"/>
    <x v="4"/>
    <n v="451.54499349597177"/>
    <x v="4"/>
  </r>
  <r>
    <x v="17"/>
    <x v="3"/>
    <x v="17"/>
    <x v="1"/>
    <n v="353"/>
    <x v="2"/>
    <x v="544"/>
    <x v="50"/>
    <n v="451.54499349597177"/>
    <x v="601"/>
  </r>
  <r>
    <x v="17"/>
    <x v="3"/>
    <x v="17"/>
    <x v="1"/>
    <n v="282"/>
    <x v="3"/>
    <x v="49"/>
    <x v="13"/>
    <n v="389.07562519182176"/>
    <x v="51"/>
  </r>
  <r>
    <x v="17"/>
    <x v="3"/>
    <x v="17"/>
    <x v="1"/>
    <n v="282"/>
    <x v="3"/>
    <x v="49"/>
    <x v="46"/>
    <n v="389.07562519182176"/>
    <x v="54"/>
  </r>
  <r>
    <x v="17"/>
    <x v="3"/>
    <x v="17"/>
    <x v="1"/>
    <n v="213"/>
    <x v="4"/>
    <x v="528"/>
    <x v="267"/>
    <n v="340.62061868779352"/>
    <x v="580"/>
  </r>
  <r>
    <x v="17"/>
    <x v="3"/>
    <x v="17"/>
    <x v="1"/>
    <n v="213"/>
    <x v="4"/>
    <x v="549"/>
    <x v="25"/>
    <n v="340.62061868779352"/>
    <x v="607"/>
  </r>
  <r>
    <x v="17"/>
    <x v="3"/>
    <x v="17"/>
    <x v="1"/>
    <n v="100"/>
    <x v="5"/>
    <x v="21"/>
    <x v="21"/>
    <n v="301.02999566398114"/>
    <x v="21"/>
  </r>
  <r>
    <x v="17"/>
    <x v="3"/>
    <x v="17"/>
    <x v="1"/>
    <n v="100"/>
    <x v="5"/>
    <x v="51"/>
    <x v="24"/>
    <n v="301.02999566398114"/>
    <x v="53"/>
  </r>
  <r>
    <x v="17"/>
    <x v="3"/>
    <x v="93"/>
    <x v="1"/>
    <n v="1006"/>
    <x v="0"/>
    <x v="164"/>
    <x v="82"/>
    <n v="1544.0680443502756"/>
    <x v="176"/>
  </r>
  <r>
    <x v="17"/>
    <x v="3"/>
    <x v="93"/>
    <x v="1"/>
    <n v="846"/>
    <x v="1"/>
    <x v="356"/>
    <x v="310"/>
    <n v="1243.0380486862944"/>
    <x v="672"/>
  </r>
  <r>
    <x v="17"/>
    <x v="3"/>
    <x v="93"/>
    <x v="1"/>
    <n v="735"/>
    <x v="2"/>
    <x v="49"/>
    <x v="46"/>
    <n v="1066.9467896306132"/>
    <x v="54"/>
  </r>
  <r>
    <x v="17"/>
    <x v="3"/>
    <x v="93"/>
    <x v="1"/>
    <n v="708"/>
    <x v="3"/>
    <x v="598"/>
    <x v="13"/>
    <n v="942.00805302231322"/>
    <x v="670"/>
  </r>
  <r>
    <x v="17"/>
    <x v="3"/>
    <x v="93"/>
    <x v="1"/>
    <n v="100"/>
    <x v="4"/>
    <x v="28"/>
    <x v="28"/>
    <n v="845.09804001425687"/>
    <x v="28"/>
  </r>
  <r>
    <x v="18"/>
    <x v="1"/>
    <x v="126"/>
    <x v="1"/>
    <n v="1594"/>
    <x v="0"/>
    <x v="415"/>
    <x v="38"/>
    <n v="1763.4279935629374"/>
    <x v="786"/>
  </r>
  <r>
    <x v="18"/>
    <x v="1"/>
    <x v="126"/>
    <x v="1"/>
    <n v="1208"/>
    <x v="1"/>
    <x v="460"/>
    <x v="103"/>
    <n v="1462.3979978989562"/>
    <x v="504"/>
  </r>
  <r>
    <x v="18"/>
    <x v="1"/>
    <x v="126"/>
    <x v="1"/>
    <n v="928"/>
    <x v="2"/>
    <x v="673"/>
    <x v="120"/>
    <n v="1286.3067388432748"/>
    <x v="770"/>
  </r>
  <r>
    <x v="18"/>
    <x v="1"/>
    <x v="126"/>
    <x v="1"/>
    <n v="754"/>
    <x v="3"/>
    <x v="356"/>
    <x v="357"/>
    <n v="1161.3680022349749"/>
    <x v="787"/>
  </r>
  <r>
    <x v="18"/>
    <x v="1"/>
    <x v="126"/>
    <x v="1"/>
    <n v="580"/>
    <x v="4"/>
    <x v="106"/>
    <x v="83"/>
    <n v="1064.4579892269187"/>
    <x v="113"/>
  </r>
  <r>
    <x v="18"/>
    <x v="1"/>
    <x v="126"/>
    <x v="1"/>
    <n v="406"/>
    <x v="5"/>
    <x v="538"/>
    <x v="280"/>
    <n v="985.2767431792937"/>
    <x v="593"/>
  </r>
  <r>
    <x v="18"/>
    <x v="1"/>
    <x v="126"/>
    <x v="1"/>
    <n v="290"/>
    <x v="6"/>
    <x v="585"/>
    <x v="358"/>
    <n v="918.32995354868058"/>
    <x v="788"/>
  </r>
  <r>
    <x v="18"/>
    <x v="1"/>
    <x v="126"/>
    <x v="1"/>
    <n v="40"/>
    <x v="7"/>
    <x v="311"/>
    <x v="22"/>
    <n v="860.3380065709938"/>
    <x v="340"/>
  </r>
  <r>
    <x v="18"/>
    <x v="1"/>
    <x v="127"/>
    <x v="4"/>
    <n v="706"/>
    <x v="0"/>
    <x v="4"/>
    <x v="4"/>
    <n v="1322.2192947339192"/>
    <x v="4"/>
  </r>
  <r>
    <x v="18"/>
    <x v="1"/>
    <x v="127"/>
    <x v="4"/>
    <n v="437"/>
    <x v="1"/>
    <x v="637"/>
    <x v="334"/>
    <n v="1021.1892990699381"/>
    <x v="728"/>
  </r>
  <r>
    <x v="18"/>
    <x v="1"/>
    <x v="127"/>
    <x v="4"/>
    <n v="302"/>
    <x v="2"/>
    <x v="546"/>
    <x v="113"/>
    <n v="845.09804001425687"/>
    <x v="604"/>
  </r>
  <r>
    <x v="18"/>
    <x v="1"/>
    <x v="127"/>
    <x v="4"/>
    <n v="235"/>
    <x v="3"/>
    <x v="359"/>
    <x v="210"/>
    <n v="720.15930340595696"/>
    <x v="394"/>
  </r>
  <r>
    <x v="18"/>
    <x v="1"/>
    <x v="128"/>
    <x v="4"/>
    <n v="764"/>
    <x v="0"/>
    <x v="305"/>
    <x v="98"/>
    <n v="1414.9733479708179"/>
    <x v="333"/>
  </r>
  <r>
    <x v="18"/>
    <x v="1"/>
    <x v="128"/>
    <x v="4"/>
    <n v="666"/>
    <x v="1"/>
    <x v="9"/>
    <x v="9"/>
    <n v="1113.9433523068367"/>
    <x v="9"/>
  </r>
  <r>
    <x v="18"/>
    <x v="1"/>
    <x v="128"/>
    <x v="4"/>
    <n v="42"/>
    <x v="2"/>
    <x v="126"/>
    <x v="93"/>
    <n v="937.85209325115557"/>
    <x v="133"/>
  </r>
  <r>
    <x v="18"/>
    <x v="1"/>
    <x v="128"/>
    <x v="4"/>
    <n v="338"/>
    <x v="3"/>
    <x v="659"/>
    <x v="345"/>
    <n v="812.91335664285555"/>
    <x v="753"/>
  </r>
  <r>
    <x v="18"/>
    <x v="1"/>
    <x v="128"/>
    <x v="4"/>
    <n v="260"/>
    <x v="4"/>
    <x v="45"/>
    <x v="73"/>
    <n v="716.00334363479908"/>
    <x v="140"/>
  </r>
  <r>
    <x v="18"/>
    <x v="1"/>
    <x v="128"/>
    <x v="4"/>
    <n v="160"/>
    <x v="5"/>
    <x v="460"/>
    <x v="103"/>
    <n v="636.82209758717431"/>
    <x v="504"/>
  </r>
  <r>
    <x v="18"/>
    <x v="1"/>
    <x v="129"/>
    <x v="2"/>
    <n v="1116"/>
    <x v="0"/>
    <x v="659"/>
    <x v="345"/>
    <n v="1556.3025007672873"/>
    <x v="753"/>
  </r>
  <r>
    <x v="18"/>
    <x v="1"/>
    <x v="129"/>
    <x v="2"/>
    <n v="792"/>
    <x v="1"/>
    <x v="99"/>
    <x v="79"/>
    <n v="1255.272505103306"/>
    <x v="106"/>
  </r>
  <r>
    <x v="18"/>
    <x v="1"/>
    <x v="129"/>
    <x v="2"/>
    <n v="612"/>
    <x v="2"/>
    <x v="295"/>
    <x v="178"/>
    <n v="1079.1812460476249"/>
    <x v="323"/>
  </r>
  <r>
    <x v="18"/>
    <x v="1"/>
    <x v="129"/>
    <x v="2"/>
    <n v="468"/>
    <x v="3"/>
    <x v="654"/>
    <x v="81"/>
    <n v="954.24250943932486"/>
    <x v="746"/>
  </r>
  <r>
    <x v="18"/>
    <x v="1"/>
    <x v="129"/>
    <x v="2"/>
    <n v="360"/>
    <x v="4"/>
    <x v="453"/>
    <x v="13"/>
    <n v="857.3324964312684"/>
    <x v="655"/>
  </r>
  <r>
    <x v="18"/>
    <x v="1"/>
    <x v="129"/>
    <x v="2"/>
    <n v="252"/>
    <x v="5"/>
    <x v="685"/>
    <x v="176"/>
    <n v="778.15125038364363"/>
    <x v="789"/>
  </r>
  <r>
    <x v="18"/>
    <x v="1"/>
    <x v="130"/>
    <x v="8"/>
    <n v="864"/>
    <x v="0"/>
    <x v="576"/>
    <x v="27"/>
    <n v="1505.149978319906"/>
    <x v="640"/>
  </r>
  <r>
    <x v="18"/>
    <x v="1"/>
    <x v="130"/>
    <x v="8"/>
    <n v="576"/>
    <x v="1"/>
    <x v="573"/>
    <x v="84"/>
    <n v="1204.1199826559248"/>
    <x v="637"/>
  </r>
  <r>
    <x v="18"/>
    <x v="1"/>
    <x v="130"/>
    <x v="8"/>
    <n v="408"/>
    <x v="2"/>
    <x v="248"/>
    <x v="158"/>
    <n v="1028.0287236002437"/>
    <x v="274"/>
  </r>
  <r>
    <x v="18"/>
    <x v="1"/>
    <x v="130"/>
    <x v="8"/>
    <n v="312"/>
    <x v="3"/>
    <x v="355"/>
    <x v="115"/>
    <n v="903.08998699194365"/>
    <x v="389"/>
  </r>
  <r>
    <x v="18"/>
    <x v="1"/>
    <x v="130"/>
    <x v="8"/>
    <n v="240"/>
    <x v="4"/>
    <x v="106"/>
    <x v="13"/>
    <n v="806.17997398388718"/>
    <x v="575"/>
  </r>
  <r>
    <x v="18"/>
    <x v="1"/>
    <x v="131"/>
    <x v="7"/>
    <n v="714"/>
    <x v="0"/>
    <x v="686"/>
    <x v="22"/>
    <n v="1342.4226808222061"/>
    <x v="790"/>
  </r>
  <r>
    <x v="18"/>
    <x v="1"/>
    <x v="131"/>
    <x v="7"/>
    <n v="433"/>
    <x v="1"/>
    <x v="573"/>
    <x v="297"/>
    <n v="1041.3926851582248"/>
    <x v="636"/>
  </r>
  <r>
    <x v="18"/>
    <x v="1"/>
    <x v="131"/>
    <x v="7"/>
    <n v="292"/>
    <x v="2"/>
    <x v="8"/>
    <x v="29"/>
    <n v="865.30142610254381"/>
    <x v="29"/>
  </r>
  <r>
    <x v="18"/>
    <x v="1"/>
    <x v="131"/>
    <x v="7"/>
    <n v="221"/>
    <x v="3"/>
    <x v="301"/>
    <x v="182"/>
    <n v="740.3626894942438"/>
    <x v="329"/>
  </r>
  <r>
    <x v="18"/>
    <x v="1"/>
    <x v="131"/>
    <x v="7"/>
    <n v="100"/>
    <x v="4"/>
    <x v="397"/>
    <x v="104"/>
    <n v="643.45267648618733"/>
    <x v="436"/>
  </r>
  <r>
    <x v="18"/>
    <x v="1"/>
    <x v="2"/>
    <x v="2"/>
    <n v="3204"/>
    <x v="0"/>
    <x v="31"/>
    <x v="32"/>
    <n v="1944.4826721501686"/>
    <x v="33"/>
  </r>
  <r>
    <x v="18"/>
    <x v="1"/>
    <x v="2"/>
    <x v="2"/>
    <n v="2341"/>
    <x v="1"/>
    <x v="246"/>
    <x v="34"/>
    <n v="1643.4526764861873"/>
    <x v="270"/>
  </r>
  <r>
    <x v="18"/>
    <x v="1"/>
    <x v="2"/>
    <x v="2"/>
    <n v="1848"/>
    <x v="2"/>
    <x v="305"/>
    <x v="98"/>
    <n v="1467.3614174305062"/>
    <x v="333"/>
  </r>
  <r>
    <x v="18"/>
    <x v="1"/>
    <x v="2"/>
    <x v="2"/>
    <n v="1478"/>
    <x v="3"/>
    <x v="655"/>
    <x v="340"/>
    <n v="1342.4226808222061"/>
    <x v="747"/>
  </r>
  <r>
    <x v="18"/>
    <x v="1"/>
    <x v="2"/>
    <x v="2"/>
    <n v="1109"/>
    <x v="4"/>
    <x v="573"/>
    <x v="297"/>
    <n v="1245.5126678141498"/>
    <x v="636"/>
  </r>
  <r>
    <x v="18"/>
    <x v="1"/>
    <x v="2"/>
    <x v="2"/>
    <n v="862"/>
    <x v="5"/>
    <x v="17"/>
    <x v="17"/>
    <n v="1166.331421766525"/>
    <x v="17"/>
  </r>
  <r>
    <x v="18"/>
    <x v="1"/>
    <x v="2"/>
    <x v="2"/>
    <n v="616"/>
    <x v="6"/>
    <x v="448"/>
    <x v="245"/>
    <n v="1099.3846321359117"/>
    <x v="492"/>
  </r>
  <r>
    <x v="18"/>
    <x v="1"/>
    <x v="2"/>
    <x v="2"/>
    <n v="370"/>
    <x v="7"/>
    <x v="106"/>
    <x v="83"/>
    <n v="1041.392685158225"/>
    <x v="113"/>
  </r>
  <r>
    <x v="18"/>
    <x v="1"/>
    <x v="2"/>
    <x v="2"/>
    <n v="246"/>
    <x v="8"/>
    <x v="569"/>
    <x v="128"/>
    <n v="990.24016271084383"/>
    <x v="630"/>
  </r>
  <r>
    <x v="18"/>
    <x v="1"/>
    <x v="2"/>
    <x v="2"/>
    <n v="246"/>
    <x v="9"/>
    <x v="588"/>
    <x v="260"/>
    <n v="944.4826721501687"/>
    <x v="658"/>
  </r>
  <r>
    <x v="18"/>
    <x v="1"/>
    <x v="132"/>
    <x v="1"/>
    <n v="1042"/>
    <x v="0"/>
    <x v="126"/>
    <x v="93"/>
    <n v="1623.2492903979005"/>
    <x v="133"/>
  </r>
  <r>
    <x v="18"/>
    <x v="1"/>
    <x v="132"/>
    <x v="1"/>
    <n v="739"/>
    <x v="1"/>
    <x v="352"/>
    <x v="35"/>
    <n v="1322.2192947339192"/>
    <x v="386"/>
  </r>
  <r>
    <x v="18"/>
    <x v="1"/>
    <x v="132"/>
    <x v="1"/>
    <n v="571"/>
    <x v="2"/>
    <x v="654"/>
    <x v="81"/>
    <n v="1146.1280356782381"/>
    <x v="746"/>
  </r>
  <r>
    <x v="18"/>
    <x v="1"/>
    <x v="132"/>
    <x v="1"/>
    <n v="437"/>
    <x v="3"/>
    <x v="573"/>
    <x v="84"/>
    <n v="1021.1892990699382"/>
    <x v="637"/>
  </r>
  <r>
    <x v="18"/>
    <x v="1"/>
    <x v="132"/>
    <x v="1"/>
    <n v="336"/>
    <x v="4"/>
    <x v="4"/>
    <x v="4"/>
    <n v="924.27928606188175"/>
    <x v="4"/>
  </r>
  <r>
    <x v="18"/>
    <x v="1"/>
    <x v="132"/>
    <x v="1"/>
    <n v="235"/>
    <x v="5"/>
    <x v="17"/>
    <x v="209"/>
    <n v="845.09804001425687"/>
    <x v="390"/>
  </r>
  <r>
    <x v="18"/>
    <x v="1"/>
    <x v="57"/>
    <x v="4"/>
    <n v="1400"/>
    <x v="0"/>
    <x v="246"/>
    <x v="34"/>
    <n v="1698.9700043360187"/>
    <x v="270"/>
  </r>
  <r>
    <x v="18"/>
    <x v="1"/>
    <x v="57"/>
    <x v="4"/>
    <n v="1050"/>
    <x v="1"/>
    <x v="355"/>
    <x v="115"/>
    <n v="1397.9400086720375"/>
    <x v="389"/>
  </r>
  <r>
    <x v="18"/>
    <x v="1"/>
    <x v="57"/>
    <x v="4"/>
    <n v="800"/>
    <x v="2"/>
    <x v="654"/>
    <x v="81"/>
    <n v="1221.8487496163564"/>
    <x v="746"/>
  </r>
  <r>
    <x v="18"/>
    <x v="1"/>
    <x v="57"/>
    <x v="4"/>
    <n v="650"/>
    <x v="3"/>
    <x v="255"/>
    <x v="160"/>
    <n v="1096.9100130080562"/>
    <x v="282"/>
  </r>
  <r>
    <x v="18"/>
    <x v="1"/>
    <x v="57"/>
    <x v="4"/>
    <n v="500"/>
    <x v="4"/>
    <x v="87"/>
    <x v="72"/>
    <n v="999.99999999999989"/>
    <x v="94"/>
  </r>
  <r>
    <x v="18"/>
    <x v="1"/>
    <x v="57"/>
    <x v="4"/>
    <n v="350"/>
    <x v="5"/>
    <x v="215"/>
    <x v="1"/>
    <n v="920.81875395237512"/>
    <x v="238"/>
  </r>
  <r>
    <x v="18"/>
    <x v="1"/>
    <x v="57"/>
    <x v="4"/>
    <n v="250"/>
    <x v="6"/>
    <x v="255"/>
    <x v="178"/>
    <n v="853.87196432176188"/>
    <x v="791"/>
  </r>
  <r>
    <x v="18"/>
    <x v="1"/>
    <x v="133"/>
    <x v="1"/>
    <n v="728"/>
    <x v="0"/>
    <x v="585"/>
    <x v="358"/>
    <n v="1431.3637641589874"/>
    <x v="788"/>
  </r>
  <r>
    <x v="18"/>
    <x v="1"/>
    <x v="133"/>
    <x v="1"/>
    <n v="488"/>
    <x v="1"/>
    <x v="640"/>
    <x v="335"/>
    <n v="1130.3337684950061"/>
    <x v="731"/>
  </r>
  <r>
    <x v="18"/>
    <x v="1"/>
    <x v="133"/>
    <x v="1"/>
    <n v="347"/>
    <x v="2"/>
    <x v="311"/>
    <x v="22"/>
    <n v="954.24250943932498"/>
    <x v="340"/>
  </r>
  <r>
    <x v="18"/>
    <x v="1"/>
    <x v="133"/>
    <x v="1"/>
    <n v="281"/>
    <x v="3"/>
    <x v="543"/>
    <x v="25"/>
    <n v="829.30377283102496"/>
    <x v="600"/>
  </r>
  <r>
    <x v="18"/>
    <x v="1"/>
    <x v="133"/>
    <x v="1"/>
    <n v="216"/>
    <x v="4"/>
    <x v="485"/>
    <x v="262"/>
    <n v="732.39375982296849"/>
    <x v="533"/>
  </r>
  <r>
    <x v="18"/>
    <x v="1"/>
    <x v="133"/>
    <x v="1"/>
    <n v="100"/>
    <x v="5"/>
    <x v="687"/>
    <x v="28"/>
    <n v="653.21251377534372"/>
    <x v="792"/>
  </r>
  <r>
    <x v="18"/>
    <x v="1"/>
    <x v="5"/>
    <x v="1"/>
    <n v="1586"/>
    <x v="0"/>
    <x v="415"/>
    <x v="38"/>
    <n v="1924.2792860618815"/>
    <x v="786"/>
  </r>
  <r>
    <x v="18"/>
    <x v="1"/>
    <x v="5"/>
    <x v="1"/>
    <n v="1531"/>
    <x v="1"/>
    <x v="309"/>
    <x v="186"/>
    <n v="1623.2492903979003"/>
    <x v="337"/>
  </r>
  <r>
    <x v="18"/>
    <x v="1"/>
    <x v="5"/>
    <x v="1"/>
    <n v="1527"/>
    <x v="2"/>
    <x v="116"/>
    <x v="89"/>
    <n v="1447.1580313422191"/>
    <x v="123"/>
  </r>
  <r>
    <x v="18"/>
    <x v="1"/>
    <x v="5"/>
    <x v="1"/>
    <n v="1440"/>
    <x v="3"/>
    <x v="133"/>
    <x v="97"/>
    <n v="1322.219294733919"/>
    <x v="141"/>
  </r>
  <r>
    <x v="18"/>
    <x v="1"/>
    <x v="5"/>
    <x v="1"/>
    <n v="1101"/>
    <x v="4"/>
    <x v="688"/>
    <x v="3"/>
    <n v="1225.3092817258628"/>
    <x v="793"/>
  </r>
  <r>
    <x v="18"/>
    <x v="1"/>
    <x v="5"/>
    <x v="1"/>
    <n v="210"/>
    <x v="5"/>
    <x v="462"/>
    <x v="53"/>
    <n v="1146.1280356782379"/>
    <x v="506"/>
  </r>
  <r>
    <x v="18"/>
    <x v="1"/>
    <x v="5"/>
    <x v="1"/>
    <n v="210"/>
    <x v="5"/>
    <x v="654"/>
    <x v="81"/>
    <n v="1146.1280356782379"/>
    <x v="746"/>
  </r>
  <r>
    <x v="18"/>
    <x v="1"/>
    <x v="5"/>
    <x v="1"/>
    <n v="989"/>
    <x v="5"/>
    <x v="453"/>
    <x v="13"/>
    <n v="1146.1280356782379"/>
    <x v="655"/>
  </r>
  <r>
    <x v="18"/>
    <x v="1"/>
    <x v="5"/>
    <x v="1"/>
    <n v="859"/>
    <x v="5"/>
    <x v="687"/>
    <x v="359"/>
    <n v="1146.1280356782379"/>
    <x v="794"/>
  </r>
  <r>
    <x v="18"/>
    <x v="1"/>
    <x v="5"/>
    <x v="1"/>
    <n v="1047"/>
    <x v="5"/>
    <x v="689"/>
    <x v="34"/>
    <n v="1146.1280356782379"/>
    <x v="795"/>
  </r>
  <r>
    <x v="18"/>
    <x v="6"/>
    <x v="14"/>
    <x v="3"/>
    <n v="1728"/>
    <x v="0"/>
    <x v="311"/>
    <x v="22"/>
    <n v="1806.1799739838871"/>
    <x v="340"/>
  </r>
  <r>
    <x v="18"/>
    <x v="6"/>
    <x v="14"/>
    <x v="3"/>
    <n v="1280"/>
    <x v="1"/>
    <x v="448"/>
    <x v="245"/>
    <n v="1505.1499783199058"/>
    <x v="492"/>
  </r>
  <r>
    <x v="18"/>
    <x v="6"/>
    <x v="14"/>
    <x v="3"/>
    <n v="960"/>
    <x v="2"/>
    <x v="443"/>
    <x v="7"/>
    <n v="1329.0587192642247"/>
    <x v="486"/>
  </r>
  <r>
    <x v="18"/>
    <x v="6"/>
    <x v="14"/>
    <x v="3"/>
    <n v="768"/>
    <x v="3"/>
    <x v="352"/>
    <x v="35"/>
    <n v="1204.1199826559246"/>
    <x v="386"/>
  </r>
  <r>
    <x v="18"/>
    <x v="6"/>
    <x v="14"/>
    <x v="3"/>
    <n v="640"/>
    <x v="4"/>
    <x v="604"/>
    <x v="315"/>
    <n v="1107.2099696478683"/>
    <x v="682"/>
  </r>
  <r>
    <x v="18"/>
    <x v="6"/>
    <x v="14"/>
    <x v="3"/>
    <n v="448"/>
    <x v="5"/>
    <x v="300"/>
    <x v="25"/>
    <n v="1028.0287236002434"/>
    <x v="328"/>
  </r>
  <r>
    <x v="18"/>
    <x v="6"/>
    <x v="14"/>
    <x v="3"/>
    <n v="320"/>
    <x v="6"/>
    <x v="659"/>
    <x v="345"/>
    <n v="961.08193396963031"/>
    <x v="753"/>
  </r>
  <r>
    <x v="18"/>
    <x v="6"/>
    <x v="14"/>
    <x v="3"/>
    <n v="256"/>
    <x v="7"/>
    <x v="319"/>
    <x v="193"/>
    <n v="903.08998699194353"/>
    <x v="349"/>
  </r>
  <r>
    <x v="18"/>
    <x v="6"/>
    <x v="134"/>
    <x v="3"/>
    <n v="1850"/>
    <x v="0"/>
    <x v="133"/>
    <x v="97"/>
    <n v="1869.2317197309762"/>
    <x v="141"/>
  </r>
  <r>
    <x v="18"/>
    <x v="6"/>
    <x v="134"/>
    <x v="3"/>
    <n v="1406"/>
    <x v="1"/>
    <x v="573"/>
    <x v="84"/>
    <n v="1568.201724066995"/>
    <x v="637"/>
  </r>
  <r>
    <x v="18"/>
    <x v="6"/>
    <x v="134"/>
    <x v="3"/>
    <n v="1036"/>
    <x v="2"/>
    <x v="641"/>
    <x v="336"/>
    <n v="1392.1104650113139"/>
    <x v="732"/>
  </r>
  <r>
    <x v="18"/>
    <x v="6"/>
    <x v="134"/>
    <x v="3"/>
    <n v="740"/>
    <x v="3"/>
    <x v="45"/>
    <x v="73"/>
    <n v="1267.1717284030137"/>
    <x v="140"/>
  </r>
  <r>
    <x v="18"/>
    <x v="6"/>
    <x v="134"/>
    <x v="3"/>
    <n v="592"/>
    <x v="4"/>
    <x v="604"/>
    <x v="315"/>
    <n v="1170.2617153949575"/>
    <x v="682"/>
  </r>
  <r>
    <x v="18"/>
    <x v="6"/>
    <x v="134"/>
    <x v="3"/>
    <n v="444"/>
    <x v="5"/>
    <x v="99"/>
    <x v="79"/>
    <n v="1091.0804693473326"/>
    <x v="106"/>
  </r>
  <r>
    <x v="18"/>
    <x v="6"/>
    <x v="134"/>
    <x v="3"/>
    <n v="222"/>
    <x v="6"/>
    <x v="399"/>
    <x v="204"/>
    <n v="1024.1336797167194"/>
    <x v="438"/>
  </r>
  <r>
    <x v="18"/>
    <x v="6"/>
    <x v="134"/>
    <x v="3"/>
    <n v="222"/>
    <x v="7"/>
    <x v="120"/>
    <x v="49"/>
    <n v="966.1417327390327"/>
    <x v="127"/>
  </r>
  <r>
    <x v="18"/>
    <x v="6"/>
    <x v="134"/>
    <x v="3"/>
    <n v="222"/>
    <x v="8"/>
    <x v="690"/>
    <x v="26"/>
    <n v="914.98921029165137"/>
    <x v="796"/>
  </r>
  <r>
    <x v="18"/>
    <x v="6"/>
    <x v="134"/>
    <x v="3"/>
    <n v="222"/>
    <x v="9"/>
    <x v="17"/>
    <x v="209"/>
    <n v="869.23171973097624"/>
    <x v="390"/>
  </r>
  <r>
    <x v="18"/>
    <x v="6"/>
    <x v="134"/>
    <x v="3"/>
    <n v="222"/>
    <x v="10"/>
    <x v="4"/>
    <x v="4"/>
    <n v="827.83903457275107"/>
    <x v="4"/>
  </r>
  <r>
    <x v="18"/>
    <x v="6"/>
    <x v="134"/>
    <x v="3"/>
    <n v="222"/>
    <x v="11"/>
    <x v="9"/>
    <x v="9"/>
    <n v="790.05047368335136"/>
    <x v="9"/>
  </r>
  <r>
    <x v="18"/>
    <x v="6"/>
    <x v="135"/>
    <x v="1"/>
    <n v="941"/>
    <x v="0"/>
    <x v="487"/>
    <x v="25"/>
    <n v="1748.1880270062004"/>
    <x v="535"/>
  </r>
  <r>
    <x v="18"/>
    <x v="6"/>
    <x v="135"/>
    <x v="1"/>
    <n v="706"/>
    <x v="1"/>
    <x v="673"/>
    <x v="120"/>
    <n v="1447.1580313422191"/>
    <x v="770"/>
  </r>
  <r>
    <x v="18"/>
    <x v="6"/>
    <x v="135"/>
    <x v="1"/>
    <n v="537"/>
    <x v="2"/>
    <x v="310"/>
    <x v="188"/>
    <n v="1271.066772286538"/>
    <x v="339"/>
  </r>
  <r>
    <x v="18"/>
    <x v="6"/>
    <x v="135"/>
    <x v="1"/>
    <n v="437"/>
    <x v="3"/>
    <x v="355"/>
    <x v="115"/>
    <n v="1146.1280356782381"/>
    <x v="389"/>
  </r>
  <r>
    <x v="18"/>
    <x v="6"/>
    <x v="135"/>
    <x v="1"/>
    <n v="336"/>
    <x v="4"/>
    <x v="691"/>
    <x v="144"/>
    <n v="1049.2180226701814"/>
    <x v="797"/>
  </r>
  <r>
    <x v="18"/>
    <x v="6"/>
    <x v="135"/>
    <x v="1"/>
    <n v="235"/>
    <x v="5"/>
    <x v="128"/>
    <x v="21"/>
    <n v="970.03677662255677"/>
    <x v="135"/>
  </r>
  <r>
    <x v="18"/>
    <x v="6"/>
    <x v="135"/>
    <x v="1"/>
    <n v="168"/>
    <x v="6"/>
    <x v="31"/>
    <x v="32"/>
    <n v="903.08998699194365"/>
    <x v="33"/>
  </r>
  <r>
    <x v="18"/>
    <x v="6"/>
    <x v="136"/>
    <x v="1"/>
    <n v="1053"/>
    <x v="0"/>
    <x v="390"/>
    <x v="202"/>
    <n v="1812.9133566428554"/>
    <x v="428"/>
  </r>
  <r>
    <x v="18"/>
    <x v="6"/>
    <x v="136"/>
    <x v="1"/>
    <n v="780"/>
    <x v="1"/>
    <x v="87"/>
    <x v="72"/>
    <n v="1511.8833609788742"/>
    <x v="94"/>
  </r>
  <r>
    <x v="18"/>
    <x v="6"/>
    <x v="136"/>
    <x v="1"/>
    <n v="585"/>
    <x v="2"/>
    <x v="302"/>
    <x v="183"/>
    <n v="1335.7921019231931"/>
    <x v="330"/>
  </r>
  <r>
    <x v="18"/>
    <x v="6"/>
    <x v="136"/>
    <x v="1"/>
    <n v="468"/>
    <x v="3"/>
    <x v="604"/>
    <x v="315"/>
    <n v="1210.8533653148932"/>
    <x v="682"/>
  </r>
  <r>
    <x v="18"/>
    <x v="6"/>
    <x v="136"/>
    <x v="1"/>
    <n v="390"/>
    <x v="4"/>
    <x v="410"/>
    <x v="229"/>
    <n v="1113.9433523068365"/>
    <x v="450"/>
  </r>
  <r>
    <x v="18"/>
    <x v="6"/>
    <x v="136"/>
    <x v="1"/>
    <n v="273"/>
    <x v="5"/>
    <x v="22"/>
    <x v="22"/>
    <n v="1034.7621062592118"/>
    <x v="22"/>
  </r>
  <r>
    <x v="18"/>
    <x v="6"/>
    <x v="136"/>
    <x v="1"/>
    <n v="195"/>
    <x v="6"/>
    <x v="224"/>
    <x v="22"/>
    <n v="967.81531662859868"/>
    <x v="247"/>
  </r>
  <r>
    <x v="18"/>
    <x v="6"/>
    <x v="136"/>
    <x v="1"/>
    <n v="156"/>
    <x v="7"/>
    <x v="452"/>
    <x v="144"/>
    <n v="909.8233696509119"/>
    <x v="496"/>
  </r>
  <r>
    <x v="18"/>
    <x v="6"/>
    <x v="137"/>
    <x v="2"/>
    <n v="2430"/>
    <x v="0"/>
    <x v="40"/>
    <x v="22"/>
    <n v="1875.0612633917001"/>
    <x v="779"/>
  </r>
  <r>
    <x v="18"/>
    <x v="6"/>
    <x v="137"/>
    <x v="2"/>
    <n v="1800"/>
    <x v="1"/>
    <x v="462"/>
    <x v="53"/>
    <n v="1574.0312677277188"/>
    <x v="506"/>
  </r>
  <r>
    <x v="18"/>
    <x v="6"/>
    <x v="137"/>
    <x v="2"/>
    <n v="1350"/>
    <x v="2"/>
    <x v="446"/>
    <x v="13"/>
    <n v="1397.9400086720377"/>
    <x v="490"/>
  </r>
  <r>
    <x v="18"/>
    <x v="6"/>
    <x v="137"/>
    <x v="2"/>
    <n v="1080"/>
    <x v="3"/>
    <x v="319"/>
    <x v="193"/>
    <n v="1273.0012720637376"/>
    <x v="349"/>
  </r>
  <r>
    <x v="18"/>
    <x v="6"/>
    <x v="137"/>
    <x v="2"/>
    <n v="900"/>
    <x v="4"/>
    <x v="390"/>
    <x v="202"/>
    <n v="1176.0912590556813"/>
    <x v="428"/>
  </r>
  <r>
    <x v="18"/>
    <x v="6"/>
    <x v="137"/>
    <x v="2"/>
    <n v="630"/>
    <x v="5"/>
    <x v="487"/>
    <x v="25"/>
    <n v="1096.9100130080565"/>
    <x v="535"/>
  </r>
  <r>
    <x v="18"/>
    <x v="6"/>
    <x v="137"/>
    <x v="2"/>
    <n v="450"/>
    <x v="6"/>
    <x v="4"/>
    <x v="4"/>
    <n v="1029.9632233774432"/>
    <x v="4"/>
  </r>
  <r>
    <x v="18"/>
    <x v="6"/>
    <x v="137"/>
    <x v="2"/>
    <n v="360"/>
    <x v="7"/>
    <x v="302"/>
    <x v="183"/>
    <n v="971.97127639975656"/>
    <x v="330"/>
  </r>
  <r>
    <x v="18"/>
    <x v="3"/>
    <x v="31"/>
    <x v="2"/>
    <n v="1200"/>
    <x v="0"/>
    <x v="106"/>
    <x v="13"/>
    <n v="845.09804001425687"/>
    <x v="575"/>
  </r>
  <r>
    <x v="18"/>
    <x v="3"/>
    <x v="31"/>
    <x v="2"/>
    <n v="900"/>
    <x v="1"/>
    <x v="32"/>
    <x v="33"/>
    <n v="694.58304218226624"/>
    <x v="34"/>
  </r>
  <r>
    <x v="18"/>
    <x v="3"/>
    <x v="31"/>
    <x v="2"/>
    <n v="600"/>
    <x v="2"/>
    <x v="573"/>
    <x v="297"/>
    <n v="606.53741265442568"/>
    <x v="636"/>
  </r>
  <r>
    <x v="18"/>
    <x v="3"/>
    <x v="31"/>
    <x v="2"/>
    <n v="500"/>
    <x v="3"/>
    <x v="352"/>
    <x v="35"/>
    <n v="544.06804435027561"/>
    <x v="386"/>
  </r>
  <r>
    <x v="18"/>
    <x v="3"/>
    <x v="31"/>
    <x v="2"/>
    <n v="400"/>
    <x v="4"/>
    <x v="149"/>
    <x v="15"/>
    <n v="495.61303784624738"/>
    <x v="160"/>
  </r>
  <r>
    <x v="18"/>
    <x v="3"/>
    <x v="31"/>
    <x v="2"/>
    <n v="400"/>
    <x v="4"/>
    <x v="446"/>
    <x v="13"/>
    <n v="495.61303784624738"/>
    <x v="490"/>
  </r>
  <r>
    <x v="18"/>
    <x v="3"/>
    <x v="31"/>
    <x v="2"/>
    <n v="400"/>
    <x v="4"/>
    <x v="379"/>
    <x v="53"/>
    <n v="495.61303784624738"/>
    <x v="417"/>
  </r>
  <r>
    <x v="18"/>
    <x v="3"/>
    <x v="31"/>
    <x v="2"/>
    <n v="400"/>
    <x v="4"/>
    <x v="487"/>
    <x v="25"/>
    <n v="495.61303784624738"/>
    <x v="535"/>
  </r>
  <r>
    <x v="18"/>
    <x v="3"/>
    <x v="138"/>
    <x v="1"/>
    <n v="1809"/>
    <x v="0"/>
    <x v="302"/>
    <x v="183"/>
    <n v="1819.5439355418687"/>
    <x v="330"/>
  </r>
  <r>
    <x v="18"/>
    <x v="3"/>
    <x v="138"/>
    <x v="1"/>
    <n v="1340"/>
    <x v="1"/>
    <x v="40"/>
    <x v="22"/>
    <n v="1518.5139398778874"/>
    <x v="779"/>
  </r>
  <r>
    <x v="18"/>
    <x v="3"/>
    <x v="138"/>
    <x v="1"/>
    <n v="1005"/>
    <x v="2"/>
    <x v="40"/>
    <x v="38"/>
    <n v="1342.4226808222063"/>
    <x v="42"/>
  </r>
  <r>
    <x v="18"/>
    <x v="3"/>
    <x v="138"/>
    <x v="1"/>
    <n v="804"/>
    <x v="3"/>
    <x v="462"/>
    <x v="53"/>
    <n v="1217.4839442139062"/>
    <x v="506"/>
  </r>
  <r>
    <x v="18"/>
    <x v="3"/>
    <x v="138"/>
    <x v="1"/>
    <n v="670"/>
    <x v="4"/>
    <x v="87"/>
    <x v="72"/>
    <n v="1120.5739312058499"/>
    <x v="94"/>
  </r>
  <r>
    <x v="18"/>
    <x v="3"/>
    <x v="138"/>
    <x v="1"/>
    <n v="469"/>
    <x v="5"/>
    <x v="49"/>
    <x v="13"/>
    <n v="1041.392685158225"/>
    <x v="51"/>
  </r>
  <r>
    <x v="18"/>
    <x v="3"/>
    <x v="138"/>
    <x v="1"/>
    <n v="335"/>
    <x v="6"/>
    <x v="52"/>
    <x v="7"/>
    <n v="974.44589552761192"/>
    <x v="55"/>
  </r>
  <r>
    <x v="18"/>
    <x v="3"/>
    <x v="138"/>
    <x v="1"/>
    <n v="268"/>
    <x v="7"/>
    <x v="106"/>
    <x v="13"/>
    <n v="916.45394854992526"/>
    <x v="575"/>
  </r>
  <r>
    <x v="18"/>
    <x v="3"/>
    <x v="76"/>
    <x v="2"/>
    <n v="1836"/>
    <x v="0"/>
    <x v="573"/>
    <x v="84"/>
    <n v="1832.5089127062363"/>
    <x v="637"/>
  </r>
  <r>
    <x v="18"/>
    <x v="3"/>
    <x v="76"/>
    <x v="2"/>
    <n v="1360"/>
    <x v="1"/>
    <x v="178"/>
    <x v="81"/>
    <n v="1531.478917042255"/>
    <x v="194"/>
  </r>
  <r>
    <x v="18"/>
    <x v="3"/>
    <x v="76"/>
    <x v="2"/>
    <n v="1020"/>
    <x v="2"/>
    <x v="32"/>
    <x v="33"/>
    <n v="1355.3876579865739"/>
    <x v="34"/>
  </r>
  <r>
    <x v="18"/>
    <x v="3"/>
    <x v="76"/>
    <x v="2"/>
    <n v="816"/>
    <x v="3"/>
    <x v="4"/>
    <x v="4"/>
    <n v="1230.448921378274"/>
    <x v="4"/>
  </r>
  <r>
    <x v="18"/>
    <x v="3"/>
    <x v="76"/>
    <x v="2"/>
    <n v="680"/>
    <x v="4"/>
    <x v="692"/>
    <x v="257"/>
    <n v="1133.5389083702173"/>
    <x v="798"/>
  </r>
  <r>
    <x v="18"/>
    <x v="3"/>
    <x v="76"/>
    <x v="2"/>
    <n v="476"/>
    <x v="5"/>
    <x v="352"/>
    <x v="35"/>
    <n v="1054.3576623225927"/>
    <x v="386"/>
  </r>
  <r>
    <x v="18"/>
    <x v="3"/>
    <x v="76"/>
    <x v="2"/>
    <n v="340"/>
    <x v="6"/>
    <x v="15"/>
    <x v="15"/>
    <n v="987.41087269197953"/>
    <x v="15"/>
  </r>
  <r>
    <x v="18"/>
    <x v="3"/>
    <x v="76"/>
    <x v="2"/>
    <n v="272"/>
    <x v="7"/>
    <x v="691"/>
    <x v="144"/>
    <n v="929.41892571429287"/>
    <x v="797"/>
  </r>
  <r>
    <x v="18"/>
    <x v="3"/>
    <x v="17"/>
    <x v="1"/>
    <n v="900"/>
    <x v="0"/>
    <x v="8"/>
    <x v="29"/>
    <n v="698.97000433601886"/>
    <x v="29"/>
  </r>
  <r>
    <x v="18"/>
    <x v="3"/>
    <x v="17"/>
    <x v="1"/>
    <n v="900"/>
    <x v="0"/>
    <x v="87"/>
    <x v="72"/>
    <n v="698.97000433601886"/>
    <x v="94"/>
  </r>
  <r>
    <x v="18"/>
    <x v="3"/>
    <x v="17"/>
    <x v="1"/>
    <n v="600"/>
    <x v="1"/>
    <x v="45"/>
    <x v="42"/>
    <n v="548.45500650402823"/>
    <x v="47"/>
  </r>
  <r>
    <x v="18"/>
    <x v="3"/>
    <x v="17"/>
    <x v="1"/>
    <n v="600"/>
    <x v="1"/>
    <x v="173"/>
    <x v="121"/>
    <n v="548.45500650402823"/>
    <x v="188"/>
  </r>
  <r>
    <x v="18"/>
    <x v="3"/>
    <x v="17"/>
    <x v="1"/>
    <n v="425"/>
    <x v="2"/>
    <x v="21"/>
    <x v="21"/>
    <n v="460.40937697618767"/>
    <x v="21"/>
  </r>
  <r>
    <x v="18"/>
    <x v="3"/>
    <x v="17"/>
    <x v="1"/>
    <n v="425"/>
    <x v="2"/>
    <x v="51"/>
    <x v="24"/>
    <n v="460.40937697618767"/>
    <x v="53"/>
  </r>
  <r>
    <x v="18"/>
    <x v="3"/>
    <x v="17"/>
    <x v="1"/>
    <n v="325"/>
    <x v="3"/>
    <x v="224"/>
    <x v="22"/>
    <n v="397.94000867203766"/>
    <x v="247"/>
  </r>
  <r>
    <x v="18"/>
    <x v="3"/>
    <x v="17"/>
    <x v="1"/>
    <n v="325"/>
    <x v="3"/>
    <x v="573"/>
    <x v="84"/>
    <n v="397.94000867203766"/>
    <x v="637"/>
  </r>
  <r>
    <x v="18"/>
    <x v="3"/>
    <x v="17"/>
    <x v="1"/>
    <n v="250"/>
    <x v="4"/>
    <x v="22"/>
    <x v="22"/>
    <n v="349.48500216800943"/>
    <x v="22"/>
  </r>
  <r>
    <x v="18"/>
    <x v="3"/>
    <x v="17"/>
    <x v="1"/>
    <n v="250"/>
    <x v="4"/>
    <x v="324"/>
    <x v="200"/>
    <n v="349.48500216800943"/>
    <x v="752"/>
  </r>
  <r>
    <x v="19"/>
    <x v="7"/>
    <x v="32"/>
    <x v="1"/>
    <n v="1248"/>
    <x v="0"/>
    <x v="9"/>
    <x v="190"/>
    <n v="1505.149978319906"/>
    <x v="799"/>
  </r>
  <r>
    <x v="19"/>
    <x v="7"/>
    <x v="32"/>
    <x v="1"/>
    <n v="1000"/>
    <x v="1"/>
    <x v="610"/>
    <x v="86"/>
    <n v="1204.1199826559248"/>
    <x v="691"/>
  </r>
  <r>
    <x v="19"/>
    <x v="7"/>
    <x v="32"/>
    <x v="1"/>
    <n v="1000"/>
    <x v="2"/>
    <x v="693"/>
    <x v="7"/>
    <n v="1028.0287236002437"/>
    <x v="800"/>
  </r>
  <r>
    <x v="19"/>
    <x v="7"/>
    <x v="32"/>
    <x v="1"/>
    <n v="1000"/>
    <x v="3"/>
    <x v="647"/>
    <x v="62"/>
    <n v="903.08998699194365"/>
    <x v="738"/>
  </r>
  <r>
    <x v="19"/>
    <x v="7"/>
    <x v="32"/>
    <x v="1"/>
    <n v="1000"/>
    <x v="4"/>
    <x v="441"/>
    <x v="29"/>
    <n v="806.17997398388718"/>
    <x v="484"/>
  </r>
  <r>
    <x v="19"/>
    <x v="7"/>
    <x v="2"/>
    <x v="2"/>
    <n v="2254"/>
    <x v="0"/>
    <x v="102"/>
    <x v="37"/>
    <n v="1579.7835966168102"/>
    <x v="109"/>
  </r>
  <r>
    <x v="19"/>
    <x v="7"/>
    <x v="2"/>
    <x v="2"/>
    <n v="1358"/>
    <x v="1"/>
    <x v="441"/>
    <x v="23"/>
    <n v="1278.7536009528289"/>
    <x v="801"/>
  </r>
  <r>
    <x v="19"/>
    <x v="7"/>
    <x v="2"/>
    <x v="2"/>
    <n v="835"/>
    <x v="2"/>
    <x v="28"/>
    <x v="28"/>
    <n v="1102.6623418971478"/>
    <x v="28"/>
  </r>
  <r>
    <x v="19"/>
    <x v="7"/>
    <x v="2"/>
    <x v="2"/>
    <n v="686"/>
    <x v="3"/>
    <x v="428"/>
    <x v="81"/>
    <n v="977.72360528884769"/>
    <x v="470"/>
  </r>
  <r>
    <x v="19"/>
    <x v="7"/>
    <x v="2"/>
    <x v="2"/>
    <n v="499"/>
    <x v="4"/>
    <x v="694"/>
    <x v="185"/>
    <n v="880.81359228079123"/>
    <x v="802"/>
  </r>
  <r>
    <x v="19"/>
    <x v="7"/>
    <x v="2"/>
    <x v="2"/>
    <n v="200"/>
    <x v="5"/>
    <x v="72"/>
    <x v="25"/>
    <n v="801.63234623316646"/>
    <x v="77"/>
  </r>
  <r>
    <x v="19"/>
    <x v="7"/>
    <x v="2"/>
    <x v="2"/>
    <n v="200"/>
    <x v="6"/>
    <x v="32"/>
    <x v="33"/>
    <n v="734.68555660255333"/>
    <x v="34"/>
  </r>
  <r>
    <x v="19"/>
    <x v="7"/>
    <x v="2"/>
    <x v="2"/>
    <n v="200"/>
    <x v="7"/>
    <x v="47"/>
    <x v="13"/>
    <n v="676.69360962486655"/>
    <x v="49"/>
  </r>
  <r>
    <x v="19"/>
    <x v="7"/>
    <x v="105"/>
    <x v="4"/>
    <n v="1919"/>
    <x v="0"/>
    <x v="356"/>
    <x v="310"/>
    <n v="1447.1580313422191"/>
    <x v="672"/>
  </r>
  <r>
    <x v="19"/>
    <x v="7"/>
    <x v="105"/>
    <x v="4"/>
    <n v="1151"/>
    <x v="1"/>
    <x v="441"/>
    <x v="23"/>
    <n v="1146.1280356782379"/>
    <x v="801"/>
  </r>
  <r>
    <x v="19"/>
    <x v="7"/>
    <x v="105"/>
    <x v="4"/>
    <n v="725"/>
    <x v="2"/>
    <x v="695"/>
    <x v="360"/>
    <n v="970.03677662255677"/>
    <x v="803"/>
  </r>
  <r>
    <x v="19"/>
    <x v="7"/>
    <x v="105"/>
    <x v="4"/>
    <n v="469"/>
    <x v="3"/>
    <x v="47"/>
    <x v="13"/>
    <n v="845.09804001425687"/>
    <x v="49"/>
  </r>
  <r>
    <x v="19"/>
    <x v="7"/>
    <x v="105"/>
    <x v="4"/>
    <n v="250"/>
    <x v="4"/>
    <x v="610"/>
    <x v="86"/>
    <n v="748.1880270062004"/>
    <x v="691"/>
  </r>
  <r>
    <x v="19"/>
    <x v="1"/>
    <x v="139"/>
    <x v="7"/>
    <n v="638"/>
    <x v="0"/>
    <x v="573"/>
    <x v="84"/>
    <n v="1278.7536009528289"/>
    <x v="637"/>
  </r>
  <r>
    <x v="19"/>
    <x v="1"/>
    <x v="139"/>
    <x v="7"/>
    <n v="395"/>
    <x v="1"/>
    <x v="9"/>
    <x v="9"/>
    <n v="977.72360528884758"/>
    <x v="9"/>
  </r>
  <r>
    <x v="19"/>
    <x v="1"/>
    <x v="139"/>
    <x v="7"/>
    <n v="274"/>
    <x v="2"/>
    <x v="224"/>
    <x v="22"/>
    <n v="801.63234623316646"/>
    <x v="247"/>
  </r>
  <r>
    <x v="19"/>
    <x v="1"/>
    <x v="139"/>
    <x v="7"/>
    <n v="213"/>
    <x v="3"/>
    <x v="573"/>
    <x v="297"/>
    <n v="676.69360962486644"/>
    <x v="636"/>
  </r>
  <r>
    <x v="19"/>
    <x v="1"/>
    <x v="89"/>
    <x v="1"/>
    <n v="1211"/>
    <x v="0"/>
    <x v="116"/>
    <x v="89"/>
    <n v="1612.7838567197355"/>
    <x v="123"/>
  </r>
  <r>
    <x v="19"/>
    <x v="1"/>
    <x v="89"/>
    <x v="1"/>
    <n v="862"/>
    <x v="1"/>
    <x v="355"/>
    <x v="115"/>
    <n v="1311.7538610557542"/>
    <x v="389"/>
  </r>
  <r>
    <x v="19"/>
    <x v="1"/>
    <x v="89"/>
    <x v="1"/>
    <n v="667"/>
    <x v="2"/>
    <x v="485"/>
    <x v="262"/>
    <n v="1135.6626020000731"/>
    <x v="533"/>
  </r>
  <r>
    <x v="19"/>
    <x v="1"/>
    <x v="89"/>
    <x v="1"/>
    <n v="553"/>
    <x v="3"/>
    <x v="153"/>
    <x v="107"/>
    <n v="1010.723865391773"/>
    <x v="165"/>
  </r>
  <r>
    <x v="19"/>
    <x v="1"/>
    <x v="89"/>
    <x v="1"/>
    <n v="410"/>
    <x v="4"/>
    <x v="126"/>
    <x v="93"/>
    <n v="913.81385238371661"/>
    <x v="133"/>
  </r>
  <r>
    <x v="19"/>
    <x v="1"/>
    <x v="89"/>
    <x v="1"/>
    <n v="287"/>
    <x v="5"/>
    <x v="99"/>
    <x v="79"/>
    <n v="834.63260633609184"/>
    <x v="106"/>
  </r>
  <r>
    <x v="19"/>
    <x v="1"/>
    <x v="89"/>
    <x v="1"/>
    <n v="130"/>
    <x v="6"/>
    <x v="356"/>
    <x v="310"/>
    <n v="767.6858167054786"/>
    <x v="672"/>
  </r>
  <r>
    <x v="19"/>
    <x v="1"/>
    <x v="140"/>
    <x v="7"/>
    <n v="883"/>
    <x v="0"/>
    <x v="255"/>
    <x v="160"/>
    <n v="1380.2112417116059"/>
    <x v="282"/>
  </r>
  <r>
    <x v="19"/>
    <x v="1"/>
    <x v="140"/>
    <x v="7"/>
    <n v="538"/>
    <x v="1"/>
    <x v="397"/>
    <x v="104"/>
    <n v="1079.1812460476247"/>
    <x v="436"/>
  </r>
  <r>
    <x v="19"/>
    <x v="1"/>
    <x v="140"/>
    <x v="7"/>
    <n v="365"/>
    <x v="2"/>
    <x v="696"/>
    <x v="188"/>
    <n v="903.08998699194353"/>
    <x v="804"/>
  </r>
  <r>
    <x v="19"/>
    <x v="1"/>
    <x v="140"/>
    <x v="7"/>
    <n v="134"/>
    <x v="3"/>
    <x v="453"/>
    <x v="13"/>
    <n v="778.15125038364351"/>
    <x v="655"/>
  </r>
  <r>
    <x v="19"/>
    <x v="1"/>
    <x v="141"/>
    <x v="2"/>
    <n v="1079"/>
    <x v="0"/>
    <x v="9"/>
    <x v="9"/>
    <n v="1477.1212547196624"/>
    <x v="9"/>
  </r>
  <r>
    <x v="19"/>
    <x v="1"/>
    <x v="141"/>
    <x v="2"/>
    <n v="721"/>
    <x v="1"/>
    <x v="573"/>
    <x v="84"/>
    <n v="1176.0912590556811"/>
    <x v="637"/>
  </r>
  <r>
    <x v="19"/>
    <x v="1"/>
    <x v="141"/>
    <x v="2"/>
    <n v="210"/>
    <x v="2"/>
    <x v="4"/>
    <x v="4"/>
    <n v="1000"/>
    <x v="4"/>
  </r>
  <r>
    <x v="19"/>
    <x v="1"/>
    <x v="141"/>
    <x v="2"/>
    <n v="390"/>
    <x v="3"/>
    <x v="697"/>
    <x v="347"/>
    <n v="875.06126339169998"/>
    <x v="805"/>
  </r>
  <r>
    <x v="19"/>
    <x v="1"/>
    <x v="141"/>
    <x v="2"/>
    <n v="300"/>
    <x v="4"/>
    <x v="698"/>
    <x v="361"/>
    <n v="778.15125038364351"/>
    <x v="806"/>
  </r>
  <r>
    <x v="19"/>
    <x v="1"/>
    <x v="142"/>
    <x v="2"/>
    <n v="1555"/>
    <x v="0"/>
    <x v="306"/>
    <x v="15"/>
    <n v="1531.478917042255"/>
    <x v="334"/>
  </r>
  <r>
    <x v="19"/>
    <x v="1"/>
    <x v="142"/>
    <x v="2"/>
    <n v="403"/>
    <x v="1"/>
    <x v="453"/>
    <x v="13"/>
    <n v="1230.4489213782738"/>
    <x v="655"/>
  </r>
  <r>
    <x v="19"/>
    <x v="1"/>
    <x v="142"/>
    <x v="2"/>
    <n v="350"/>
    <x v="2"/>
    <x v="45"/>
    <x v="73"/>
    <n v="1054.3576623225927"/>
    <x v="140"/>
  </r>
  <r>
    <x v="19"/>
    <x v="1"/>
    <x v="142"/>
    <x v="2"/>
    <n v="218"/>
    <x v="3"/>
    <x v="302"/>
    <x v="183"/>
    <n v="929.41892571429275"/>
    <x v="330"/>
  </r>
  <r>
    <x v="19"/>
    <x v="1"/>
    <x v="142"/>
    <x v="2"/>
    <n v="268"/>
    <x v="4"/>
    <x v="355"/>
    <x v="115"/>
    <n v="832.50891270623629"/>
    <x v="389"/>
  </r>
  <r>
    <x v="19"/>
    <x v="1"/>
    <x v="76"/>
    <x v="2"/>
    <n v="3002"/>
    <x v="0"/>
    <x v="637"/>
    <x v="334"/>
    <n v="1919.078092376074"/>
    <x v="728"/>
  </r>
  <r>
    <x v="19"/>
    <x v="1"/>
    <x v="76"/>
    <x v="2"/>
    <n v="2188"/>
    <x v="1"/>
    <x v="248"/>
    <x v="158"/>
    <n v="1618.0480967120927"/>
    <x v="274"/>
  </r>
  <r>
    <x v="19"/>
    <x v="1"/>
    <x v="76"/>
    <x v="2"/>
    <n v="1723"/>
    <x v="2"/>
    <x v="32"/>
    <x v="33"/>
    <n v="1441.9568376564116"/>
    <x v="34"/>
  </r>
  <r>
    <x v="19"/>
    <x v="1"/>
    <x v="76"/>
    <x v="2"/>
    <n v="1374"/>
    <x v="3"/>
    <x v="573"/>
    <x v="84"/>
    <n v="1317.0181010481117"/>
    <x v="637"/>
  </r>
  <r>
    <x v="19"/>
    <x v="1"/>
    <x v="76"/>
    <x v="2"/>
    <n v="1026"/>
    <x v="4"/>
    <x v="658"/>
    <x v="344"/>
    <n v="1220.108088040055"/>
    <x v="751"/>
  </r>
  <r>
    <x v="19"/>
    <x v="1"/>
    <x v="76"/>
    <x v="2"/>
    <n v="763"/>
    <x v="5"/>
    <x v="9"/>
    <x v="9"/>
    <n v="1140.9268419924304"/>
    <x v="9"/>
  </r>
  <r>
    <x v="19"/>
    <x v="1"/>
    <x v="76"/>
    <x v="2"/>
    <n v="561"/>
    <x v="6"/>
    <x v="45"/>
    <x v="73"/>
    <n v="1073.9800523618173"/>
    <x v="140"/>
  </r>
  <r>
    <x v="19"/>
    <x v="1"/>
    <x v="76"/>
    <x v="2"/>
    <n v="329"/>
    <x v="7"/>
    <x v="572"/>
    <x v="296"/>
    <n v="1015.9881053841304"/>
    <x v="635"/>
  </r>
  <r>
    <x v="19"/>
    <x v="1"/>
    <x v="76"/>
    <x v="2"/>
    <n v="212"/>
    <x v="8"/>
    <x v="452"/>
    <x v="144"/>
    <n v="964.83558293674912"/>
    <x v="496"/>
  </r>
  <r>
    <x v="19"/>
    <x v="1"/>
    <x v="76"/>
    <x v="2"/>
    <n v="212"/>
    <x v="9"/>
    <x v="177"/>
    <x v="125"/>
    <n v="919.07809237607398"/>
    <x v="193"/>
  </r>
  <r>
    <x v="19"/>
    <x v="1"/>
    <x v="76"/>
    <x v="2"/>
    <n v="200"/>
    <x v="10"/>
    <x v="83"/>
    <x v="57"/>
    <n v="877.68540721784882"/>
    <x v="89"/>
  </r>
  <r>
    <x v="19"/>
    <x v="1"/>
    <x v="51"/>
    <x v="4"/>
    <n v="972"/>
    <x v="0"/>
    <x v="22"/>
    <x v="22"/>
    <n v="1431.3637641589874"/>
    <x v="22"/>
  </r>
  <r>
    <x v="19"/>
    <x v="1"/>
    <x v="51"/>
    <x v="4"/>
    <n v="658"/>
    <x v="1"/>
    <x v="248"/>
    <x v="158"/>
    <n v="1130.3337684950061"/>
    <x v="274"/>
  </r>
  <r>
    <x v="19"/>
    <x v="1"/>
    <x v="51"/>
    <x v="4"/>
    <n v="459"/>
    <x v="2"/>
    <x v="4"/>
    <x v="4"/>
    <n v="954.24250943932498"/>
    <x v="4"/>
  </r>
  <r>
    <x v="19"/>
    <x v="1"/>
    <x v="51"/>
    <x v="4"/>
    <n v="351"/>
    <x v="3"/>
    <x v="306"/>
    <x v="15"/>
    <n v="829.30377283102496"/>
    <x v="334"/>
  </r>
  <r>
    <x v="19"/>
    <x v="1"/>
    <x v="51"/>
    <x v="4"/>
    <n v="270"/>
    <x v="4"/>
    <x v="399"/>
    <x v="204"/>
    <n v="732.39375982296849"/>
    <x v="438"/>
  </r>
  <r>
    <x v="19"/>
    <x v="1"/>
    <x v="143"/>
    <x v="4"/>
    <n v="891"/>
    <x v="0"/>
    <x v="302"/>
    <x v="183"/>
    <n v="1361.7278360175928"/>
    <x v="330"/>
  </r>
  <r>
    <x v="19"/>
    <x v="1"/>
    <x v="143"/>
    <x v="4"/>
    <n v="548"/>
    <x v="1"/>
    <x v="573"/>
    <x v="84"/>
    <n v="1060.6978403536116"/>
    <x v="637"/>
  </r>
  <r>
    <x v="19"/>
    <x v="1"/>
    <x v="143"/>
    <x v="4"/>
    <n v="399"/>
    <x v="2"/>
    <x v="87"/>
    <x v="72"/>
    <n v="884.60658129793046"/>
    <x v="94"/>
  </r>
  <r>
    <x v="19"/>
    <x v="1"/>
    <x v="143"/>
    <x v="4"/>
    <n v="312"/>
    <x v="3"/>
    <x v="126"/>
    <x v="93"/>
    <n v="759.66784468963044"/>
    <x v="133"/>
  </r>
  <r>
    <x v="19"/>
    <x v="1"/>
    <x v="143"/>
    <x v="4"/>
    <n v="150"/>
    <x v="4"/>
    <x v="446"/>
    <x v="13"/>
    <n v="662.75783168157398"/>
    <x v="490"/>
  </r>
  <r>
    <x v="19"/>
    <x v="1"/>
    <x v="5"/>
    <x v="1"/>
    <n v="1960"/>
    <x v="0"/>
    <x v="411"/>
    <x v="231"/>
    <n v="1748.1880270062004"/>
    <x v="452"/>
  </r>
  <r>
    <x v="19"/>
    <x v="1"/>
    <x v="5"/>
    <x v="1"/>
    <n v="1470"/>
    <x v="1"/>
    <x v="699"/>
    <x v="202"/>
    <n v="1447.1580313422191"/>
    <x v="807"/>
  </r>
  <r>
    <x v="19"/>
    <x v="1"/>
    <x v="5"/>
    <x v="1"/>
    <n v="1120"/>
    <x v="2"/>
    <x v="445"/>
    <x v="327"/>
    <n v="1271.066772286538"/>
    <x v="717"/>
  </r>
  <r>
    <x v="19"/>
    <x v="1"/>
    <x v="5"/>
    <x v="1"/>
    <n v="910"/>
    <x v="3"/>
    <x v="215"/>
    <x v="104"/>
    <n v="1146.1280356782381"/>
    <x v="602"/>
  </r>
  <r>
    <x v="19"/>
    <x v="1"/>
    <x v="5"/>
    <x v="1"/>
    <n v="700"/>
    <x v="4"/>
    <x v="106"/>
    <x v="13"/>
    <n v="1049.2180226701814"/>
    <x v="575"/>
  </r>
  <r>
    <x v="19"/>
    <x v="1"/>
    <x v="5"/>
    <x v="1"/>
    <n v="490"/>
    <x v="5"/>
    <x v="637"/>
    <x v="334"/>
    <n v="970.03677662255677"/>
    <x v="728"/>
  </r>
  <r>
    <x v="19"/>
    <x v="1"/>
    <x v="5"/>
    <x v="1"/>
    <n v="350"/>
    <x v="6"/>
    <x v="22"/>
    <x v="22"/>
    <n v="903.08998699194365"/>
    <x v="22"/>
  </r>
  <r>
    <x v="19"/>
    <x v="1"/>
    <x v="144"/>
    <x v="1"/>
    <n v="765"/>
    <x v="0"/>
    <x v="626"/>
    <x v="7"/>
    <n v="1505.149978319906"/>
    <x v="710"/>
  </r>
  <r>
    <x v="19"/>
    <x v="1"/>
    <x v="144"/>
    <x v="1"/>
    <n v="765"/>
    <x v="1"/>
    <x v="453"/>
    <x v="13"/>
    <n v="1204.1199826559248"/>
    <x v="655"/>
  </r>
  <r>
    <x v="19"/>
    <x v="1"/>
    <x v="144"/>
    <x v="1"/>
    <n v="435"/>
    <x v="2"/>
    <x v="576"/>
    <x v="27"/>
    <n v="1028.0287236002437"/>
    <x v="640"/>
  </r>
  <r>
    <x v="19"/>
    <x v="1"/>
    <x v="144"/>
    <x v="1"/>
    <n v="333"/>
    <x v="3"/>
    <x v="659"/>
    <x v="345"/>
    <n v="903.08998699194365"/>
    <x v="753"/>
  </r>
  <r>
    <x v="19"/>
    <x v="1"/>
    <x v="144"/>
    <x v="1"/>
    <n v="256"/>
    <x v="4"/>
    <x v="573"/>
    <x v="84"/>
    <n v="806.17997398388718"/>
    <x v="637"/>
  </r>
  <r>
    <x v="19"/>
    <x v="1"/>
    <x v="144"/>
    <x v="1"/>
    <n v="5"/>
    <x v="5"/>
    <x v="653"/>
    <x v="339"/>
    <n v="726.99872793626241"/>
    <x v="745"/>
  </r>
  <r>
    <x v="19"/>
    <x v="1"/>
    <x v="144"/>
    <x v="1"/>
    <n v="1"/>
    <x v="6"/>
    <x v="573"/>
    <x v="297"/>
    <n v="660.05193830564929"/>
    <x v="636"/>
  </r>
  <r>
    <x v="19"/>
    <x v="6"/>
    <x v="14"/>
    <x v="3"/>
    <n v="864"/>
    <x v="0"/>
    <x v="126"/>
    <x v="93"/>
    <n v="1380.2112417116059"/>
    <x v="133"/>
  </r>
  <r>
    <x v="19"/>
    <x v="6"/>
    <x v="14"/>
    <x v="3"/>
    <n v="550"/>
    <x v="1"/>
    <x v="576"/>
    <x v="27"/>
    <n v="1079.1812460476247"/>
    <x v="640"/>
  </r>
  <r>
    <x v="19"/>
    <x v="6"/>
    <x v="14"/>
    <x v="3"/>
    <n v="650"/>
    <x v="2"/>
    <x v="45"/>
    <x v="73"/>
    <n v="903.08998699194353"/>
    <x v="140"/>
  </r>
  <r>
    <x v="19"/>
    <x v="6"/>
    <x v="14"/>
    <x v="3"/>
    <n v="336"/>
    <x v="3"/>
    <x v="700"/>
    <x v="308"/>
    <n v="778.15125038364351"/>
    <x v="808"/>
  </r>
  <r>
    <x v="19"/>
    <x v="6"/>
    <x v="2"/>
    <x v="2"/>
    <n v="1675"/>
    <x v="0"/>
    <x v="4"/>
    <x v="4"/>
    <n v="1579.7835966168102"/>
    <x v="4"/>
  </r>
  <r>
    <x v="19"/>
    <x v="6"/>
    <x v="2"/>
    <x v="2"/>
    <n v="1446"/>
    <x v="1"/>
    <x v="311"/>
    <x v="22"/>
    <n v="1278.7536009528289"/>
    <x v="340"/>
  </r>
  <r>
    <x v="19"/>
    <x v="6"/>
    <x v="2"/>
    <x v="2"/>
    <n v="502"/>
    <x v="2"/>
    <x v="215"/>
    <x v="1"/>
    <n v="1102.6623418971478"/>
    <x v="238"/>
  </r>
  <r>
    <x v="19"/>
    <x v="6"/>
    <x v="145"/>
    <x v="4"/>
    <n v="816"/>
    <x v="0"/>
    <x v="462"/>
    <x v="53"/>
    <n v="1361.7278360175928"/>
    <x v="506"/>
  </r>
  <r>
    <x v="19"/>
    <x v="6"/>
    <x v="145"/>
    <x v="4"/>
    <n v="816"/>
    <x v="1"/>
    <x v="255"/>
    <x v="160"/>
    <n v="1060.6978403536116"/>
    <x v="282"/>
  </r>
  <r>
    <x v="19"/>
    <x v="6"/>
    <x v="145"/>
    <x v="4"/>
    <n v="432"/>
    <x v="2"/>
    <x v="140"/>
    <x v="64"/>
    <n v="884.60658129793046"/>
    <x v="150"/>
  </r>
  <r>
    <x v="19"/>
    <x v="6"/>
    <x v="146"/>
    <x v="1"/>
    <n v="1000"/>
    <x v="0"/>
    <x v="700"/>
    <x v="308"/>
    <n v="1361.7278360175928"/>
    <x v="808"/>
  </r>
  <r>
    <x v="19"/>
    <x v="6"/>
    <x v="146"/>
    <x v="1"/>
    <n v="624"/>
    <x v="1"/>
    <x v="356"/>
    <x v="310"/>
    <n v="1060.6978403536116"/>
    <x v="672"/>
  </r>
  <r>
    <x v="19"/>
    <x v="6"/>
    <x v="146"/>
    <x v="1"/>
    <n v="432"/>
    <x v="2"/>
    <x v="453"/>
    <x v="13"/>
    <n v="884.60658129793046"/>
    <x v="655"/>
  </r>
  <r>
    <x v="19"/>
    <x v="6"/>
    <x v="146"/>
    <x v="1"/>
    <n v="8"/>
    <x v="3"/>
    <x v="462"/>
    <x v="53"/>
    <n v="759.66784468963044"/>
    <x v="506"/>
  </r>
  <r>
    <x v="19"/>
    <x v="6"/>
    <x v="147"/>
    <x v="7"/>
    <n v="770"/>
    <x v="0"/>
    <x v="305"/>
    <x v="98"/>
    <n v="1462.3979978989562"/>
    <x v="333"/>
  </r>
  <r>
    <x v="19"/>
    <x v="6"/>
    <x v="147"/>
    <x v="7"/>
    <n v="770"/>
    <x v="1"/>
    <x v="45"/>
    <x v="73"/>
    <n v="1161.3680022349749"/>
    <x v="140"/>
  </r>
  <r>
    <x v="19"/>
    <x v="6"/>
    <x v="147"/>
    <x v="7"/>
    <n v="390"/>
    <x v="2"/>
    <x v="462"/>
    <x v="53"/>
    <n v="985.2767431792937"/>
    <x v="506"/>
  </r>
  <r>
    <x v="19"/>
    <x v="6"/>
    <x v="147"/>
    <x v="7"/>
    <n v="300"/>
    <x v="3"/>
    <x v="699"/>
    <x v="202"/>
    <n v="860.33800657099368"/>
    <x v="807"/>
  </r>
  <r>
    <x v="19"/>
    <x v="3"/>
    <x v="83"/>
    <x v="1"/>
    <n v="979"/>
    <x v="0"/>
    <x v="4"/>
    <x v="4"/>
    <n v="1322.2192947339192"/>
    <x v="4"/>
  </r>
  <r>
    <x v="19"/>
    <x v="3"/>
    <x v="83"/>
    <x v="1"/>
    <n v="571"/>
    <x v="1"/>
    <x v="600"/>
    <x v="3"/>
    <n v="1021.1892990699381"/>
    <x v="674"/>
  </r>
  <r>
    <x v="19"/>
    <x v="3"/>
    <x v="83"/>
    <x v="1"/>
    <n v="367"/>
    <x v="2"/>
    <x v="483"/>
    <x v="7"/>
    <n v="845.09804001425687"/>
    <x v="531"/>
  </r>
  <r>
    <x v="19"/>
    <x v="3"/>
    <x v="83"/>
    <x v="1"/>
    <n v="120"/>
    <x v="3"/>
    <x v="164"/>
    <x v="82"/>
    <n v="720.15930340595696"/>
    <x v="176"/>
  </r>
  <r>
    <x v="19"/>
    <x v="3"/>
    <x v="116"/>
    <x v="2"/>
    <n v="1000"/>
    <x v="0"/>
    <x v="684"/>
    <x v="356"/>
    <n v="1000"/>
    <x v="785"/>
  </r>
  <r>
    <x v="19"/>
    <x v="3"/>
    <x v="2"/>
    <x v="2"/>
    <n v="1108"/>
    <x v="0"/>
    <x v="83"/>
    <x v="57"/>
    <n v="1612.7838567197355"/>
    <x v="89"/>
  </r>
  <r>
    <x v="19"/>
    <x v="3"/>
    <x v="2"/>
    <x v="2"/>
    <n v="936"/>
    <x v="1"/>
    <x v="701"/>
    <x v="350"/>
    <n v="1311.7538610557542"/>
    <x v="809"/>
  </r>
  <r>
    <x v="19"/>
    <x v="3"/>
    <x v="2"/>
    <x v="2"/>
    <n v="935"/>
    <x v="2"/>
    <x v="40"/>
    <x v="38"/>
    <n v="1135.6626020000731"/>
    <x v="42"/>
  </r>
  <r>
    <x v="19"/>
    <x v="3"/>
    <x v="2"/>
    <x v="2"/>
    <n v="384"/>
    <x v="3"/>
    <x v="15"/>
    <x v="15"/>
    <n v="1010.723865391773"/>
    <x v="15"/>
  </r>
  <r>
    <x v="19"/>
    <x v="3"/>
    <x v="2"/>
    <x v="2"/>
    <n v="304"/>
    <x v="4"/>
    <x v="483"/>
    <x v="7"/>
    <n v="913.81385238371661"/>
    <x v="531"/>
  </r>
  <r>
    <x v="19"/>
    <x v="3"/>
    <x v="2"/>
    <x v="2"/>
    <n v="224"/>
    <x v="5"/>
    <x v="4"/>
    <x v="4"/>
    <n v="834.63260633609184"/>
    <x v="4"/>
  </r>
  <r>
    <x v="19"/>
    <x v="3"/>
    <x v="2"/>
    <x v="2"/>
    <n v="86"/>
    <x v="6"/>
    <x v="419"/>
    <x v="237"/>
    <n v="767.6858167054786"/>
    <x v="461"/>
  </r>
  <r>
    <x v="19"/>
    <x v="3"/>
    <x v="17"/>
    <x v="1"/>
    <n v="571"/>
    <x v="0"/>
    <x v="334"/>
    <x v="362"/>
    <n v="602.05999132796239"/>
    <x v="810"/>
  </r>
  <r>
    <x v="19"/>
    <x v="3"/>
    <x v="17"/>
    <x v="1"/>
    <n v="571"/>
    <x v="0"/>
    <x v="419"/>
    <x v="237"/>
    <n v="602.05999132796239"/>
    <x v="461"/>
  </r>
  <r>
    <x v="19"/>
    <x v="3"/>
    <x v="17"/>
    <x v="1"/>
    <n v="571"/>
    <x v="1"/>
    <x v="11"/>
    <x v="11"/>
    <n v="451.54499349597177"/>
    <x v="11"/>
  </r>
  <r>
    <x v="19"/>
    <x v="3"/>
    <x v="17"/>
    <x v="1"/>
    <n v="571"/>
    <x v="1"/>
    <x v="379"/>
    <x v="53"/>
    <n v="451.54499349597177"/>
    <x v="417"/>
  </r>
  <r>
    <x v="19"/>
    <x v="3"/>
    <x v="17"/>
    <x v="1"/>
    <n v="310"/>
    <x v="2"/>
    <x v="247"/>
    <x v="25"/>
    <n v="363.49936396813121"/>
    <x v="271"/>
  </r>
  <r>
    <x v="19"/>
    <x v="3"/>
    <x v="17"/>
    <x v="1"/>
    <n v="310"/>
    <x v="2"/>
    <x v="556"/>
    <x v="13"/>
    <n v="363.49936396813121"/>
    <x v="617"/>
  </r>
  <r>
    <x v="19"/>
    <x v="3"/>
    <x v="17"/>
    <x v="1"/>
    <n v="100"/>
    <x v="3"/>
    <x v="376"/>
    <x v="202"/>
    <n v="301.0299956639812"/>
    <x v="413"/>
  </r>
  <r>
    <x v="19"/>
    <x v="3"/>
    <x v="17"/>
    <x v="1"/>
    <n v="100"/>
    <x v="3"/>
    <x v="483"/>
    <x v="7"/>
    <n v="301.0299956639812"/>
    <x v="531"/>
  </r>
  <r>
    <x v="20"/>
    <x v="7"/>
    <x v="32"/>
    <x v="1"/>
    <n v="2779"/>
    <x v="0"/>
    <x v="83"/>
    <x v="57"/>
    <n v="1653.2125137753437"/>
    <x v="89"/>
  </r>
  <r>
    <x v="20"/>
    <x v="7"/>
    <x v="32"/>
    <x v="1"/>
    <n v="1647"/>
    <x v="1"/>
    <x v="600"/>
    <x v="3"/>
    <n v="1352.1825181113625"/>
    <x v="674"/>
  </r>
  <r>
    <x v="20"/>
    <x v="7"/>
    <x v="32"/>
    <x v="1"/>
    <n v="983"/>
    <x v="2"/>
    <x v="33"/>
    <x v="27"/>
    <n v="1176.0912590556813"/>
    <x v="35"/>
  </r>
  <r>
    <x v="20"/>
    <x v="7"/>
    <x v="32"/>
    <x v="1"/>
    <n v="738"/>
    <x v="3"/>
    <x v="702"/>
    <x v="116"/>
    <n v="1051.1525224473814"/>
    <x v="811"/>
  </r>
  <r>
    <x v="20"/>
    <x v="7"/>
    <x v="32"/>
    <x v="1"/>
    <n v="590"/>
    <x v="4"/>
    <x v="45"/>
    <x v="42"/>
    <n v="954.24250943932486"/>
    <x v="47"/>
  </r>
  <r>
    <x v="20"/>
    <x v="7"/>
    <x v="32"/>
    <x v="1"/>
    <n v="443"/>
    <x v="5"/>
    <x v="647"/>
    <x v="62"/>
    <n v="875.06126339170009"/>
    <x v="738"/>
  </r>
  <r>
    <x v="20"/>
    <x v="7"/>
    <x v="32"/>
    <x v="1"/>
    <n v="200"/>
    <x v="6"/>
    <x v="355"/>
    <x v="115"/>
    <n v="808.11447376108697"/>
    <x v="389"/>
  </r>
  <r>
    <x v="20"/>
    <x v="7"/>
    <x v="2"/>
    <x v="2"/>
    <n v="2589"/>
    <x v="0"/>
    <x v="462"/>
    <x v="53"/>
    <n v="1602.0599913279623"/>
    <x v="506"/>
  </r>
  <r>
    <x v="20"/>
    <x v="7"/>
    <x v="2"/>
    <x v="2"/>
    <n v="1590"/>
    <x v="1"/>
    <x v="473"/>
    <x v="255"/>
    <n v="1301.029995663981"/>
    <x v="519"/>
  </r>
  <r>
    <x v="20"/>
    <x v="7"/>
    <x v="2"/>
    <x v="2"/>
    <n v="934"/>
    <x v="2"/>
    <x v="106"/>
    <x v="13"/>
    <n v="1124.9387366082999"/>
    <x v="575"/>
  </r>
  <r>
    <x v="20"/>
    <x v="7"/>
    <x v="2"/>
    <x v="2"/>
    <n v="722"/>
    <x v="3"/>
    <x v="703"/>
    <x v="122"/>
    <n v="999.99999999999989"/>
    <x v="812"/>
  </r>
  <r>
    <x v="20"/>
    <x v="7"/>
    <x v="2"/>
    <x v="2"/>
    <n v="525"/>
    <x v="4"/>
    <x v="302"/>
    <x v="183"/>
    <n v="903.08998699194342"/>
    <x v="330"/>
  </r>
  <r>
    <x v="20"/>
    <x v="7"/>
    <x v="2"/>
    <x v="2"/>
    <n v="200"/>
    <x v="5"/>
    <x v="83"/>
    <x v="57"/>
    <n v="823.90874094431865"/>
    <x v="89"/>
  </r>
  <r>
    <x v="20"/>
    <x v="7"/>
    <x v="148"/>
    <x v="6"/>
    <n v="2016"/>
    <x v="0"/>
    <x v="22"/>
    <x v="22"/>
    <n v="1447.1580313422191"/>
    <x v="22"/>
  </r>
  <r>
    <x v="20"/>
    <x v="7"/>
    <x v="148"/>
    <x v="6"/>
    <n v="1190"/>
    <x v="1"/>
    <x v="704"/>
    <x v="4"/>
    <n v="1146.1280356782379"/>
    <x v="813"/>
  </r>
  <r>
    <x v="20"/>
    <x v="7"/>
    <x v="148"/>
    <x v="6"/>
    <n v="731"/>
    <x v="2"/>
    <x v="4"/>
    <x v="4"/>
    <n v="970.03677662255677"/>
    <x v="4"/>
  </r>
  <r>
    <x v="20"/>
    <x v="7"/>
    <x v="148"/>
    <x v="6"/>
    <n v="455"/>
    <x v="3"/>
    <x v="462"/>
    <x v="53"/>
    <n v="845.09804001425687"/>
    <x v="506"/>
  </r>
  <r>
    <x v="20"/>
    <x v="7"/>
    <x v="148"/>
    <x v="6"/>
    <n v="200"/>
    <x v="4"/>
    <x v="356"/>
    <x v="310"/>
    <n v="748.1880270062004"/>
    <x v="672"/>
  </r>
  <r>
    <x v="20"/>
    <x v="0"/>
    <x v="2"/>
    <x v="2"/>
    <n v="2753"/>
    <x v="0"/>
    <x v="108"/>
    <x v="84"/>
    <n v="1681.2412373755872"/>
    <x v="555"/>
  </r>
  <r>
    <x v="20"/>
    <x v="0"/>
    <x v="2"/>
    <x v="2"/>
    <n v="1706"/>
    <x v="1"/>
    <x v="472"/>
    <x v="7"/>
    <n v="1380.2112417116059"/>
    <x v="676"/>
  </r>
  <r>
    <x v="20"/>
    <x v="0"/>
    <x v="2"/>
    <x v="2"/>
    <n v="1008"/>
    <x v="2"/>
    <x v="40"/>
    <x v="38"/>
    <n v="1204.1199826559248"/>
    <x v="42"/>
  </r>
  <r>
    <x v="20"/>
    <x v="0"/>
    <x v="2"/>
    <x v="2"/>
    <n v="728"/>
    <x v="3"/>
    <x v="481"/>
    <x v="261"/>
    <n v="1079.1812460476247"/>
    <x v="529"/>
  </r>
  <r>
    <x v="20"/>
    <x v="0"/>
    <x v="2"/>
    <x v="2"/>
    <n v="589"/>
    <x v="4"/>
    <x v="15"/>
    <x v="31"/>
    <n v="982.2712330395683"/>
    <x v="32"/>
  </r>
  <r>
    <x v="20"/>
    <x v="0"/>
    <x v="2"/>
    <x v="2"/>
    <n v="200"/>
    <x v="5"/>
    <x v="0"/>
    <x v="119"/>
    <n v="903.08998699194353"/>
    <x v="184"/>
  </r>
  <r>
    <x v="20"/>
    <x v="0"/>
    <x v="46"/>
    <x v="4"/>
    <n v="1112"/>
    <x v="0"/>
    <x v="355"/>
    <x v="115"/>
    <n v="1397.9400086720377"/>
    <x v="389"/>
  </r>
  <r>
    <x v="20"/>
    <x v="0"/>
    <x v="46"/>
    <x v="4"/>
    <n v="678"/>
    <x v="1"/>
    <x v="8"/>
    <x v="29"/>
    <n v="1096.9100130080565"/>
    <x v="29"/>
  </r>
  <r>
    <x v="20"/>
    <x v="0"/>
    <x v="46"/>
    <x v="4"/>
    <n v="460"/>
    <x v="2"/>
    <x v="22"/>
    <x v="22"/>
    <n v="920.81875395237535"/>
    <x v="22"/>
  </r>
  <r>
    <x v="20"/>
    <x v="0"/>
    <x v="46"/>
    <x v="4"/>
    <n v="175"/>
    <x v="3"/>
    <x v="584"/>
    <x v="304"/>
    <n v="795.88001734407533"/>
    <x v="651"/>
  </r>
  <r>
    <x v="20"/>
    <x v="0"/>
    <x v="5"/>
    <x v="1"/>
    <n v="1316"/>
    <x v="0"/>
    <x v="15"/>
    <x v="15"/>
    <n v="1623.2492903979005"/>
    <x v="15"/>
  </r>
  <r>
    <x v="20"/>
    <x v="0"/>
    <x v="5"/>
    <x v="1"/>
    <n v="1070"/>
    <x v="1"/>
    <x v="610"/>
    <x v="86"/>
    <n v="1322.2192947339192"/>
    <x v="691"/>
  </r>
  <r>
    <x v="20"/>
    <x v="0"/>
    <x v="5"/>
    <x v="1"/>
    <n v="783"/>
    <x v="2"/>
    <x v="652"/>
    <x v="9"/>
    <n v="1146.1280356782381"/>
    <x v="744"/>
  </r>
  <r>
    <x v="20"/>
    <x v="0"/>
    <x v="5"/>
    <x v="1"/>
    <n v="418"/>
    <x v="3"/>
    <x v="272"/>
    <x v="27"/>
    <n v="1021.1892990699382"/>
    <x v="300"/>
  </r>
  <r>
    <x v="20"/>
    <x v="0"/>
    <x v="5"/>
    <x v="1"/>
    <n v="337"/>
    <x v="4"/>
    <x v="25"/>
    <x v="25"/>
    <n v="924.27928606188175"/>
    <x v="25"/>
  </r>
  <r>
    <x v="20"/>
    <x v="0"/>
    <x v="5"/>
    <x v="1"/>
    <n v="150"/>
    <x v="5"/>
    <x v="705"/>
    <x v="363"/>
    <n v="845.09804001425687"/>
    <x v="814"/>
  </r>
  <r>
    <x v="20"/>
    <x v="1"/>
    <x v="149"/>
    <x v="7"/>
    <n v="386"/>
    <x v="0"/>
    <x v="630"/>
    <x v="328"/>
    <n v="1204.1199826559248"/>
    <x v="718"/>
  </r>
  <r>
    <x v="20"/>
    <x v="1"/>
    <x v="149"/>
    <x v="7"/>
    <n v="435"/>
    <x v="1"/>
    <x v="484"/>
    <x v="26"/>
    <n v="903.08998699194353"/>
    <x v="532"/>
  </r>
  <r>
    <x v="20"/>
    <x v="1"/>
    <x v="149"/>
    <x v="7"/>
    <n v="230"/>
    <x v="2"/>
    <x v="45"/>
    <x v="73"/>
    <n v="726.99872793626241"/>
    <x v="140"/>
  </r>
  <r>
    <x v="20"/>
    <x v="1"/>
    <x v="149"/>
    <x v="7"/>
    <n v="179"/>
    <x v="3"/>
    <x v="311"/>
    <x v="22"/>
    <n v="602.05999132796239"/>
    <x v="340"/>
  </r>
  <r>
    <x v="20"/>
    <x v="1"/>
    <x v="149"/>
    <x v="7"/>
    <n v="50"/>
    <x v="4"/>
    <x v="637"/>
    <x v="334"/>
    <n v="0"/>
    <x v="728"/>
  </r>
  <r>
    <x v="20"/>
    <x v="1"/>
    <x v="150"/>
    <x v="1"/>
    <n v="1408"/>
    <x v="0"/>
    <x v="706"/>
    <x v="364"/>
    <n v="1707.5701760979362"/>
    <x v="815"/>
  </r>
  <r>
    <x v="20"/>
    <x v="1"/>
    <x v="150"/>
    <x v="1"/>
    <n v="1051"/>
    <x v="1"/>
    <x v="410"/>
    <x v="229"/>
    <n v="1406.5401804339549"/>
    <x v="450"/>
  </r>
  <r>
    <x v="20"/>
    <x v="1"/>
    <x v="150"/>
    <x v="1"/>
    <n v="796"/>
    <x v="2"/>
    <x v="305"/>
    <x v="98"/>
    <n v="1230.4489213782738"/>
    <x v="333"/>
  </r>
  <r>
    <x v="20"/>
    <x v="1"/>
    <x v="150"/>
    <x v="1"/>
    <n v="643"/>
    <x v="3"/>
    <x v="22"/>
    <x v="22"/>
    <n v="1105.5101847699736"/>
    <x v="22"/>
  </r>
  <r>
    <x v="20"/>
    <x v="1"/>
    <x v="150"/>
    <x v="1"/>
    <n v="490"/>
    <x v="4"/>
    <x v="495"/>
    <x v="30"/>
    <n v="1008.6001717619175"/>
    <x v="544"/>
  </r>
  <r>
    <x v="20"/>
    <x v="1"/>
    <x v="150"/>
    <x v="1"/>
    <n v="337"/>
    <x v="5"/>
    <x v="485"/>
    <x v="262"/>
    <n v="929.41892571429264"/>
    <x v="533"/>
  </r>
  <r>
    <x v="20"/>
    <x v="1"/>
    <x v="150"/>
    <x v="1"/>
    <n v="235"/>
    <x v="6"/>
    <x v="472"/>
    <x v="13"/>
    <n v="862.4721360836794"/>
    <x v="518"/>
  </r>
  <r>
    <x v="20"/>
    <x v="1"/>
    <x v="150"/>
    <x v="1"/>
    <n v="140"/>
    <x v="7"/>
    <x v="637"/>
    <x v="334"/>
    <n v="804.48018910599274"/>
    <x v="728"/>
  </r>
  <r>
    <x v="20"/>
    <x v="1"/>
    <x v="44"/>
    <x v="8"/>
    <n v="1016"/>
    <x v="0"/>
    <x v="237"/>
    <x v="155"/>
    <n v="1612.7838567197355"/>
    <x v="260"/>
  </r>
  <r>
    <x v="20"/>
    <x v="1"/>
    <x v="44"/>
    <x v="8"/>
    <n v="722"/>
    <x v="1"/>
    <x v="462"/>
    <x v="53"/>
    <n v="1311.7538610557542"/>
    <x v="506"/>
  </r>
  <r>
    <x v="20"/>
    <x v="1"/>
    <x v="44"/>
    <x v="8"/>
    <n v="558"/>
    <x v="2"/>
    <x v="22"/>
    <x v="22"/>
    <n v="1135.6626020000731"/>
    <x v="22"/>
  </r>
  <r>
    <x v="20"/>
    <x v="1"/>
    <x v="44"/>
    <x v="8"/>
    <n v="426"/>
    <x v="3"/>
    <x v="707"/>
    <x v="87"/>
    <n v="1010.723865391773"/>
    <x v="816"/>
  </r>
  <r>
    <x v="20"/>
    <x v="1"/>
    <x v="44"/>
    <x v="8"/>
    <n v="328"/>
    <x v="4"/>
    <x v="708"/>
    <x v="365"/>
    <n v="913.81385238371661"/>
    <x v="817"/>
  </r>
  <r>
    <x v="20"/>
    <x v="1"/>
    <x v="44"/>
    <x v="8"/>
    <n v="230"/>
    <x v="5"/>
    <x v="576"/>
    <x v="27"/>
    <n v="834.63260633609184"/>
    <x v="640"/>
  </r>
  <r>
    <x v="20"/>
    <x v="1"/>
    <x v="151"/>
    <x v="2"/>
    <n v="1042"/>
    <x v="0"/>
    <x v="355"/>
    <x v="115"/>
    <n v="1623.2492903979005"/>
    <x v="389"/>
  </r>
  <r>
    <x v="20"/>
    <x v="1"/>
    <x v="151"/>
    <x v="2"/>
    <n v="739"/>
    <x v="1"/>
    <x v="709"/>
    <x v="285"/>
    <n v="1322.2192947339192"/>
    <x v="818"/>
  </r>
  <r>
    <x v="20"/>
    <x v="1"/>
    <x v="151"/>
    <x v="2"/>
    <n v="571"/>
    <x v="2"/>
    <x v="302"/>
    <x v="183"/>
    <n v="1146.1280356782381"/>
    <x v="330"/>
  </r>
  <r>
    <x v="20"/>
    <x v="1"/>
    <x v="151"/>
    <x v="2"/>
    <n v="437"/>
    <x v="3"/>
    <x v="630"/>
    <x v="328"/>
    <n v="1021.1892990699382"/>
    <x v="718"/>
  </r>
  <r>
    <x v="20"/>
    <x v="1"/>
    <x v="151"/>
    <x v="2"/>
    <n v="336"/>
    <x v="4"/>
    <x v="543"/>
    <x v="347"/>
    <n v="924.27928606188175"/>
    <x v="819"/>
  </r>
  <r>
    <x v="20"/>
    <x v="1"/>
    <x v="151"/>
    <x v="2"/>
    <n v="235"/>
    <x v="5"/>
    <x v="659"/>
    <x v="345"/>
    <n v="845.09804001425687"/>
    <x v="753"/>
  </r>
  <r>
    <x v="20"/>
    <x v="1"/>
    <x v="152"/>
    <x v="2"/>
    <n v="300"/>
    <x v="0"/>
    <x v="9"/>
    <x v="9"/>
    <n v="1531.478917042255"/>
    <x v="9"/>
  </r>
  <r>
    <x v="20"/>
    <x v="1"/>
    <x v="152"/>
    <x v="2"/>
    <n v="300"/>
    <x v="1"/>
    <x v="99"/>
    <x v="79"/>
    <n v="1230.4489213782738"/>
    <x v="106"/>
  </r>
  <r>
    <x v="20"/>
    <x v="1"/>
    <x v="152"/>
    <x v="2"/>
    <n v="300"/>
    <x v="2"/>
    <x v="710"/>
    <x v="366"/>
    <n v="1054.3576623225927"/>
    <x v="820"/>
  </r>
  <r>
    <x v="20"/>
    <x v="1"/>
    <x v="152"/>
    <x v="2"/>
    <n v="300"/>
    <x v="3"/>
    <x v="45"/>
    <x v="73"/>
    <n v="929.41892571429275"/>
    <x v="140"/>
  </r>
  <r>
    <x v="20"/>
    <x v="1"/>
    <x v="152"/>
    <x v="2"/>
    <n v="300"/>
    <x v="4"/>
    <x v="491"/>
    <x v="264"/>
    <n v="832.50891270623629"/>
    <x v="540"/>
  </r>
  <r>
    <x v="20"/>
    <x v="1"/>
    <x v="152"/>
    <x v="2"/>
    <n v="300"/>
    <x v="5"/>
    <x v="12"/>
    <x v="12"/>
    <n v="753.32766665861152"/>
    <x v="12"/>
  </r>
  <r>
    <x v="20"/>
    <x v="1"/>
    <x v="152"/>
    <x v="2"/>
    <n v="300"/>
    <x v="6"/>
    <x v="711"/>
    <x v="50"/>
    <n v="686.38087702799828"/>
    <x v="821"/>
  </r>
  <r>
    <x v="20"/>
    <x v="1"/>
    <x v="152"/>
    <x v="2"/>
    <n v="300"/>
    <x v="7"/>
    <x v="4"/>
    <x v="4"/>
    <n v="628.38893005031161"/>
    <x v="4"/>
  </r>
  <r>
    <x v="20"/>
    <x v="1"/>
    <x v="153"/>
    <x v="2"/>
    <n v="1309"/>
    <x v="0"/>
    <x v="712"/>
    <x v="115"/>
    <n v="1763.4279935629374"/>
    <x v="822"/>
  </r>
  <r>
    <x v="20"/>
    <x v="1"/>
    <x v="153"/>
    <x v="2"/>
    <n v="858"/>
    <x v="1"/>
    <x v="573"/>
    <x v="84"/>
    <n v="1462.3979978989562"/>
    <x v="637"/>
  </r>
  <r>
    <x v="20"/>
    <x v="1"/>
    <x v="153"/>
    <x v="2"/>
    <n v="760"/>
    <x v="2"/>
    <x v="302"/>
    <x v="183"/>
    <n v="1286.3067388432748"/>
    <x v="330"/>
  </r>
  <r>
    <x v="20"/>
    <x v="1"/>
    <x v="153"/>
    <x v="2"/>
    <n v="730"/>
    <x v="3"/>
    <x v="712"/>
    <x v="142"/>
    <n v="1161.3680022349749"/>
    <x v="823"/>
  </r>
  <r>
    <x v="20"/>
    <x v="1"/>
    <x v="153"/>
    <x v="2"/>
    <n v="276"/>
    <x v="4"/>
    <x v="713"/>
    <x v="367"/>
    <n v="1064.4579892269187"/>
    <x v="824"/>
  </r>
  <r>
    <x v="20"/>
    <x v="1"/>
    <x v="153"/>
    <x v="2"/>
    <n v="218"/>
    <x v="5"/>
    <x v="22"/>
    <x v="22"/>
    <n v="985.2767431792937"/>
    <x v="22"/>
  </r>
  <r>
    <x v="20"/>
    <x v="1"/>
    <x v="153"/>
    <x v="2"/>
    <n v="199"/>
    <x v="6"/>
    <x v="215"/>
    <x v="1"/>
    <n v="918.32995354868058"/>
    <x v="238"/>
  </r>
  <r>
    <x v="20"/>
    <x v="1"/>
    <x v="2"/>
    <x v="2"/>
    <n v="3568"/>
    <x v="0"/>
    <x v="355"/>
    <x v="115"/>
    <n v="1991.226075692495"/>
    <x v="389"/>
  </r>
  <r>
    <x v="20"/>
    <x v="1"/>
    <x v="2"/>
    <x v="2"/>
    <n v="2607"/>
    <x v="1"/>
    <x v="305"/>
    <x v="98"/>
    <n v="1690.1960800285137"/>
    <x v="333"/>
  </r>
  <r>
    <x v="20"/>
    <x v="1"/>
    <x v="2"/>
    <x v="2"/>
    <n v="2058"/>
    <x v="2"/>
    <x v="472"/>
    <x v="13"/>
    <n v="1514.1048209728324"/>
    <x v="518"/>
  </r>
  <r>
    <x v="20"/>
    <x v="1"/>
    <x v="2"/>
    <x v="2"/>
    <n v="1646"/>
    <x v="3"/>
    <x v="546"/>
    <x v="113"/>
    <n v="1389.1660843645327"/>
    <x v="604"/>
  </r>
  <r>
    <x v="20"/>
    <x v="1"/>
    <x v="2"/>
    <x v="2"/>
    <n v="1235"/>
    <x v="4"/>
    <x v="714"/>
    <x v="368"/>
    <n v="1292.256071356476"/>
    <x v="825"/>
  </r>
  <r>
    <x v="20"/>
    <x v="1"/>
    <x v="2"/>
    <x v="2"/>
    <n v="960"/>
    <x v="5"/>
    <x v="399"/>
    <x v="204"/>
    <n v="1213.0748253088514"/>
    <x v="438"/>
  </r>
  <r>
    <x v="20"/>
    <x v="1"/>
    <x v="2"/>
    <x v="2"/>
    <n v="686"/>
    <x v="6"/>
    <x v="83"/>
    <x v="57"/>
    <n v="1146.1280356782381"/>
    <x v="89"/>
  </r>
  <r>
    <x v="20"/>
    <x v="1"/>
    <x v="2"/>
    <x v="2"/>
    <n v="412"/>
    <x v="7"/>
    <x v="8"/>
    <x v="29"/>
    <n v="1088.1360887005512"/>
    <x v="29"/>
  </r>
  <r>
    <x v="20"/>
    <x v="1"/>
    <x v="2"/>
    <x v="2"/>
    <n v="274"/>
    <x v="8"/>
    <x v="673"/>
    <x v="120"/>
    <n v="1036.98356625317"/>
    <x v="770"/>
  </r>
  <r>
    <x v="20"/>
    <x v="1"/>
    <x v="2"/>
    <x v="2"/>
    <n v="274"/>
    <x v="9"/>
    <x v="128"/>
    <x v="21"/>
    <n v="991.22607569249487"/>
    <x v="135"/>
  </r>
  <r>
    <x v="20"/>
    <x v="1"/>
    <x v="46"/>
    <x v="4"/>
    <n v="1582"/>
    <x v="0"/>
    <x v="255"/>
    <x v="160"/>
    <n v="1770.8520116421441"/>
    <x v="282"/>
  </r>
  <r>
    <x v="20"/>
    <x v="1"/>
    <x v="46"/>
    <x v="4"/>
    <n v="1199"/>
    <x v="1"/>
    <x v="464"/>
    <x v="112"/>
    <n v="1469.8220159781629"/>
    <x v="508"/>
  </r>
  <r>
    <x v="20"/>
    <x v="1"/>
    <x v="46"/>
    <x v="4"/>
    <n v="924"/>
    <x v="2"/>
    <x v="78"/>
    <x v="17"/>
    <n v="1293.7307569224818"/>
    <x v="84"/>
  </r>
  <r>
    <x v="20"/>
    <x v="1"/>
    <x v="46"/>
    <x v="4"/>
    <n v="767"/>
    <x v="3"/>
    <x v="355"/>
    <x v="115"/>
    <n v="1168.7920203141816"/>
    <x v="389"/>
  </r>
  <r>
    <x v="20"/>
    <x v="1"/>
    <x v="46"/>
    <x v="4"/>
    <n v="500"/>
    <x v="4"/>
    <x v="460"/>
    <x v="103"/>
    <n v="1071.8820073061254"/>
    <x v="504"/>
  </r>
  <r>
    <x v="20"/>
    <x v="1"/>
    <x v="46"/>
    <x v="4"/>
    <n v="413"/>
    <x v="5"/>
    <x v="659"/>
    <x v="345"/>
    <n v="992.70076125850062"/>
    <x v="753"/>
  </r>
  <r>
    <x v="20"/>
    <x v="1"/>
    <x v="46"/>
    <x v="4"/>
    <n v="295"/>
    <x v="6"/>
    <x v="215"/>
    <x v="1"/>
    <n v="925.75397162788738"/>
    <x v="238"/>
  </r>
  <r>
    <x v="20"/>
    <x v="1"/>
    <x v="46"/>
    <x v="4"/>
    <n v="130"/>
    <x v="7"/>
    <x v="9"/>
    <x v="9"/>
    <n v="867.76202465020071"/>
    <x v="9"/>
  </r>
  <r>
    <x v="20"/>
    <x v="1"/>
    <x v="5"/>
    <x v="1"/>
    <n v="2275"/>
    <x v="0"/>
    <x v="9"/>
    <x v="9"/>
    <n v="1832.5089127062363"/>
    <x v="9"/>
  </r>
  <r>
    <x v="20"/>
    <x v="1"/>
    <x v="5"/>
    <x v="1"/>
    <n v="1680"/>
    <x v="1"/>
    <x v="302"/>
    <x v="183"/>
    <n v="1531.478917042255"/>
    <x v="330"/>
  </r>
  <r>
    <x v="20"/>
    <x v="1"/>
    <x v="5"/>
    <x v="1"/>
    <n v="1255"/>
    <x v="2"/>
    <x v="3"/>
    <x v="317"/>
    <n v="1355.3876579865739"/>
    <x v="693"/>
  </r>
  <r>
    <x v="20"/>
    <x v="1"/>
    <x v="5"/>
    <x v="1"/>
    <n v="1000"/>
    <x v="3"/>
    <x v="715"/>
    <x v="157"/>
    <n v="1230.448921378274"/>
    <x v="826"/>
  </r>
  <r>
    <x v="20"/>
    <x v="1"/>
    <x v="5"/>
    <x v="1"/>
    <n v="830"/>
    <x v="4"/>
    <x v="31"/>
    <x v="32"/>
    <n v="1133.5389083702173"/>
    <x v="33"/>
  </r>
  <r>
    <x v="20"/>
    <x v="1"/>
    <x v="5"/>
    <x v="1"/>
    <n v="575"/>
    <x v="5"/>
    <x v="12"/>
    <x v="12"/>
    <n v="1054.3576623225927"/>
    <x v="12"/>
  </r>
  <r>
    <x v="20"/>
    <x v="1"/>
    <x v="5"/>
    <x v="1"/>
    <n v="405"/>
    <x v="6"/>
    <x v="583"/>
    <x v="149"/>
    <n v="987.41087269197953"/>
    <x v="649"/>
  </r>
  <r>
    <x v="20"/>
    <x v="1"/>
    <x v="5"/>
    <x v="1"/>
    <n v="320"/>
    <x v="7"/>
    <x v="462"/>
    <x v="53"/>
    <n v="929.41892571429287"/>
    <x v="506"/>
  </r>
  <r>
    <x v="20"/>
    <x v="1"/>
    <x v="5"/>
    <x v="1"/>
    <n v="160"/>
    <x v="8"/>
    <x v="86"/>
    <x v="71"/>
    <n v="878.26640326691154"/>
    <x v="93"/>
  </r>
  <r>
    <x v="20"/>
    <x v="1"/>
    <x v="154"/>
    <x v="1"/>
    <n v="656"/>
    <x v="0"/>
    <x v="473"/>
    <x v="255"/>
    <n v="1322.2192947339192"/>
    <x v="519"/>
  </r>
  <r>
    <x v="20"/>
    <x v="1"/>
    <x v="154"/>
    <x v="1"/>
    <n v="412"/>
    <x v="1"/>
    <x v="311"/>
    <x v="22"/>
    <n v="1021.1892990699381"/>
    <x v="340"/>
  </r>
  <r>
    <x v="20"/>
    <x v="1"/>
    <x v="154"/>
    <x v="1"/>
    <n v="277"/>
    <x v="2"/>
    <x v="716"/>
    <x v="247"/>
    <n v="845.09804001425687"/>
    <x v="827"/>
  </r>
  <r>
    <x v="20"/>
    <x v="1"/>
    <x v="154"/>
    <x v="1"/>
    <n v="210"/>
    <x v="3"/>
    <x v="573"/>
    <x v="84"/>
    <n v="720.15930340595696"/>
    <x v="637"/>
  </r>
  <r>
    <x v="20"/>
    <x v="1"/>
    <x v="154"/>
    <x v="1"/>
    <n v="125"/>
    <x v="4"/>
    <x v="472"/>
    <x v="7"/>
    <n v="623.2492903979005"/>
    <x v="676"/>
  </r>
  <r>
    <x v="20"/>
    <x v="6"/>
    <x v="155"/>
    <x v="6"/>
    <n v="1178"/>
    <x v="0"/>
    <x v="462"/>
    <x v="53"/>
    <n v="1579.7835966168102"/>
    <x v="506"/>
  </r>
  <r>
    <x v="20"/>
    <x v="6"/>
    <x v="155"/>
    <x v="6"/>
    <n v="836"/>
    <x v="1"/>
    <x v="445"/>
    <x v="123"/>
    <n v="1278.7536009528289"/>
    <x v="488"/>
  </r>
  <r>
    <x v="20"/>
    <x v="6"/>
    <x v="155"/>
    <x v="6"/>
    <n v="646"/>
    <x v="2"/>
    <x v="1"/>
    <x v="1"/>
    <n v="1102.6623418971478"/>
    <x v="1"/>
  </r>
  <r>
    <x v="20"/>
    <x v="6"/>
    <x v="155"/>
    <x v="6"/>
    <n v="494"/>
    <x v="3"/>
    <x v="717"/>
    <x v="303"/>
    <n v="977.72360528884769"/>
    <x v="828"/>
  </r>
  <r>
    <x v="20"/>
    <x v="6"/>
    <x v="155"/>
    <x v="6"/>
    <n v="380"/>
    <x v="4"/>
    <x v="246"/>
    <x v="34"/>
    <n v="880.81359228079123"/>
    <x v="270"/>
  </r>
  <r>
    <x v="20"/>
    <x v="6"/>
    <x v="155"/>
    <x v="6"/>
    <n v="266"/>
    <x v="5"/>
    <x v="128"/>
    <x v="21"/>
    <n v="801.63234623316646"/>
    <x v="135"/>
  </r>
  <r>
    <x v="20"/>
    <x v="6"/>
    <x v="156"/>
    <x v="1"/>
    <n v="1220"/>
    <x v="0"/>
    <x v="446"/>
    <x v="13"/>
    <n v="1602.0599913279623"/>
    <x v="490"/>
  </r>
  <r>
    <x v="20"/>
    <x v="6"/>
    <x v="156"/>
    <x v="1"/>
    <n v="860"/>
    <x v="1"/>
    <x v="9"/>
    <x v="9"/>
    <n v="1301.029995663981"/>
    <x v="9"/>
  </r>
  <r>
    <x v="20"/>
    <x v="6"/>
    <x v="156"/>
    <x v="1"/>
    <n v="660"/>
    <x v="2"/>
    <x v="134"/>
    <x v="98"/>
    <n v="1124.9387366082999"/>
    <x v="142"/>
  </r>
  <r>
    <x v="20"/>
    <x v="6"/>
    <x v="156"/>
    <x v="1"/>
    <n v="500"/>
    <x v="3"/>
    <x v="62"/>
    <x v="67"/>
    <n v="999.99999999999989"/>
    <x v="703"/>
  </r>
  <r>
    <x v="20"/>
    <x v="6"/>
    <x v="156"/>
    <x v="1"/>
    <n v="380"/>
    <x v="4"/>
    <x v="133"/>
    <x v="97"/>
    <n v="903.08998699194342"/>
    <x v="141"/>
  </r>
  <r>
    <x v="20"/>
    <x v="6"/>
    <x v="156"/>
    <x v="1"/>
    <n v="260"/>
    <x v="5"/>
    <x v="255"/>
    <x v="160"/>
    <n v="823.90874094431865"/>
    <x v="282"/>
  </r>
  <r>
    <x v="20"/>
    <x v="6"/>
    <x v="156"/>
    <x v="1"/>
    <n v="120"/>
    <x v="6"/>
    <x v="356"/>
    <x v="310"/>
    <n v="756.96195131370553"/>
    <x v="672"/>
  </r>
  <r>
    <x v="20"/>
    <x v="6"/>
    <x v="14"/>
    <x v="3"/>
    <n v="1240"/>
    <x v="0"/>
    <x v="134"/>
    <x v="98"/>
    <n v="1602.0599913279623"/>
    <x v="142"/>
  </r>
  <r>
    <x v="20"/>
    <x v="6"/>
    <x v="14"/>
    <x v="3"/>
    <n v="880"/>
    <x v="1"/>
    <x v="311"/>
    <x v="22"/>
    <n v="1301.029995663981"/>
    <x v="340"/>
  </r>
  <r>
    <x v="20"/>
    <x v="6"/>
    <x v="14"/>
    <x v="3"/>
    <n v="680"/>
    <x v="2"/>
    <x v="45"/>
    <x v="73"/>
    <n v="1124.9387366082999"/>
    <x v="140"/>
  </r>
  <r>
    <x v="20"/>
    <x v="6"/>
    <x v="14"/>
    <x v="3"/>
    <n v="520"/>
    <x v="3"/>
    <x v="659"/>
    <x v="345"/>
    <n v="999.99999999999989"/>
    <x v="753"/>
  </r>
  <r>
    <x v="20"/>
    <x v="6"/>
    <x v="14"/>
    <x v="3"/>
    <n v="400"/>
    <x v="4"/>
    <x v="462"/>
    <x v="53"/>
    <n v="903.08998699194342"/>
    <x v="506"/>
  </r>
  <r>
    <x v="20"/>
    <x v="6"/>
    <x v="14"/>
    <x v="3"/>
    <n v="280"/>
    <x v="5"/>
    <x v="8"/>
    <x v="29"/>
    <n v="823.90874094431865"/>
    <x v="29"/>
  </r>
  <r>
    <x v="20"/>
    <x v="6"/>
    <x v="157"/>
    <x v="2"/>
    <n v="1800"/>
    <x v="0"/>
    <x v="9"/>
    <x v="9"/>
    <n v="1698.9700043360187"/>
    <x v="9"/>
  </r>
  <r>
    <x v="20"/>
    <x v="6"/>
    <x v="157"/>
    <x v="2"/>
    <n v="1345"/>
    <x v="1"/>
    <x v="717"/>
    <x v="303"/>
    <n v="1397.9400086720375"/>
    <x v="828"/>
  </r>
  <r>
    <x v="20"/>
    <x v="6"/>
    <x v="157"/>
    <x v="2"/>
    <n v="1020"/>
    <x v="2"/>
    <x v="573"/>
    <x v="84"/>
    <n v="1221.8487496163564"/>
    <x v="637"/>
  </r>
  <r>
    <x v="20"/>
    <x v="6"/>
    <x v="157"/>
    <x v="2"/>
    <n v="825"/>
    <x v="3"/>
    <x v="62"/>
    <x v="228"/>
    <n v="1096.9100130080562"/>
    <x v="442"/>
  </r>
  <r>
    <x v="20"/>
    <x v="6"/>
    <x v="157"/>
    <x v="2"/>
    <n v="630"/>
    <x v="4"/>
    <x v="718"/>
    <x v="369"/>
    <n v="999.99999999999989"/>
    <x v="829"/>
  </r>
  <r>
    <x v="20"/>
    <x v="6"/>
    <x v="157"/>
    <x v="2"/>
    <n v="435"/>
    <x v="5"/>
    <x v="446"/>
    <x v="13"/>
    <n v="920.81875395237512"/>
    <x v="490"/>
  </r>
  <r>
    <x v="20"/>
    <x v="6"/>
    <x v="157"/>
    <x v="2"/>
    <n v="305"/>
    <x v="6"/>
    <x v="87"/>
    <x v="72"/>
    <n v="853.87196432176188"/>
    <x v="94"/>
  </r>
  <r>
    <x v="20"/>
    <x v="6"/>
    <x v="157"/>
    <x v="2"/>
    <n v="140"/>
    <x v="7"/>
    <x v="719"/>
    <x v="112"/>
    <n v="795.88001734407521"/>
    <x v="830"/>
  </r>
  <r>
    <x v="20"/>
    <x v="6"/>
    <x v="158"/>
    <x v="4"/>
    <n v="1224"/>
    <x v="0"/>
    <x v="464"/>
    <x v="112"/>
    <n v="1531.478917042255"/>
    <x v="508"/>
  </r>
  <r>
    <x v="20"/>
    <x v="6"/>
    <x v="158"/>
    <x v="4"/>
    <n v="816"/>
    <x v="1"/>
    <x v="600"/>
    <x v="3"/>
    <n v="1230.4489213782738"/>
    <x v="674"/>
  </r>
  <r>
    <x v="20"/>
    <x v="6"/>
    <x v="158"/>
    <x v="4"/>
    <n v="578"/>
    <x v="2"/>
    <x v="355"/>
    <x v="115"/>
    <n v="1054.3576623225927"/>
    <x v="389"/>
  </r>
  <r>
    <x v="20"/>
    <x v="6"/>
    <x v="158"/>
    <x v="4"/>
    <n v="442"/>
    <x v="3"/>
    <x v="62"/>
    <x v="67"/>
    <n v="929.41892571429275"/>
    <x v="703"/>
  </r>
  <r>
    <x v="20"/>
    <x v="6"/>
    <x v="158"/>
    <x v="4"/>
    <n v="340"/>
    <x v="4"/>
    <x v="719"/>
    <x v="112"/>
    <n v="832.50891270623629"/>
    <x v="830"/>
  </r>
  <r>
    <x v="20"/>
    <x v="3"/>
    <x v="116"/>
    <x v="2"/>
    <n v="665"/>
    <x v="0"/>
    <x v="51"/>
    <x v="24"/>
    <n v="1322.2192947339192"/>
    <x v="53"/>
  </r>
  <r>
    <x v="20"/>
    <x v="3"/>
    <x v="116"/>
    <x v="2"/>
    <n v="595"/>
    <x v="1"/>
    <x v="691"/>
    <x v="144"/>
    <n v="1021.1892990699381"/>
    <x v="797"/>
  </r>
  <r>
    <x v="20"/>
    <x v="3"/>
    <x v="116"/>
    <x v="2"/>
    <n v="508"/>
    <x v="2"/>
    <x v="108"/>
    <x v="84"/>
    <n v="845.09804001425687"/>
    <x v="555"/>
  </r>
  <r>
    <x v="20"/>
    <x v="3"/>
    <x v="116"/>
    <x v="2"/>
    <n v="324"/>
    <x v="3"/>
    <x v="557"/>
    <x v="289"/>
    <n v="720.15930340595696"/>
    <x v="618"/>
  </r>
  <r>
    <x v="20"/>
    <x v="3"/>
    <x v="2"/>
    <x v="2"/>
    <n v="1284"/>
    <x v="0"/>
    <x v="556"/>
    <x v="13"/>
    <n v="1799.3405494535816"/>
    <x v="617"/>
  </r>
  <r>
    <x v="20"/>
    <x v="3"/>
    <x v="2"/>
    <x v="2"/>
    <n v="1284"/>
    <x v="1"/>
    <x v="610"/>
    <x v="86"/>
    <n v="1498.3105537896004"/>
    <x v="691"/>
  </r>
  <r>
    <x v="20"/>
    <x v="3"/>
    <x v="2"/>
    <x v="2"/>
    <n v="1283"/>
    <x v="2"/>
    <x v="176"/>
    <x v="123"/>
    <n v="1322.2192947339192"/>
    <x v="191"/>
  </r>
  <r>
    <x v="20"/>
    <x v="3"/>
    <x v="2"/>
    <x v="2"/>
    <n v="652"/>
    <x v="3"/>
    <x v="379"/>
    <x v="53"/>
    <n v="1197.2805581256191"/>
    <x v="417"/>
  </r>
  <r>
    <x v="20"/>
    <x v="3"/>
    <x v="2"/>
    <x v="2"/>
    <n v="530"/>
    <x v="4"/>
    <x v="22"/>
    <x v="22"/>
    <n v="1100.3705451175629"/>
    <x v="22"/>
  </r>
  <r>
    <x v="20"/>
    <x v="3"/>
    <x v="2"/>
    <x v="2"/>
    <n v="408"/>
    <x v="5"/>
    <x v="720"/>
    <x v="174"/>
    <n v="1021.1892990699381"/>
    <x v="831"/>
  </r>
  <r>
    <x v="20"/>
    <x v="3"/>
    <x v="2"/>
    <x v="2"/>
    <n v="286"/>
    <x v="6"/>
    <x v="473"/>
    <x v="255"/>
    <n v="954.24250943932486"/>
    <x v="519"/>
  </r>
  <r>
    <x v="20"/>
    <x v="3"/>
    <x v="2"/>
    <x v="2"/>
    <n v="224"/>
    <x v="7"/>
    <x v="600"/>
    <x v="3"/>
    <n v="896.2505624616382"/>
    <x v="674"/>
  </r>
  <r>
    <x v="20"/>
    <x v="3"/>
    <x v="2"/>
    <x v="2"/>
    <n v="160"/>
    <x v="8"/>
    <x v="472"/>
    <x v="7"/>
    <n v="845.09804001425687"/>
    <x v="676"/>
  </r>
  <r>
    <x v="20"/>
    <x v="3"/>
    <x v="159"/>
    <x v="1"/>
    <n v="1161"/>
    <x v="0"/>
    <x v="472"/>
    <x v="13"/>
    <n v="1579.7835966168102"/>
    <x v="518"/>
  </r>
  <r>
    <x v="20"/>
    <x v="3"/>
    <x v="159"/>
    <x v="1"/>
    <n v="1161"/>
    <x v="1"/>
    <x v="247"/>
    <x v="25"/>
    <n v="1278.7536009528289"/>
    <x v="271"/>
  </r>
  <r>
    <x v="20"/>
    <x v="3"/>
    <x v="159"/>
    <x v="1"/>
    <n v="479"/>
    <x v="2"/>
    <x v="89"/>
    <x v="37"/>
    <n v="1102.6623418971478"/>
    <x v="96"/>
  </r>
  <r>
    <x v="20"/>
    <x v="3"/>
    <x v="159"/>
    <x v="1"/>
    <n v="369"/>
    <x v="3"/>
    <x v="164"/>
    <x v="82"/>
    <n v="977.72360528884769"/>
    <x v="176"/>
  </r>
  <r>
    <x v="20"/>
    <x v="3"/>
    <x v="159"/>
    <x v="1"/>
    <n v="295"/>
    <x v="4"/>
    <x v="32"/>
    <x v="33"/>
    <n v="880.81359228079123"/>
    <x v="34"/>
  </r>
  <r>
    <x v="20"/>
    <x v="3"/>
    <x v="159"/>
    <x v="1"/>
    <n v="221"/>
    <x v="5"/>
    <x v="544"/>
    <x v="50"/>
    <n v="801.63234623316646"/>
    <x v="601"/>
  </r>
  <r>
    <x v="20"/>
    <x v="3"/>
    <x v="17"/>
    <x v="1"/>
    <n v="673"/>
    <x v="0"/>
    <x v="49"/>
    <x v="13"/>
    <n v="715.68188207949368"/>
    <x v="51"/>
  </r>
  <r>
    <x v="20"/>
    <x v="3"/>
    <x v="17"/>
    <x v="1"/>
    <n v="673"/>
    <x v="0"/>
    <x v="49"/>
    <x v="46"/>
    <n v="715.68188207949368"/>
    <x v="54"/>
  </r>
  <r>
    <x v="20"/>
    <x v="3"/>
    <x v="17"/>
    <x v="1"/>
    <n v="672"/>
    <x v="1"/>
    <x v="399"/>
    <x v="204"/>
    <n v="565.16688424750305"/>
    <x v="438"/>
  </r>
  <r>
    <x v="20"/>
    <x v="3"/>
    <x v="17"/>
    <x v="1"/>
    <n v="672"/>
    <x v="1"/>
    <x v="446"/>
    <x v="13"/>
    <n v="565.16688424750305"/>
    <x v="490"/>
  </r>
  <r>
    <x v="20"/>
    <x v="3"/>
    <x v="17"/>
    <x v="1"/>
    <n v="672"/>
    <x v="2"/>
    <x v="45"/>
    <x v="42"/>
    <n v="477.12125471966249"/>
    <x v="47"/>
  </r>
  <r>
    <x v="20"/>
    <x v="3"/>
    <x v="17"/>
    <x v="1"/>
    <n v="672"/>
    <x v="2"/>
    <x v="173"/>
    <x v="121"/>
    <n v="477.12125471966249"/>
    <x v="188"/>
  </r>
  <r>
    <x v="20"/>
    <x v="3"/>
    <x v="17"/>
    <x v="1"/>
    <n v="340"/>
    <x v="3"/>
    <x v="355"/>
    <x v="115"/>
    <n v="414.65188641551248"/>
    <x v="389"/>
  </r>
  <r>
    <x v="20"/>
    <x v="3"/>
    <x v="17"/>
    <x v="1"/>
    <n v="340"/>
    <x v="3"/>
    <x v="485"/>
    <x v="262"/>
    <n v="414.65188641551248"/>
    <x v="533"/>
  </r>
  <r>
    <x v="20"/>
    <x v="3"/>
    <x v="17"/>
    <x v="1"/>
    <n v="262"/>
    <x v="4"/>
    <x v="472"/>
    <x v="13"/>
    <n v="366.19687991148425"/>
    <x v="518"/>
  </r>
  <r>
    <x v="20"/>
    <x v="3"/>
    <x v="17"/>
    <x v="1"/>
    <n v="262"/>
    <x v="4"/>
    <x v="164"/>
    <x v="82"/>
    <n v="366.19687991148425"/>
    <x v="176"/>
  </r>
  <r>
    <x v="21"/>
    <x v="7"/>
    <x v="32"/>
    <x v="1"/>
    <n v="2026"/>
    <x v="0"/>
    <x v="355"/>
    <x v="115"/>
    <n v="1447.1580313422191"/>
    <x v="389"/>
  </r>
  <r>
    <x v="21"/>
    <x v="7"/>
    <x v="32"/>
    <x v="1"/>
    <n v="1200"/>
    <x v="1"/>
    <x v="83"/>
    <x v="57"/>
    <n v="1146.1280356782379"/>
    <x v="89"/>
  </r>
  <r>
    <x v="21"/>
    <x v="7"/>
    <x v="32"/>
    <x v="1"/>
    <n v="741"/>
    <x v="2"/>
    <x v="379"/>
    <x v="53"/>
    <n v="970.03677662255677"/>
    <x v="417"/>
  </r>
  <r>
    <x v="21"/>
    <x v="7"/>
    <x v="32"/>
    <x v="1"/>
    <n v="465"/>
    <x v="3"/>
    <x v="721"/>
    <x v="13"/>
    <n v="845.09804001425687"/>
    <x v="832"/>
  </r>
  <r>
    <x v="21"/>
    <x v="7"/>
    <x v="32"/>
    <x v="1"/>
    <n v="160"/>
    <x v="4"/>
    <x v="406"/>
    <x v="70"/>
    <n v="748.1880270062004"/>
    <x v="446"/>
  </r>
  <r>
    <x v="21"/>
    <x v="7"/>
    <x v="2"/>
    <x v="2"/>
    <n v="2219"/>
    <x v="0"/>
    <x v="355"/>
    <x v="115"/>
    <n v="1518.5139398778874"/>
    <x v="389"/>
  </r>
  <r>
    <x v="21"/>
    <x v="7"/>
    <x v="2"/>
    <x v="2"/>
    <n v="1353"/>
    <x v="1"/>
    <x v="603"/>
    <x v="92"/>
    <n v="1217.4839442139062"/>
    <x v="680"/>
  </r>
  <r>
    <x v="21"/>
    <x v="7"/>
    <x v="2"/>
    <x v="2"/>
    <n v="812"/>
    <x v="2"/>
    <x v="346"/>
    <x v="37"/>
    <n v="1041.392685158225"/>
    <x v="380"/>
  </r>
  <r>
    <x v="21"/>
    <x v="7"/>
    <x v="2"/>
    <x v="2"/>
    <n v="595"/>
    <x v="3"/>
    <x v="356"/>
    <x v="310"/>
    <n v="916.45394854992514"/>
    <x v="672"/>
  </r>
  <r>
    <x v="21"/>
    <x v="7"/>
    <x v="2"/>
    <x v="2"/>
    <n v="433"/>
    <x v="4"/>
    <x v="462"/>
    <x v="53"/>
    <n v="819.54393554186868"/>
    <x v="506"/>
  </r>
  <r>
    <x v="21"/>
    <x v="7"/>
    <x v="160"/>
    <x v="4"/>
    <n v="1886"/>
    <x v="0"/>
    <x v="462"/>
    <x v="53"/>
    <n v="1361.7278360175928"/>
    <x v="506"/>
  </r>
  <r>
    <x v="21"/>
    <x v="7"/>
    <x v="160"/>
    <x v="4"/>
    <n v="1132"/>
    <x v="1"/>
    <x v="100"/>
    <x v="26"/>
    <n v="1060.6978403536116"/>
    <x v="833"/>
  </r>
  <r>
    <x v="21"/>
    <x v="7"/>
    <x v="160"/>
    <x v="4"/>
    <n v="754"/>
    <x v="2"/>
    <x v="722"/>
    <x v="87"/>
    <n v="884.60658129793046"/>
    <x v="834"/>
  </r>
  <r>
    <x v="21"/>
    <x v="0"/>
    <x v="161"/>
    <x v="4"/>
    <n v="470"/>
    <x v="0"/>
    <x v="28"/>
    <x v="28"/>
    <n v="1462.3979978989562"/>
    <x v="28"/>
  </r>
  <r>
    <x v="21"/>
    <x v="0"/>
    <x v="161"/>
    <x v="4"/>
    <n v="217"/>
    <x v="1"/>
    <x v="600"/>
    <x v="3"/>
    <n v="1161.3680022349749"/>
    <x v="674"/>
  </r>
  <r>
    <x v="21"/>
    <x v="0"/>
    <x v="161"/>
    <x v="4"/>
    <n v="317"/>
    <x v="2"/>
    <x v="32"/>
    <x v="33"/>
    <n v="985.2767431792937"/>
    <x v="34"/>
  </r>
  <r>
    <x v="21"/>
    <x v="0"/>
    <x v="161"/>
    <x v="4"/>
    <n v="543"/>
    <x v="3"/>
    <x v="379"/>
    <x v="53"/>
    <n v="860.33800657099368"/>
    <x v="417"/>
  </r>
  <r>
    <x v="21"/>
    <x v="0"/>
    <x v="161"/>
    <x v="4"/>
    <n v="370"/>
    <x v="4"/>
    <x v="520"/>
    <x v="76"/>
    <n v="763.42799356293722"/>
    <x v="571"/>
  </r>
  <r>
    <x v="21"/>
    <x v="0"/>
    <x v="161"/>
    <x v="4"/>
    <n v="220"/>
    <x v="5"/>
    <x v="42"/>
    <x v="40"/>
    <n v="684.24674751531245"/>
    <x v="44"/>
  </r>
  <r>
    <x v="21"/>
    <x v="0"/>
    <x v="161"/>
    <x v="4"/>
    <n v="477"/>
    <x v="6"/>
    <x v="610"/>
    <x v="86"/>
    <n v="617.29995788469932"/>
    <x v="691"/>
  </r>
  <r>
    <x v="21"/>
    <x v="0"/>
    <x v="161"/>
    <x v="4"/>
    <n v="287"/>
    <x v="7"/>
    <x v="723"/>
    <x v="93"/>
    <n v="559.30801090701254"/>
    <x v="835"/>
  </r>
  <r>
    <x v="21"/>
    <x v="0"/>
    <x v="2"/>
    <x v="2"/>
    <n v="2343"/>
    <x v="0"/>
    <x v="108"/>
    <x v="84"/>
    <n v="1740.3626894942438"/>
    <x v="555"/>
  </r>
  <r>
    <x v="21"/>
    <x v="0"/>
    <x v="2"/>
    <x v="2"/>
    <n v="2342"/>
    <x v="1"/>
    <x v="724"/>
    <x v="128"/>
    <n v="1439.3326938302625"/>
    <x v="836"/>
  </r>
  <r>
    <x v="21"/>
    <x v="0"/>
    <x v="2"/>
    <x v="2"/>
    <n v="1152"/>
    <x v="2"/>
    <x v="584"/>
    <x v="304"/>
    <n v="1263.2414347745814"/>
    <x v="651"/>
  </r>
  <r>
    <x v="21"/>
    <x v="0"/>
    <x v="2"/>
    <x v="2"/>
    <n v="793"/>
    <x v="3"/>
    <x v="176"/>
    <x v="112"/>
    <n v="1138.3026981662815"/>
    <x v="837"/>
  </r>
  <r>
    <x v="21"/>
    <x v="0"/>
    <x v="2"/>
    <x v="2"/>
    <n v="582"/>
    <x v="4"/>
    <x v="569"/>
    <x v="128"/>
    <n v="1041.3926851582248"/>
    <x v="630"/>
  </r>
  <r>
    <x v="21"/>
    <x v="0"/>
    <x v="2"/>
    <x v="2"/>
    <n v="484"/>
    <x v="5"/>
    <x v="473"/>
    <x v="255"/>
    <n v="962.21143911060028"/>
    <x v="519"/>
  </r>
  <r>
    <x v="21"/>
    <x v="0"/>
    <x v="2"/>
    <x v="2"/>
    <n v="414"/>
    <x v="6"/>
    <x v="153"/>
    <x v="107"/>
    <n v="895.26464947998704"/>
    <x v="165"/>
  </r>
  <r>
    <x v="21"/>
    <x v="0"/>
    <x v="5"/>
    <x v="1"/>
    <n v="1445"/>
    <x v="0"/>
    <x v="481"/>
    <x v="261"/>
    <n v="1690.1960800285137"/>
    <x v="529"/>
  </r>
  <r>
    <x v="21"/>
    <x v="0"/>
    <x v="5"/>
    <x v="1"/>
    <n v="1440"/>
    <x v="1"/>
    <x v="51"/>
    <x v="24"/>
    <n v="1389.1660843645325"/>
    <x v="53"/>
  </r>
  <r>
    <x v="21"/>
    <x v="0"/>
    <x v="5"/>
    <x v="1"/>
    <n v="1280"/>
    <x v="2"/>
    <x v="485"/>
    <x v="262"/>
    <n v="1213.0748253088514"/>
    <x v="533"/>
  </r>
  <r>
    <x v="21"/>
    <x v="0"/>
    <x v="5"/>
    <x v="1"/>
    <n v="490"/>
    <x v="3"/>
    <x v="83"/>
    <x v="57"/>
    <n v="1088.1360887005512"/>
    <x v="89"/>
  </r>
  <r>
    <x v="21"/>
    <x v="0"/>
    <x v="5"/>
    <x v="1"/>
    <n v="245"/>
    <x v="4"/>
    <x v="491"/>
    <x v="264"/>
    <n v="991.22607569249476"/>
    <x v="540"/>
  </r>
  <r>
    <x v="21"/>
    <x v="6"/>
    <x v="162"/>
    <x v="1"/>
    <n v="1427"/>
    <x v="0"/>
    <x v="543"/>
    <x v="347"/>
    <n v="1672.0978579357175"/>
    <x v="819"/>
  </r>
  <r>
    <x v="21"/>
    <x v="6"/>
    <x v="162"/>
    <x v="1"/>
    <n v="1004"/>
    <x v="1"/>
    <x v="31"/>
    <x v="32"/>
    <n v="1371.0678622717362"/>
    <x v="33"/>
  </r>
  <r>
    <x v="21"/>
    <x v="6"/>
    <x v="162"/>
    <x v="1"/>
    <n v="769"/>
    <x v="2"/>
    <x v="134"/>
    <x v="98"/>
    <n v="1194.9766032160551"/>
    <x v="142"/>
  </r>
  <r>
    <x v="21"/>
    <x v="6"/>
    <x v="162"/>
    <x v="1"/>
    <n v="581"/>
    <x v="3"/>
    <x v="687"/>
    <x v="28"/>
    <n v="1070.0378666077549"/>
    <x v="792"/>
  </r>
  <r>
    <x v="21"/>
    <x v="6"/>
    <x v="162"/>
    <x v="1"/>
    <n v="440"/>
    <x v="4"/>
    <x v="246"/>
    <x v="34"/>
    <n v="973.12785359969871"/>
    <x v="270"/>
  </r>
  <r>
    <x v="21"/>
    <x v="6"/>
    <x v="162"/>
    <x v="1"/>
    <n v="299"/>
    <x v="5"/>
    <x v="538"/>
    <x v="280"/>
    <n v="893.94660755207394"/>
    <x v="593"/>
  </r>
  <r>
    <x v="21"/>
    <x v="6"/>
    <x v="162"/>
    <x v="1"/>
    <n v="180"/>
    <x v="6"/>
    <x v="673"/>
    <x v="120"/>
    <n v="826.9998179214607"/>
    <x v="770"/>
  </r>
  <r>
    <x v="21"/>
    <x v="6"/>
    <x v="163"/>
    <x v="1"/>
    <n v="1210"/>
    <x v="0"/>
    <x v="133"/>
    <x v="97"/>
    <n v="1544.0680443502756"/>
    <x v="141"/>
  </r>
  <r>
    <x v="21"/>
    <x v="6"/>
    <x v="163"/>
    <x v="1"/>
    <n v="790"/>
    <x v="1"/>
    <x v="228"/>
    <x v="73"/>
    <n v="1243.0380486862944"/>
    <x v="251"/>
  </r>
  <r>
    <x v="21"/>
    <x v="6"/>
    <x v="163"/>
    <x v="1"/>
    <n v="545"/>
    <x v="2"/>
    <x v="485"/>
    <x v="262"/>
    <n v="1066.9467896306132"/>
    <x v="533"/>
  </r>
  <r>
    <x v="21"/>
    <x v="6"/>
    <x v="163"/>
    <x v="1"/>
    <n v="405"/>
    <x v="3"/>
    <x v="725"/>
    <x v="26"/>
    <n v="942.00805302231322"/>
    <x v="838"/>
  </r>
  <r>
    <x v="21"/>
    <x v="6"/>
    <x v="163"/>
    <x v="1"/>
    <n v="300"/>
    <x v="4"/>
    <x v="62"/>
    <x v="228"/>
    <n v="845.09804001425687"/>
    <x v="442"/>
  </r>
  <r>
    <x v="21"/>
    <x v="6"/>
    <x v="163"/>
    <x v="1"/>
    <n v="150"/>
    <x v="4"/>
    <x v="87"/>
    <x v="72"/>
    <n v="765.91679396663199"/>
    <x v="94"/>
  </r>
  <r>
    <x v="21"/>
    <x v="6"/>
    <x v="163"/>
    <x v="1"/>
    <n v="100"/>
    <x v="4"/>
    <x v="314"/>
    <x v="189"/>
    <n v="698.97000433601886"/>
    <x v="344"/>
  </r>
  <r>
    <x v="21"/>
    <x v="6"/>
    <x v="164"/>
    <x v="2"/>
    <n v="1248"/>
    <x v="0"/>
    <x v="546"/>
    <x v="113"/>
    <n v="1716.0033436347992"/>
    <x v="604"/>
  </r>
  <r>
    <x v="21"/>
    <x v="6"/>
    <x v="164"/>
    <x v="2"/>
    <n v="1300"/>
    <x v="1"/>
    <x v="3"/>
    <x v="317"/>
    <n v="1414.9733479708179"/>
    <x v="693"/>
  </r>
  <r>
    <x v="21"/>
    <x v="6"/>
    <x v="164"/>
    <x v="2"/>
    <n v="832"/>
    <x v="2"/>
    <x v="1"/>
    <x v="1"/>
    <n v="1238.8820889151368"/>
    <x v="1"/>
  </r>
  <r>
    <x v="21"/>
    <x v="6"/>
    <x v="164"/>
    <x v="2"/>
    <n v="676"/>
    <x v="3"/>
    <x v="726"/>
    <x v="370"/>
    <n v="1113.9433523068369"/>
    <x v="839"/>
  </r>
  <r>
    <x v="21"/>
    <x v="6"/>
    <x v="164"/>
    <x v="2"/>
    <n v="260"/>
    <x v="4"/>
    <x v="62"/>
    <x v="68"/>
    <n v="870.90530362054244"/>
    <x v="840"/>
  </r>
  <r>
    <x v="21"/>
    <x v="6"/>
    <x v="164"/>
    <x v="2"/>
    <n v="364"/>
    <x v="4"/>
    <x v="140"/>
    <x v="64"/>
    <n v="937.85209325115557"/>
    <x v="150"/>
  </r>
  <r>
    <x v="21"/>
    <x v="6"/>
    <x v="164"/>
    <x v="2"/>
    <n v="520"/>
    <x v="4"/>
    <x v="377"/>
    <x v="92"/>
    <n v="1017.0333392987802"/>
    <x v="414"/>
  </r>
  <r>
    <x v="21"/>
    <x v="6"/>
    <x v="165"/>
    <x v="4"/>
    <n v="960"/>
    <x v="0"/>
    <x v="543"/>
    <x v="347"/>
    <n v="1505.149978319906"/>
    <x v="819"/>
  </r>
  <r>
    <x v="21"/>
    <x v="6"/>
    <x v="165"/>
    <x v="4"/>
    <n v="960"/>
    <x v="1"/>
    <x v="45"/>
    <x v="73"/>
    <n v="1204.1199826559248"/>
    <x v="140"/>
  </r>
  <r>
    <x v="21"/>
    <x v="6"/>
    <x v="165"/>
    <x v="4"/>
    <n v="544"/>
    <x v="2"/>
    <x v="699"/>
    <x v="202"/>
    <n v="1028.0287236002437"/>
    <x v="807"/>
  </r>
  <r>
    <x v="21"/>
    <x v="6"/>
    <x v="165"/>
    <x v="4"/>
    <n v="416"/>
    <x v="3"/>
    <x v="302"/>
    <x v="183"/>
    <n v="903.08998699194365"/>
    <x v="330"/>
  </r>
  <r>
    <x v="21"/>
    <x v="6"/>
    <x v="165"/>
    <x v="4"/>
    <n v="320"/>
    <x v="4"/>
    <x v="462"/>
    <x v="53"/>
    <n v="806.17997398388718"/>
    <x v="506"/>
  </r>
  <r>
    <x v="21"/>
    <x v="6"/>
    <x v="166"/>
    <x v="3"/>
    <n v="1308"/>
    <x v="0"/>
    <x v="134"/>
    <x v="98"/>
    <n v="1633.4684555795864"/>
    <x v="142"/>
  </r>
  <r>
    <x v="21"/>
    <x v="6"/>
    <x v="166"/>
    <x v="3"/>
    <n v="921"/>
    <x v="1"/>
    <x v="462"/>
    <x v="53"/>
    <n v="1332.4384599156051"/>
    <x v="506"/>
  </r>
  <r>
    <x v="21"/>
    <x v="6"/>
    <x v="166"/>
    <x v="3"/>
    <n v="706"/>
    <x v="2"/>
    <x v="727"/>
    <x v="276"/>
    <n v="1156.347200859924"/>
    <x v="841"/>
  </r>
  <r>
    <x v="21"/>
    <x v="6"/>
    <x v="166"/>
    <x v="3"/>
    <n v="534"/>
    <x v="3"/>
    <x v="228"/>
    <x v="73"/>
    <n v="1031.4084642516241"/>
    <x v="251"/>
  </r>
  <r>
    <x v="21"/>
    <x v="6"/>
    <x v="166"/>
    <x v="3"/>
    <n v="405"/>
    <x v="4"/>
    <x v="126"/>
    <x v="93"/>
    <n v="934.49845124356762"/>
    <x v="133"/>
  </r>
  <r>
    <x v="21"/>
    <x v="6"/>
    <x v="166"/>
    <x v="3"/>
    <n v="276"/>
    <x v="5"/>
    <x v="606"/>
    <x v="29"/>
    <n v="855.31720519594273"/>
    <x v="685"/>
  </r>
  <r>
    <x v="21"/>
    <x v="6"/>
    <x v="166"/>
    <x v="3"/>
    <n v="150"/>
    <x v="6"/>
    <x v="305"/>
    <x v="98"/>
    <n v="788.37041556532961"/>
    <x v="333"/>
  </r>
  <r>
    <x v="21"/>
    <x v="3"/>
    <x v="32"/>
    <x v="1"/>
    <n v="1450"/>
    <x v="0"/>
    <x v="728"/>
    <x v="371"/>
    <n v="1568.201724066995"/>
    <x v="842"/>
  </r>
  <r>
    <x v="21"/>
    <x v="3"/>
    <x v="32"/>
    <x v="1"/>
    <n v="850"/>
    <x v="1"/>
    <x v="4"/>
    <x v="4"/>
    <n v="1267.1717284030137"/>
    <x v="4"/>
  </r>
  <r>
    <x v="21"/>
    <x v="3"/>
    <x v="32"/>
    <x v="1"/>
    <n v="600"/>
    <x v="2"/>
    <x v="549"/>
    <x v="25"/>
    <n v="1091.0804693473326"/>
    <x v="607"/>
  </r>
  <r>
    <x v="21"/>
    <x v="3"/>
    <x v="32"/>
    <x v="1"/>
    <n v="415"/>
    <x v="3"/>
    <x v="482"/>
    <x v="37"/>
    <n v="966.14173273903259"/>
    <x v="530"/>
  </r>
  <r>
    <x v="21"/>
    <x v="3"/>
    <x v="32"/>
    <x v="1"/>
    <n v="274"/>
    <x v="4"/>
    <x v="228"/>
    <x v="73"/>
    <n v="869.23171973097612"/>
    <x v="251"/>
  </r>
  <r>
    <x v="21"/>
    <x v="3"/>
    <x v="116"/>
    <x v="2"/>
    <n v="671"/>
    <x v="0"/>
    <x v="603"/>
    <x v="92"/>
    <n v="1230.4489213782738"/>
    <x v="680"/>
  </r>
  <r>
    <x v="21"/>
    <x v="3"/>
    <x v="116"/>
    <x v="2"/>
    <n v="543"/>
    <x v="1"/>
    <x v="691"/>
    <x v="144"/>
    <n v="929.41892571429264"/>
    <x v="797"/>
  </r>
  <r>
    <x v="21"/>
    <x v="3"/>
    <x v="116"/>
    <x v="2"/>
    <n v="486"/>
    <x v="2"/>
    <x v="729"/>
    <x v="86"/>
    <n v="753.32766665861152"/>
    <x v="843"/>
  </r>
  <r>
    <x v="21"/>
    <x v="3"/>
    <x v="2"/>
    <x v="2"/>
    <n v="1761"/>
    <x v="0"/>
    <x v="603"/>
    <x v="92"/>
    <n v="1740.3626894942438"/>
    <x v="680"/>
  </r>
  <r>
    <x v="21"/>
    <x v="3"/>
    <x v="2"/>
    <x v="2"/>
    <n v="960"/>
    <x v="1"/>
    <x v="438"/>
    <x v="50"/>
    <n v="1439.3326938302625"/>
    <x v="481"/>
  </r>
  <r>
    <x v="21"/>
    <x v="3"/>
    <x v="2"/>
    <x v="2"/>
    <n v="694"/>
    <x v="2"/>
    <x v="228"/>
    <x v="73"/>
    <n v="1263.2414347745814"/>
    <x v="251"/>
  </r>
  <r>
    <x v="21"/>
    <x v="3"/>
    <x v="2"/>
    <x v="2"/>
    <n v="587"/>
    <x v="3"/>
    <x v="609"/>
    <x v="26"/>
    <n v="1138.3026981662815"/>
    <x v="690"/>
  </r>
  <r>
    <x v="21"/>
    <x v="3"/>
    <x v="2"/>
    <x v="2"/>
    <n v="480"/>
    <x v="4"/>
    <x v="419"/>
    <x v="237"/>
    <n v="1041.3926851582248"/>
    <x v="461"/>
  </r>
  <r>
    <x v="21"/>
    <x v="3"/>
    <x v="2"/>
    <x v="2"/>
    <n v="373"/>
    <x v="5"/>
    <x v="28"/>
    <x v="28"/>
    <n v="962.21143911060028"/>
    <x v="28"/>
  </r>
  <r>
    <x v="21"/>
    <x v="3"/>
    <x v="2"/>
    <x v="2"/>
    <n v="267"/>
    <x v="6"/>
    <x v="302"/>
    <x v="183"/>
    <n v="895.26464947998704"/>
    <x v="330"/>
  </r>
  <r>
    <x v="21"/>
    <x v="3"/>
    <x v="2"/>
    <x v="2"/>
    <n v="213"/>
    <x v="7"/>
    <x v="483"/>
    <x v="7"/>
    <n v="837.27270250230038"/>
    <x v="531"/>
  </r>
  <r>
    <x v="21"/>
    <x v="3"/>
    <x v="17"/>
    <x v="1"/>
    <n v="893"/>
    <x v="0"/>
    <x v="355"/>
    <x v="115"/>
    <n v="680.86391800879642"/>
    <x v="389"/>
  </r>
  <r>
    <x v="21"/>
    <x v="3"/>
    <x v="17"/>
    <x v="1"/>
    <n v="893"/>
    <x v="0"/>
    <x v="485"/>
    <x v="262"/>
    <n v="680.86391800879642"/>
    <x v="533"/>
  </r>
  <r>
    <x v="21"/>
    <x v="3"/>
    <x v="17"/>
    <x v="1"/>
    <n v="892"/>
    <x v="1"/>
    <x v="83"/>
    <x v="57"/>
    <n v="530.34892017680579"/>
    <x v="89"/>
  </r>
  <r>
    <x v="21"/>
    <x v="3"/>
    <x v="17"/>
    <x v="1"/>
    <n v="892"/>
    <x v="1"/>
    <x v="28"/>
    <x v="28"/>
    <n v="530.34892017680579"/>
    <x v="28"/>
  </r>
  <r>
    <x v="21"/>
    <x v="3"/>
    <x v="17"/>
    <x v="1"/>
    <n v="446"/>
    <x v="2"/>
    <x v="21"/>
    <x v="21"/>
    <n v="442.30329064896523"/>
    <x v="21"/>
  </r>
  <r>
    <x v="21"/>
    <x v="3"/>
    <x v="17"/>
    <x v="1"/>
    <n v="446"/>
    <x v="2"/>
    <x v="51"/>
    <x v="24"/>
    <n v="442.30329064896523"/>
    <x v="53"/>
  </r>
  <r>
    <x v="21"/>
    <x v="8"/>
    <x v="2"/>
    <x v="2"/>
    <n v="1240"/>
    <x v="0"/>
    <x v="460"/>
    <x v="103"/>
    <n v="1633.4684555795864"/>
    <x v="504"/>
  </r>
  <r>
    <x v="21"/>
    <x v="8"/>
    <x v="2"/>
    <x v="2"/>
    <n v="880"/>
    <x v="1"/>
    <x v="730"/>
    <x v="158"/>
    <n v="1332.4384599156051"/>
    <x v="844"/>
  </r>
  <r>
    <x v="21"/>
    <x v="8"/>
    <x v="2"/>
    <x v="2"/>
    <n v="680"/>
    <x v="2"/>
    <x v="472"/>
    <x v="13"/>
    <n v="1156.347200859924"/>
    <x v="518"/>
  </r>
  <r>
    <x v="21"/>
    <x v="8"/>
    <x v="2"/>
    <x v="2"/>
    <n v="520"/>
    <x v="3"/>
    <x v="87"/>
    <x v="72"/>
    <n v="1031.4084642516241"/>
    <x v="94"/>
  </r>
  <r>
    <x v="21"/>
    <x v="8"/>
    <x v="2"/>
    <x v="2"/>
    <n v="400"/>
    <x v="4"/>
    <x v="681"/>
    <x v="104"/>
    <n v="934.49845124356762"/>
    <x v="781"/>
  </r>
  <r>
    <x v="21"/>
    <x v="8"/>
    <x v="2"/>
    <x v="2"/>
    <n v="280"/>
    <x v="5"/>
    <x v="228"/>
    <x v="73"/>
    <n v="855.31720519594273"/>
    <x v="251"/>
  </r>
  <r>
    <x v="21"/>
    <x v="8"/>
    <x v="2"/>
    <x v="2"/>
    <n v="100"/>
    <x v="6"/>
    <x v="17"/>
    <x v="17"/>
    <n v="788.37041556532961"/>
    <x v="17"/>
  </r>
  <r>
    <x v="21"/>
    <x v="8"/>
    <x v="2"/>
    <x v="2"/>
    <n v="100"/>
    <x v="7"/>
    <x v="42"/>
    <x v="40"/>
    <n v="730.37846858764283"/>
    <x v="44"/>
  </r>
  <r>
    <x v="21"/>
    <x v="8"/>
    <x v="2"/>
    <x v="2"/>
    <n v="100"/>
    <x v="8"/>
    <x v="731"/>
    <x v="27"/>
    <n v="679.2259461402615"/>
    <x v="845"/>
  </r>
  <r>
    <x v="21"/>
    <x v="1"/>
    <x v="167"/>
    <x v="2"/>
    <n v="964"/>
    <x v="0"/>
    <x v="45"/>
    <x v="73"/>
    <n v="1361.7278360175928"/>
    <x v="140"/>
  </r>
  <r>
    <x v="21"/>
    <x v="1"/>
    <x v="167"/>
    <x v="2"/>
    <n v="578"/>
    <x v="1"/>
    <x v="78"/>
    <x v="17"/>
    <n v="1060.6978403536116"/>
    <x v="84"/>
  </r>
  <r>
    <x v="21"/>
    <x v="1"/>
    <x v="167"/>
    <x v="2"/>
    <n v="385"/>
    <x v="2"/>
    <x v="445"/>
    <x v="123"/>
    <n v="884.60658129793046"/>
    <x v="488"/>
  </r>
  <r>
    <x v="21"/>
    <x v="1"/>
    <x v="167"/>
    <x v="2"/>
    <n v="288"/>
    <x v="3"/>
    <x v="215"/>
    <x v="1"/>
    <n v="759.66784468963044"/>
    <x v="238"/>
  </r>
  <r>
    <x v="21"/>
    <x v="1"/>
    <x v="167"/>
    <x v="2"/>
    <n v="200"/>
    <x v="4"/>
    <x v="9"/>
    <x v="9"/>
    <n v="662.75783168157398"/>
    <x v="9"/>
  </r>
  <r>
    <x v="21"/>
    <x v="1"/>
    <x v="168"/>
    <x v="11"/>
    <n v="834"/>
    <x v="0"/>
    <x v="445"/>
    <x v="327"/>
    <n v="1579.7835966168102"/>
    <x v="717"/>
  </r>
  <r>
    <x v="21"/>
    <x v="1"/>
    <x v="168"/>
    <x v="11"/>
    <n v="597"/>
    <x v="1"/>
    <x v="356"/>
    <x v="310"/>
    <n v="1278.7536009528289"/>
    <x v="672"/>
  </r>
  <r>
    <x v="21"/>
    <x v="1"/>
    <x v="168"/>
    <x v="11"/>
    <n v="464"/>
    <x v="2"/>
    <x v="445"/>
    <x v="273"/>
    <n v="1102.6623418971478"/>
    <x v="715"/>
  </r>
  <r>
    <x v="21"/>
    <x v="1"/>
    <x v="168"/>
    <x v="11"/>
    <n v="370"/>
    <x v="3"/>
    <x v="716"/>
    <x v="247"/>
    <n v="977.72360528884769"/>
    <x v="827"/>
  </r>
  <r>
    <x v="21"/>
    <x v="1"/>
    <x v="168"/>
    <x v="11"/>
    <n v="285"/>
    <x v="4"/>
    <x v="9"/>
    <x v="9"/>
    <n v="880.81359228079123"/>
    <x v="9"/>
  </r>
  <r>
    <x v="21"/>
    <x v="1"/>
    <x v="168"/>
    <x v="11"/>
    <n v="200"/>
    <x v="5"/>
    <x v="45"/>
    <x v="73"/>
    <n v="801.63234623316646"/>
    <x v="140"/>
  </r>
  <r>
    <x v="21"/>
    <x v="1"/>
    <x v="168"/>
    <x v="11"/>
    <n v="100"/>
    <x v="6"/>
    <x v="302"/>
    <x v="183"/>
    <n v="734.68555660255333"/>
    <x v="330"/>
  </r>
  <r>
    <x v="21"/>
    <x v="1"/>
    <x v="169"/>
    <x v="2"/>
    <n v="1209"/>
    <x v="0"/>
    <x v="228"/>
    <x v="73"/>
    <n v="1732.3937598229686"/>
    <x v="251"/>
  </r>
  <r>
    <x v="21"/>
    <x v="1"/>
    <x v="169"/>
    <x v="2"/>
    <n v="1442"/>
    <x v="1"/>
    <x v="355"/>
    <x v="115"/>
    <n v="1431.3637641589874"/>
    <x v="389"/>
  </r>
  <r>
    <x v="21"/>
    <x v="1"/>
    <x v="169"/>
    <x v="2"/>
    <n v="944"/>
    <x v="2"/>
    <x v="520"/>
    <x v="76"/>
    <n v="1255.2725051033062"/>
    <x v="571"/>
  </r>
  <r>
    <x v="21"/>
    <x v="1"/>
    <x v="169"/>
    <x v="2"/>
    <n v="707"/>
    <x v="3"/>
    <x v="356"/>
    <x v="23"/>
    <n v="1130.3337684950061"/>
    <x v="391"/>
  </r>
  <r>
    <x v="21"/>
    <x v="1"/>
    <x v="169"/>
    <x v="2"/>
    <n v="537"/>
    <x v="4"/>
    <x v="732"/>
    <x v="372"/>
    <n v="1033.4237554869499"/>
    <x v="846"/>
  </r>
  <r>
    <x v="21"/>
    <x v="1"/>
    <x v="169"/>
    <x v="2"/>
    <n v="367"/>
    <x v="5"/>
    <x v="491"/>
    <x v="264"/>
    <n v="954.24250943932498"/>
    <x v="540"/>
  </r>
  <r>
    <x v="21"/>
    <x v="1"/>
    <x v="169"/>
    <x v="2"/>
    <n v="254"/>
    <x v="6"/>
    <x v="654"/>
    <x v="81"/>
    <n v="887.29571980871185"/>
    <x v="746"/>
  </r>
  <r>
    <x v="21"/>
    <x v="1"/>
    <x v="169"/>
    <x v="2"/>
    <n v="105"/>
    <x v="7"/>
    <x v="733"/>
    <x v="373"/>
    <n v="829.30377283102507"/>
    <x v="847"/>
  </r>
  <r>
    <x v="21"/>
    <x v="1"/>
    <x v="169"/>
    <x v="2"/>
    <n v="105"/>
    <x v="8"/>
    <x v="446"/>
    <x v="13"/>
    <n v="778.15125038364374"/>
    <x v="490"/>
  </r>
  <r>
    <x v="21"/>
    <x v="1"/>
    <x v="170"/>
    <x v="1"/>
    <n v="500"/>
    <x v="0"/>
    <x v="355"/>
    <x v="115"/>
    <n v="1681.2412373755872"/>
    <x v="389"/>
  </r>
  <r>
    <x v="21"/>
    <x v="1"/>
    <x v="170"/>
    <x v="1"/>
    <n v="500"/>
    <x v="1"/>
    <x v="228"/>
    <x v="73"/>
    <n v="1380.2112417116059"/>
    <x v="251"/>
  </r>
  <r>
    <x v="21"/>
    <x v="1"/>
    <x v="170"/>
    <x v="1"/>
    <n v="500"/>
    <x v="2"/>
    <x v="445"/>
    <x v="327"/>
    <n v="1204.1199826559248"/>
    <x v="717"/>
  </r>
  <r>
    <x v="21"/>
    <x v="1"/>
    <x v="170"/>
    <x v="1"/>
    <n v="500"/>
    <x v="3"/>
    <x v="45"/>
    <x v="73"/>
    <n v="1079.1812460476247"/>
    <x v="140"/>
  </r>
  <r>
    <x v="21"/>
    <x v="1"/>
    <x v="170"/>
    <x v="1"/>
    <n v="500"/>
    <x v="4"/>
    <x v="99"/>
    <x v="79"/>
    <n v="982.2712330395683"/>
    <x v="106"/>
  </r>
  <r>
    <x v="21"/>
    <x v="1"/>
    <x v="170"/>
    <x v="1"/>
    <n v="500"/>
    <x v="5"/>
    <x v="445"/>
    <x v="273"/>
    <n v="903.08998699194353"/>
    <x v="715"/>
  </r>
  <r>
    <x v="21"/>
    <x v="1"/>
    <x v="170"/>
    <x v="1"/>
    <n v="100"/>
    <x v="6"/>
    <x v="22"/>
    <x v="22"/>
    <n v="836.14319736133041"/>
    <x v="22"/>
  </r>
  <r>
    <x v="21"/>
    <x v="1"/>
    <x v="170"/>
    <x v="1"/>
    <n v="100"/>
    <x v="6"/>
    <x v="237"/>
    <x v="155"/>
    <n v="836.14319736133041"/>
    <x v="260"/>
  </r>
  <r>
    <x v="21"/>
    <x v="1"/>
    <x v="170"/>
    <x v="1"/>
    <n v="100"/>
    <x v="6"/>
    <x v="128"/>
    <x v="21"/>
    <n v="836.14319736133041"/>
    <x v="135"/>
  </r>
  <r>
    <x v="21"/>
    <x v="1"/>
    <x v="170"/>
    <x v="1"/>
    <n v="100"/>
    <x v="6"/>
    <x v="246"/>
    <x v="34"/>
    <n v="836.14319736133041"/>
    <x v="270"/>
  </r>
  <r>
    <x v="21"/>
    <x v="1"/>
    <x v="170"/>
    <x v="1"/>
    <n v="100"/>
    <x v="6"/>
    <x v="734"/>
    <x v="82"/>
    <n v="836.14319736133041"/>
    <x v="848"/>
  </r>
  <r>
    <x v="21"/>
    <x v="1"/>
    <x v="170"/>
    <x v="1"/>
    <n v="100"/>
    <x v="6"/>
    <x v="215"/>
    <x v="1"/>
    <n v="836.14319736133041"/>
    <x v="238"/>
  </r>
  <r>
    <x v="21"/>
    <x v="1"/>
    <x v="171"/>
    <x v="4"/>
    <n v="1567"/>
    <x v="0"/>
    <x v="735"/>
    <x v="15"/>
    <n v="1732.3937598229686"/>
    <x v="849"/>
  </r>
  <r>
    <x v="21"/>
    <x v="1"/>
    <x v="171"/>
    <x v="4"/>
    <n v="1171"/>
    <x v="1"/>
    <x v="397"/>
    <x v="104"/>
    <n v="1431.3637641589874"/>
    <x v="436"/>
  </r>
  <r>
    <x v="21"/>
    <x v="1"/>
    <x v="171"/>
    <x v="4"/>
    <n v="887"/>
    <x v="2"/>
    <x v="45"/>
    <x v="73"/>
    <n v="1255.2725051033062"/>
    <x v="140"/>
  </r>
  <r>
    <x v="21"/>
    <x v="1"/>
    <x v="171"/>
    <x v="4"/>
    <n v="717"/>
    <x v="3"/>
    <x v="637"/>
    <x v="334"/>
    <n v="1130.3337684950061"/>
    <x v="728"/>
  </r>
  <r>
    <x v="21"/>
    <x v="1"/>
    <x v="171"/>
    <x v="4"/>
    <n v="547"/>
    <x v="4"/>
    <x v="573"/>
    <x v="84"/>
    <n v="1033.4237554869499"/>
    <x v="637"/>
  </r>
  <r>
    <x v="21"/>
    <x v="1"/>
    <x v="171"/>
    <x v="4"/>
    <n v="377"/>
    <x v="5"/>
    <x v="356"/>
    <x v="310"/>
    <n v="954.24250943932498"/>
    <x v="672"/>
  </r>
  <r>
    <x v="21"/>
    <x v="1"/>
    <x v="171"/>
    <x v="4"/>
    <n v="264"/>
    <x v="6"/>
    <x v="462"/>
    <x v="53"/>
    <n v="887.29571980871185"/>
    <x v="506"/>
  </r>
  <r>
    <x v="21"/>
    <x v="1"/>
    <x v="171"/>
    <x v="4"/>
    <n v="140"/>
    <x v="7"/>
    <x v="94"/>
    <x v="299"/>
    <n v="829.30377283102507"/>
    <x v="850"/>
  </r>
  <r>
    <x v="21"/>
    <x v="1"/>
    <x v="5"/>
    <x v="13"/>
    <n v="2321"/>
    <x v="0"/>
    <x v="637"/>
    <x v="334"/>
    <n v="1892.0946026904803"/>
    <x v="728"/>
  </r>
  <r>
    <x v="21"/>
    <x v="1"/>
    <x v="5"/>
    <x v="13"/>
    <n v="1758"/>
    <x v="1"/>
    <x v="355"/>
    <x v="115"/>
    <n v="1591.0646070264991"/>
    <x v="389"/>
  </r>
  <r>
    <x v="21"/>
    <x v="1"/>
    <x v="5"/>
    <x v="13"/>
    <n v="1290"/>
    <x v="2"/>
    <x v="445"/>
    <x v="327"/>
    <n v="1414.9733479708179"/>
    <x v="717"/>
  </r>
  <r>
    <x v="21"/>
    <x v="1"/>
    <x v="5"/>
    <x v="13"/>
    <n v="1010"/>
    <x v="3"/>
    <x v="99"/>
    <x v="79"/>
    <n v="1290.0346113625178"/>
    <x v="106"/>
  </r>
  <r>
    <x v="21"/>
    <x v="1"/>
    <x v="5"/>
    <x v="13"/>
    <n v="822"/>
    <x v="4"/>
    <x v="215"/>
    <x v="104"/>
    <n v="1193.1245983544616"/>
    <x v="602"/>
  </r>
  <r>
    <x v="21"/>
    <x v="1"/>
    <x v="5"/>
    <x v="13"/>
    <n v="635"/>
    <x v="5"/>
    <x v="572"/>
    <x v="296"/>
    <n v="1113.9433523068367"/>
    <x v="635"/>
  </r>
  <r>
    <x v="21"/>
    <x v="1"/>
    <x v="5"/>
    <x v="13"/>
    <n v="448"/>
    <x v="6"/>
    <x v="460"/>
    <x v="103"/>
    <n v="1046.9965626762234"/>
    <x v="504"/>
  </r>
  <r>
    <x v="21"/>
    <x v="1"/>
    <x v="5"/>
    <x v="13"/>
    <n v="354"/>
    <x v="7"/>
    <x v="94"/>
    <x v="299"/>
    <n v="989.00461569853678"/>
    <x v="850"/>
  </r>
  <r>
    <x v="21"/>
    <x v="1"/>
    <x v="5"/>
    <x v="13"/>
    <n v="261"/>
    <x v="8"/>
    <x v="45"/>
    <x v="73"/>
    <n v="937.85209325115545"/>
    <x v="140"/>
  </r>
  <r>
    <x v="21"/>
    <x v="1"/>
    <x v="5"/>
    <x v="13"/>
    <n v="261"/>
    <x v="9"/>
    <x v="546"/>
    <x v="113"/>
    <n v="892.09460269048031"/>
    <x v="604"/>
  </r>
  <r>
    <x v="21"/>
    <x v="1"/>
    <x v="5"/>
    <x v="13"/>
    <n v="200"/>
    <x v="10"/>
    <x v="31"/>
    <x v="32"/>
    <n v="850.70191753225527"/>
    <x v="33"/>
  </r>
  <r>
    <x v="21"/>
    <x v="1"/>
    <x v="172"/>
    <x v="2"/>
    <n v="2962"/>
    <x v="0"/>
    <x v="397"/>
    <x v="104"/>
    <n v="1995.6351945975498"/>
    <x v="436"/>
  </r>
  <r>
    <x v="21"/>
    <x v="1"/>
    <x v="172"/>
    <x v="2"/>
    <n v="2631"/>
    <x v="1"/>
    <x v="295"/>
    <x v="178"/>
    <n v="1694.6051989335685"/>
    <x v="323"/>
  </r>
  <r>
    <x v="21"/>
    <x v="1"/>
    <x v="172"/>
    <x v="2"/>
    <n v="1594"/>
    <x v="2"/>
    <x v="83"/>
    <x v="57"/>
    <n v="1518.5139398778874"/>
    <x v="89"/>
  </r>
  <r>
    <x v="21"/>
    <x v="1"/>
    <x v="172"/>
    <x v="2"/>
    <n v="1193"/>
    <x v="3"/>
    <x v="543"/>
    <x v="347"/>
    <n v="1393.5752032695875"/>
    <x v="819"/>
  </r>
  <r>
    <x v="21"/>
    <x v="1"/>
    <x v="172"/>
    <x v="2"/>
    <n v="926"/>
    <x v="4"/>
    <x v="96"/>
    <x v="77"/>
    <n v="1296.6651902615308"/>
    <x v="103"/>
  </r>
  <r>
    <x v="21"/>
    <x v="1"/>
    <x v="172"/>
    <x v="2"/>
    <n v="792"/>
    <x v="5"/>
    <x v="520"/>
    <x v="76"/>
    <n v="1217.4839442139062"/>
    <x v="571"/>
  </r>
  <r>
    <x v="21"/>
    <x v="1"/>
    <x v="172"/>
    <x v="2"/>
    <n v="525"/>
    <x v="6"/>
    <x v="712"/>
    <x v="142"/>
    <n v="1150.5371545832932"/>
    <x v="823"/>
  </r>
  <r>
    <x v="21"/>
    <x v="1"/>
    <x v="172"/>
    <x v="2"/>
    <n v="391"/>
    <x v="7"/>
    <x v="4"/>
    <x v="4"/>
    <n v="1092.5452076056063"/>
    <x v="4"/>
  </r>
  <r>
    <x v="21"/>
    <x v="1"/>
    <x v="172"/>
    <x v="2"/>
    <n v="391"/>
    <x v="8"/>
    <x v="399"/>
    <x v="204"/>
    <n v="1041.3926851582248"/>
    <x v="438"/>
  </r>
  <r>
    <x v="21"/>
    <x v="1"/>
    <x v="172"/>
    <x v="2"/>
    <n v="391"/>
    <x v="9"/>
    <x v="116"/>
    <x v="89"/>
    <n v="995.63519459754991"/>
    <x v="123"/>
  </r>
  <r>
    <x v="21"/>
    <x v="1"/>
    <x v="172"/>
    <x v="2"/>
    <n v="324"/>
    <x v="10"/>
    <x v="359"/>
    <x v="210"/>
    <n v="954.24250943932475"/>
    <x v="394"/>
  </r>
  <r>
    <x v="21"/>
    <x v="1"/>
    <x v="172"/>
    <x v="2"/>
    <n v="324"/>
    <x v="11"/>
    <x v="446"/>
    <x v="13"/>
    <n v="916.45394854992503"/>
    <x v="490"/>
  </r>
  <r>
    <x v="21"/>
    <x v="1"/>
    <x v="172"/>
    <x v="2"/>
    <n v="257"/>
    <x v="12"/>
    <x v="713"/>
    <x v="367"/>
    <n v="881.69184229071323"/>
    <x v="824"/>
  </r>
  <r>
    <x v="21"/>
    <x v="1"/>
    <x v="172"/>
    <x v="2"/>
    <n v="257"/>
    <x v="13"/>
    <x v="485"/>
    <x v="262"/>
    <n v="849.50715891931191"/>
    <x v="533"/>
  </r>
  <r>
    <x v="21"/>
    <x v="1"/>
    <x v="172"/>
    <x v="2"/>
    <n v="257"/>
    <x v="14"/>
    <x v="248"/>
    <x v="158"/>
    <n v="819.54393554186856"/>
    <x v="274"/>
  </r>
  <r>
    <x v="21"/>
    <x v="1"/>
    <x v="172"/>
    <x v="2"/>
    <n v="150"/>
    <x v="15"/>
    <x v="311"/>
    <x v="22"/>
    <n v="791.51521194162513"/>
    <x v="340"/>
  </r>
  <r>
    <x v="21"/>
    <x v="1"/>
    <x v="173"/>
    <x v="1"/>
    <n v="1524"/>
    <x v="0"/>
    <x v="128"/>
    <x v="21"/>
    <n v="1826.0748027008265"/>
    <x v="135"/>
  </r>
  <r>
    <x v="21"/>
    <x v="1"/>
    <x v="173"/>
    <x v="1"/>
    <n v="1523"/>
    <x v="1"/>
    <x v="9"/>
    <x v="9"/>
    <n v="1525.0448070368452"/>
    <x v="9"/>
  </r>
  <r>
    <x v="21"/>
    <x v="1"/>
    <x v="173"/>
    <x v="1"/>
    <n v="1035"/>
    <x v="2"/>
    <x v="445"/>
    <x v="327"/>
    <n v="1348.9535479811641"/>
    <x v="717"/>
  </r>
  <r>
    <x v="21"/>
    <x v="1"/>
    <x v="173"/>
    <x v="1"/>
    <n v="844"/>
    <x v="3"/>
    <x v="356"/>
    <x v="23"/>
    <n v="1224.014811372864"/>
    <x v="391"/>
  </r>
  <r>
    <x v="21"/>
    <x v="1"/>
    <x v="173"/>
    <x v="1"/>
    <n v="633"/>
    <x v="4"/>
    <x v="734"/>
    <x v="82"/>
    <n v="1127.1047983648077"/>
    <x v="848"/>
  </r>
  <r>
    <x v="21"/>
    <x v="1"/>
    <x v="173"/>
    <x v="1"/>
    <n v="492"/>
    <x v="5"/>
    <x v="215"/>
    <x v="1"/>
    <n v="1047.9235523171828"/>
    <x v="238"/>
  </r>
  <r>
    <x v="21"/>
    <x v="1"/>
    <x v="173"/>
    <x v="1"/>
    <n v="352"/>
    <x v="6"/>
    <x v="708"/>
    <x v="365"/>
    <n v="980.9767626865696"/>
    <x v="817"/>
  </r>
  <r>
    <x v="21"/>
    <x v="1"/>
    <x v="173"/>
    <x v="1"/>
    <n v="281"/>
    <x v="7"/>
    <x v="356"/>
    <x v="310"/>
    <n v="922.98481570888293"/>
    <x v="672"/>
  </r>
  <r>
    <x v="21"/>
    <x v="1"/>
    <x v="173"/>
    <x v="1"/>
    <n v="211"/>
    <x v="8"/>
    <x v="473"/>
    <x v="255"/>
    <n v="871.8322932615016"/>
    <x v="519"/>
  </r>
  <r>
    <x v="21"/>
    <x v="1"/>
    <x v="173"/>
    <x v="1"/>
    <n v="140"/>
    <x v="9"/>
    <x v="462"/>
    <x v="53"/>
    <n v="826.07480270082647"/>
    <x v="506"/>
  </r>
  <r>
    <x v="22"/>
    <x v="9"/>
    <x v="174"/>
    <x v="14"/>
    <m/>
    <x v="99"/>
    <x v="736"/>
    <x v="374"/>
    <m/>
    <x v="8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8E970F-1BF8-421A-9EAF-835B7E8688B2}" name="PivotTable2" cacheId="89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M2:O793" firstHeaderRow="2" firstDataRow="2" firstDataCol="2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28">
        <item x="539"/>
        <item m="1" x="741"/>
        <item m="1" x="768"/>
        <item m="1" x="789"/>
        <item m="1" x="800"/>
        <item x="339"/>
        <item x="346"/>
        <item x="380"/>
        <item x="62"/>
        <item m="1" x="763"/>
        <item x="646"/>
        <item x="531"/>
        <item x="280"/>
        <item h="1" x="696"/>
        <item x="199"/>
        <item x="441"/>
        <item h="1" x="725"/>
        <item x="445"/>
        <item x="523"/>
        <item h="1" x="723"/>
        <item x="433"/>
        <item x="490"/>
        <item x="0"/>
        <item x="420"/>
        <item x="557"/>
        <item x="106"/>
        <item x="127"/>
        <item m="1" x="752"/>
        <item h="1" x="680"/>
        <item x="192"/>
        <item x="676"/>
        <item x="140"/>
        <item x="451"/>
        <item x="109"/>
        <item x="218"/>
        <item x="271"/>
        <item x="367"/>
        <item x="289"/>
        <item x="200"/>
        <item m="1" x="792"/>
        <item x="610"/>
        <item x="486"/>
        <item x="507"/>
        <item x="347"/>
        <item x="381"/>
        <item x="213"/>
        <item m="1" x="773"/>
        <item x="99"/>
        <item x="193"/>
        <item x="642"/>
        <item x="656"/>
        <item x="15"/>
        <item x="550"/>
        <item x="480"/>
        <item m="1" x="785"/>
        <item x="421"/>
        <item x="662"/>
        <item x="58"/>
        <item m="1" x="769"/>
        <item x="302"/>
        <item x="661"/>
        <item x="426"/>
        <item x="663"/>
        <item x="240"/>
        <item x="482"/>
        <item x="125"/>
        <item m="1" x="826"/>
        <item x="546"/>
        <item m="1" x="825"/>
        <item x="665"/>
        <item x="212"/>
        <item x="614"/>
        <item x="174"/>
        <item x="110"/>
        <item x="25"/>
        <item x="466"/>
        <item x="313"/>
        <item x="303"/>
        <item x="503"/>
        <item x="475"/>
        <item x="264"/>
        <item x="541"/>
        <item m="1" x="813"/>
        <item x="227"/>
        <item x="71"/>
        <item x="259"/>
        <item x="355"/>
        <item x="401"/>
        <item h="1" x="682"/>
        <item m="1" x="780"/>
        <item x="169"/>
        <item x="471"/>
        <item x="491"/>
        <item x="357"/>
        <item x="152"/>
        <item m="1" x="824"/>
        <item x="151"/>
        <item x="589"/>
        <item x="372"/>
        <item h="1" x="732"/>
        <item x="197"/>
        <item x="548"/>
        <item x="14"/>
        <item x="297"/>
        <item x="202"/>
        <item x="22"/>
        <item x="88"/>
        <item x="613"/>
        <item x="26"/>
        <item x="431"/>
        <item x="363"/>
        <item h="1" x="686"/>
        <item x="146"/>
        <item x="637"/>
        <item x="68"/>
        <item m="1" x="750"/>
        <item x="353"/>
        <item x="326"/>
        <item m="1" x="821"/>
        <item x="361"/>
        <item x="269"/>
        <item x="530"/>
        <item x="384"/>
        <item x="501"/>
        <item x="139"/>
        <item x="18"/>
        <item x="659"/>
        <item x="634"/>
        <item x="149"/>
        <item x="288"/>
        <item x="12"/>
        <item x="186"/>
        <item x="170"/>
        <item x="449"/>
        <item x="216"/>
        <item x="638"/>
        <item m="1" x="778"/>
        <item x="575"/>
        <item x="249"/>
        <item m="1" x="758"/>
        <item h="1" x="697"/>
        <item x="378"/>
        <item m="1" x="784"/>
        <item x="444"/>
        <item x="334"/>
        <item x="74"/>
        <item x="354"/>
        <item x="595"/>
        <item x="205"/>
        <item x="343"/>
        <item x="245"/>
        <item x="272"/>
        <item x="414"/>
        <item x="601"/>
        <item x="435"/>
        <item x="618"/>
        <item x="281"/>
        <item x="283"/>
        <item x="671"/>
        <item x="101"/>
        <item x="340"/>
        <item x="590"/>
        <item x="237"/>
        <item x="60"/>
        <item h="1" x="698"/>
        <item x="388"/>
        <item x="555"/>
        <item x="528"/>
        <item x="305"/>
        <item x="608"/>
        <item x="4"/>
        <item x="547"/>
        <item m="1" x="812"/>
        <item x="485"/>
        <item x="629"/>
        <item x="100"/>
        <item x="243"/>
        <item m="1" x="740"/>
        <item x="73"/>
        <item x="285"/>
        <item x="484"/>
        <item m="1" x="765"/>
        <item x="258"/>
        <item x="474"/>
        <item x="172"/>
        <item x="596"/>
        <item x="524"/>
        <item x="333"/>
        <item x="327"/>
        <item x="652"/>
        <item x="41"/>
        <item x="374"/>
        <item h="1" x="705"/>
        <item x="319"/>
        <item x="430"/>
        <item x="561"/>
        <item m="1" x="806"/>
        <item x="57"/>
        <item x="37"/>
        <item x="153"/>
        <item m="1" x="777"/>
        <item h="1" x="719"/>
        <item x="677"/>
        <item x="419"/>
        <item x="236"/>
        <item x="121"/>
        <item x="405"/>
        <item x="432"/>
        <item x="424"/>
        <item m="1" x="767"/>
        <item x="329"/>
        <item x="348"/>
        <item x="36"/>
        <item x="54"/>
        <item x="591"/>
        <item h="1" x="715"/>
        <item m="1" x="804"/>
        <item x="423"/>
        <item m="1" x="815"/>
        <item x="55"/>
        <item x="188"/>
        <item m="1" x="786"/>
        <item x="72"/>
        <item x="362"/>
        <item x="201"/>
        <item m="1" x="819"/>
        <item x="521"/>
        <item x="9"/>
        <item x="185"/>
        <item x="183"/>
        <item x="156"/>
        <item x="206"/>
        <item x="615"/>
        <item h="1" x="733"/>
        <item x="85"/>
        <item x="13"/>
        <item x="456"/>
        <item x="600"/>
        <item x="130"/>
        <item x="370"/>
        <item x="295"/>
        <item m="1" x="771"/>
        <item x="439"/>
        <item x="572"/>
        <item m="1" x="822"/>
        <item x="582"/>
        <item x="553"/>
        <item m="1" x="805"/>
        <item x="315"/>
        <item x="84"/>
        <item x="583"/>
        <item x="498"/>
        <item x="603"/>
        <item x="64"/>
        <item x="461"/>
        <item x="413"/>
        <item x="250"/>
        <item x="45"/>
        <item x="229"/>
        <item x="540"/>
        <item x="349"/>
        <item x="593"/>
        <item m="1" x="757"/>
        <item x="173"/>
        <item x="165"/>
        <item x="102"/>
        <item x="495"/>
        <item x="513"/>
        <item x="455"/>
        <item x="83"/>
        <item x="154"/>
        <item x="636"/>
        <item x="299"/>
        <item x="399"/>
        <item x="462"/>
        <item x="247"/>
        <item x="116"/>
        <item x="284"/>
        <item x="359"/>
        <item x="416"/>
        <item x="67"/>
        <item x="499"/>
        <item m="1" x="745"/>
        <item x="500"/>
        <item x="19"/>
        <item x="321"/>
        <item x="277"/>
        <item x="407"/>
        <item x="148"/>
        <item x="643"/>
        <item x="464"/>
        <item x="337"/>
        <item x="203"/>
        <item m="1" x="738"/>
        <item x="412"/>
        <item x="224"/>
        <item x="265"/>
        <item x="330"/>
        <item x="654"/>
        <item h="1" x="710"/>
        <item x="341"/>
        <item x="619"/>
        <item h="1" x="685"/>
        <item x="114"/>
        <item x="134"/>
        <item m="1" x="748"/>
        <item x="358"/>
        <item x="82"/>
        <item x="630"/>
        <item x="571"/>
        <item x="511"/>
        <item x="506"/>
        <item m="1" x="753"/>
        <item x="239"/>
        <item x="219"/>
        <item m="1" x="783"/>
        <item x="617"/>
        <item x="554"/>
        <item x="386"/>
        <item x="385"/>
        <item x="645"/>
        <item x="393"/>
        <item h="1" x="683"/>
        <item x="674"/>
        <item x="252"/>
        <item x="579"/>
        <item h="1" x="695"/>
        <item x="171"/>
        <item x="481"/>
        <item x="522"/>
        <item x="230"/>
        <item x="278"/>
        <item x="117"/>
        <item x="675"/>
        <item x="198"/>
        <item m="1" x="749"/>
        <item x="89"/>
        <item m="1" x="794"/>
        <item m="1" x="775"/>
        <item x="142"/>
        <item x="97"/>
        <item x="394"/>
        <item x="23"/>
        <item m="1" x="795"/>
        <item x="580"/>
        <item h="1" x="718"/>
        <item x="255"/>
        <item x="160"/>
        <item x="270"/>
        <item m="1" x="760"/>
        <item x="606"/>
        <item x="532"/>
        <item x="16"/>
        <item x="368"/>
        <item h="1" x="712"/>
        <item x="189"/>
        <item h="1" x="701"/>
        <item x="260"/>
        <item h="1" x="730"/>
        <item x="447"/>
        <item m="1" x="816"/>
        <item x="244"/>
        <item x="633"/>
        <item x="175"/>
        <item m="1" x="820"/>
        <item x="415"/>
        <item x="356"/>
        <item x="404"/>
        <item x="558"/>
        <item m="1" x="811"/>
        <item x="310"/>
        <item x="231"/>
        <item x="301"/>
        <item x="578"/>
        <item x="465"/>
        <item x="448"/>
        <item h="1" x="716"/>
        <item x="425"/>
        <item x="434"/>
        <item x="526"/>
        <item x="96"/>
        <item x="11"/>
        <item x="286"/>
        <item x="556"/>
        <item x="573"/>
        <item x="161"/>
        <item m="1" x="751"/>
        <item x="287"/>
        <item h="1" x="727"/>
        <item x="338"/>
        <item x="77"/>
        <item x="78"/>
        <item x="489"/>
        <item x="323"/>
        <item x="75"/>
        <item x="21"/>
        <item m="1" x="807"/>
        <item x="668"/>
        <item x="517"/>
        <item x="472"/>
        <item x="576"/>
        <item x="317"/>
        <item x="527"/>
        <item h="1" x="693"/>
        <item x="103"/>
        <item x="587"/>
        <item x="32"/>
        <item m="1" x="802"/>
        <item x="263"/>
        <item x="516"/>
        <item x="8"/>
        <item m="1" x="761"/>
        <item x="136"/>
        <item x="87"/>
        <item x="460"/>
        <item x="304"/>
        <item x="350"/>
        <item x="49"/>
        <item x="468"/>
        <item x="469"/>
        <item m="1" x="787"/>
        <item m="1" x="801"/>
        <item x="344"/>
        <item x="31"/>
        <item x="577"/>
        <item m="1" x="797"/>
        <item x="427"/>
        <item h="1" x="729"/>
        <item x="194"/>
        <item x="377"/>
        <item x="453"/>
        <item x="298"/>
        <item m="1" x="781"/>
        <item x="209"/>
        <item x="94"/>
        <item x="267"/>
        <item x="537"/>
        <item x="373"/>
        <item x="599"/>
        <item x="544"/>
        <item x="40"/>
        <item x="679"/>
        <item x="296"/>
        <item x="369"/>
        <item x="221"/>
        <item m="1" x="808"/>
        <item x="520"/>
        <item x="436"/>
        <item m="1" x="788"/>
        <item x="300"/>
        <item x="505"/>
        <item x="44"/>
        <item x="351"/>
        <item x="90"/>
        <item m="1" x="823"/>
        <item x="390"/>
        <item x="536"/>
        <item x="515"/>
        <item x="92"/>
        <item x="446"/>
        <item x="396"/>
        <item x="669"/>
        <item x="365"/>
        <item x="275"/>
        <item x="345"/>
        <item x="379"/>
        <item x="261"/>
        <item x="132"/>
        <item x="123"/>
        <item m="1" x="754"/>
        <item x="635"/>
        <item x="65"/>
        <item x="551"/>
        <item m="1" x="791"/>
        <item x="616"/>
        <item x="53"/>
        <item h="1" x="702"/>
        <item x="104"/>
        <item x="59"/>
        <item h="1" x="713"/>
        <item x="241"/>
        <item x="141"/>
        <item m="1" x="779"/>
        <item x="411"/>
        <item x="649"/>
        <item x="331"/>
        <item x="43"/>
        <item x="478"/>
        <item x="309"/>
        <item x="27"/>
        <item x="157"/>
        <item x="91"/>
        <item x="63"/>
        <item h="1" x="684"/>
        <item x="112"/>
        <item h="1" x="681"/>
        <item x="647"/>
        <item x="477"/>
        <item x="276"/>
        <item x="195"/>
        <item x="214"/>
        <item x="457"/>
        <item m="1" x="772"/>
        <item x="119"/>
        <item x="1"/>
        <item x="294"/>
        <item x="494"/>
        <item x="586"/>
        <item x="443"/>
        <item x="181"/>
        <item x="282"/>
        <item x="336"/>
        <item x="581"/>
        <item x="387"/>
        <item x="632"/>
        <item m="1" x="739"/>
        <item x="222"/>
        <item x="145"/>
        <item x="3"/>
        <item x="17"/>
        <item m="1" x="827"/>
        <item x="126"/>
        <item x="48"/>
        <item x="308"/>
        <item m="1" x="798"/>
        <item x="735"/>
        <item x="306"/>
        <item x="496"/>
        <item x="208"/>
        <item x="328"/>
        <item m="1" x="790"/>
        <item x="512"/>
        <item x="376"/>
        <item x="620"/>
        <item x="395"/>
        <item x="459"/>
        <item x="644"/>
        <item x="422"/>
        <item x="594"/>
        <item x="651"/>
        <item x="42"/>
        <item x="135"/>
        <item x="332"/>
        <item x="191"/>
        <item x="454"/>
        <item x="6"/>
        <item h="1" x="703"/>
        <item x="144"/>
        <item x="562"/>
        <item x="563"/>
        <item x="564"/>
        <item x="228"/>
        <item x="122"/>
        <item x="52"/>
        <item x="220"/>
        <item x="166"/>
        <item m="1" x="774"/>
        <item m="1" x="737"/>
        <item x="655"/>
        <item x="398"/>
        <item x="196"/>
        <item m="1" x="817"/>
        <item x="567"/>
        <item x="178"/>
        <item x="242"/>
        <item x="131"/>
        <item x="314"/>
        <item x="256"/>
        <item x="678"/>
        <item x="371"/>
        <item x="105"/>
        <item x="609"/>
        <item x="184"/>
        <item x="158"/>
        <item x="291"/>
        <item x="670"/>
        <item x="622"/>
        <item m="1" x="799"/>
        <item x="128"/>
        <item x="502"/>
        <item x="437"/>
        <item x="625"/>
        <item x="274"/>
        <item x="664"/>
        <item x="80"/>
        <item x="98"/>
        <item m="1" x="818"/>
        <item x="248"/>
        <item m="1" x="743"/>
        <item x="162"/>
        <item x="391"/>
        <item h="1" m="1" x="809"/>
        <item m="1" x="770"/>
        <item x="93"/>
        <item x="535"/>
        <item x="69"/>
        <item x="545"/>
        <item x="400"/>
        <item x="70"/>
        <item x="10"/>
        <item x="226"/>
        <item x="56"/>
        <item x="559"/>
        <item h="1" x="694"/>
        <item h="1" x="687"/>
        <item x="246"/>
        <item x="440"/>
        <item x="182"/>
        <item h="1" x="688"/>
        <item x="626"/>
        <item x="187"/>
        <item x="418"/>
        <item x="450"/>
        <item x="7"/>
        <item x="497"/>
        <item m="1" x="756"/>
        <item m="1" x="759"/>
        <item x="667"/>
        <item x="163"/>
        <item x="565"/>
        <item x="570"/>
        <item h="1" x="692"/>
        <item x="487"/>
        <item x="650"/>
        <item x="129"/>
        <item h="1" x="709"/>
        <item h="1" x="706"/>
        <item x="360"/>
        <item x="95"/>
        <item x="483"/>
        <item x="428"/>
        <item x="34"/>
        <item x="290"/>
        <item h="1" x="690"/>
        <item x="658"/>
        <item x="508"/>
        <item x="627"/>
        <item x="233"/>
        <item x="176"/>
        <item x="611"/>
        <item h="1" m="1" x="776"/>
        <item x="640"/>
        <item x="190"/>
        <item x="605"/>
        <item x="438"/>
        <item x="76"/>
        <item m="1" x="810"/>
        <item x="597"/>
        <item x="621"/>
        <item x="312"/>
        <item m="1" x="744"/>
        <item h="1" x="726"/>
        <item x="325"/>
        <item x="316"/>
        <item x="311"/>
        <item x="5"/>
        <item h="1" x="699"/>
        <item x="20"/>
        <item x="653"/>
        <item x="232"/>
        <item x="375"/>
        <item x="279"/>
        <item x="409"/>
        <item x="225"/>
        <item x="529"/>
        <item x="307"/>
        <item x="543"/>
        <item x="322"/>
        <item x="66"/>
        <item x="29"/>
        <item x="673"/>
        <item x="463"/>
        <item x="2"/>
        <item x="120"/>
        <item x="28"/>
        <item x="549"/>
        <item x="533"/>
        <item x="560"/>
        <item x="612"/>
        <item x="324"/>
        <item h="1" m="1" x="814"/>
        <item x="177"/>
        <item x="273"/>
        <item h="1" x="721"/>
        <item x="542"/>
        <item x="397"/>
        <item x="318"/>
        <item x="234"/>
        <item x="147"/>
        <item x="641"/>
        <item x="167"/>
        <item m="1" x="782"/>
        <item x="320"/>
        <item x="366"/>
        <item x="402"/>
        <item h="1" x="720"/>
        <item x="204"/>
        <item x="442"/>
        <item h="1" x="708"/>
        <item x="488"/>
        <item x="115"/>
        <item x="39"/>
        <item x="624"/>
        <item x="179"/>
        <item x="335"/>
        <item x="467"/>
        <item x="672"/>
        <item x="509"/>
        <item h="1" x="734"/>
        <item x="406"/>
        <item x="458"/>
        <item x="207"/>
        <item x="538"/>
        <item h="1" x="717"/>
        <item h="1" x="722"/>
        <item x="133"/>
        <item x="408"/>
        <item m="1" x="796"/>
        <item x="124"/>
        <item x="666"/>
        <item x="585"/>
        <item x="168"/>
        <item h="1" x="707"/>
        <item h="1" x="714"/>
        <item x="215"/>
        <item x="492"/>
        <item x="138"/>
        <item x="155"/>
        <item m="1" x="746"/>
        <item x="452"/>
        <item h="1" x="724"/>
        <item x="51"/>
        <item h="1" x="689"/>
        <item x="33"/>
        <item x="262"/>
        <item x="574"/>
        <item x="552"/>
        <item x="164"/>
        <item x="493"/>
        <item x="417"/>
        <item x="111"/>
        <item x="403"/>
        <item x="47"/>
        <item x="180"/>
        <item x="657"/>
        <item x="383"/>
        <item x="588"/>
        <item h="1" x="700"/>
        <item x="648"/>
        <item x="504"/>
        <item x="24"/>
        <item m="1" x="803"/>
        <item m="1" x="793"/>
        <item x="217"/>
        <item x="479"/>
        <item x="639"/>
        <item x="50"/>
        <item x="159"/>
        <item m="1" x="755"/>
        <item x="598"/>
        <item x="389"/>
        <item x="30"/>
        <item x="392"/>
        <item x="352"/>
        <item x="518"/>
        <item x="293"/>
        <item x="534"/>
        <item h="1" x="704"/>
        <item x="81"/>
        <item x="143"/>
        <item h="1" x="711"/>
        <item x="514"/>
        <item h="1" x="731"/>
        <item m="1" x="742"/>
        <item x="470"/>
        <item x="254"/>
        <item m="1" x="766"/>
        <item x="410"/>
        <item x="382"/>
        <item x="660"/>
        <item x="592"/>
        <item h="1" x="691"/>
        <item x="266"/>
        <item x="525"/>
        <item x="79"/>
        <item x="364"/>
        <item m="1" x="764"/>
        <item x="473"/>
        <item x="118"/>
        <item m="1" x="762"/>
        <item x="107"/>
        <item x="235"/>
        <item x="569"/>
        <item x="46"/>
        <item x="86"/>
        <item x="211"/>
        <item x="223"/>
        <item x="108"/>
        <item m="1" x="747"/>
        <item h="1" x="728"/>
        <item x="210"/>
        <item x="628"/>
        <item x="568"/>
        <item x="476"/>
        <item x="61"/>
        <item x="519"/>
        <item x="429"/>
        <item x="604"/>
        <item x="150"/>
        <item x="38"/>
        <item x="510"/>
        <item x="268"/>
        <item x="607"/>
        <item x="251"/>
        <item x="602"/>
        <item x="584"/>
        <item x="566"/>
        <item x="137"/>
        <item x="342"/>
        <item x="35"/>
        <item x="631"/>
        <item x="113"/>
        <item x="257"/>
        <item x="253"/>
        <item x="623"/>
        <item x="292"/>
        <item x="238"/>
        <item h="1" x="736"/>
      </items>
    </pivotField>
    <pivotField axis="axisRow" compact="0" outline="0" showAll="0">
      <items count="458">
        <item x="157"/>
        <item m="1" x="376"/>
        <item m="1" x="382"/>
        <item m="1" x="431"/>
        <item m="1" x="390"/>
        <item m="1" x="396"/>
        <item x="76"/>
        <item x="140"/>
        <item x="64"/>
        <item x="237"/>
        <item x="43"/>
        <item x="24"/>
        <item x="254"/>
        <item x="177"/>
        <item x="191"/>
        <item m="1" x="435"/>
        <item x="348"/>
        <item x="219"/>
        <item x="302"/>
        <item x="151"/>
        <item x="307"/>
        <item x="315"/>
        <item x="34"/>
        <item x="86"/>
        <item x="269"/>
        <item m="1" x="423"/>
        <item x="324"/>
        <item x="20"/>
        <item x="282"/>
        <item x="214"/>
        <item x="245"/>
        <item x="292"/>
        <item x="253"/>
        <item m="1" x="414"/>
        <item x="163"/>
        <item x="33"/>
        <item x="263"/>
        <item m="1" x="428"/>
        <item x="178"/>
        <item x="108"/>
        <item x="59"/>
        <item x="90"/>
        <item x="314"/>
        <item x="244"/>
        <item x="12"/>
        <item x="176"/>
        <item x="325"/>
        <item x="45"/>
        <item x="92"/>
        <item x="205"/>
        <item x="353"/>
        <item x="36"/>
        <item x="149"/>
        <item x="224"/>
        <item x="248"/>
        <item x="187"/>
        <item x="227"/>
        <item x="153"/>
        <item x="29"/>
        <item x="182"/>
        <item x="312"/>
        <item m="1" x="446"/>
        <item x="275"/>
        <item m="1" x="406"/>
        <item x="213"/>
        <item x="268"/>
        <item m="1" x="454"/>
        <item x="273"/>
        <item x="47"/>
        <item x="83"/>
        <item x="87"/>
        <item x="199"/>
        <item m="1" x="383"/>
        <item x="139"/>
        <item x="40"/>
        <item x="223"/>
        <item x="287"/>
        <item x="7"/>
        <item x="310"/>
        <item m="1" x="381"/>
        <item x="103"/>
        <item x="71"/>
        <item x="141"/>
        <item x="207"/>
        <item x="231"/>
        <item x="186"/>
        <item m="1" x="403"/>
        <item x="301"/>
        <item m="1" x="394"/>
        <item x="259"/>
        <item x="77"/>
        <item x="160"/>
        <item x="349"/>
        <item x="197"/>
        <item x="169"/>
        <item x="304"/>
        <item x="73"/>
        <item x="190"/>
        <item x="303"/>
        <item x="280"/>
        <item x="95"/>
        <item x="82"/>
        <item x="13"/>
        <item m="1" x="413"/>
        <item x="84"/>
        <item x="234"/>
        <item x="62"/>
        <item x="215"/>
        <item x="264"/>
        <item x="48"/>
        <item x="330"/>
        <item x="258"/>
        <item x="196"/>
        <item x="362"/>
        <item x="308"/>
        <item x="67"/>
        <item x="68"/>
        <item x="272"/>
        <item x="204"/>
        <item x="283"/>
        <item m="1" x="447"/>
        <item x="131"/>
        <item x="135"/>
        <item x="210"/>
        <item x="111"/>
        <item x="61"/>
        <item x="209"/>
        <item x="97"/>
        <item x="152"/>
        <item x="120"/>
        <item x="278"/>
        <item x="266"/>
        <item x="218"/>
        <item x="208"/>
        <item x="102"/>
        <item m="1" x="456"/>
        <item x="105"/>
        <item x="172"/>
        <item m="1" x="401"/>
        <item x="201"/>
        <item m="1" x="430"/>
        <item x="339"/>
        <item x="94"/>
        <item x="88"/>
        <item x="235"/>
        <item x="128"/>
        <item x="158"/>
        <item x="270"/>
        <item x="216"/>
        <item x="89"/>
        <item x="6"/>
        <item m="1" x="440"/>
        <item x="106"/>
        <item m="1" x="439"/>
        <item x="162"/>
        <item x="52"/>
        <item x="132"/>
        <item x="44"/>
        <item x="150"/>
        <item x="321"/>
        <item x="183"/>
        <item x="351"/>
        <item x="85"/>
        <item x="226"/>
        <item x="276"/>
        <item m="1" x="387"/>
        <item x="239"/>
        <item x="290"/>
        <item x="60"/>
        <item x="156"/>
        <item x="165"/>
        <item m="1" x="377"/>
        <item x="137"/>
        <item m="1" x="427"/>
        <item m="1" x="426"/>
        <item x="112"/>
        <item m="1" x="422"/>
        <item x="134"/>
        <item m="1" x="388"/>
        <item x="327"/>
        <item x="116"/>
        <item x="174"/>
        <item x="340"/>
        <item x="14"/>
        <item x="262"/>
        <item x="26"/>
        <item x="220"/>
        <item x="211"/>
        <item x="343"/>
        <item x="195"/>
        <item x="0"/>
        <item x="69"/>
        <item x="334"/>
        <item x="46"/>
        <item x="123"/>
        <item x="19"/>
        <item x="200"/>
        <item x="291"/>
        <item x="202"/>
        <item x="300"/>
        <item x="25"/>
        <item x="65"/>
        <item x="285"/>
        <item x="63"/>
        <item x="179"/>
        <item x="212"/>
        <item x="274"/>
        <item x="238"/>
        <item x="58"/>
        <item x="175"/>
        <item x="217"/>
        <item m="1" x="455"/>
        <item x="286"/>
        <item x="329"/>
        <item x="228"/>
        <item x="331"/>
        <item x="323"/>
        <item x="127"/>
        <item x="345"/>
        <item x="279"/>
        <item x="241"/>
        <item x="35"/>
        <item x="247"/>
        <item x="72"/>
        <item x="271"/>
        <item x="125"/>
        <item x="341"/>
        <item x="332"/>
        <item x="296"/>
        <item x="27"/>
        <item x="189"/>
        <item m="1" x="407"/>
        <item m="1" x="420"/>
        <item x="236"/>
        <item m="1" x="433"/>
        <item x="93"/>
        <item m="1" x="441"/>
        <item x="113"/>
        <item m="1" x="397"/>
        <item x="51"/>
        <item x="180"/>
        <item x="155"/>
        <item x="57"/>
        <item x="288"/>
        <item x="284"/>
        <item x="194"/>
        <item m="1" x="421"/>
        <item x="38"/>
        <item m="1" x="400"/>
        <item x="256"/>
        <item x="317"/>
        <item x="100"/>
        <item m="1" x="434"/>
        <item x="322"/>
        <item x="230"/>
        <item m="1" x="405"/>
        <item m="1" x="432"/>
        <item x="225"/>
        <item x="110"/>
        <item m="1" x="395"/>
        <item m="1" x="391"/>
        <item x="309"/>
        <item x="129"/>
        <item x="114"/>
        <item x="233"/>
        <item x="136"/>
        <item x="81"/>
        <item x="305"/>
        <item x="242"/>
        <item x="117"/>
        <item x="146"/>
        <item x="56"/>
        <item x="333"/>
        <item x="246"/>
        <item x="30"/>
        <item x="185"/>
        <item x="320"/>
        <item x="261"/>
        <item x="249"/>
        <item m="1" x="411"/>
        <item x="21"/>
        <item x="119"/>
        <item m="1" x="418"/>
        <item x="3"/>
        <item x="75"/>
        <item x="8"/>
        <item x="298"/>
        <item x="2"/>
        <item m="1" x="444"/>
        <item x="206"/>
        <item x="344"/>
        <item x="319"/>
        <item x="337"/>
        <item x="198"/>
        <item x="41"/>
        <item m="1" x="442"/>
        <item x="124"/>
        <item x="159"/>
        <item x="130"/>
        <item m="1" x="380"/>
        <item m="1" x="384"/>
        <item m="1" x="393"/>
        <item x="267"/>
        <item x="170"/>
        <item x="98"/>
        <item x="55"/>
        <item m="1" x="408"/>
        <item m="1" x="402"/>
        <item x="188"/>
        <item x="203"/>
        <item x="293"/>
        <item x="17"/>
        <item x="79"/>
        <item x="1"/>
        <item x="145"/>
        <item x="70"/>
        <item x="28"/>
        <item x="49"/>
        <item x="66"/>
        <item x="316"/>
        <item m="1" x="451"/>
        <item m="1" x="443"/>
        <item x="250"/>
        <item x="148"/>
        <item x="328"/>
        <item x="295"/>
        <item x="138"/>
        <item x="39"/>
        <item m="1" x="412"/>
        <item m="1" x="389"/>
        <item m="1" x="445"/>
        <item m="1" x="424"/>
        <item x="193"/>
        <item x="144"/>
        <item x="115"/>
        <item m="1" x="425"/>
        <item x="15"/>
        <item m="1" x="416"/>
        <item x="166"/>
        <item x="164"/>
        <item x="23"/>
        <item x="16"/>
        <item x="232"/>
        <item x="277"/>
        <item x="306"/>
        <item x="251"/>
        <item x="118"/>
        <item x="53"/>
        <item x="91"/>
        <item x="10"/>
        <item x="350"/>
        <item m="1" x="385"/>
        <item x="9"/>
        <item x="222"/>
        <item x="109"/>
        <item m="1" x="436"/>
        <item x="32"/>
        <item x="311"/>
        <item x="229"/>
        <item x="126"/>
        <item x="347"/>
        <item m="1" x="399"/>
        <item m="1" x="392"/>
        <item x="260"/>
        <item x="184"/>
        <item x="154"/>
        <item x="22"/>
        <item x="168"/>
        <item m="1" x="448"/>
        <item m="1" x="386"/>
        <item x="265"/>
        <item x="192"/>
        <item x="122"/>
        <item x="161"/>
        <item x="336"/>
        <item x="99"/>
        <item m="1" x="438"/>
        <item x="133"/>
        <item x="96"/>
        <item x="74"/>
        <item x="342"/>
        <item m="1" x="398"/>
        <item x="281"/>
        <item x="171"/>
        <item m="1" x="452"/>
        <item x="54"/>
        <item x="255"/>
        <item x="50"/>
        <item x="42"/>
        <item x="4"/>
        <item x="107"/>
        <item x="326"/>
        <item x="313"/>
        <item x="294"/>
        <item x="243"/>
        <item x="221"/>
        <item x="289"/>
        <item x="101"/>
        <item x="18"/>
        <item x="142"/>
        <item x="338"/>
        <item x="11"/>
        <item m="1" x="453"/>
        <item m="1" x="409"/>
        <item x="104"/>
        <item m="1" x="379"/>
        <item x="121"/>
        <item x="240"/>
        <item x="37"/>
        <item m="1" x="419"/>
        <item x="80"/>
        <item x="31"/>
        <item x="257"/>
        <item x="181"/>
        <item x="252"/>
        <item x="299"/>
        <item m="1" x="449"/>
        <item m="1" x="417"/>
        <item x="167"/>
        <item x="143"/>
        <item x="352"/>
        <item x="335"/>
        <item x="78"/>
        <item x="5"/>
        <item m="1" x="378"/>
        <item x="318"/>
        <item x="147"/>
        <item m="1" x="415"/>
        <item m="1" x="437"/>
        <item x="173"/>
        <item x="346"/>
        <item m="1" x="410"/>
        <item h="1" x="374"/>
        <item h="1" x="356"/>
        <item h="1" x="297"/>
        <item h="1" x="355"/>
        <item h="1" x="354"/>
        <item h="1" m="1" x="404"/>
        <item h="1" x="357"/>
        <item h="1" x="358"/>
        <item h="1" x="359"/>
        <item h="1" m="1" x="429"/>
        <item h="1" x="360"/>
        <item h="1" x="361"/>
        <item h="1" m="1" x="450"/>
        <item h="1" x="369"/>
        <item h="1" x="363"/>
        <item h="1" x="366"/>
        <item h="1" x="365"/>
        <item h="1" x="364"/>
        <item h="1" x="367"/>
        <item h="1" x="368"/>
        <item h="1" x="371"/>
        <item h="1" x="370"/>
        <item h="1" x="372"/>
        <item h="1" x="373"/>
        <item h="1" m="1" x="375"/>
        <item t="default"/>
      </items>
    </pivotField>
    <pivotField compact="0" outline="0" showAll="0"/>
    <pivotField compact="0" outline="0" showAll="0"/>
  </pivotFields>
  <rowFields count="2">
    <field x="6"/>
    <field x="7"/>
  </rowFields>
  <rowItems count="790">
    <i>
      <x/>
      <x v="382"/>
    </i>
    <i>
      <x v="5"/>
      <x v="180"/>
    </i>
    <i>
      <x v="6"/>
      <x v="391"/>
    </i>
    <i r="1">
      <x v="408"/>
    </i>
    <i>
      <x v="7"/>
      <x v="17"/>
    </i>
    <i>
      <x v="8"/>
      <x v="29"/>
    </i>
    <i r="1">
      <x v="115"/>
    </i>
    <i r="1">
      <x v="116"/>
    </i>
    <i r="1">
      <x v="214"/>
    </i>
    <i r="1">
      <x v="385"/>
    </i>
    <i>
      <x v="10"/>
      <x v="200"/>
    </i>
    <i>
      <x v="11"/>
      <x v="77"/>
    </i>
    <i>
      <x v="12"/>
      <x v="102"/>
    </i>
    <i>
      <x v="14"/>
      <x v="48"/>
    </i>
    <i>
      <x v="15"/>
      <x v="58"/>
    </i>
    <i r="1">
      <x v="340"/>
    </i>
    <i>
      <x v="17"/>
      <x v="67"/>
    </i>
    <i r="1">
      <x v="179"/>
    </i>
    <i r="1">
      <x v="194"/>
    </i>
    <i r="1">
      <x v="200"/>
    </i>
    <i>
      <x v="18"/>
      <x v="208"/>
    </i>
    <i>
      <x v="20"/>
      <x v="334"/>
    </i>
    <i>
      <x v="21"/>
      <x v="175"/>
    </i>
    <i>
      <x v="22"/>
      <x v="190"/>
    </i>
    <i r="1">
      <x v="281"/>
    </i>
    <i>
      <x v="23"/>
      <x v="401"/>
    </i>
    <i>
      <x v="24"/>
      <x v="396"/>
    </i>
    <i>
      <x v="25"/>
      <x v="69"/>
    </i>
    <i r="1">
      <x v="102"/>
    </i>
    <i>
      <x v="26"/>
      <x v="81"/>
    </i>
    <i>
      <x v="29"/>
      <x v="200"/>
    </i>
    <i>
      <x v="30"/>
      <x v="106"/>
    </i>
    <i>
      <x v="31"/>
      <x v="8"/>
    </i>
    <i>
      <x v="32"/>
      <x v="122"/>
    </i>
    <i>
      <x v="33"/>
      <x v="162"/>
    </i>
    <i>
      <x v="34"/>
      <x v="323"/>
    </i>
    <i>
      <x v="35"/>
      <x v="180"/>
    </i>
    <i>
      <x v="36"/>
      <x v="187"/>
    </i>
    <i>
      <x v="37"/>
      <x v="45"/>
    </i>
    <i>
      <x v="38"/>
      <x v="122"/>
    </i>
    <i r="1">
      <x v="333"/>
    </i>
    <i>
      <x v="40"/>
      <x v="23"/>
    </i>
    <i>
      <x v="41"/>
      <x v="389"/>
    </i>
    <i>
      <x v="42"/>
      <x v="24"/>
    </i>
    <i>
      <x v="43"/>
      <x v="49"/>
    </i>
    <i>
      <x v="44"/>
      <x v="186"/>
    </i>
    <i r="1">
      <x v="219"/>
    </i>
    <i>
      <x v="45"/>
      <x v="81"/>
    </i>
    <i>
      <x v="47"/>
      <x v="312"/>
    </i>
    <i>
      <x v="48"/>
      <x v="156"/>
    </i>
    <i>
      <x v="49"/>
      <x v="353"/>
    </i>
    <i>
      <x v="50"/>
      <x v="226"/>
    </i>
    <i>
      <x v="51"/>
      <x v="283"/>
    </i>
    <i r="1">
      <x v="336"/>
    </i>
    <i r="1">
      <x v="411"/>
    </i>
    <i>
      <x v="52"/>
      <x v="185"/>
    </i>
    <i>
      <x v="53"/>
      <x v="363"/>
    </i>
    <i>
      <x v="55"/>
      <x v="390"/>
    </i>
    <i>
      <x v="56"/>
      <x v="185"/>
    </i>
    <i>
      <x v="57"/>
      <x v="387"/>
    </i>
    <i>
      <x v="59"/>
      <x v="160"/>
    </i>
    <i>
      <x v="60"/>
      <x v="340"/>
    </i>
    <i>
      <x v="61"/>
      <x v="407"/>
    </i>
    <i>
      <x v="62"/>
      <x v="198"/>
    </i>
    <i>
      <x v="63"/>
      <x v="11"/>
    </i>
    <i>
      <x v="64"/>
      <x v="408"/>
    </i>
    <i>
      <x v="65"/>
      <x v="336"/>
    </i>
    <i>
      <x v="67"/>
      <x v="237"/>
    </i>
    <i>
      <x v="69"/>
      <x v="360"/>
    </i>
    <i>
      <x v="70"/>
      <x v="389"/>
    </i>
    <i>
      <x v="71"/>
      <x v="387"/>
    </i>
    <i>
      <x v="72"/>
      <x v="372"/>
    </i>
    <i>
      <x v="73"/>
      <x v="23"/>
    </i>
    <i>
      <x v="74"/>
      <x v="200"/>
    </i>
    <i>
      <x v="75"/>
      <x v="340"/>
    </i>
    <i>
      <x v="76"/>
      <x v="404"/>
    </i>
    <i>
      <x v="77"/>
      <x v="364"/>
    </i>
    <i>
      <x v="78"/>
      <x v="280"/>
    </i>
    <i>
      <x v="79"/>
      <x v="105"/>
    </i>
    <i>
      <x v="80"/>
      <x v="34"/>
    </i>
    <i r="1">
      <x v="136"/>
    </i>
    <i>
      <x v="81"/>
      <x v="119"/>
    </i>
    <i>
      <x v="83"/>
      <x v="136"/>
    </i>
    <i r="1">
      <x v="380"/>
    </i>
    <i>
      <x v="84"/>
      <x v="106"/>
    </i>
    <i>
      <x v="85"/>
      <x v="387"/>
    </i>
    <i>
      <x v="86"/>
      <x v="334"/>
    </i>
    <i>
      <x v="87"/>
      <x v="280"/>
    </i>
    <i>
      <x v="90"/>
      <x v="346"/>
    </i>
    <i>
      <x v="91"/>
      <x v="334"/>
    </i>
    <i>
      <x v="92"/>
      <x v="108"/>
    </i>
    <i>
      <x v="93"/>
      <x v="334"/>
    </i>
    <i>
      <x v="94"/>
      <x v="152"/>
    </i>
    <i r="1">
      <x v="430"/>
    </i>
    <i>
      <x v="96"/>
      <x v="136"/>
    </i>
    <i>
      <x v="97"/>
      <x v="407"/>
    </i>
    <i>
      <x v="98"/>
      <x v="8"/>
    </i>
    <i>
      <x v="100"/>
      <x v="194"/>
    </i>
    <i>
      <x v="101"/>
      <x v="283"/>
    </i>
    <i>
      <x v="102"/>
      <x v="183"/>
    </i>
    <i>
      <x v="103"/>
      <x v="366"/>
    </i>
    <i>
      <x v="104"/>
      <x v="265"/>
    </i>
    <i>
      <x v="105"/>
      <x v="366"/>
    </i>
    <i>
      <x v="106"/>
      <x v="317"/>
    </i>
    <i>
      <x v="107"/>
      <x v="200"/>
    </i>
    <i>
      <x v="108"/>
      <x v="185"/>
    </i>
    <i r="1">
      <x v="239"/>
    </i>
    <i>
      <x v="109"/>
      <x v="200"/>
    </i>
    <i r="1">
      <x v="340"/>
    </i>
    <i>
      <x v="110"/>
      <x v="44"/>
    </i>
    <i>
      <x v="112"/>
      <x v="317"/>
    </i>
    <i>
      <x v="113"/>
      <x v="192"/>
    </i>
    <i>
      <x v="114"/>
      <x v="387"/>
    </i>
    <i>
      <x v="116"/>
      <x v="83"/>
    </i>
    <i>
      <x v="117"/>
      <x v="77"/>
    </i>
    <i>
      <x v="119"/>
      <x v="136"/>
    </i>
    <i>
      <x v="120"/>
      <x v="199"/>
    </i>
    <i r="1">
      <x v="340"/>
    </i>
    <i>
      <x v="121"/>
      <x v="280"/>
    </i>
    <i>
      <x v="122"/>
      <x v="181"/>
    </i>
    <i>
      <x v="123"/>
      <x v="313"/>
    </i>
    <i>
      <x v="124"/>
      <x v="134"/>
    </i>
    <i>
      <x v="125"/>
      <x v="102"/>
    </i>
    <i r="1">
      <x v="398"/>
    </i>
    <i>
      <x v="126"/>
      <x v="218"/>
    </i>
    <i>
      <x v="127"/>
      <x v="22"/>
    </i>
    <i>
      <x v="128"/>
      <x v="336"/>
    </i>
    <i>
      <x v="129"/>
      <x v="366"/>
    </i>
    <i>
      <x v="130"/>
      <x v="44"/>
    </i>
    <i r="1">
      <x v="345"/>
    </i>
    <i>
      <x v="131"/>
      <x v="121"/>
    </i>
    <i>
      <x v="132"/>
      <x v="200"/>
    </i>
    <i>
      <x v="133"/>
      <x v="96"/>
    </i>
    <i>
      <x v="134"/>
      <x v="270"/>
    </i>
    <i>
      <x v="135"/>
      <x v="280"/>
    </i>
    <i>
      <x v="137"/>
      <x v="286"/>
    </i>
    <i>
      <x v="138"/>
      <x v="297"/>
    </i>
    <i>
      <x v="141"/>
      <x v="210"/>
    </i>
    <i>
      <x v="143"/>
      <x v="389"/>
    </i>
    <i>
      <x v="144"/>
      <x v="102"/>
    </i>
    <i r="1">
      <x v="113"/>
    </i>
    <i>
      <x v="145"/>
      <x v="203"/>
    </i>
    <i r="1">
      <x v="387"/>
    </i>
    <i>
      <x v="146"/>
      <x v="133"/>
    </i>
    <i>
      <x v="147"/>
      <x v="114"/>
    </i>
    <i>
      <x v="148"/>
      <x v="326"/>
    </i>
    <i>
      <x v="149"/>
      <x v="118"/>
    </i>
    <i>
      <x v="150"/>
      <x v="115"/>
    </i>
    <i>
      <x v="151"/>
      <x v="229"/>
    </i>
    <i>
      <x v="152"/>
      <x v="175"/>
    </i>
    <i>
      <x v="153"/>
      <x v="60"/>
    </i>
    <i>
      <x v="154"/>
      <x v="57"/>
    </i>
    <i>
      <x v="155"/>
      <x v="283"/>
    </i>
    <i>
      <x v="156"/>
      <x v="383"/>
    </i>
    <i>
      <x v="157"/>
      <x v="429"/>
    </i>
    <i>
      <x v="158"/>
      <x v="350"/>
    </i>
    <i>
      <x v="159"/>
      <x v="410"/>
    </i>
    <i>
      <x v="160"/>
      <x v="309"/>
    </i>
    <i>
      <x v="161"/>
      <x v="344"/>
    </i>
    <i>
      <x v="162"/>
      <x v="241"/>
    </i>
    <i>
      <x v="163"/>
      <x v="102"/>
    </i>
    <i>
      <x v="165"/>
      <x v="353"/>
    </i>
    <i>
      <x v="166"/>
      <x v="243"/>
    </i>
    <i>
      <x v="167"/>
      <x v="302"/>
    </i>
    <i>
      <x v="168"/>
      <x v="304"/>
    </i>
    <i>
      <x v="169"/>
      <x v="191"/>
    </i>
    <i>
      <x v="170"/>
      <x v="389"/>
    </i>
    <i>
      <x v="171"/>
      <x v="410"/>
    </i>
    <i>
      <x v="173"/>
      <x v="184"/>
    </i>
    <i>
      <x v="174"/>
      <x v="268"/>
    </i>
    <i>
      <x v="175"/>
      <x v="185"/>
    </i>
    <i r="1">
      <x v="200"/>
    </i>
    <i r="1">
      <x v="283"/>
    </i>
    <i>
      <x v="176"/>
      <x v="389"/>
    </i>
    <i>
      <x v="178"/>
      <x v="283"/>
    </i>
    <i>
      <x v="179"/>
      <x v="209"/>
    </i>
    <i>
      <x v="180"/>
      <x v="185"/>
    </i>
    <i>
      <x v="182"/>
      <x v="408"/>
    </i>
    <i>
      <x v="183"/>
      <x v="249"/>
    </i>
    <i>
      <x v="184"/>
      <x v="200"/>
    </i>
    <i>
      <x v="185"/>
      <x v="261"/>
    </i>
    <i>
      <x v="186"/>
      <x v="206"/>
    </i>
    <i>
      <x v="187"/>
      <x v="139"/>
    </i>
    <i>
      <x v="188"/>
      <x v="200"/>
    </i>
    <i>
      <x v="189"/>
      <x v="352"/>
    </i>
    <i>
      <x v="190"/>
      <x v="327"/>
    </i>
    <i>
      <x v="191"/>
      <x v="107"/>
    </i>
    <i>
      <x v="193"/>
      <x v="332"/>
    </i>
    <i>
      <x v="194"/>
      <x v="106"/>
    </i>
    <i>
      <x v="195"/>
      <x v="197"/>
    </i>
    <i>
      <x v="197"/>
      <x v="317"/>
    </i>
    <i>
      <x v="198"/>
      <x v="51"/>
    </i>
    <i>
      <x v="199"/>
      <x v="390"/>
    </i>
    <i>
      <x v="202"/>
      <x v="420"/>
    </i>
    <i>
      <x v="203"/>
      <x v="9"/>
    </i>
    <i>
      <x v="204"/>
      <x v="390"/>
    </i>
    <i>
      <x v="205"/>
      <x v="41"/>
    </i>
    <i>
      <x v="206"/>
      <x v="200"/>
    </i>
    <i>
      <x v="207"/>
      <x v="348"/>
    </i>
    <i>
      <x v="208"/>
      <x v="336"/>
    </i>
    <i>
      <x v="210"/>
      <x v="293"/>
    </i>
    <i>
      <x v="211"/>
      <x v="266"/>
    </i>
    <i>
      <x v="212"/>
      <x v="221"/>
    </i>
    <i>
      <x v="213"/>
      <x v="285"/>
    </i>
    <i>
      <x v="214"/>
      <x v="313"/>
    </i>
    <i>
      <x v="217"/>
      <x v="200"/>
    </i>
    <i>
      <x v="219"/>
      <x v="68"/>
    </i>
    <i>
      <x v="220"/>
      <x v="194"/>
    </i>
    <i>
      <x v="222"/>
      <x v="200"/>
    </i>
    <i>
      <x v="223"/>
      <x v="389"/>
    </i>
    <i>
      <x v="224"/>
      <x v="242"/>
    </i>
    <i>
      <x v="226"/>
      <x v="200"/>
    </i>
    <i>
      <x v="227"/>
      <x v="97"/>
    </i>
    <i r="1">
      <x v="352"/>
    </i>
    <i>
      <x v="228"/>
      <x v="298"/>
    </i>
    <i>
      <x v="229"/>
      <x v="145"/>
    </i>
    <i>
      <x v="230"/>
      <x v="258"/>
    </i>
    <i>
      <x v="231"/>
      <x v="73"/>
    </i>
    <i>
      <x v="232"/>
      <x v="425"/>
    </i>
    <i>
      <x v="234"/>
      <x v="315"/>
    </i>
    <i>
      <x v="235"/>
      <x v="102"/>
    </i>
    <i>
      <x v="236"/>
      <x v="273"/>
    </i>
    <i>
      <x v="237"/>
      <x v="283"/>
    </i>
    <i>
      <x v="238"/>
      <x v="142"/>
    </i>
    <i>
      <x v="239"/>
      <x v="34"/>
    </i>
    <i>
      <x v="240"/>
      <x v="38"/>
    </i>
    <i>
      <x v="242"/>
      <x v="80"/>
    </i>
    <i>
      <x v="243"/>
      <x v="34"/>
    </i>
    <i r="1">
      <x v="228"/>
    </i>
    <i>
      <x v="245"/>
      <x v="35"/>
    </i>
    <i>
      <x v="246"/>
      <x v="212"/>
    </i>
    <i>
      <x v="248"/>
      <x v="97"/>
    </i>
    <i>
      <x v="249"/>
      <x v="191"/>
    </i>
    <i>
      <x v="250"/>
      <x v="52"/>
    </i>
    <i>
      <x v="251"/>
      <x v="313"/>
    </i>
    <i>
      <x v="252"/>
      <x v="48"/>
    </i>
    <i>
      <x v="253"/>
      <x v="305"/>
    </i>
    <i>
      <x v="254"/>
      <x v="262"/>
    </i>
    <i>
      <x v="255"/>
      <x v="200"/>
    </i>
    <i>
      <x v="256"/>
      <x v="57"/>
    </i>
    <i>
      <x v="257"/>
      <x v="53"/>
    </i>
    <i r="1">
      <x v="96"/>
    </i>
    <i r="1">
      <x v="375"/>
    </i>
    <i r="1">
      <x v="388"/>
    </i>
    <i>
      <x v="258"/>
      <x v="57"/>
    </i>
    <i r="1">
      <x v="410"/>
    </i>
    <i>
      <x v="259"/>
      <x v="28"/>
    </i>
    <i>
      <x v="260"/>
      <x v="254"/>
    </i>
    <i r="1">
      <x v="404"/>
    </i>
    <i>
      <x v="261"/>
      <x v="107"/>
    </i>
    <i>
      <x v="263"/>
      <x v="406"/>
    </i>
    <i>
      <x v="264"/>
      <x v="334"/>
    </i>
    <i>
      <x v="265"/>
      <x v="408"/>
    </i>
    <i>
      <x v="266"/>
      <x v="274"/>
    </i>
    <i>
      <x v="267"/>
      <x v="175"/>
    </i>
    <i>
      <x v="268"/>
      <x v="102"/>
    </i>
    <i r="1">
      <x v="203"/>
    </i>
    <i>
      <x v="269"/>
      <x v="148"/>
    </i>
    <i r="1">
      <x v="242"/>
    </i>
    <i>
      <x v="270"/>
      <x v="39"/>
    </i>
    <i>
      <x v="271"/>
      <x v="266"/>
    </i>
    <i>
      <x v="272"/>
      <x v="413"/>
    </i>
    <i>
      <x v="273"/>
      <x v="118"/>
    </i>
    <i>
      <x v="274"/>
      <x v="347"/>
    </i>
    <i>
      <x v="275"/>
      <x v="200"/>
    </i>
    <i>
      <x v="276"/>
      <x v="149"/>
    </i>
    <i>
      <x v="277"/>
      <x v="181"/>
    </i>
    <i>
      <x v="278"/>
      <x v="123"/>
    </i>
    <i>
      <x v="279"/>
      <x v="57"/>
    </i>
    <i r="1">
      <x v="90"/>
    </i>
    <i>
      <x v="280"/>
      <x v="40"/>
    </i>
    <i>
      <x v="281"/>
      <x v="283"/>
    </i>
    <i>
      <x v="283"/>
      <x v="283"/>
    </i>
    <i>
      <x v="284"/>
      <x v="195"/>
    </i>
    <i>
      <x v="285"/>
      <x v="408"/>
    </i>
    <i>
      <x v="286"/>
      <x v="94"/>
    </i>
    <i>
      <x v="287"/>
      <x v="271"/>
    </i>
    <i r="1">
      <x v="414"/>
    </i>
    <i>
      <x v="288"/>
      <x v="200"/>
    </i>
    <i>
      <x v="289"/>
      <x v="8"/>
    </i>
    <i>
      <x v="290"/>
      <x v="175"/>
    </i>
    <i r="1">
      <x v="213"/>
    </i>
    <i>
      <x v="291"/>
      <x v="198"/>
    </i>
    <i>
      <x v="292"/>
      <x v="175"/>
    </i>
    <i>
      <x v="294"/>
      <x v="264"/>
    </i>
    <i>
      <x v="295"/>
      <x v="366"/>
    </i>
    <i>
      <x v="296"/>
      <x v="200"/>
    </i>
    <i>
      <x v="297"/>
      <x v="266"/>
    </i>
    <i>
      <x v="298"/>
      <x v="266"/>
    </i>
    <i>
      <x v="300"/>
      <x v="274"/>
    </i>
    <i>
      <x v="301"/>
      <x v="276"/>
    </i>
    <i>
      <x v="303"/>
      <x v="70"/>
    </i>
    <i>
      <x v="304"/>
      <x v="304"/>
    </i>
    <i>
      <x v="306"/>
      <x v="102"/>
    </i>
    <i>
      <x v="307"/>
      <x v="116"/>
    </i>
    <i>
      <x v="308"/>
      <x v="324"/>
    </i>
    <i>
      <x v="309"/>
      <x v="325"/>
    </i>
    <i>
      <x v="310"/>
      <x v="70"/>
    </i>
    <i>
      <x v="311"/>
      <x v="90"/>
    </i>
    <i>
      <x v="313"/>
      <x v="48"/>
    </i>
    <i>
      <x v="314"/>
      <x v="366"/>
    </i>
    <i>
      <x v="316"/>
      <x v="291"/>
    </i>
    <i>
      <x v="317"/>
      <x v="194"/>
    </i>
    <i>
      <x v="318"/>
      <x v="317"/>
    </i>
    <i>
      <x v="319"/>
      <x v="401"/>
    </i>
    <i>
      <x v="320"/>
      <x v="292"/>
    </i>
    <i>
      <x v="321"/>
      <x v="257"/>
    </i>
    <i>
      <x v="323"/>
      <x v="161"/>
    </i>
    <i>
      <x v="324"/>
      <x v="313"/>
    </i>
    <i>
      <x v="325"/>
      <x v="98"/>
    </i>
    <i>
      <x v="327"/>
      <x v="129"/>
    </i>
    <i>
      <x v="328"/>
      <x v="277"/>
    </i>
    <i>
      <x v="329"/>
      <x v="11"/>
    </i>
    <i>
      <x v="330"/>
      <x v="262"/>
    </i>
    <i>
      <x v="331"/>
      <x v="303"/>
    </i>
    <i>
      <x v="332"/>
      <x v="102"/>
    </i>
    <i>
      <x v="333"/>
      <x v="326"/>
    </i>
    <i>
      <x v="334"/>
      <x v="23"/>
    </i>
    <i r="1">
      <x v="266"/>
    </i>
    <i>
      <x v="336"/>
      <x v="408"/>
    </i>
    <i>
      <x v="339"/>
      <x v="81"/>
    </i>
    <i>
      <x v="340"/>
      <x v="422"/>
    </i>
    <i>
      <x v="341"/>
      <x v="280"/>
    </i>
    <i>
      <x v="342"/>
      <x v="340"/>
    </i>
    <i>
      <x v="344"/>
      <x v="241"/>
    </i>
    <i>
      <x v="346"/>
      <x v="38"/>
    </i>
    <i r="1">
      <x v="91"/>
    </i>
    <i>
      <x v="347"/>
      <x v="48"/>
    </i>
    <i>
      <x v="348"/>
      <x v="274"/>
    </i>
    <i>
      <x v="350"/>
      <x v="58"/>
    </i>
    <i r="1">
      <x v="257"/>
    </i>
    <i>
      <x v="351"/>
      <x v="166"/>
    </i>
    <i>
      <x v="352"/>
      <x v="280"/>
    </i>
    <i r="1">
      <x v="285"/>
    </i>
    <i r="1">
      <x v="341"/>
    </i>
    <i r="1">
      <x v="387"/>
    </i>
    <i>
      <x v="353"/>
      <x v="11"/>
    </i>
    <i>
      <x v="355"/>
      <x v="194"/>
    </i>
    <i>
      <x v="357"/>
      <x v="410"/>
    </i>
    <i>
      <x v="359"/>
      <x v="77"/>
    </i>
    <i>
      <x v="361"/>
      <x v="136"/>
    </i>
    <i>
      <x v="362"/>
      <x v="215"/>
    </i>
    <i>
      <x v="363"/>
      <x v="389"/>
    </i>
    <i>
      <x v="365"/>
      <x v="105"/>
    </i>
    <i r="1">
      <x v="247"/>
    </i>
    <i>
      <x v="366"/>
      <x v="78"/>
    </i>
    <i r="1">
      <x v="241"/>
    </i>
    <i r="1">
      <x v="340"/>
    </i>
    <i>
      <x v="367"/>
      <x v="313"/>
    </i>
    <i>
      <x v="368"/>
      <x v="157"/>
    </i>
    <i>
      <x v="370"/>
      <x v="308"/>
    </i>
    <i>
      <x v="371"/>
      <x v="57"/>
    </i>
    <i>
      <x v="372"/>
      <x v="59"/>
    </i>
    <i>
      <x v="373"/>
      <x v="18"/>
    </i>
    <i>
      <x v="374"/>
      <x v="322"/>
    </i>
    <i>
      <x v="375"/>
      <x v="30"/>
    </i>
    <i>
      <x v="377"/>
      <x v="166"/>
    </i>
    <i>
      <x v="378"/>
      <x v="220"/>
    </i>
    <i>
      <x v="379"/>
      <x v="44"/>
    </i>
    <i>
      <x v="380"/>
      <x v="90"/>
    </i>
    <i>
      <x v="381"/>
      <x v="401"/>
    </i>
    <i>
      <x v="382"/>
      <x v="48"/>
    </i>
    <i>
      <x v="383"/>
      <x v="102"/>
    </i>
    <i>
      <x v="384"/>
      <x v="104"/>
    </i>
    <i>
      <x v="385"/>
      <x v="237"/>
    </i>
    <i>
      <x v="387"/>
      <x v="317"/>
    </i>
    <i>
      <x v="389"/>
      <x v="181"/>
    </i>
    <i>
      <x v="390"/>
      <x v="274"/>
    </i>
    <i>
      <x v="391"/>
      <x v="311"/>
    </i>
    <i>
      <x v="392"/>
      <x v="175"/>
    </i>
    <i>
      <x v="393"/>
      <x v="102"/>
    </i>
    <i>
      <x v="394"/>
      <x v="8"/>
    </i>
    <i>
      <x v="395"/>
      <x v="180"/>
    </i>
    <i r="1">
      <x v="280"/>
    </i>
    <i>
      <x v="397"/>
      <x v="334"/>
    </i>
    <i>
      <x v="398"/>
      <x v="67"/>
    </i>
    <i>
      <x v="399"/>
      <x v="77"/>
    </i>
    <i r="1">
      <x v="102"/>
    </i>
    <i>
      <x v="400"/>
      <x v="229"/>
    </i>
    <i>
      <x v="401"/>
      <x v="371"/>
    </i>
    <i>
      <x v="402"/>
      <x v="62"/>
    </i>
    <i>
      <x v="404"/>
      <x v="266"/>
    </i>
    <i>
      <x v="405"/>
      <x v="334"/>
    </i>
    <i>
      <x v="406"/>
      <x v="35"/>
    </i>
    <i>
      <x v="408"/>
      <x v="389"/>
    </i>
    <i>
      <x v="409"/>
      <x v="117"/>
    </i>
    <i r="1">
      <x v="387"/>
    </i>
    <i r="1">
      <x v="401"/>
    </i>
    <i>
      <x v="410"/>
      <x v="58"/>
    </i>
    <i r="1">
      <x v="285"/>
    </i>
    <i>
      <x v="412"/>
      <x v="251"/>
    </i>
    <i>
      <x v="413"/>
      <x v="223"/>
    </i>
    <i>
      <x v="414"/>
      <x v="80"/>
    </i>
    <i>
      <x v="415"/>
      <x v="275"/>
    </i>
    <i>
      <x v="416"/>
      <x v="22"/>
    </i>
    <i>
      <x v="417"/>
      <x v="102"/>
    </i>
    <i r="1">
      <x v="193"/>
    </i>
    <i>
      <x v="418"/>
      <x v="32"/>
    </i>
    <i>
      <x v="419"/>
      <x v="13"/>
    </i>
    <i>
      <x v="422"/>
      <x v="185"/>
    </i>
    <i>
      <x v="423"/>
      <x v="356"/>
    </i>
    <i r="1">
      <x v="387"/>
    </i>
    <i>
      <x v="424"/>
      <x v="87"/>
    </i>
    <i>
      <x v="426"/>
      <x v="240"/>
    </i>
    <i>
      <x v="428"/>
      <x v="377"/>
    </i>
    <i>
      <x v="429"/>
      <x v="48"/>
    </i>
    <i>
      <x v="430"/>
      <x v="102"/>
    </i>
    <i r="1">
      <x v="137"/>
    </i>
    <i>
      <x v="431"/>
      <x v="240"/>
    </i>
    <i>
      <x v="433"/>
      <x v="399"/>
    </i>
    <i>
      <x v="434"/>
      <x v="102"/>
    </i>
    <i r="1">
      <x v="284"/>
    </i>
    <i r="1">
      <x v="415"/>
    </i>
    <i>
      <x v="435"/>
      <x v="194"/>
    </i>
    <i>
      <x v="436"/>
      <x v="429"/>
    </i>
    <i>
      <x v="437"/>
      <x v="64"/>
    </i>
    <i>
      <x v="438"/>
      <x v="357"/>
    </i>
    <i>
      <x v="439"/>
      <x v="227"/>
    </i>
    <i r="1">
      <x v="387"/>
    </i>
    <i>
      <x v="440"/>
      <x v="247"/>
    </i>
    <i r="1">
      <x v="366"/>
    </i>
    <i r="1">
      <x v="375"/>
    </i>
    <i r="1">
      <x v="429"/>
    </i>
    <i>
      <x v="441"/>
      <x v="389"/>
    </i>
    <i>
      <x v="442"/>
      <x v="204"/>
    </i>
    <i>
      <x v="443"/>
      <x v="185"/>
    </i>
    <i>
      <x v="444"/>
      <x v="102"/>
    </i>
    <i>
      <x v="446"/>
      <x v="6"/>
    </i>
    <i>
      <x v="447"/>
      <x v="268"/>
    </i>
    <i>
      <x v="449"/>
      <x v="200"/>
    </i>
    <i r="1">
      <x v="291"/>
    </i>
    <i>
      <x v="450"/>
      <x v="65"/>
    </i>
    <i>
      <x v="451"/>
      <x v="294"/>
    </i>
    <i>
      <x v="452"/>
      <x v="289"/>
    </i>
    <i>
      <x v="453"/>
      <x v="96"/>
    </i>
    <i>
      <x v="455"/>
      <x v="198"/>
    </i>
    <i r="1">
      <x v="209"/>
    </i>
    <i>
      <x v="456"/>
      <x v="352"/>
    </i>
    <i>
      <x v="457"/>
      <x v="136"/>
    </i>
    <i r="1">
      <x v="152"/>
    </i>
    <i>
      <x v="458"/>
      <x v="379"/>
    </i>
    <i>
      <x v="459"/>
      <x v="102"/>
    </i>
    <i>
      <x v="460"/>
      <x v="163"/>
    </i>
    <i>
      <x v="461"/>
      <x v="38"/>
    </i>
    <i>
      <x v="462"/>
      <x v="237"/>
    </i>
    <i>
      <x v="463"/>
      <x v="418"/>
    </i>
    <i>
      <x v="464"/>
      <x v="97"/>
    </i>
    <i>
      <x v="465"/>
      <x v="347"/>
    </i>
    <i>
      <x v="466"/>
      <x v="373"/>
    </i>
    <i>
      <x v="467"/>
      <x v="378"/>
    </i>
    <i>
      <x v="468"/>
      <x v="48"/>
    </i>
    <i r="1">
      <x v="118"/>
    </i>
    <i>
      <x v="470"/>
      <x v="266"/>
    </i>
    <i>
      <x v="471"/>
      <x v="242"/>
    </i>
    <i r="1">
      <x v="271"/>
    </i>
    <i>
      <x v="472"/>
      <x v="202"/>
    </i>
    <i>
      <x v="474"/>
      <x v="390"/>
    </i>
    <i>
      <x v="475"/>
      <x v="366"/>
    </i>
    <i>
      <x v="477"/>
      <x v="101"/>
    </i>
    <i>
      <x v="478"/>
      <x v="112"/>
    </i>
    <i r="1">
      <x v="132"/>
    </i>
    <i r="1">
      <x v="155"/>
    </i>
    <i>
      <x v="480"/>
      <x v="169"/>
    </i>
    <i>
      <x v="481"/>
      <x v="271"/>
    </i>
    <i>
      <x v="483"/>
      <x v="84"/>
    </i>
    <i>
      <x v="484"/>
      <x v="283"/>
    </i>
    <i>
      <x v="485"/>
      <x v="71"/>
    </i>
    <i>
      <x v="486"/>
      <x v="44"/>
    </i>
    <i r="1">
      <x v="274"/>
    </i>
    <i r="1">
      <x v="296"/>
    </i>
    <i>
      <x v="487"/>
      <x v="102"/>
    </i>
    <i>
      <x v="488"/>
      <x v="85"/>
    </i>
    <i>
      <x v="489"/>
      <x v="229"/>
    </i>
    <i r="1">
      <x v="280"/>
    </i>
    <i>
      <x v="490"/>
      <x v="283"/>
    </i>
    <i>
      <x v="491"/>
      <x v="283"/>
    </i>
    <i>
      <x v="492"/>
      <x v="6"/>
    </i>
    <i r="1">
      <x v="280"/>
    </i>
    <i>
      <x v="494"/>
      <x v="408"/>
    </i>
    <i>
      <x v="496"/>
      <x v="106"/>
    </i>
    <i>
      <x v="497"/>
      <x v="89"/>
    </i>
    <i>
      <x v="498"/>
      <x v="367"/>
    </i>
    <i>
      <x v="499"/>
      <x v="177"/>
    </i>
    <i>
      <x v="500"/>
      <x v="404"/>
    </i>
    <i>
      <x v="501"/>
      <x v="390"/>
    </i>
    <i>
      <x v="503"/>
      <x v="283"/>
    </i>
    <i>
      <x v="504"/>
      <x v="313"/>
    </i>
    <i>
      <x v="505"/>
      <x v="101"/>
    </i>
    <i>
      <x v="506"/>
      <x v="91"/>
    </i>
    <i>
      <x v="507"/>
      <x v="296"/>
    </i>
    <i>
      <x v="508"/>
      <x v="77"/>
    </i>
    <i>
      <x v="509"/>
      <x v="102"/>
    </i>
    <i>
      <x v="510"/>
      <x v="137"/>
    </i>
    <i>
      <x v="511"/>
      <x v="96"/>
    </i>
    <i>
      <x v="512"/>
      <x v="35"/>
    </i>
    <i r="1">
      <x v="272"/>
    </i>
    <i>
      <x v="513"/>
      <x v="313"/>
    </i>
    <i>
      <x v="514"/>
      <x v="110"/>
    </i>
    <i>
      <x v="516"/>
      <x v="158"/>
    </i>
    <i>
      <x v="517"/>
      <x v="317"/>
    </i>
    <i>
      <x v="518"/>
      <x v="189"/>
    </i>
    <i r="1">
      <x v="250"/>
    </i>
    <i r="1">
      <x v="283"/>
    </i>
    <i r="1">
      <x v="415"/>
    </i>
    <i>
      <x v="519"/>
      <x v="126"/>
    </i>
    <i r="1">
      <x v="311"/>
    </i>
    <i>
      <x v="521"/>
      <x v="235"/>
    </i>
    <i>
      <x v="522"/>
      <x v="157"/>
    </i>
    <i>
      <x v="523"/>
      <x v="77"/>
    </i>
    <i>
      <x v="525"/>
      <x v="336"/>
    </i>
    <i>
      <x v="526"/>
      <x v="336"/>
    </i>
    <i>
      <x v="527"/>
      <x v="370"/>
    </i>
    <i>
      <x v="528"/>
      <x v="82"/>
    </i>
    <i>
      <x v="529"/>
      <x v="93"/>
    </i>
    <i>
      <x v="531"/>
      <x v="280"/>
    </i>
    <i>
      <x v="532"/>
      <x v="198"/>
    </i>
    <i>
      <x v="533"/>
      <x v="367"/>
    </i>
    <i>
      <x v="534"/>
      <x v="200"/>
    </i>
    <i>
      <x v="535"/>
      <x v="54"/>
    </i>
    <i>
      <x v="536"/>
      <x v="271"/>
    </i>
    <i>
      <x v="537"/>
      <x v="207"/>
    </i>
    <i>
      <x v="538"/>
      <x v="266"/>
    </i>
    <i>
      <x v="539"/>
      <x v="200"/>
    </i>
    <i>
      <x v="540"/>
      <x v="74"/>
    </i>
    <i>
      <x v="541"/>
      <x v="375"/>
    </i>
    <i>
      <x v="542"/>
      <x v="196"/>
    </i>
    <i>
      <x v="543"/>
      <x v="102"/>
    </i>
    <i>
      <x v="544"/>
      <x v="180"/>
    </i>
    <i>
      <x v="545"/>
      <x v="150"/>
    </i>
    <i>
      <x v="547"/>
      <x v="389"/>
    </i>
    <i>
      <x v="548"/>
      <x v="31"/>
    </i>
    <i>
      <x v="549"/>
      <x v="31"/>
    </i>
    <i>
      <x v="550"/>
      <x v="31"/>
    </i>
    <i>
      <x v="551"/>
      <x v="96"/>
    </i>
    <i>
      <x v="552"/>
      <x v="348"/>
    </i>
    <i>
      <x v="553"/>
      <x v="77"/>
    </i>
    <i>
      <x v="554"/>
      <x v="52"/>
    </i>
    <i>
      <x v="555"/>
      <x v="408"/>
    </i>
    <i>
      <x v="558"/>
      <x v="182"/>
    </i>
    <i>
      <x v="559"/>
      <x v="57"/>
    </i>
    <i r="1">
      <x v="101"/>
    </i>
    <i>
      <x v="560"/>
      <x v="48"/>
    </i>
    <i>
      <x v="562"/>
      <x v="353"/>
    </i>
    <i>
      <x v="563"/>
      <x v="266"/>
    </i>
    <i>
      <x v="564"/>
      <x v="101"/>
    </i>
    <i>
      <x v="565"/>
      <x v="100"/>
    </i>
    <i r="1">
      <x v="283"/>
    </i>
    <i>
      <x v="566"/>
      <x v="230"/>
    </i>
    <i>
      <x v="567"/>
      <x v="408"/>
    </i>
    <i>
      <x v="568"/>
      <x v="50"/>
    </i>
    <i>
      <x v="569"/>
      <x v="205"/>
    </i>
    <i>
      <x v="570"/>
      <x v="208"/>
    </i>
    <i>
      <x v="571"/>
      <x v="185"/>
    </i>
    <i>
      <x v="572"/>
      <x v="262"/>
    </i>
    <i>
      <x v="573"/>
      <x v="124"/>
    </i>
    <i>
      <x v="574"/>
      <x v="157"/>
    </i>
    <i>
      <x v="575"/>
      <x v="92"/>
    </i>
    <i>
      <x v="576"/>
      <x v="242"/>
    </i>
    <i>
      <x v="578"/>
      <x v="280"/>
    </i>
    <i>
      <x v="579"/>
      <x v="71"/>
    </i>
    <i>
      <x v="580"/>
      <x v="394"/>
    </i>
    <i>
      <x v="581"/>
      <x v="26"/>
    </i>
    <i>
      <x v="582"/>
      <x v="338"/>
    </i>
    <i>
      <x v="583"/>
      <x v="280"/>
    </i>
    <i>
      <x v="584"/>
      <x v="115"/>
    </i>
    <i r="1">
      <x v="393"/>
    </i>
    <i>
      <x v="585"/>
      <x v="313"/>
    </i>
    <i>
      <x v="587"/>
      <x v="146"/>
    </i>
    <i>
      <x v="589"/>
      <x v="55"/>
    </i>
    <i r="1">
      <x v="263"/>
    </i>
    <i>
      <x v="590"/>
      <x v="111"/>
    </i>
    <i r="1">
      <x v="200"/>
    </i>
    <i>
      <x v="593"/>
      <x/>
    </i>
    <i r="1">
      <x v="379"/>
    </i>
    <i r="1">
      <x v="389"/>
    </i>
    <i>
      <x v="594"/>
      <x v="263"/>
    </i>
    <i>
      <x v="595"/>
      <x v="168"/>
    </i>
    <i>
      <x v="596"/>
      <x v="244"/>
    </i>
    <i>
      <x v="597"/>
      <x v="56"/>
    </i>
    <i>
      <x v="598"/>
      <x v="125"/>
    </i>
    <i>
      <x v="599"/>
      <x v="349"/>
    </i>
    <i>
      <x v="600"/>
      <x v="128"/>
    </i>
    <i>
      <x v="601"/>
      <x v="109"/>
    </i>
    <i>
      <x v="602"/>
      <x v="167"/>
    </i>
    <i>
      <x v="605"/>
      <x v="22"/>
    </i>
    <i>
      <x v="606"/>
      <x v="334"/>
    </i>
    <i>
      <x v="607"/>
      <x v="102"/>
    </i>
    <i>
      <x v="609"/>
      <x v="77"/>
    </i>
    <i>
      <x v="610"/>
      <x v="194"/>
    </i>
    <i>
      <x v="611"/>
      <x v="233"/>
    </i>
    <i>
      <x v="612"/>
      <x v="266"/>
    </i>
    <i>
      <x v="613"/>
      <x v="77"/>
    </i>
    <i>
      <x v="614"/>
      <x v="131"/>
    </i>
    <i>
      <x v="617"/>
      <x v="101"/>
    </i>
    <i>
      <x v="618"/>
      <x v="157"/>
    </i>
    <i>
      <x v="619"/>
      <x v="31"/>
    </i>
    <i>
      <x v="620"/>
      <x v="28"/>
    </i>
    <i>
      <x v="622"/>
      <x v="200"/>
    </i>
    <i>
      <x v="623"/>
      <x v="57"/>
    </i>
    <i>
      <x v="624"/>
      <x v="200"/>
    </i>
    <i>
      <x v="627"/>
      <x v="274"/>
    </i>
    <i>
      <x v="628"/>
      <x v="6"/>
    </i>
    <i>
      <x v="629"/>
      <x v="20"/>
    </i>
    <i r="1">
      <x v="77"/>
    </i>
    <i>
      <x v="630"/>
      <x v="266"/>
    </i>
    <i>
      <x v="631"/>
      <x v="22"/>
    </i>
    <i>
      <x v="632"/>
      <x v="115"/>
    </i>
    <i>
      <x v="634"/>
      <x v="276"/>
    </i>
    <i r="1">
      <x v="290"/>
    </i>
    <i>
      <x v="635"/>
      <x v="237"/>
    </i>
    <i>
      <x v="636"/>
      <x v="46"/>
    </i>
    <i>
      <x v="637"/>
      <x v="101"/>
    </i>
    <i>
      <x v="638"/>
      <x v="164"/>
    </i>
    <i r="1">
      <x v="175"/>
    </i>
    <i r="1">
      <x v="194"/>
    </i>
    <i r="1">
      <x v="359"/>
    </i>
    <i>
      <x v="639"/>
      <x v="387"/>
    </i>
    <i>
      <x v="641"/>
      <x v="421"/>
    </i>
    <i>
      <x v="642"/>
      <x v="76"/>
    </i>
    <i r="1">
      <x v="129"/>
    </i>
    <i>
      <x v="643"/>
      <x v="129"/>
    </i>
    <i>
      <x v="644"/>
      <x v="387"/>
    </i>
    <i>
      <x v="645"/>
      <x v="352"/>
    </i>
    <i>
      <x v="647"/>
      <x v="200"/>
    </i>
    <i>
      <x v="648"/>
      <x v="159"/>
    </i>
    <i>
      <x v="649"/>
      <x v="102"/>
    </i>
    <i r="1">
      <x v="253"/>
    </i>
    <i>
      <x v="652"/>
      <x v="390"/>
    </i>
    <i>
      <x v="653"/>
      <x v="14"/>
    </i>
    <i>
      <x v="654"/>
      <x v="366"/>
    </i>
    <i>
      <x v="655"/>
      <x v="423"/>
    </i>
    <i>
      <x v="657"/>
      <x v="27"/>
    </i>
    <i>
      <x v="658"/>
      <x v="141"/>
    </i>
    <i>
      <x v="659"/>
      <x v="365"/>
    </i>
    <i>
      <x v="660"/>
      <x v="347"/>
    </i>
    <i>
      <x v="661"/>
      <x v="408"/>
    </i>
    <i>
      <x v="662"/>
      <x v="70"/>
    </i>
    <i>
      <x v="663"/>
      <x v="106"/>
    </i>
    <i>
      <x v="664"/>
      <x v="343"/>
    </i>
    <i>
      <x v="665"/>
      <x v="52"/>
    </i>
    <i>
      <x v="666"/>
      <x v="200"/>
    </i>
    <i r="1">
      <x v="360"/>
    </i>
    <i>
      <x v="667"/>
      <x v="245"/>
    </i>
    <i>
      <x v="668"/>
      <x v="208"/>
    </i>
    <i>
      <x v="669"/>
      <x v="283"/>
    </i>
    <i>
      <x v="670"/>
      <x v="129"/>
    </i>
    <i>
      <x v="671"/>
      <x v="278"/>
    </i>
    <i>
      <x v="672"/>
      <x v="287"/>
    </i>
    <i>
      <x v="673"/>
      <x v="317"/>
    </i>
    <i>
      <x v="674"/>
      <x v="267"/>
    </i>
    <i r="1">
      <x v="316"/>
    </i>
    <i>
      <x v="675"/>
      <x v="200"/>
    </i>
    <i>
      <x v="676"/>
      <x v="130"/>
    </i>
    <i>
      <x v="677"/>
      <x v="129"/>
    </i>
    <i>
      <x v="678"/>
      <x v="187"/>
    </i>
    <i>
      <x v="679"/>
      <x v="8"/>
    </i>
    <i r="1">
      <x v="196"/>
    </i>
    <i>
      <x v="681"/>
      <x v="225"/>
    </i>
    <i>
      <x v="682"/>
      <x v="339"/>
    </i>
    <i>
      <x v="684"/>
      <x v="389"/>
    </i>
    <i>
      <x v="685"/>
      <x v="404"/>
    </i>
    <i>
      <x v="686"/>
      <x v="223"/>
    </i>
    <i>
      <x v="687"/>
      <x v="185"/>
    </i>
    <i>
      <x v="688"/>
      <x v="313"/>
    </i>
    <i>
      <x v="689"/>
      <x v="374"/>
    </i>
    <i>
      <x v="690"/>
      <x v="366"/>
    </i>
    <i>
      <x v="692"/>
      <x v="36"/>
    </i>
    <i r="1">
      <x v="280"/>
    </i>
    <i>
      <x v="693"/>
      <x v="77"/>
    </i>
    <i>
      <x v="694"/>
      <x v="266"/>
    </i>
    <i>
      <x v="696"/>
      <x v="172"/>
    </i>
    <i>
      <x v="697"/>
      <x v="175"/>
    </i>
    <i>
      <x v="699"/>
      <x v="59"/>
    </i>
    <i>
      <x v="700"/>
      <x v="80"/>
    </i>
    <i r="1">
      <x v="143"/>
    </i>
    <i r="1">
      <x v="314"/>
    </i>
    <i>
      <x v="701"/>
      <x v="408"/>
    </i>
    <i>
      <x v="702"/>
      <x v="266"/>
    </i>
    <i>
      <x v="703"/>
      <x v="136"/>
    </i>
    <i>
      <x v="704"/>
      <x v="366"/>
    </i>
    <i>
      <x v="705"/>
      <x v="102"/>
    </i>
    <i>
      <x v="706"/>
      <x v="102"/>
    </i>
    <i>
      <x v="707"/>
      <x v="52"/>
    </i>
    <i>
      <x v="709"/>
      <x v="315"/>
    </i>
    <i>
      <x v="710"/>
      <x v="222"/>
    </i>
    <i>
      <x v="711"/>
      <x v="7"/>
    </i>
    <i>
      <x v="712"/>
      <x v="99"/>
    </i>
    <i>
      <x v="715"/>
      <x v="127"/>
    </i>
    <i>
      <x v="716"/>
      <x v="142"/>
    </i>
    <i>
      <x v="718"/>
      <x v="317"/>
    </i>
    <i>
      <x v="719"/>
      <x v="16"/>
    </i>
    <i>
      <x v="720"/>
      <x v="200"/>
    </i>
    <i>
      <x v="721"/>
      <x v="269"/>
    </i>
    <i>
      <x v="724"/>
      <x v="313"/>
    </i>
    <i r="1">
      <x v="404"/>
    </i>
    <i>
      <x v="725"/>
      <x v="237"/>
    </i>
    <i>
      <x v="726"/>
      <x v="77"/>
    </i>
    <i>
      <x v="727"/>
      <x v="354"/>
    </i>
    <i>
      <x v="729"/>
      <x v="333"/>
    </i>
    <i>
      <x v="731"/>
      <x v="11"/>
    </i>
    <i>
      <x v="733"/>
      <x v="229"/>
    </i>
    <i>
      <x v="734"/>
      <x v="154"/>
    </i>
    <i>
      <x v="735"/>
      <x v="313"/>
    </i>
    <i>
      <x v="736"/>
      <x v="336"/>
    </i>
    <i>
      <x v="737"/>
      <x v="101"/>
    </i>
    <i>
      <x v="738"/>
      <x v="101"/>
    </i>
    <i>
      <x v="739"/>
      <x v="144"/>
    </i>
    <i>
      <x v="740"/>
      <x v="35"/>
    </i>
    <i r="1">
      <x v="43"/>
    </i>
    <i>
      <x v="741"/>
      <x v="283"/>
    </i>
    <i>
      <x v="742"/>
      <x v="102"/>
    </i>
    <i r="1">
      <x v="115"/>
    </i>
    <i r="1">
      <x v="201"/>
    </i>
    <i>
      <x v="743"/>
      <x v="217"/>
    </i>
    <i>
      <x v="744"/>
      <x v="188"/>
    </i>
    <i>
      <x v="745"/>
      <x v="395"/>
    </i>
    <i>
      <x v="746"/>
      <x v="363"/>
    </i>
    <i>
      <x v="748"/>
      <x v="400"/>
    </i>
    <i>
      <x v="749"/>
      <x v="302"/>
    </i>
    <i>
      <x v="750"/>
      <x v="11"/>
    </i>
    <i>
      <x v="753"/>
      <x v="426"/>
    </i>
    <i>
      <x v="754"/>
      <x v="200"/>
    </i>
    <i>
      <x v="755"/>
      <x v="266"/>
    </i>
    <i>
      <x v="756"/>
      <x v="47"/>
    </i>
    <i>
      <x v="757"/>
      <x v="175"/>
    </i>
    <i>
      <x v="759"/>
      <x v="102"/>
    </i>
    <i>
      <x v="760"/>
      <x v="75"/>
    </i>
    <i>
      <x v="761"/>
      <x v="274"/>
    </i>
    <i>
      <x v="762"/>
      <x v="102"/>
    </i>
    <i>
      <x v="763"/>
      <x v="221"/>
    </i>
    <i>
      <x v="764"/>
      <x v="353"/>
    </i>
    <i>
      <x v="765"/>
      <x v="266"/>
    </i>
    <i>
      <x v="766"/>
      <x v="326"/>
    </i>
    <i>
      <x v="768"/>
      <x v="318"/>
    </i>
    <i>
      <x v="769"/>
      <x v="340"/>
    </i>
    <i>
      <x v="771"/>
      <x v="224"/>
    </i>
    <i>
      <x v="774"/>
      <x v="12"/>
    </i>
    <i>
      <x v="775"/>
      <x v="408"/>
    </i>
    <i>
      <x v="777"/>
      <x v="358"/>
    </i>
    <i>
      <x v="778"/>
      <x v="401"/>
    </i>
    <i>
      <x v="779"/>
      <x v="102"/>
    </i>
    <i>
      <x v="780"/>
      <x v="11"/>
    </i>
    <i>
      <x v="782"/>
      <x v="339"/>
    </i>
    <i>
      <x v="783"/>
      <x v="274"/>
    </i>
    <i>
      <x v="784"/>
      <x v="318"/>
    </i>
    <i>
      <x v="785"/>
      <x v="245"/>
    </i>
    <i r="1">
      <x v="342"/>
    </i>
    <i>
      <x v="787"/>
      <x v="386"/>
    </i>
    <i>
      <x v="788"/>
      <x v="389"/>
    </i>
    <i>
      <x v="790"/>
      <x v="104"/>
    </i>
    <i>
      <x v="791"/>
      <x v="194"/>
    </i>
    <i>
      <x v="792"/>
      <x v="145"/>
    </i>
    <i>
      <x v="793"/>
      <x v="10"/>
    </i>
    <i>
      <x v="794"/>
      <x v="81"/>
    </i>
    <i>
      <x v="795"/>
      <x v="200"/>
    </i>
    <i>
      <x v="796"/>
      <x v="19"/>
    </i>
    <i>
      <x v="797"/>
      <x v="104"/>
    </i>
    <i r="1">
      <x v="313"/>
    </i>
    <i r="1">
      <x v="404"/>
    </i>
    <i r="1">
      <x v="408"/>
    </i>
    <i>
      <x v="800"/>
      <x v="419"/>
    </i>
    <i>
      <x v="801"/>
      <x v="168"/>
    </i>
    <i>
      <x v="802"/>
      <x v="266"/>
    </i>
    <i>
      <x v="803"/>
      <x v="412"/>
    </i>
    <i>
      <x v="804"/>
      <x v="42"/>
    </i>
    <i r="1">
      <x v="77"/>
    </i>
    <i r="1">
      <x v="347"/>
    </i>
    <i>
      <x v="805"/>
      <x v="387"/>
    </i>
    <i>
      <x v="806"/>
      <x v="266"/>
    </i>
    <i>
      <x v="807"/>
      <x v="21"/>
    </i>
    <i>
      <x v="808"/>
      <x v="404"/>
    </i>
    <i>
      <x v="809"/>
      <x v="185"/>
    </i>
    <i>
      <x v="810"/>
      <x v="147"/>
    </i>
    <i>
      <x v="811"/>
      <x v="170"/>
    </i>
    <i>
      <x v="812"/>
      <x v="240"/>
    </i>
    <i r="1">
      <x v="319"/>
    </i>
    <i>
      <x v="813"/>
      <x v="221"/>
    </i>
    <i>
      <x v="814"/>
      <x v="392"/>
    </i>
    <i>
      <x v="815"/>
      <x v="95"/>
    </i>
    <i>
      <x v="816"/>
      <x v="310"/>
    </i>
    <i>
      <x v="817"/>
      <x v="397"/>
    </i>
    <i>
      <x v="818"/>
      <x v="129"/>
    </i>
    <i>
      <x v="819"/>
      <x v="389"/>
    </i>
    <i>
      <x v="820"/>
      <x v="34"/>
    </i>
    <i>
      <x v="821"/>
      <x v="223"/>
    </i>
    <i>
      <x v="822"/>
      <x v="283"/>
    </i>
    <i>
      <x v="823"/>
      <x v="70"/>
    </i>
    <i>
      <x v="824"/>
      <x v="216"/>
    </i>
    <i>
      <x v="825"/>
      <x v="13"/>
    </i>
    <i>
      <x v="826"/>
      <x v="313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40A27-75B8-4CA2-B0B7-D9790FB28B90}" name="PivotTable4" cacheId="89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U2:X793" firstHeaderRow="2" firstDataRow="2" firstDataCol="3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28">
        <item x="539"/>
        <item m="1" x="741"/>
        <item m="1" x="768"/>
        <item m="1" x="789"/>
        <item m="1" x="800"/>
        <item x="339"/>
        <item x="346"/>
        <item x="380"/>
        <item x="62"/>
        <item m="1" x="763"/>
        <item x="646"/>
        <item x="531"/>
        <item x="280"/>
        <item h="1" x="696"/>
        <item x="199"/>
        <item x="441"/>
        <item h="1" x="725"/>
        <item x="445"/>
        <item x="523"/>
        <item h="1" x="723"/>
        <item x="433"/>
        <item x="490"/>
        <item x="0"/>
        <item x="420"/>
        <item x="557"/>
        <item x="106"/>
        <item x="127"/>
        <item m="1" x="752"/>
        <item h="1" x="680"/>
        <item x="192"/>
        <item x="676"/>
        <item x="140"/>
        <item x="451"/>
        <item x="109"/>
        <item x="218"/>
        <item x="271"/>
        <item x="367"/>
        <item x="289"/>
        <item x="200"/>
        <item m="1" x="792"/>
        <item x="610"/>
        <item x="486"/>
        <item x="507"/>
        <item x="347"/>
        <item x="381"/>
        <item x="213"/>
        <item m="1" x="773"/>
        <item x="99"/>
        <item x="193"/>
        <item x="642"/>
        <item x="656"/>
        <item x="15"/>
        <item x="550"/>
        <item x="480"/>
        <item m="1" x="785"/>
        <item x="421"/>
        <item x="662"/>
        <item x="58"/>
        <item m="1" x="769"/>
        <item x="302"/>
        <item x="661"/>
        <item x="426"/>
        <item x="663"/>
        <item x="240"/>
        <item x="482"/>
        <item x="125"/>
        <item m="1" x="826"/>
        <item x="546"/>
        <item m="1" x="825"/>
        <item x="665"/>
        <item x="212"/>
        <item x="614"/>
        <item x="174"/>
        <item x="110"/>
        <item x="25"/>
        <item x="466"/>
        <item x="313"/>
        <item x="303"/>
        <item x="503"/>
        <item x="475"/>
        <item x="264"/>
        <item x="541"/>
        <item m="1" x="813"/>
        <item x="227"/>
        <item x="71"/>
        <item x="259"/>
        <item x="355"/>
        <item x="401"/>
        <item h="1" x="682"/>
        <item m="1" x="780"/>
        <item x="169"/>
        <item x="471"/>
        <item x="491"/>
        <item x="357"/>
        <item x="152"/>
        <item m="1" x="824"/>
        <item x="151"/>
        <item x="589"/>
        <item x="372"/>
        <item h="1" x="732"/>
        <item x="197"/>
        <item x="548"/>
        <item x="14"/>
        <item x="297"/>
        <item x="202"/>
        <item x="22"/>
        <item x="88"/>
        <item x="613"/>
        <item x="26"/>
        <item x="431"/>
        <item x="363"/>
        <item h="1" x="686"/>
        <item x="146"/>
        <item x="637"/>
        <item x="68"/>
        <item m="1" x="750"/>
        <item x="353"/>
        <item x="326"/>
        <item m="1" x="821"/>
        <item x="361"/>
        <item x="269"/>
        <item x="530"/>
        <item x="384"/>
        <item x="501"/>
        <item x="139"/>
        <item x="18"/>
        <item x="659"/>
        <item x="634"/>
        <item x="149"/>
        <item x="288"/>
        <item x="12"/>
        <item x="186"/>
        <item x="170"/>
        <item x="449"/>
        <item x="216"/>
        <item x="638"/>
        <item m="1" x="778"/>
        <item x="575"/>
        <item x="249"/>
        <item m="1" x="758"/>
        <item h="1" x="697"/>
        <item x="378"/>
        <item m="1" x="784"/>
        <item x="444"/>
        <item x="334"/>
        <item x="74"/>
        <item x="354"/>
        <item x="595"/>
        <item x="205"/>
        <item x="343"/>
        <item x="245"/>
        <item x="272"/>
        <item x="414"/>
        <item x="601"/>
        <item x="435"/>
        <item x="618"/>
        <item x="281"/>
        <item x="283"/>
        <item x="671"/>
        <item x="101"/>
        <item x="340"/>
        <item x="590"/>
        <item x="237"/>
        <item x="60"/>
        <item h="1" x="698"/>
        <item x="388"/>
        <item x="555"/>
        <item x="528"/>
        <item x="305"/>
        <item x="608"/>
        <item x="4"/>
        <item x="547"/>
        <item m="1" x="812"/>
        <item x="485"/>
        <item x="629"/>
        <item x="100"/>
        <item x="243"/>
        <item m="1" x="740"/>
        <item x="73"/>
        <item x="285"/>
        <item x="484"/>
        <item m="1" x="765"/>
        <item x="258"/>
        <item x="474"/>
        <item x="172"/>
        <item x="596"/>
        <item x="524"/>
        <item x="333"/>
        <item x="327"/>
        <item x="652"/>
        <item x="41"/>
        <item x="374"/>
        <item h="1" x="705"/>
        <item x="319"/>
        <item x="430"/>
        <item x="561"/>
        <item m="1" x="806"/>
        <item x="57"/>
        <item x="37"/>
        <item x="153"/>
        <item m="1" x="777"/>
        <item h="1" x="719"/>
        <item x="677"/>
        <item x="419"/>
        <item x="236"/>
        <item x="121"/>
        <item x="405"/>
        <item x="432"/>
        <item x="424"/>
        <item m="1" x="767"/>
        <item x="329"/>
        <item x="348"/>
        <item x="36"/>
        <item x="54"/>
        <item x="591"/>
        <item h="1" x="715"/>
        <item m="1" x="804"/>
        <item x="423"/>
        <item m="1" x="815"/>
        <item x="55"/>
        <item x="188"/>
        <item m="1" x="786"/>
        <item x="72"/>
        <item x="362"/>
        <item x="201"/>
        <item m="1" x="819"/>
        <item x="521"/>
        <item x="9"/>
        <item x="185"/>
        <item x="183"/>
        <item x="156"/>
        <item x="206"/>
        <item x="615"/>
        <item h="1" x="733"/>
        <item x="85"/>
        <item x="13"/>
        <item x="456"/>
        <item x="600"/>
        <item x="130"/>
        <item x="370"/>
        <item x="295"/>
        <item m="1" x="771"/>
        <item x="439"/>
        <item x="572"/>
        <item m="1" x="822"/>
        <item x="582"/>
        <item x="553"/>
        <item m="1" x="805"/>
        <item x="315"/>
        <item x="84"/>
        <item x="583"/>
        <item x="498"/>
        <item x="603"/>
        <item x="64"/>
        <item x="461"/>
        <item x="413"/>
        <item x="250"/>
        <item x="45"/>
        <item x="229"/>
        <item x="540"/>
        <item x="349"/>
        <item x="593"/>
        <item m="1" x="757"/>
        <item x="173"/>
        <item x="165"/>
        <item x="102"/>
        <item x="495"/>
        <item x="513"/>
        <item x="455"/>
        <item x="83"/>
        <item x="154"/>
        <item x="636"/>
        <item x="299"/>
        <item x="399"/>
        <item x="462"/>
        <item x="247"/>
        <item x="116"/>
        <item x="284"/>
        <item x="359"/>
        <item x="416"/>
        <item x="67"/>
        <item x="499"/>
        <item m="1" x="745"/>
        <item x="500"/>
        <item x="19"/>
        <item x="321"/>
        <item x="277"/>
        <item x="407"/>
        <item x="148"/>
        <item x="643"/>
        <item x="464"/>
        <item x="337"/>
        <item x="203"/>
        <item m="1" x="738"/>
        <item x="412"/>
        <item x="224"/>
        <item x="265"/>
        <item x="330"/>
        <item x="654"/>
        <item h="1" x="710"/>
        <item x="341"/>
        <item x="619"/>
        <item h="1" x="685"/>
        <item x="114"/>
        <item x="134"/>
        <item m="1" x="748"/>
        <item x="358"/>
        <item x="82"/>
        <item x="630"/>
        <item x="571"/>
        <item x="511"/>
        <item x="506"/>
        <item m="1" x="753"/>
        <item x="239"/>
        <item x="219"/>
        <item m="1" x="783"/>
        <item x="617"/>
        <item x="554"/>
        <item x="386"/>
        <item x="385"/>
        <item x="645"/>
        <item x="393"/>
        <item h="1" x="683"/>
        <item x="674"/>
        <item x="252"/>
        <item x="579"/>
        <item h="1" x="695"/>
        <item x="171"/>
        <item x="481"/>
        <item x="522"/>
        <item x="230"/>
        <item x="278"/>
        <item x="117"/>
        <item x="675"/>
        <item x="198"/>
        <item m="1" x="749"/>
        <item x="89"/>
        <item m="1" x="794"/>
        <item m="1" x="775"/>
        <item x="142"/>
        <item x="97"/>
        <item x="394"/>
        <item x="23"/>
        <item m="1" x="795"/>
        <item x="580"/>
        <item h="1" x="718"/>
        <item x="255"/>
        <item x="160"/>
        <item x="270"/>
        <item m="1" x="760"/>
        <item x="606"/>
        <item x="532"/>
        <item x="16"/>
        <item x="368"/>
        <item h="1" x="712"/>
        <item x="189"/>
        <item h="1" x="701"/>
        <item x="260"/>
        <item h="1" x="730"/>
        <item x="447"/>
        <item m="1" x="816"/>
        <item x="244"/>
        <item x="633"/>
        <item x="175"/>
        <item m="1" x="820"/>
        <item x="415"/>
        <item x="356"/>
        <item x="404"/>
        <item x="558"/>
        <item m="1" x="811"/>
        <item x="310"/>
        <item x="231"/>
        <item x="301"/>
        <item x="578"/>
        <item x="465"/>
        <item x="448"/>
        <item h="1" x="716"/>
        <item x="425"/>
        <item x="434"/>
        <item x="526"/>
        <item x="96"/>
        <item x="11"/>
        <item x="286"/>
        <item x="556"/>
        <item x="573"/>
        <item x="161"/>
        <item m="1" x="751"/>
        <item x="287"/>
        <item h="1" x="727"/>
        <item x="338"/>
        <item x="77"/>
        <item x="78"/>
        <item x="489"/>
        <item x="323"/>
        <item x="75"/>
        <item x="21"/>
        <item m="1" x="807"/>
        <item x="668"/>
        <item x="517"/>
        <item x="472"/>
        <item x="576"/>
        <item x="317"/>
        <item x="527"/>
        <item h="1" x="693"/>
        <item x="103"/>
        <item x="587"/>
        <item x="32"/>
        <item m="1" x="802"/>
        <item x="263"/>
        <item x="516"/>
        <item x="8"/>
        <item m="1" x="761"/>
        <item x="136"/>
        <item x="87"/>
        <item x="460"/>
        <item x="304"/>
        <item x="350"/>
        <item x="49"/>
        <item x="468"/>
        <item x="469"/>
        <item m="1" x="787"/>
        <item m="1" x="801"/>
        <item x="344"/>
        <item x="31"/>
        <item x="577"/>
        <item m="1" x="797"/>
        <item x="427"/>
        <item h="1" x="729"/>
        <item x="194"/>
        <item x="377"/>
        <item x="453"/>
        <item x="298"/>
        <item m="1" x="781"/>
        <item x="209"/>
        <item x="94"/>
        <item x="267"/>
        <item x="537"/>
        <item x="373"/>
        <item x="599"/>
        <item x="544"/>
        <item x="40"/>
        <item x="679"/>
        <item x="296"/>
        <item x="369"/>
        <item x="221"/>
        <item m="1" x="808"/>
        <item x="520"/>
        <item x="436"/>
        <item m="1" x="788"/>
        <item x="300"/>
        <item x="505"/>
        <item x="44"/>
        <item x="351"/>
        <item x="90"/>
        <item m="1" x="823"/>
        <item x="390"/>
        <item x="536"/>
        <item x="515"/>
        <item x="92"/>
        <item x="446"/>
        <item x="396"/>
        <item x="669"/>
        <item x="365"/>
        <item x="275"/>
        <item x="345"/>
        <item x="379"/>
        <item x="261"/>
        <item x="132"/>
        <item x="123"/>
        <item m="1" x="754"/>
        <item x="635"/>
        <item x="65"/>
        <item x="551"/>
        <item m="1" x="791"/>
        <item x="616"/>
        <item x="53"/>
        <item h="1" x="702"/>
        <item x="104"/>
        <item x="59"/>
        <item h="1" x="713"/>
        <item x="241"/>
        <item x="141"/>
        <item m="1" x="779"/>
        <item x="411"/>
        <item x="649"/>
        <item x="331"/>
        <item x="43"/>
        <item x="478"/>
        <item x="309"/>
        <item x="27"/>
        <item x="157"/>
        <item x="91"/>
        <item x="63"/>
        <item h="1" x="684"/>
        <item x="112"/>
        <item h="1" x="681"/>
        <item x="647"/>
        <item x="477"/>
        <item x="276"/>
        <item x="195"/>
        <item x="214"/>
        <item x="457"/>
        <item m="1" x="772"/>
        <item x="119"/>
        <item x="1"/>
        <item x="294"/>
        <item x="494"/>
        <item x="586"/>
        <item x="443"/>
        <item x="181"/>
        <item x="282"/>
        <item x="336"/>
        <item x="581"/>
        <item x="387"/>
        <item x="632"/>
        <item m="1" x="739"/>
        <item x="222"/>
        <item x="145"/>
        <item x="3"/>
        <item x="17"/>
        <item m="1" x="827"/>
        <item x="126"/>
        <item x="48"/>
        <item x="308"/>
        <item m="1" x="798"/>
        <item x="735"/>
        <item x="306"/>
        <item x="496"/>
        <item x="208"/>
        <item x="328"/>
        <item m="1" x="790"/>
        <item x="512"/>
        <item x="376"/>
        <item x="620"/>
        <item x="395"/>
        <item x="459"/>
        <item x="644"/>
        <item x="422"/>
        <item x="594"/>
        <item x="651"/>
        <item x="42"/>
        <item x="135"/>
        <item x="332"/>
        <item x="191"/>
        <item x="454"/>
        <item x="6"/>
        <item h="1" x="703"/>
        <item x="144"/>
        <item x="562"/>
        <item x="563"/>
        <item x="564"/>
        <item x="228"/>
        <item x="122"/>
        <item x="52"/>
        <item x="220"/>
        <item x="166"/>
        <item m="1" x="774"/>
        <item m="1" x="737"/>
        <item x="655"/>
        <item x="398"/>
        <item x="196"/>
        <item m="1" x="817"/>
        <item x="567"/>
        <item x="178"/>
        <item x="242"/>
        <item x="131"/>
        <item x="314"/>
        <item x="256"/>
        <item x="678"/>
        <item x="371"/>
        <item x="105"/>
        <item x="609"/>
        <item x="184"/>
        <item x="158"/>
        <item x="291"/>
        <item x="670"/>
        <item x="622"/>
        <item m="1" x="799"/>
        <item x="128"/>
        <item x="502"/>
        <item x="437"/>
        <item x="625"/>
        <item x="274"/>
        <item x="664"/>
        <item x="80"/>
        <item x="98"/>
        <item m="1" x="818"/>
        <item x="248"/>
        <item m="1" x="743"/>
        <item x="162"/>
        <item x="391"/>
        <item h="1" m="1" x="809"/>
        <item m="1" x="770"/>
        <item x="93"/>
        <item x="535"/>
        <item x="69"/>
        <item x="545"/>
        <item x="400"/>
        <item x="70"/>
        <item x="10"/>
        <item x="226"/>
        <item x="56"/>
        <item x="559"/>
        <item h="1" x="694"/>
        <item h="1" x="687"/>
        <item x="246"/>
        <item x="440"/>
        <item x="182"/>
        <item h="1" x="688"/>
        <item x="626"/>
        <item x="187"/>
        <item x="418"/>
        <item x="450"/>
        <item x="7"/>
        <item x="497"/>
        <item m="1" x="756"/>
        <item m="1" x="759"/>
        <item x="667"/>
        <item x="163"/>
        <item x="565"/>
        <item x="570"/>
        <item h="1" x="692"/>
        <item x="487"/>
        <item x="650"/>
        <item x="129"/>
        <item h="1" x="709"/>
        <item h="1" x="706"/>
        <item x="360"/>
        <item x="95"/>
        <item x="483"/>
        <item x="428"/>
        <item x="34"/>
        <item x="290"/>
        <item h="1" x="690"/>
        <item x="658"/>
        <item x="508"/>
        <item x="627"/>
        <item x="233"/>
        <item x="176"/>
        <item x="611"/>
        <item h="1" m="1" x="776"/>
        <item x="640"/>
        <item x="190"/>
        <item x="605"/>
        <item x="438"/>
        <item x="76"/>
        <item m="1" x="810"/>
        <item x="597"/>
        <item x="621"/>
        <item x="312"/>
        <item m="1" x="744"/>
        <item h="1" x="726"/>
        <item x="325"/>
        <item x="316"/>
        <item x="311"/>
        <item x="5"/>
        <item h="1" x="699"/>
        <item x="20"/>
        <item x="653"/>
        <item x="232"/>
        <item x="375"/>
        <item x="279"/>
        <item x="409"/>
        <item x="225"/>
        <item x="529"/>
        <item x="307"/>
        <item x="543"/>
        <item x="322"/>
        <item x="66"/>
        <item x="29"/>
        <item x="673"/>
        <item x="463"/>
        <item x="2"/>
        <item x="120"/>
        <item x="28"/>
        <item x="549"/>
        <item x="533"/>
        <item x="560"/>
        <item x="612"/>
        <item x="324"/>
        <item h="1" m="1" x="814"/>
        <item x="177"/>
        <item x="273"/>
        <item h="1" x="721"/>
        <item x="542"/>
        <item x="397"/>
        <item x="318"/>
        <item x="234"/>
        <item x="147"/>
        <item x="641"/>
        <item x="167"/>
        <item m="1" x="782"/>
        <item x="320"/>
        <item x="366"/>
        <item x="402"/>
        <item h="1" x="720"/>
        <item x="204"/>
        <item x="442"/>
        <item h="1" x="708"/>
        <item x="488"/>
        <item x="115"/>
        <item x="39"/>
        <item x="624"/>
        <item x="179"/>
        <item x="335"/>
        <item x="467"/>
        <item x="672"/>
        <item x="509"/>
        <item h="1" x="734"/>
        <item x="406"/>
        <item x="458"/>
        <item x="207"/>
        <item x="538"/>
        <item h="1" x="717"/>
        <item h="1" x="722"/>
        <item x="133"/>
        <item x="408"/>
        <item m="1" x="796"/>
        <item x="124"/>
        <item x="666"/>
        <item x="585"/>
        <item x="168"/>
        <item h="1" x="707"/>
        <item h="1" x="714"/>
        <item x="215"/>
        <item x="492"/>
        <item x="138"/>
        <item x="155"/>
        <item m="1" x="746"/>
        <item x="452"/>
        <item h="1" x="724"/>
        <item x="51"/>
        <item h="1" x="689"/>
        <item x="33"/>
        <item x="262"/>
        <item x="574"/>
        <item x="552"/>
        <item x="164"/>
        <item x="493"/>
        <item x="417"/>
        <item x="111"/>
        <item x="403"/>
        <item x="47"/>
        <item x="180"/>
        <item x="657"/>
        <item x="383"/>
        <item x="588"/>
        <item h="1" x="700"/>
        <item x="648"/>
        <item x="504"/>
        <item x="24"/>
        <item m="1" x="803"/>
        <item m="1" x="793"/>
        <item x="217"/>
        <item x="479"/>
        <item x="639"/>
        <item x="50"/>
        <item x="159"/>
        <item m="1" x="755"/>
        <item x="598"/>
        <item x="389"/>
        <item x="30"/>
        <item x="392"/>
        <item x="352"/>
        <item x="518"/>
        <item x="293"/>
        <item x="534"/>
        <item h="1" x="704"/>
        <item x="81"/>
        <item x="143"/>
        <item h="1" x="711"/>
        <item x="514"/>
        <item h="1" x="731"/>
        <item m="1" x="742"/>
        <item x="470"/>
        <item x="254"/>
        <item m="1" x="766"/>
        <item x="410"/>
        <item x="382"/>
        <item x="660"/>
        <item x="592"/>
        <item h="1" x="691"/>
        <item x="266"/>
        <item x="525"/>
        <item x="79"/>
        <item x="364"/>
        <item m="1" x="764"/>
        <item x="473"/>
        <item x="118"/>
        <item m="1" x="762"/>
        <item x="107"/>
        <item x="235"/>
        <item x="569"/>
        <item x="46"/>
        <item x="86"/>
        <item x="211"/>
        <item x="223"/>
        <item x="108"/>
        <item m="1" x="747"/>
        <item h="1" x="728"/>
        <item x="210"/>
        <item x="628"/>
        <item x="568"/>
        <item x="476"/>
        <item x="61"/>
        <item x="519"/>
        <item x="429"/>
        <item x="604"/>
        <item x="150"/>
        <item x="38"/>
        <item x="510"/>
        <item x="268"/>
        <item x="607"/>
        <item x="251"/>
        <item x="602"/>
        <item x="584"/>
        <item x="566"/>
        <item x="137"/>
        <item x="342"/>
        <item x="35"/>
        <item x="631"/>
        <item x="113"/>
        <item x="257"/>
        <item x="253"/>
        <item x="623"/>
        <item x="292"/>
        <item x="238"/>
        <item h="1" x="736"/>
      </items>
    </pivotField>
    <pivotField axis="axisRow" compact="0" outline="0" showAll="0" defaultSubtotal="0">
      <items count="457">
        <item x="157"/>
        <item m="1" x="376"/>
        <item m="1" x="382"/>
        <item m="1" x="431"/>
        <item m="1" x="390"/>
        <item m="1" x="396"/>
        <item x="76"/>
        <item x="140"/>
        <item x="64"/>
        <item x="237"/>
        <item x="43"/>
        <item x="24"/>
        <item x="254"/>
        <item x="177"/>
        <item x="191"/>
        <item m="1" x="435"/>
        <item x="348"/>
        <item x="219"/>
        <item x="302"/>
        <item x="151"/>
        <item x="307"/>
        <item x="315"/>
        <item x="34"/>
        <item x="86"/>
        <item x="269"/>
        <item m="1" x="423"/>
        <item x="324"/>
        <item x="20"/>
        <item x="282"/>
        <item x="214"/>
        <item x="245"/>
        <item x="292"/>
        <item x="253"/>
        <item m="1" x="414"/>
        <item x="163"/>
        <item x="33"/>
        <item x="263"/>
        <item m="1" x="428"/>
        <item x="178"/>
        <item x="108"/>
        <item x="59"/>
        <item x="90"/>
        <item x="314"/>
        <item x="244"/>
        <item x="12"/>
        <item x="176"/>
        <item x="325"/>
        <item x="45"/>
        <item x="92"/>
        <item x="205"/>
        <item x="353"/>
        <item x="36"/>
        <item x="149"/>
        <item x="224"/>
        <item x="248"/>
        <item x="187"/>
        <item x="227"/>
        <item x="153"/>
        <item x="29"/>
        <item x="182"/>
        <item x="312"/>
        <item m="1" x="446"/>
        <item x="275"/>
        <item m="1" x="406"/>
        <item x="213"/>
        <item x="268"/>
        <item m="1" x="454"/>
        <item x="273"/>
        <item x="47"/>
        <item x="83"/>
        <item x="87"/>
        <item x="199"/>
        <item m="1" x="383"/>
        <item x="139"/>
        <item x="40"/>
        <item x="223"/>
        <item x="287"/>
        <item x="7"/>
        <item x="310"/>
        <item m="1" x="381"/>
        <item x="103"/>
        <item x="71"/>
        <item x="141"/>
        <item x="207"/>
        <item x="231"/>
        <item x="186"/>
        <item m="1" x="403"/>
        <item x="301"/>
        <item m="1" x="394"/>
        <item x="259"/>
        <item x="77"/>
        <item x="160"/>
        <item x="349"/>
        <item x="197"/>
        <item x="169"/>
        <item x="304"/>
        <item x="73"/>
        <item x="190"/>
        <item x="303"/>
        <item x="280"/>
        <item x="95"/>
        <item x="82"/>
        <item x="13"/>
        <item m="1" x="413"/>
        <item x="84"/>
        <item x="234"/>
        <item x="62"/>
        <item x="215"/>
        <item x="264"/>
        <item x="48"/>
        <item x="330"/>
        <item x="258"/>
        <item x="196"/>
        <item x="362"/>
        <item x="308"/>
        <item x="67"/>
        <item x="68"/>
        <item x="272"/>
        <item x="204"/>
        <item x="283"/>
        <item m="1" x="447"/>
        <item x="131"/>
        <item x="135"/>
        <item x="210"/>
        <item x="111"/>
        <item x="61"/>
        <item x="209"/>
        <item x="97"/>
        <item x="152"/>
        <item x="120"/>
        <item x="278"/>
        <item x="266"/>
        <item x="218"/>
        <item x="208"/>
        <item x="102"/>
        <item m="1" x="456"/>
        <item x="105"/>
        <item x="172"/>
        <item m="1" x="401"/>
        <item x="201"/>
        <item m="1" x="430"/>
        <item x="339"/>
        <item x="94"/>
        <item x="88"/>
        <item x="235"/>
        <item x="128"/>
        <item x="158"/>
        <item x="270"/>
        <item x="216"/>
        <item x="89"/>
        <item x="6"/>
        <item m="1" x="440"/>
        <item x="106"/>
        <item m="1" x="439"/>
        <item x="162"/>
        <item x="52"/>
        <item x="132"/>
        <item x="44"/>
        <item x="150"/>
        <item x="321"/>
        <item x="183"/>
        <item x="351"/>
        <item x="85"/>
        <item x="226"/>
        <item x="276"/>
        <item m="1" x="387"/>
        <item x="239"/>
        <item x="290"/>
        <item x="60"/>
        <item x="156"/>
        <item x="165"/>
        <item m="1" x="377"/>
        <item x="137"/>
        <item m="1" x="427"/>
        <item m="1" x="426"/>
        <item x="112"/>
        <item m="1" x="422"/>
        <item x="134"/>
        <item m="1" x="388"/>
        <item x="327"/>
        <item x="116"/>
        <item x="174"/>
        <item x="340"/>
        <item x="14"/>
        <item x="262"/>
        <item x="26"/>
        <item x="220"/>
        <item x="211"/>
        <item x="343"/>
        <item x="195"/>
        <item x="0"/>
        <item x="69"/>
        <item x="334"/>
        <item x="46"/>
        <item x="123"/>
        <item x="19"/>
        <item x="200"/>
        <item x="291"/>
        <item x="202"/>
        <item x="300"/>
        <item x="25"/>
        <item x="65"/>
        <item x="285"/>
        <item x="63"/>
        <item x="179"/>
        <item x="212"/>
        <item x="274"/>
        <item x="238"/>
        <item x="58"/>
        <item x="175"/>
        <item x="217"/>
        <item m="1" x="455"/>
        <item x="286"/>
        <item x="329"/>
        <item x="228"/>
        <item x="331"/>
        <item x="323"/>
        <item x="127"/>
        <item x="345"/>
        <item x="279"/>
        <item x="241"/>
        <item x="35"/>
        <item x="247"/>
        <item x="72"/>
        <item x="271"/>
        <item x="125"/>
        <item x="341"/>
        <item x="332"/>
        <item x="296"/>
        <item x="27"/>
        <item x="189"/>
        <item m="1" x="407"/>
        <item m="1" x="420"/>
        <item x="236"/>
        <item m="1" x="433"/>
        <item x="93"/>
        <item m="1" x="441"/>
        <item x="113"/>
        <item m="1" x="397"/>
        <item x="51"/>
        <item x="180"/>
        <item x="155"/>
        <item x="57"/>
        <item x="288"/>
        <item x="284"/>
        <item x="194"/>
        <item m="1" x="421"/>
        <item x="38"/>
        <item m="1" x="400"/>
        <item x="256"/>
        <item x="317"/>
        <item x="100"/>
        <item m="1" x="434"/>
        <item x="322"/>
        <item x="230"/>
        <item m="1" x="405"/>
        <item m="1" x="432"/>
        <item x="225"/>
        <item x="110"/>
        <item m="1" x="395"/>
        <item m="1" x="391"/>
        <item x="309"/>
        <item x="129"/>
        <item x="114"/>
        <item x="233"/>
        <item x="136"/>
        <item x="81"/>
        <item x="305"/>
        <item x="242"/>
        <item x="117"/>
        <item x="146"/>
        <item x="56"/>
        <item x="333"/>
        <item x="246"/>
        <item x="30"/>
        <item x="185"/>
        <item x="320"/>
        <item x="261"/>
        <item x="249"/>
        <item m="1" x="411"/>
        <item x="21"/>
        <item x="119"/>
        <item m="1" x="418"/>
        <item x="3"/>
        <item x="75"/>
        <item x="8"/>
        <item x="298"/>
        <item x="2"/>
        <item m="1" x="444"/>
        <item x="206"/>
        <item x="344"/>
        <item x="319"/>
        <item x="337"/>
        <item x="198"/>
        <item x="41"/>
        <item m="1" x="442"/>
        <item x="124"/>
        <item x="159"/>
        <item x="130"/>
        <item m="1" x="380"/>
        <item m="1" x="384"/>
        <item m="1" x="393"/>
        <item x="267"/>
        <item x="170"/>
        <item x="98"/>
        <item x="55"/>
        <item m="1" x="408"/>
        <item m="1" x="402"/>
        <item x="188"/>
        <item x="203"/>
        <item x="293"/>
        <item x="17"/>
        <item x="79"/>
        <item x="1"/>
        <item x="145"/>
        <item x="70"/>
        <item x="28"/>
        <item x="49"/>
        <item x="66"/>
        <item x="316"/>
        <item m="1" x="451"/>
        <item m="1" x="443"/>
        <item x="250"/>
        <item x="148"/>
        <item x="328"/>
        <item x="295"/>
        <item x="138"/>
        <item x="39"/>
        <item m="1" x="412"/>
        <item m="1" x="389"/>
        <item m="1" x="445"/>
        <item m="1" x="424"/>
        <item x="193"/>
        <item x="144"/>
        <item x="115"/>
        <item m="1" x="425"/>
        <item x="15"/>
        <item m="1" x="416"/>
        <item x="166"/>
        <item x="164"/>
        <item x="23"/>
        <item x="16"/>
        <item x="232"/>
        <item x="277"/>
        <item x="306"/>
        <item x="251"/>
        <item x="118"/>
        <item x="53"/>
        <item x="91"/>
        <item x="10"/>
        <item x="350"/>
        <item m="1" x="385"/>
        <item x="9"/>
        <item x="222"/>
        <item x="109"/>
        <item m="1" x="436"/>
        <item x="32"/>
        <item x="311"/>
        <item x="229"/>
        <item x="126"/>
        <item x="347"/>
        <item m="1" x="399"/>
        <item m="1" x="392"/>
        <item x="260"/>
        <item x="184"/>
        <item x="154"/>
        <item x="22"/>
        <item x="168"/>
        <item m="1" x="448"/>
        <item m="1" x="386"/>
        <item x="265"/>
        <item x="192"/>
        <item x="122"/>
        <item x="161"/>
        <item x="336"/>
        <item x="99"/>
        <item m="1" x="438"/>
        <item x="133"/>
        <item x="96"/>
        <item x="74"/>
        <item x="342"/>
        <item m="1" x="398"/>
        <item x="281"/>
        <item x="171"/>
        <item m="1" x="452"/>
        <item x="54"/>
        <item x="255"/>
        <item x="50"/>
        <item x="42"/>
        <item x="4"/>
        <item x="107"/>
        <item x="326"/>
        <item x="313"/>
        <item x="294"/>
        <item x="243"/>
        <item x="221"/>
        <item x="289"/>
        <item x="101"/>
        <item x="18"/>
        <item x="142"/>
        <item x="338"/>
        <item x="11"/>
        <item m="1" x="453"/>
        <item m="1" x="409"/>
        <item x="104"/>
        <item m="1" x="379"/>
        <item x="121"/>
        <item x="240"/>
        <item x="37"/>
        <item m="1" x="419"/>
        <item x="80"/>
        <item x="31"/>
        <item x="257"/>
        <item x="181"/>
        <item x="252"/>
        <item x="299"/>
        <item m="1" x="449"/>
        <item m="1" x="417"/>
        <item x="167"/>
        <item x="143"/>
        <item x="352"/>
        <item x="335"/>
        <item x="78"/>
        <item x="5"/>
        <item m="1" x="378"/>
        <item x="318"/>
        <item x="147"/>
        <item m="1" x="415"/>
        <item m="1" x="437"/>
        <item x="173"/>
        <item x="346"/>
        <item m="1" x="410"/>
        <item h="1" x="374"/>
        <item h="1" x="356"/>
        <item h="1" x="297"/>
        <item h="1" x="355"/>
        <item h="1" x="354"/>
        <item h="1" m="1" x="404"/>
        <item h="1" x="357"/>
        <item h="1" x="358"/>
        <item h="1" x="359"/>
        <item h="1" m="1" x="429"/>
        <item h="1" x="360"/>
        <item h="1" x="361"/>
        <item h="1" m="1" x="450"/>
        <item h="1" x="369"/>
        <item h="1" x="363"/>
        <item h="1" x="366"/>
        <item h="1" x="365"/>
        <item h="1" x="364"/>
        <item h="1" x="367"/>
        <item h="1" x="368"/>
        <item h="1" x="371"/>
        <item h="1" x="370"/>
        <item h="1" x="372"/>
        <item h="1" x="373"/>
        <item h="1" m="1" x="375"/>
      </items>
    </pivotField>
    <pivotField compact="0" outline="0" showAll="0"/>
    <pivotField axis="axisRow" compact="0" outline="0" showAll="0" defaultSubtotal="0">
      <items count="939">
        <item m="1" x="926"/>
        <item x="571"/>
        <item x="665"/>
        <item x="102"/>
        <item x="225"/>
        <item x="150"/>
        <item x="407"/>
        <item x="734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m="1" x="861"/>
        <item x="762"/>
        <item x="418"/>
        <item x="644"/>
        <item x="246"/>
        <item x="666"/>
        <item x="682"/>
        <item x="725"/>
        <item x="384"/>
        <item x="270"/>
        <item x="36"/>
        <item x="691"/>
        <item x="117"/>
        <item x="656"/>
        <item x="557"/>
        <item m="1" x="893"/>
        <item x="709"/>
        <item x="20"/>
        <item x="595"/>
        <item x="631"/>
        <item x="409"/>
        <item x="492"/>
        <item x="623"/>
        <item x="624"/>
        <item x="625"/>
        <item x="626"/>
        <item x="514"/>
        <item x="291"/>
        <item x="405"/>
        <item x="688"/>
        <item x="720"/>
        <item x="648"/>
        <item x="34"/>
        <item x="647"/>
        <item x="118"/>
        <item x="537"/>
        <item x="323"/>
        <item x="766"/>
        <item x="166"/>
        <item x="72"/>
        <item x="128"/>
        <item x="679"/>
        <item x="489"/>
        <item x="398"/>
        <item x="12"/>
        <item x="578"/>
        <item x="179"/>
        <item x="317"/>
        <item x="711"/>
        <item x="52"/>
        <item x="217"/>
        <item x="680"/>
        <item x="263"/>
        <item x="172"/>
        <item x="314"/>
        <item x="414"/>
        <item x="130"/>
        <item x="214"/>
        <item x="381"/>
        <item x="776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741"/>
        <item x="484"/>
        <item x="685"/>
        <item x="29"/>
        <item x="329"/>
        <item x="536"/>
        <item x="677"/>
        <item x="579"/>
        <item x="408"/>
        <item x="554"/>
        <item x="715"/>
        <item m="1" x="918"/>
        <item x="568"/>
        <item x="58"/>
        <item x="113"/>
        <item x="121"/>
        <item x="562"/>
        <item m="1" x="907"/>
        <item m="1" x="900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m="1" x="863"/>
        <item m="1" x="855"/>
        <item x="710"/>
        <item x="7"/>
        <item x="531"/>
        <item x="401"/>
        <item x="148"/>
        <item x="366"/>
        <item x="672"/>
        <item x="482"/>
        <item x="504"/>
        <item m="1" x="871"/>
        <item x="156"/>
        <item x="134"/>
        <item x="236"/>
        <item x="152"/>
        <item x="93"/>
        <item x="226"/>
        <item x="387"/>
        <item m="1" x="906"/>
        <item x="452"/>
        <item x="337"/>
        <item x="643"/>
        <item x="524"/>
        <item x="616"/>
        <item x="556"/>
        <item x="103"/>
        <item x="282"/>
        <item x="543"/>
        <item x="767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m="1" x="884"/>
        <item m="1" x="925"/>
        <item m="1" x="892"/>
        <item x="111"/>
        <item x="322"/>
        <item x="437"/>
        <item x="266"/>
        <item x="763"/>
        <item x="256"/>
        <item x="176"/>
        <item x="542"/>
        <item m="1" x="886"/>
        <item x="308"/>
        <item x="575"/>
        <item x="764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198"/>
        <item x="209"/>
        <item m="1" x="902"/>
        <item x="199"/>
        <item x="341"/>
        <item x="511"/>
        <item x="769"/>
        <item m="1" x="896"/>
        <item x="49"/>
        <item x="670"/>
        <item x="431"/>
        <item x="755"/>
        <item x="637"/>
        <item x="114"/>
        <item x="555"/>
        <item x="521"/>
        <item x="457"/>
        <item x="774"/>
        <item x="76"/>
        <item x="473"/>
        <item x="738"/>
        <item x="248"/>
        <item x="410"/>
        <item x="663"/>
        <item x="540"/>
        <item x="59"/>
        <item x="721"/>
        <item x="523"/>
        <item x="358"/>
        <item x="667"/>
        <item x="703"/>
        <item x="269"/>
        <item x="86"/>
        <item x="318"/>
        <item x="163"/>
        <item x="88"/>
        <item m="1" x="928"/>
        <item x="567"/>
        <item x="377"/>
        <item x="438"/>
        <item x="633"/>
        <item x="597"/>
        <item x="203"/>
        <item x="495"/>
        <item x="218"/>
        <item x="394"/>
        <item x="170"/>
        <item x="75"/>
        <item x="390"/>
        <item m="1" x="933"/>
        <item x="141"/>
        <item x="249"/>
        <item x="186"/>
        <item x="208"/>
        <item x="683"/>
        <item x="770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74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330"/>
        <item x="772"/>
        <item x="116"/>
        <item x="435"/>
        <item x="581"/>
        <item x="586"/>
        <item x="467"/>
        <item x="620"/>
        <item x="74"/>
        <item x="712"/>
        <item x="265"/>
        <item x="296"/>
        <item x="222"/>
        <item x="539"/>
        <item x="456"/>
        <item x="564"/>
        <item x="508"/>
        <item x="221"/>
        <item x="538"/>
        <item m="1" x="934"/>
        <item x="837"/>
        <item x="485"/>
        <item x="171"/>
        <item x="272"/>
        <item m="1" x="936"/>
        <item x="213"/>
        <item x="717"/>
        <item x="373"/>
        <item x="299"/>
        <item x="178"/>
        <item x="498"/>
        <item x="422"/>
        <item x="312"/>
        <item x="372"/>
        <item x="747"/>
        <item x="14"/>
        <item x="533"/>
        <item x="608"/>
        <item x="758"/>
        <item x="26"/>
        <item x="532"/>
        <item x="378"/>
        <item x="404"/>
        <item x="690"/>
        <item x="257"/>
        <item x="40"/>
        <item x="419"/>
        <item x="402"/>
        <item x="694"/>
        <item x="750"/>
        <item x="354"/>
        <item x="0"/>
        <item x="689"/>
        <item x="90"/>
        <item x="728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752"/>
        <item x="622"/>
        <item x="759"/>
        <item x="371"/>
        <item x="428"/>
        <item x="413"/>
        <item x="642"/>
        <item x="737"/>
        <item x="596"/>
        <item x="210"/>
        <item x="25"/>
        <item x="695"/>
        <item x="714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743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m="1" x="868"/>
        <item x="464"/>
        <item x="574"/>
        <item x="112"/>
        <item x="71"/>
        <item x="313"/>
        <item x="472"/>
        <item x="415"/>
        <item m="1" x="891"/>
        <item x="612"/>
        <item x="719"/>
        <item x="442"/>
        <item x="722"/>
        <item x="707"/>
        <item x="197"/>
        <item x="753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748"/>
        <item x="723"/>
        <item x="635"/>
        <item x="300"/>
        <item x="640"/>
        <item x="27"/>
        <item x="35"/>
        <item x="344"/>
        <item m="1" x="903"/>
        <item x="460"/>
        <item x="133"/>
        <item x="604"/>
        <item x="173"/>
        <item m="1" x="860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m="1" x="919"/>
        <item x="603"/>
        <item x="352"/>
        <item x="399"/>
        <item x="42"/>
        <item x="520"/>
        <item x="693"/>
        <item x="145"/>
        <item m="1" x="890"/>
        <item x="706"/>
        <item x="451"/>
        <item m="1" x="862"/>
        <item m="1" x="879"/>
        <item m="1" x="878"/>
        <item x="432"/>
        <item x="771"/>
        <item x="168"/>
        <item x="668"/>
        <item x="505"/>
        <item x="253"/>
        <item x="201"/>
        <item x="174"/>
        <item x="590"/>
        <item x="454"/>
        <item x="220"/>
        <item x="382"/>
        <item x="727"/>
        <item x="362"/>
        <item x="746"/>
        <item x="216"/>
        <item m="1" x="898"/>
        <item x="110"/>
        <item x="726"/>
        <item x="664"/>
        <item x="194"/>
        <item x="494"/>
        <item x="470"/>
        <item x="441"/>
        <item x="708"/>
        <item x="730"/>
        <item x="321"/>
        <item x="629"/>
        <item x="471"/>
        <item x="652"/>
        <item x="716"/>
        <item x="479"/>
        <item x="182"/>
        <item x="239"/>
        <item x="447"/>
        <item x="69"/>
        <item x="151"/>
        <item x="735"/>
        <item x="724"/>
        <item x="500"/>
        <item x="544"/>
        <item x="375"/>
        <item x="298"/>
        <item x="83"/>
        <item x="45"/>
        <item x="395"/>
        <item x="31"/>
        <item x="577"/>
        <item x="332"/>
        <item x="701"/>
        <item x="529"/>
        <item x="507"/>
        <item m="1" x="883"/>
        <item x="552"/>
        <item x="440"/>
        <item x="584"/>
        <item x="729"/>
        <item x="433"/>
        <item x="671"/>
        <item x="21"/>
        <item x="91"/>
        <item x="67"/>
        <item x="563"/>
        <item x="135"/>
        <item x="760"/>
        <item x="350"/>
        <item x="184"/>
        <item m="1" x="877"/>
        <item x="234"/>
        <item x="606"/>
        <item x="700"/>
        <item x="207"/>
        <item x="78"/>
        <item x="674"/>
        <item x="548"/>
        <item x="549"/>
        <item m="1" x="873"/>
        <item x="740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751"/>
        <item x="699"/>
        <item x="754"/>
        <item x="736"/>
        <item x="361"/>
        <item x="46"/>
        <item x="192"/>
        <item x="654"/>
        <item m="1" x="910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x="17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638"/>
        <item x="115"/>
        <item x="262"/>
        <item x="233"/>
        <item x="92"/>
        <item x="446"/>
        <item x="28"/>
        <item m="1" x="888"/>
        <item x="95"/>
        <item x="157"/>
        <item x="60"/>
        <item x="424"/>
        <item x="315"/>
        <item x="155"/>
        <item x="127"/>
        <item m="1" x="858"/>
        <item x="131"/>
        <item x="87"/>
        <item x="85"/>
        <item x="687"/>
        <item x="509"/>
        <item x="241"/>
        <item x="718"/>
        <item x="634"/>
        <item x="223"/>
        <item x="773"/>
        <item x="588"/>
        <item x="43"/>
        <item m="1" x="866"/>
        <item m="1" x="869"/>
        <item x="349"/>
        <item x="232"/>
        <item m="1" x="938"/>
        <item m="1" x="887"/>
        <item m="1" x="924"/>
        <item x="496"/>
        <item x="476"/>
        <item x="389"/>
        <item x="517"/>
        <item x="392"/>
        <item x="177"/>
        <item x="765"/>
        <item x="657"/>
        <item x="483"/>
        <item m="1" x="913"/>
        <item x="15"/>
        <item x="132"/>
        <item x="160"/>
        <item x="466"/>
        <item x="849"/>
        <item x="334"/>
        <item x="611"/>
        <item x="302"/>
        <item x="301"/>
        <item x="294"/>
        <item x="16"/>
        <item x="75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768"/>
        <item m="1" x="931"/>
        <item x="744"/>
        <item x="9"/>
        <item x="591"/>
        <item x="81"/>
        <item x="733"/>
        <item x="426"/>
        <item x="628"/>
        <item x="569"/>
        <item x="167"/>
        <item m="1" x="899"/>
        <item x="33"/>
        <item x="673"/>
        <item x="450"/>
        <item x="196"/>
        <item x="761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181"/>
        <item x="369"/>
        <item x="304"/>
        <item x="702"/>
        <item x="545"/>
        <item x="347"/>
        <item x="189"/>
        <item x="288"/>
        <item x="732"/>
        <item x="343"/>
        <item x="681"/>
        <item x="143"/>
        <item x="212"/>
        <item x="139"/>
        <item x="99"/>
        <item x="100"/>
        <item x="749"/>
        <item m="1" x="935"/>
        <item x="594"/>
        <item x="309"/>
        <item x="66"/>
        <item x="519"/>
        <item x="61"/>
        <item x="696"/>
        <item x="286"/>
        <item x="73"/>
        <item x="261"/>
        <item m="1" x="937"/>
        <item x="368"/>
        <item x="742"/>
        <item x="273"/>
        <item x="601"/>
        <item x="692"/>
        <item x="481"/>
        <item x="570"/>
        <item x="47"/>
        <item x="534"/>
        <item x="231"/>
        <item x="487"/>
        <item x="4"/>
        <item x="267"/>
        <item m="1" x="922"/>
        <item x="397"/>
        <item x="190"/>
        <item x="290"/>
        <item m="1" x="872"/>
        <item x="777"/>
        <item x="154"/>
        <item x="144"/>
        <item x="598"/>
        <item x="125"/>
        <item m="1" x="897"/>
        <item x="37"/>
        <item x="463"/>
        <item x="165"/>
        <item x="259"/>
        <item x="698"/>
        <item x="501"/>
        <item m="1" x="880"/>
        <item x="356"/>
        <item x="713"/>
        <item x="678"/>
        <item x="632"/>
        <item m="1" x="909"/>
        <item m="1" x="915"/>
        <item x="480"/>
        <item x="421"/>
        <item x="618"/>
        <item x="146"/>
        <item x="18"/>
        <item x="227"/>
        <item x="739"/>
        <item x="462"/>
        <item m="1" x="917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m="1" x="867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m="1" x="904"/>
        <item x="235"/>
        <item m="1" x="90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775"/>
        <item x="731"/>
        <item x="104"/>
        <item x="5"/>
        <item x="697"/>
        <item x="240"/>
        <item x="311"/>
        <item x="592"/>
        <item x="561"/>
        <item x="757"/>
        <item x="851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</items>
    </pivotField>
  </pivotFields>
  <rowFields count="3">
    <field x="9"/>
    <field x="7"/>
    <field x="6"/>
  </rowFields>
  <rowItems count="790">
    <i>
      <x v="1"/>
      <x v="6"/>
      <x v="446"/>
    </i>
    <i>
      <x v="2"/>
      <x v="6"/>
      <x v="492"/>
    </i>
    <i>
      <x v="3"/>
      <x v="6"/>
      <x v="628"/>
    </i>
    <i>
      <x v="4"/>
      <x v="7"/>
      <x v="711"/>
    </i>
    <i>
      <x v="5"/>
      <x v="8"/>
      <x v="31"/>
    </i>
    <i>
      <x v="6"/>
      <x v="8"/>
      <x v="98"/>
    </i>
    <i>
      <x v="7"/>
      <x v="8"/>
      <x v="289"/>
    </i>
    <i>
      <x v="8"/>
      <x v="8"/>
      <x v="394"/>
    </i>
    <i>
      <x v="9"/>
      <x v="8"/>
      <x v="679"/>
    </i>
    <i>
      <x v="10"/>
      <x v="9"/>
      <x v="203"/>
    </i>
    <i>
      <x v="11"/>
      <x v="10"/>
      <x v="793"/>
    </i>
    <i>
      <x v="12"/>
      <x v="11"/>
      <x v="63"/>
    </i>
    <i>
      <x v="13"/>
      <x v="11"/>
      <x v="329"/>
    </i>
    <i>
      <x v="14"/>
      <x v="11"/>
      <x v="353"/>
    </i>
    <i>
      <x v="15"/>
      <x v="11"/>
      <x v="731"/>
    </i>
    <i>
      <x v="16"/>
      <x v="11"/>
      <x v="750"/>
    </i>
    <i>
      <x v="17"/>
      <x v="11"/>
      <x v="780"/>
    </i>
    <i>
      <x v="18"/>
      <x v="12"/>
      <x v="774"/>
    </i>
    <i>
      <x v="19"/>
      <x v="13"/>
      <x v="419"/>
    </i>
    <i>
      <x v="20"/>
      <x v="13"/>
      <x v="825"/>
    </i>
    <i>
      <x v="21"/>
      <x v="14"/>
      <x v="653"/>
    </i>
    <i>
      <x v="23"/>
      <x v="16"/>
      <x v="719"/>
    </i>
    <i>
      <x v="24"/>
      <x v="17"/>
      <x v="7"/>
    </i>
    <i>
      <x v="25"/>
      <x v="18"/>
      <x v="373"/>
    </i>
    <i>
      <x v="26"/>
      <x v="19"/>
      <x v="796"/>
    </i>
    <i>
      <x v="27"/>
      <x v="20"/>
      <x v="629"/>
    </i>
    <i>
      <x v="28"/>
      <x v="21"/>
      <x v="807"/>
    </i>
    <i>
      <x v="29"/>
      <x v="22"/>
      <x v="127"/>
    </i>
    <i>
      <x v="30"/>
      <x v="22"/>
      <x v="416"/>
    </i>
    <i>
      <x v="31"/>
      <x v="22"/>
      <x v="605"/>
    </i>
    <i>
      <x v="32"/>
      <x v="22"/>
      <x v="631"/>
    </i>
    <i>
      <x v="33"/>
      <x v="23"/>
      <x v="40"/>
    </i>
    <i>
      <x v="34"/>
      <x v="23"/>
      <x v="73"/>
    </i>
    <i>
      <x v="35"/>
      <x v="23"/>
      <x v="334"/>
    </i>
    <i>
      <x v="36"/>
      <x v="24"/>
      <x v="42"/>
    </i>
    <i>
      <x v="38"/>
      <x v="26"/>
      <x v="581"/>
    </i>
    <i>
      <x v="39"/>
      <x v="27"/>
      <x v="657"/>
    </i>
    <i>
      <x v="40"/>
      <x v="28"/>
      <x v="259"/>
    </i>
    <i>
      <x v="41"/>
      <x v="28"/>
      <x v="620"/>
    </i>
    <i>
      <x v="42"/>
      <x v="29"/>
      <x v="8"/>
    </i>
    <i>
      <x v="43"/>
      <x v="30"/>
      <x v="375"/>
    </i>
    <i>
      <x v="44"/>
      <x v="31"/>
      <x v="548"/>
    </i>
    <i>
      <x v="45"/>
      <x v="31"/>
      <x v="549"/>
    </i>
    <i>
      <x v="46"/>
      <x v="31"/>
      <x v="550"/>
    </i>
    <i>
      <x v="47"/>
      <x v="31"/>
      <x v="619"/>
    </i>
    <i>
      <x v="48"/>
      <x v="32"/>
      <x v="418"/>
    </i>
    <i>
      <x v="49"/>
      <x v="34"/>
      <x v="80"/>
    </i>
    <i>
      <x v="50"/>
      <x v="34"/>
      <x v="239"/>
    </i>
    <i>
      <x v="51"/>
      <x v="34"/>
      <x v="243"/>
    </i>
    <i>
      <x v="52"/>
      <x v="34"/>
      <x v="820"/>
    </i>
    <i>
      <x v="53"/>
      <x v="35"/>
      <x v="245"/>
    </i>
    <i>
      <x v="54"/>
      <x v="35"/>
      <x v="406"/>
    </i>
    <i>
      <x v="55"/>
      <x v="35"/>
      <x v="512"/>
    </i>
    <i>
      <x v="56"/>
      <x v="35"/>
      <x v="740"/>
    </i>
    <i>
      <x v="57"/>
      <x v="36"/>
      <x v="692"/>
    </i>
    <i>
      <x v="58"/>
      <x v="38"/>
      <x v="240"/>
    </i>
    <i>
      <x v="59"/>
      <x v="38"/>
      <x v="461"/>
    </i>
    <i>
      <x v="60"/>
      <x v="39"/>
      <x v="270"/>
    </i>
    <i>
      <x v="61"/>
      <x v="40"/>
      <x v="280"/>
    </i>
    <i>
      <x v="62"/>
      <x v="41"/>
      <x v="205"/>
    </i>
    <i>
      <x v="63"/>
      <x v="42"/>
      <x v="804"/>
    </i>
    <i>
      <x v="64"/>
      <x v="43"/>
      <x v="740"/>
    </i>
    <i>
      <x v="65"/>
      <x v="44"/>
      <x v="110"/>
    </i>
    <i>
      <x v="66"/>
      <x v="44"/>
      <x v="130"/>
    </i>
    <i>
      <x v="67"/>
      <x v="44"/>
      <x v="379"/>
    </i>
    <i>
      <x v="68"/>
      <x v="44"/>
      <x v="486"/>
    </i>
    <i>
      <x v="69"/>
      <x v="45"/>
      <x v="37"/>
    </i>
    <i>
      <x v="70"/>
      <x v="46"/>
      <x v="636"/>
    </i>
    <i>
      <x v="71"/>
      <x v="47"/>
      <x v="756"/>
    </i>
    <i>
      <x v="72"/>
      <x v="48"/>
      <x v="14"/>
    </i>
    <i>
      <x v="73"/>
      <x v="48"/>
      <x v="252"/>
    </i>
    <i>
      <x v="74"/>
      <x v="48"/>
      <x v="313"/>
    </i>
    <i>
      <x v="75"/>
      <x v="48"/>
      <x v="347"/>
    </i>
    <i>
      <x v="76"/>
      <x v="48"/>
      <x v="382"/>
    </i>
    <i>
      <x v="77"/>
      <x v="48"/>
      <x v="429"/>
    </i>
    <i>
      <x v="78"/>
      <x v="48"/>
      <x v="468"/>
    </i>
    <i>
      <x v="79"/>
      <x v="48"/>
      <x v="560"/>
    </i>
    <i>
      <x v="80"/>
      <x v="49"/>
      <x v="43"/>
    </i>
    <i>
      <x v="81"/>
      <x v="50"/>
      <x v="568"/>
    </i>
    <i>
      <x v="82"/>
      <x v="51"/>
      <x v="198"/>
    </i>
    <i>
      <x v="83"/>
      <x v="52"/>
      <x v="250"/>
    </i>
    <i>
      <x v="84"/>
      <x v="52"/>
      <x v="554"/>
    </i>
    <i>
      <x v="85"/>
      <x v="52"/>
      <x v="665"/>
    </i>
    <i>
      <x v="86"/>
      <x v="52"/>
      <x v="707"/>
    </i>
    <i>
      <x v="87"/>
      <x v="53"/>
      <x v="257"/>
    </i>
    <i>
      <x v="88"/>
      <x v="54"/>
      <x v="535"/>
    </i>
    <i>
      <x v="89"/>
      <x v="55"/>
      <x v="589"/>
    </i>
    <i>
      <x v="90"/>
      <x v="56"/>
      <x v="597"/>
    </i>
    <i>
      <x v="91"/>
      <x v="57"/>
      <x v="154"/>
    </i>
    <i>
      <x v="92"/>
      <x v="57"/>
      <x v="256"/>
    </i>
    <i>
      <x v="93"/>
      <x v="57"/>
      <x v="258"/>
    </i>
    <i>
      <x v="94"/>
      <x v="57"/>
      <x v="279"/>
    </i>
    <i>
      <x v="95"/>
      <x v="57"/>
      <x v="371"/>
    </i>
    <i>
      <x v="96"/>
      <x v="57"/>
      <x v="559"/>
    </i>
    <i>
      <x v="97"/>
      <x v="57"/>
      <x v="623"/>
    </i>
    <i>
      <x v="98"/>
      <x v="58"/>
      <x v="15"/>
    </i>
    <i>
      <x v="99"/>
      <x v="58"/>
      <x v="350"/>
    </i>
    <i>
      <x v="100"/>
      <x v="58"/>
      <x v="410"/>
    </i>
    <i>
      <x v="101"/>
      <x v="59"/>
      <x v="372"/>
    </i>
    <i>
      <x v="102"/>
      <x v="59"/>
      <x v="699"/>
    </i>
    <i>
      <x v="103"/>
      <x v="60"/>
      <x v="153"/>
    </i>
    <i>
      <x v="104"/>
      <x v="62"/>
      <x v="402"/>
    </i>
    <i>
      <x v="105"/>
      <x v="64"/>
      <x v="437"/>
    </i>
    <i>
      <x v="106"/>
      <x v="65"/>
      <x v="450"/>
    </i>
    <i>
      <x v="107"/>
      <x v="67"/>
      <x v="17"/>
    </i>
    <i>
      <x v="109"/>
      <x v="67"/>
      <x v="398"/>
    </i>
    <i>
      <x v="110"/>
      <x v="68"/>
      <x v="219"/>
    </i>
    <i>
      <x v="111"/>
      <x v="69"/>
      <x v="25"/>
    </i>
    <i>
      <x v="112"/>
      <x v="70"/>
      <x v="303"/>
    </i>
    <i>
      <x v="113"/>
      <x v="70"/>
      <x v="310"/>
    </i>
    <i>
      <x v="116"/>
      <x v="70"/>
      <x v="662"/>
    </i>
    <i>
      <x v="117"/>
      <x v="70"/>
      <x v="823"/>
    </i>
    <i>
      <x v="118"/>
      <x v="71"/>
      <x v="485"/>
    </i>
    <i>
      <x v="119"/>
      <x v="71"/>
      <x v="579"/>
    </i>
    <i>
      <x v="120"/>
      <x v="73"/>
      <x v="231"/>
    </i>
    <i>
      <x v="121"/>
      <x v="74"/>
      <x v="540"/>
    </i>
    <i>
      <x v="122"/>
      <x v="75"/>
      <x v="760"/>
    </i>
    <i>
      <x v="123"/>
      <x v="76"/>
      <x v="642"/>
    </i>
    <i>
      <x v="124"/>
      <x v="77"/>
      <x v="11"/>
    </i>
    <i>
      <x v="125"/>
      <x v="77"/>
      <x v="117"/>
    </i>
    <i>
      <x v="126"/>
      <x v="77"/>
      <x v="359"/>
    </i>
    <i>
      <x v="127"/>
      <x v="77"/>
      <x v="399"/>
    </i>
    <i>
      <x v="128"/>
      <x v="77"/>
      <x v="508"/>
    </i>
    <i>
      <x v="129"/>
      <x v="77"/>
      <x v="523"/>
    </i>
    <i>
      <x v="130"/>
      <x v="77"/>
      <x v="553"/>
    </i>
    <i>
      <x v="133"/>
      <x v="77"/>
      <x v="609"/>
    </i>
    <i>
      <x v="134"/>
      <x v="77"/>
      <x v="613"/>
    </i>
    <i>
      <x v="135"/>
      <x v="77"/>
      <x v="629"/>
    </i>
    <i>
      <x v="136"/>
      <x v="77"/>
      <x v="693"/>
    </i>
    <i>
      <x v="137"/>
      <x v="77"/>
      <x v="726"/>
    </i>
    <i>
      <x v="138"/>
      <x v="77"/>
      <x v="804"/>
    </i>
    <i>
      <x v="139"/>
      <x v="78"/>
      <x v="366"/>
    </i>
    <i>
      <x v="140"/>
      <x v="80"/>
      <x v="242"/>
    </i>
    <i>
      <x v="141"/>
      <x v="80"/>
      <x v="414"/>
    </i>
    <i>
      <x v="143"/>
      <x v="80"/>
      <x v="700"/>
    </i>
    <i>
      <x v="144"/>
      <x v="81"/>
      <x v="26"/>
    </i>
    <i>
      <x v="145"/>
      <x v="81"/>
      <x v="45"/>
    </i>
    <i>
      <x v="146"/>
      <x v="81"/>
      <x v="339"/>
    </i>
    <i>
      <x v="147"/>
      <x v="81"/>
      <x v="794"/>
    </i>
    <i>
      <x v="148"/>
      <x v="82"/>
      <x v="528"/>
    </i>
    <i>
      <x v="149"/>
      <x v="83"/>
      <x v="116"/>
    </i>
    <i>
      <x v="151"/>
      <x v="84"/>
      <x v="483"/>
    </i>
    <i>
      <x v="152"/>
      <x v="85"/>
      <x v="488"/>
    </i>
    <i>
      <x v="153"/>
      <x v="87"/>
      <x v="424"/>
    </i>
    <i>
      <x v="154"/>
      <x v="89"/>
      <x v="497"/>
    </i>
    <i>
      <x v="155"/>
      <x v="90"/>
      <x v="279"/>
    </i>
    <i>
      <x v="156"/>
      <x v="90"/>
      <x v="311"/>
    </i>
    <i>
      <x v="157"/>
      <x v="90"/>
      <x v="380"/>
    </i>
    <i>
      <x v="158"/>
      <x v="91"/>
      <x v="346"/>
    </i>
    <i>
      <x v="159"/>
      <x v="91"/>
      <x v="506"/>
    </i>
    <i>
      <x v="160"/>
      <x v="92"/>
      <x v="575"/>
    </i>
    <i>
      <x v="161"/>
      <x v="93"/>
      <x v="529"/>
    </i>
    <i>
      <x v="162"/>
      <x v="94"/>
      <x v="286"/>
    </i>
    <i>
      <x v="163"/>
      <x v="95"/>
      <x v="815"/>
    </i>
    <i>
      <x v="164"/>
      <x v="96"/>
      <x v="133"/>
    </i>
    <i>
      <x v="165"/>
      <x v="96"/>
      <x v="257"/>
    </i>
    <i>
      <x v="167"/>
      <x v="96"/>
      <x v="453"/>
    </i>
    <i>
      <x v="168"/>
      <x v="96"/>
      <x v="511"/>
    </i>
    <i>
      <x v="169"/>
      <x v="96"/>
      <x v="551"/>
    </i>
    <i>
      <x v="170"/>
      <x v="97"/>
      <x v="248"/>
    </i>
    <i>
      <x v="171"/>
      <x v="97"/>
      <x v="464"/>
    </i>
    <i>
      <x v="172"/>
      <x v="98"/>
      <x v="325"/>
    </i>
    <i>
      <x v="173"/>
      <x v="99"/>
      <x v="712"/>
    </i>
    <i>
      <x v="174"/>
      <x v="100"/>
      <x v="565"/>
    </i>
    <i>
      <x v="178"/>
      <x v="101"/>
      <x v="477"/>
    </i>
    <i>
      <x v="179"/>
      <x v="101"/>
      <x v="505"/>
    </i>
    <i>
      <x v="180"/>
      <x v="101"/>
      <x v="559"/>
    </i>
    <i>
      <x v="181"/>
      <x v="101"/>
      <x v="564"/>
    </i>
    <i>
      <x v="182"/>
      <x v="101"/>
      <x v="617"/>
    </i>
    <i>
      <x v="183"/>
      <x v="101"/>
      <x v="637"/>
    </i>
    <i>
      <x v="184"/>
      <x v="101"/>
      <x v="737"/>
    </i>
    <i>
      <x v="185"/>
      <x v="101"/>
      <x v="738"/>
    </i>
    <i>
      <x v="187"/>
      <x v="102"/>
      <x v="12"/>
    </i>
    <i>
      <x v="188"/>
      <x v="102"/>
      <x v="25"/>
    </i>
    <i>
      <x v="189"/>
      <x v="102"/>
      <x v="125"/>
    </i>
    <i>
      <x v="190"/>
      <x v="102"/>
      <x v="144"/>
    </i>
    <i>
      <x v="191"/>
      <x v="102"/>
      <x v="163"/>
    </i>
    <i>
      <x v="192"/>
      <x v="102"/>
      <x v="235"/>
    </i>
    <i>
      <x v="193"/>
      <x v="102"/>
      <x v="268"/>
    </i>
    <i>
      <x v="195"/>
      <x v="102"/>
      <x v="306"/>
    </i>
    <i>
      <x v="196"/>
      <x v="102"/>
      <x v="332"/>
    </i>
    <i>
      <x v="197"/>
      <x v="102"/>
      <x v="383"/>
    </i>
    <i>
      <x v="198"/>
      <x v="102"/>
      <x v="393"/>
    </i>
    <i>
      <x v="199"/>
      <x v="102"/>
      <x v="399"/>
    </i>
    <i>
      <x v="200"/>
      <x v="102"/>
      <x v="417"/>
    </i>
    <i>
      <x v="201"/>
      <x v="102"/>
      <x v="430"/>
    </i>
    <i>
      <x v="202"/>
      <x v="102"/>
      <x v="434"/>
    </i>
    <i>
      <x v="203"/>
      <x v="102"/>
      <x v="444"/>
    </i>
    <i>
      <x v="204"/>
      <x v="102"/>
      <x v="459"/>
    </i>
    <i>
      <x v="205"/>
      <x v="102"/>
      <x v="487"/>
    </i>
    <i>
      <x v="206"/>
      <x v="102"/>
      <x v="509"/>
    </i>
    <i>
      <x v="207"/>
      <x v="102"/>
      <x v="543"/>
    </i>
    <i>
      <x v="209"/>
      <x v="102"/>
      <x v="607"/>
    </i>
    <i>
      <x v="210"/>
      <x v="102"/>
      <x v="649"/>
    </i>
    <i>
      <x v="211"/>
      <x v="102"/>
      <x v="705"/>
    </i>
    <i>
      <x v="212"/>
      <x v="102"/>
      <x v="706"/>
    </i>
    <i>
      <x v="214"/>
      <x v="102"/>
      <x v="742"/>
    </i>
    <i>
      <x v="215"/>
      <x v="102"/>
      <x v="759"/>
    </i>
    <i>
      <x v="216"/>
      <x v="102"/>
      <x v="762"/>
    </i>
    <i>
      <x v="217"/>
      <x v="102"/>
      <x v="779"/>
    </i>
    <i>
      <x v="218"/>
      <x v="104"/>
      <x v="384"/>
    </i>
    <i>
      <x v="219"/>
      <x v="104"/>
      <x v="790"/>
    </i>
    <i>
      <x v="220"/>
      <x v="104"/>
      <x v="797"/>
    </i>
    <i>
      <x v="221"/>
      <x v="105"/>
      <x v="79"/>
    </i>
    <i>
      <x v="222"/>
      <x v="105"/>
      <x v="365"/>
    </i>
    <i>
      <x v="223"/>
      <x v="106"/>
      <x v="30"/>
    </i>
    <i>
      <x v="224"/>
      <x v="106"/>
      <x v="84"/>
    </i>
    <i>
      <x v="225"/>
      <x v="106"/>
      <x v="194"/>
    </i>
    <i>
      <x v="226"/>
      <x v="106"/>
      <x v="496"/>
    </i>
    <i>
      <x v="227"/>
      <x v="106"/>
      <x v="663"/>
    </i>
    <i>
      <x v="228"/>
      <x v="107"/>
      <x v="191"/>
    </i>
    <i>
      <x v="229"/>
      <x v="107"/>
      <x v="261"/>
    </i>
    <i>
      <x v="230"/>
      <x v="108"/>
      <x v="92"/>
    </i>
    <i>
      <x v="231"/>
      <x v="109"/>
      <x v="601"/>
    </i>
    <i>
      <x v="232"/>
      <x v="110"/>
      <x v="514"/>
    </i>
    <i>
      <x v="233"/>
      <x v="111"/>
      <x v="590"/>
    </i>
    <i>
      <x v="234"/>
      <x v="112"/>
      <x v="478"/>
    </i>
    <i>
      <x v="235"/>
      <x v="114"/>
      <x v="147"/>
    </i>
    <i>
      <x v="236"/>
      <x v="115"/>
      <x v="8"/>
    </i>
    <i>
      <x v="237"/>
      <x v="115"/>
      <x v="150"/>
    </i>
    <i>
      <x v="238"/>
      <x v="115"/>
      <x v="584"/>
    </i>
    <i>
      <x v="239"/>
      <x v="115"/>
      <x v="632"/>
    </i>
    <i>
      <x v="240"/>
      <x v="115"/>
      <x v="742"/>
    </i>
    <i>
      <x v="241"/>
      <x v="116"/>
      <x v="307"/>
    </i>
    <i>
      <x v="243"/>
      <x v="117"/>
      <x v="409"/>
    </i>
    <i>
      <x v="244"/>
      <x v="118"/>
      <x v="149"/>
    </i>
    <i>
      <x v="245"/>
      <x v="118"/>
      <x v="273"/>
    </i>
    <i>
      <x v="246"/>
      <x v="118"/>
      <x v="468"/>
    </i>
    <i>
      <x v="247"/>
      <x v="119"/>
      <x v="81"/>
    </i>
    <i>
      <x v="248"/>
      <x v="121"/>
      <x v="131"/>
    </i>
    <i>
      <x v="249"/>
      <x v="122"/>
      <x v="32"/>
    </i>
    <i>
      <x v="250"/>
      <x v="122"/>
      <x v="38"/>
    </i>
    <i>
      <x v="251"/>
      <x v="123"/>
      <x v="278"/>
    </i>
    <i>
      <x v="252"/>
      <x v="124"/>
      <x v="573"/>
    </i>
    <i>
      <x v="253"/>
      <x v="125"/>
      <x v="598"/>
    </i>
    <i>
      <x v="254"/>
      <x v="126"/>
      <x v="519"/>
    </i>
    <i>
      <x v="256"/>
      <x v="127"/>
      <x v="715"/>
    </i>
    <i>
      <x v="257"/>
      <x v="128"/>
      <x v="600"/>
    </i>
    <i>
      <x v="258"/>
      <x v="129"/>
      <x v="327"/>
    </i>
    <i>
      <x v="259"/>
      <x v="129"/>
      <x v="642"/>
    </i>
    <i>
      <x v="260"/>
      <x v="129"/>
      <x v="643"/>
    </i>
    <i>
      <x v="261"/>
      <x v="129"/>
      <x v="670"/>
    </i>
    <i>
      <x v="262"/>
      <x v="129"/>
      <x v="677"/>
    </i>
    <i>
      <x v="263"/>
      <x v="129"/>
      <x v="818"/>
    </i>
    <i>
      <x v="264"/>
      <x v="130"/>
      <x v="676"/>
    </i>
    <i>
      <x v="265"/>
      <x v="131"/>
      <x v="614"/>
    </i>
    <i>
      <x v="266"/>
      <x v="132"/>
      <x v="478"/>
    </i>
    <i>
      <x v="267"/>
      <x v="133"/>
      <x v="146"/>
    </i>
    <i>
      <x v="268"/>
      <x v="134"/>
      <x v="124"/>
    </i>
    <i>
      <x v="269"/>
      <x v="136"/>
      <x v="80"/>
    </i>
    <i>
      <x v="270"/>
      <x v="136"/>
      <x v="83"/>
    </i>
    <i>
      <x v="271"/>
      <x v="136"/>
      <x v="96"/>
    </i>
    <i>
      <x v="272"/>
      <x v="136"/>
      <x v="119"/>
    </i>
    <i>
      <x v="273"/>
      <x v="136"/>
      <x v="361"/>
    </i>
    <i>
      <x v="274"/>
      <x v="136"/>
      <x v="457"/>
    </i>
    <i>
      <x v="275"/>
      <x v="136"/>
      <x v="703"/>
    </i>
    <i>
      <x v="276"/>
      <x v="137"/>
      <x v="430"/>
    </i>
    <i>
      <x v="277"/>
      <x v="137"/>
      <x v="510"/>
    </i>
    <i>
      <x v="279"/>
      <x v="139"/>
      <x v="187"/>
    </i>
    <i>
      <x v="280"/>
      <x v="141"/>
      <x v="658"/>
    </i>
    <i>
      <x v="281"/>
      <x v="142"/>
      <x v="238"/>
    </i>
    <i>
      <x v="282"/>
      <x v="142"/>
      <x v="716"/>
    </i>
    <i>
      <x v="283"/>
      <x v="143"/>
      <x v="700"/>
    </i>
    <i>
      <x v="284"/>
      <x v="144"/>
      <x v="739"/>
    </i>
    <i>
      <x v="285"/>
      <x v="145"/>
      <x v="229"/>
    </i>
    <i>
      <x v="286"/>
      <x v="145"/>
      <x v="792"/>
    </i>
    <i>
      <x v="287"/>
      <x v="146"/>
      <x v="587"/>
    </i>
    <i>
      <x v="288"/>
      <x v="147"/>
      <x v="810"/>
    </i>
    <i>
      <x v="289"/>
      <x v="148"/>
      <x v="269"/>
    </i>
    <i>
      <x v="290"/>
      <x v="149"/>
      <x v="276"/>
    </i>
    <i>
      <x v="291"/>
      <x v="150"/>
      <x v="545"/>
    </i>
    <i>
      <x v="292"/>
      <x v="152"/>
      <x v="94"/>
    </i>
    <i>
      <x v="293"/>
      <x v="152"/>
      <x v="457"/>
    </i>
    <i>
      <x v="294"/>
      <x v="154"/>
      <x v="734"/>
    </i>
    <i>
      <x v="295"/>
      <x v="155"/>
      <x v="478"/>
    </i>
    <i>
      <x v="296"/>
      <x v="156"/>
      <x v="48"/>
    </i>
    <i>
      <x v="297"/>
      <x v="157"/>
      <x v="368"/>
    </i>
    <i>
      <x v="298"/>
      <x v="157"/>
      <x v="522"/>
    </i>
    <i>
      <x v="299"/>
      <x v="157"/>
      <x v="574"/>
    </i>
    <i>
      <x v="300"/>
      <x v="157"/>
      <x v="618"/>
    </i>
    <i>
      <x v="301"/>
      <x v="158"/>
      <x v="516"/>
    </i>
    <i>
      <x v="302"/>
      <x v="159"/>
      <x v="648"/>
    </i>
    <i>
      <x v="304"/>
      <x v="160"/>
      <x v="59"/>
    </i>
    <i>
      <x v="305"/>
      <x v="161"/>
      <x v="323"/>
    </i>
    <i>
      <x v="306"/>
      <x v="162"/>
      <x v="33"/>
    </i>
    <i>
      <x v="307"/>
      <x v="163"/>
      <x v="460"/>
    </i>
    <i>
      <x v="308"/>
      <x v="164"/>
      <x v="638"/>
    </i>
    <i>
      <x v="309"/>
      <x v="166"/>
      <x v="351"/>
    </i>
    <i>
      <x v="310"/>
      <x v="166"/>
      <x v="377"/>
    </i>
    <i>
      <x v="311"/>
      <x v="167"/>
      <x v="602"/>
    </i>
    <i>
      <x v="312"/>
      <x v="168"/>
      <x v="595"/>
    </i>
    <i>
      <x v="313"/>
      <x v="168"/>
      <x v="801"/>
    </i>
    <i>
      <x v="314"/>
      <x v="169"/>
      <x v="480"/>
    </i>
    <i>
      <x v="315"/>
      <x v="170"/>
      <x v="811"/>
    </i>
    <i>
      <x v="316"/>
      <x v="172"/>
      <x v="696"/>
    </i>
    <i>
      <x v="317"/>
      <x v="175"/>
      <x v="21"/>
    </i>
    <i>
      <x v="318"/>
      <x v="175"/>
      <x v="152"/>
    </i>
    <i>
      <x v="319"/>
      <x v="175"/>
      <x v="267"/>
    </i>
    <i>
      <x v="320"/>
      <x v="175"/>
      <x v="290"/>
    </i>
    <i>
      <x v="321"/>
      <x v="175"/>
      <x v="292"/>
    </i>
    <i>
      <x v="322"/>
      <x v="175"/>
      <x v="392"/>
    </i>
    <i>
      <x v="324"/>
      <x v="175"/>
      <x v="638"/>
    </i>
    <i>
      <x v="325"/>
      <x v="175"/>
      <x v="697"/>
    </i>
    <i>
      <x v="326"/>
      <x v="175"/>
      <x v="757"/>
    </i>
    <i>
      <x v="327"/>
      <x/>
      <x v="593"/>
    </i>
    <i>
      <x v="329"/>
      <x v="177"/>
      <x v="499"/>
    </i>
    <i>
      <x v="330"/>
      <x v="179"/>
      <x v="17"/>
    </i>
    <i>
      <x v="331"/>
      <x v="180"/>
      <x v="5"/>
    </i>
    <i>
      <x v="332"/>
      <x v="180"/>
      <x v="35"/>
    </i>
    <i>
      <x v="333"/>
      <x v="180"/>
      <x v="395"/>
    </i>
    <i>
      <x v="334"/>
      <x v="180"/>
      <x v="544"/>
    </i>
    <i>
      <x v="335"/>
      <x v="181"/>
      <x v="122"/>
    </i>
    <i>
      <x v="336"/>
      <x v="181"/>
      <x v="277"/>
    </i>
    <i>
      <x v="337"/>
      <x v="181"/>
      <x v="389"/>
    </i>
    <i>
      <x v="338"/>
      <x v="182"/>
      <x v="558"/>
    </i>
    <i>
      <x v="339"/>
      <x v="183"/>
      <x v="102"/>
    </i>
    <i>
      <x v="340"/>
      <x v="184"/>
      <x v="173"/>
    </i>
    <i>
      <x v="341"/>
      <x v="185"/>
      <x v="52"/>
    </i>
    <i>
      <x v="342"/>
      <x v="185"/>
      <x v="56"/>
    </i>
    <i>
      <x v="343"/>
      <x v="185"/>
      <x v="108"/>
    </i>
    <i>
      <x v="344"/>
      <x v="185"/>
      <x v="180"/>
    </i>
    <i>
      <x v="345"/>
      <x v="185"/>
      <x v="422"/>
    </i>
    <i>
      <x v="346"/>
      <x v="185"/>
      <x v="443"/>
    </i>
    <i>
      <x v="347"/>
      <x v="185"/>
      <x v="571"/>
    </i>
    <i>
      <x v="348"/>
      <x v="185"/>
      <x v="687"/>
    </i>
    <i>
      <x v="349"/>
      <x v="185"/>
      <x v="809"/>
    </i>
    <i>
      <x v="350"/>
      <x v="186"/>
      <x v="44"/>
    </i>
    <i>
      <x v="351"/>
      <x v="187"/>
      <x v="36"/>
    </i>
    <i>
      <x v="352"/>
      <x v="187"/>
      <x v="678"/>
    </i>
    <i>
      <x v="353"/>
      <x v="188"/>
      <x v="744"/>
    </i>
    <i>
      <x v="354"/>
      <x v="189"/>
      <x v="518"/>
    </i>
    <i>
      <x v="355"/>
      <x v="190"/>
      <x v="22"/>
    </i>
    <i>
      <x v="356"/>
      <x v="191"/>
      <x v="169"/>
    </i>
    <i>
      <x v="357"/>
      <x v="191"/>
      <x v="249"/>
    </i>
    <i>
      <x v="358"/>
      <x v="192"/>
      <x v="113"/>
    </i>
    <i>
      <x v="360"/>
      <x v="193"/>
      <x v="417"/>
    </i>
    <i>
      <x v="361"/>
      <x v="194"/>
      <x v="17"/>
    </i>
    <i>
      <x v="362"/>
      <x v="194"/>
      <x v="100"/>
    </i>
    <i>
      <x v="363"/>
      <x v="194"/>
      <x v="220"/>
    </i>
    <i>
      <x v="364"/>
      <x v="194"/>
      <x v="317"/>
    </i>
    <i>
      <x v="365"/>
      <x v="194"/>
      <x v="355"/>
    </i>
    <i>
      <x v="366"/>
      <x v="194"/>
      <x v="435"/>
    </i>
    <i>
      <x v="367"/>
      <x v="194"/>
      <x v="610"/>
    </i>
    <i>
      <x v="368"/>
      <x v="194"/>
      <x v="638"/>
    </i>
    <i>
      <x v="369"/>
      <x v="194"/>
      <x v="791"/>
    </i>
    <i>
      <x v="370"/>
      <x v="195"/>
      <x v="284"/>
    </i>
    <i>
      <x v="371"/>
      <x v="196"/>
      <x v="542"/>
    </i>
    <i>
      <x v="372"/>
      <x v="196"/>
      <x v="679"/>
    </i>
    <i>
      <x v="373"/>
      <x v="197"/>
      <x v="195"/>
    </i>
    <i>
      <x v="374"/>
      <x v="198"/>
      <x v="62"/>
    </i>
    <i>
      <x v="375"/>
      <x v="198"/>
      <x v="291"/>
    </i>
    <i>
      <x v="376"/>
      <x v="198"/>
      <x v="455"/>
    </i>
    <i>
      <x v="377"/>
      <x v="198"/>
      <x v="532"/>
    </i>
    <i>
      <x v="378"/>
      <x v="199"/>
      <x v="120"/>
    </i>
    <i>
      <x v="379"/>
      <x v="200"/>
      <x v="10"/>
    </i>
    <i>
      <x v="380"/>
      <x v="200"/>
      <x v="17"/>
    </i>
    <i>
      <x v="381"/>
      <x v="200"/>
      <x v="29"/>
    </i>
    <i>
      <x v="382"/>
      <x v="200"/>
      <x v="74"/>
    </i>
    <i>
      <x v="383"/>
      <x v="200"/>
      <x v="107"/>
    </i>
    <i>
      <x v="384"/>
      <x v="200"/>
      <x v="109"/>
    </i>
    <i>
      <x v="385"/>
      <x v="201"/>
      <x v="742"/>
    </i>
    <i>
      <x v="386"/>
      <x v="200"/>
      <x v="132"/>
    </i>
    <i>
      <x v="387"/>
      <x v="200"/>
      <x v="175"/>
    </i>
    <i>
      <x v="388"/>
      <x v="200"/>
      <x v="184"/>
    </i>
    <i>
      <x v="389"/>
      <x v="200"/>
      <x v="188"/>
    </i>
    <i>
      <x v="390"/>
      <x v="200"/>
      <x v="206"/>
    </i>
    <i>
      <x v="391"/>
      <x v="200"/>
      <x v="217"/>
    </i>
    <i>
      <x v="392"/>
      <x v="200"/>
      <x v="222"/>
    </i>
    <i>
      <x v="393"/>
      <x v="200"/>
      <x v="226"/>
    </i>
    <i>
      <x v="394"/>
      <x v="200"/>
      <x v="255"/>
    </i>
    <i>
      <x v="395"/>
      <x v="200"/>
      <x v="275"/>
    </i>
    <i>
      <x v="396"/>
      <x v="200"/>
      <x v="288"/>
    </i>
    <i>
      <x v="397"/>
      <x v="200"/>
      <x v="296"/>
    </i>
    <i>
      <x v="398"/>
      <x v="200"/>
      <x v="449"/>
    </i>
    <i>
      <x v="399"/>
      <x v="200"/>
      <x v="534"/>
    </i>
    <i>
      <x v="400"/>
      <x v="200"/>
      <x v="539"/>
    </i>
    <i>
      <x v="401"/>
      <x v="200"/>
      <x v="590"/>
    </i>
    <i>
      <x v="403"/>
      <x v="200"/>
      <x v="622"/>
    </i>
    <i>
      <x v="404"/>
      <x v="200"/>
      <x v="624"/>
    </i>
    <i>
      <x v="405"/>
      <x v="200"/>
      <x v="647"/>
    </i>
    <i>
      <x v="406"/>
      <x v="200"/>
      <x v="666"/>
    </i>
    <i>
      <x v="407"/>
      <x v="200"/>
      <x v="675"/>
    </i>
    <i>
      <x v="408"/>
      <x v="200"/>
      <x v="720"/>
    </i>
    <i>
      <x v="409"/>
      <x v="200"/>
      <x v="754"/>
    </i>
    <i>
      <x v="410"/>
      <x v="200"/>
      <x v="795"/>
    </i>
    <i>
      <x v="411"/>
      <x v="202"/>
      <x v="472"/>
    </i>
    <i>
      <x v="412"/>
      <x v="203"/>
      <x v="145"/>
    </i>
    <i>
      <x v="413"/>
      <x v="203"/>
      <x v="268"/>
    </i>
    <i>
      <x v="414"/>
      <x v="204"/>
      <x v="442"/>
    </i>
    <i>
      <x v="415"/>
      <x v="205"/>
      <x v="569"/>
    </i>
    <i>
      <x v="416"/>
      <x v="206"/>
      <x v="186"/>
    </i>
    <i>
      <x v="418"/>
      <x v="207"/>
      <x v="537"/>
    </i>
    <i>
      <x v="419"/>
      <x v="208"/>
      <x v="18"/>
    </i>
    <i>
      <x v="420"/>
      <x v="208"/>
      <x v="570"/>
    </i>
    <i>
      <x v="421"/>
      <x v="208"/>
      <x v="668"/>
    </i>
    <i>
      <x v="422"/>
      <x v="209"/>
      <x v="179"/>
    </i>
    <i>
      <x v="423"/>
      <x v="209"/>
      <x v="455"/>
    </i>
    <i>
      <x v="424"/>
      <x v="210"/>
      <x v="141"/>
    </i>
    <i>
      <x v="426"/>
      <x v="212"/>
      <x v="246"/>
    </i>
    <i>
      <x v="427"/>
      <x v="213"/>
      <x v="290"/>
    </i>
    <i>
      <x v="428"/>
      <x v="214"/>
      <x v="8"/>
    </i>
    <i>
      <x v="429"/>
      <x v="215"/>
      <x v="362"/>
    </i>
    <i>
      <x v="430"/>
      <x v="216"/>
      <x v="824"/>
    </i>
    <i>
      <x v="431"/>
      <x v="217"/>
      <x v="743"/>
    </i>
    <i>
      <x v="432"/>
      <x v="218"/>
      <x v="126"/>
    </i>
    <i>
      <x v="433"/>
      <x v="219"/>
      <x v="44"/>
    </i>
    <i>
      <x v="434"/>
      <x v="220"/>
      <x v="378"/>
    </i>
    <i>
      <x v="435"/>
      <x v="221"/>
      <x v="212"/>
    </i>
    <i>
      <x v="436"/>
      <x v="221"/>
      <x v="763"/>
    </i>
    <i>
      <x v="437"/>
      <x v="221"/>
      <x v="813"/>
    </i>
    <i>
      <x v="438"/>
      <x v="222"/>
      <x v="710"/>
    </i>
    <i>
      <x v="440"/>
      <x v="223"/>
      <x v="413"/>
    </i>
    <i>
      <x v="441"/>
      <x v="223"/>
      <x v="686"/>
    </i>
    <i>
      <x v="442"/>
      <x v="223"/>
      <x v="821"/>
    </i>
    <i>
      <x v="443"/>
      <x v="224"/>
      <x v="771"/>
    </i>
    <i>
      <x v="444"/>
      <x v="225"/>
      <x v="681"/>
    </i>
    <i>
      <x v="445"/>
      <x v="226"/>
      <x v="50"/>
    </i>
    <i>
      <x v="446"/>
      <x v="227"/>
      <x v="439"/>
    </i>
    <i>
      <x v="447"/>
      <x v="228"/>
      <x v="243"/>
    </i>
    <i>
      <x v="448"/>
      <x v="229"/>
      <x v="151"/>
    </i>
    <i>
      <x v="449"/>
      <x v="229"/>
      <x v="400"/>
    </i>
    <i>
      <x v="450"/>
      <x v="229"/>
      <x v="489"/>
    </i>
    <i>
      <x v="451"/>
      <x v="229"/>
      <x v="733"/>
    </i>
    <i>
      <x v="452"/>
      <x v="230"/>
      <x v="566"/>
    </i>
    <i>
      <x v="454"/>
      <x v="233"/>
      <x v="611"/>
    </i>
    <i>
      <x v="455"/>
      <x v="235"/>
      <x v="521"/>
    </i>
    <i>
      <x v="456"/>
      <x v="237"/>
      <x v="67"/>
    </i>
    <i>
      <x v="457"/>
      <x v="237"/>
      <x v="385"/>
    </i>
    <i>
      <x v="459"/>
      <x v="237"/>
      <x v="462"/>
    </i>
    <i>
      <x v="460"/>
      <x v="237"/>
      <x v="635"/>
    </i>
    <i>
      <x v="461"/>
      <x v="237"/>
      <x v="725"/>
    </i>
    <i>
      <x v="462"/>
      <x v="239"/>
      <x v="108"/>
    </i>
    <i>
      <x v="463"/>
      <x v="240"/>
      <x v="426"/>
    </i>
    <i>
      <x v="464"/>
      <x v="240"/>
      <x v="431"/>
    </i>
    <i>
      <x v="465"/>
      <x v="240"/>
      <x v="812"/>
    </i>
    <i>
      <x v="466"/>
      <x v="241"/>
      <x v="162"/>
    </i>
    <i>
      <x v="467"/>
      <x v="241"/>
      <x v="344"/>
    </i>
    <i>
      <x v="468"/>
      <x v="241"/>
      <x v="366"/>
    </i>
    <i>
      <x v="469"/>
      <x v="242"/>
      <x v="224"/>
    </i>
    <i>
      <x v="470"/>
      <x v="242"/>
      <x v="269"/>
    </i>
    <i>
      <x v="471"/>
      <x v="242"/>
      <x v="471"/>
    </i>
    <i>
      <x v="472"/>
      <x v="242"/>
      <x v="576"/>
    </i>
    <i>
      <x v="473"/>
      <x v="243"/>
      <x v="166"/>
    </i>
    <i>
      <x v="475"/>
      <x v="244"/>
      <x v="596"/>
    </i>
    <i>
      <x v="476"/>
      <x v="245"/>
      <x v="667"/>
    </i>
    <i>
      <x v="477"/>
      <x v="245"/>
      <x v="785"/>
    </i>
    <i>
      <x v="478"/>
      <x v="247"/>
      <x v="440"/>
    </i>
    <i>
      <x v="479"/>
      <x v="249"/>
      <x v="183"/>
    </i>
    <i>
      <x v="480"/>
      <x v="250"/>
      <x v="518"/>
    </i>
    <i>
      <x v="481"/>
      <x v="251"/>
      <x v="412"/>
    </i>
    <i>
      <x v="483"/>
      <x v="253"/>
      <x v="649"/>
    </i>
    <i>
      <x v="484"/>
      <x v="254"/>
      <x v="260"/>
    </i>
    <i>
      <x v="488"/>
      <x v="257"/>
      <x v="321"/>
    </i>
    <i>
      <x v="489"/>
      <x v="257"/>
      <x v="350"/>
    </i>
    <i>
      <x v="490"/>
      <x v="258"/>
      <x v="230"/>
    </i>
    <i>
      <x v="491"/>
      <x v="261"/>
      <x v="185"/>
    </i>
    <i>
      <x v="492"/>
      <x v="262"/>
      <x v="254"/>
    </i>
    <i>
      <x v="493"/>
      <x v="262"/>
      <x v="330"/>
    </i>
    <i>
      <x v="494"/>
      <x v="262"/>
      <x v="572"/>
    </i>
    <i>
      <x v="495"/>
      <x v="263"/>
      <x v="589"/>
    </i>
    <i>
      <x v="496"/>
      <x v="263"/>
      <x v="594"/>
    </i>
    <i>
      <x v="497"/>
      <x v="264"/>
      <x v="294"/>
    </i>
    <i>
      <x v="498"/>
      <x v="265"/>
      <x v="104"/>
    </i>
    <i>
      <x v="499"/>
      <x v="266"/>
      <x v="211"/>
    </i>
    <i>
      <x v="500"/>
      <x v="266"/>
      <x v="271"/>
    </i>
    <i>
      <x v="501"/>
      <x v="266"/>
      <x v="297"/>
    </i>
    <i>
      <x v="502"/>
      <x v="266"/>
      <x v="298"/>
    </i>
    <i>
      <x v="503"/>
      <x v="266"/>
      <x v="334"/>
    </i>
    <i>
      <x v="505"/>
      <x v="266"/>
      <x v="404"/>
    </i>
    <i>
      <x v="506"/>
      <x v="266"/>
      <x v="470"/>
    </i>
    <i>
      <x v="507"/>
      <x v="266"/>
      <x v="538"/>
    </i>
    <i>
      <x v="508"/>
      <x v="266"/>
      <x v="563"/>
    </i>
    <i>
      <x v="509"/>
      <x v="266"/>
      <x v="612"/>
    </i>
    <i>
      <x v="510"/>
      <x v="266"/>
      <x v="630"/>
    </i>
    <i>
      <x v="511"/>
      <x v="266"/>
      <x v="694"/>
    </i>
    <i>
      <x v="512"/>
      <x v="266"/>
      <x v="702"/>
    </i>
    <i>
      <x v="513"/>
      <x v="266"/>
      <x v="755"/>
    </i>
    <i>
      <x v="514"/>
      <x v="266"/>
      <x v="765"/>
    </i>
    <i>
      <x v="515"/>
      <x v="266"/>
      <x v="802"/>
    </i>
    <i>
      <x v="516"/>
      <x v="266"/>
      <x v="806"/>
    </i>
    <i>
      <x v="517"/>
      <x v="267"/>
      <x v="674"/>
    </i>
    <i>
      <x v="518"/>
      <x v="268"/>
      <x v="174"/>
    </i>
    <i>
      <x v="519"/>
      <x v="268"/>
      <x v="447"/>
    </i>
    <i>
      <x v="520"/>
      <x v="269"/>
      <x v="721"/>
    </i>
    <i>
      <x v="521"/>
      <x v="270"/>
      <x v="134"/>
    </i>
    <i>
      <x v="522"/>
      <x v="271"/>
      <x v="287"/>
    </i>
    <i>
      <x v="523"/>
      <x v="271"/>
      <x v="471"/>
    </i>
    <i>
      <x v="524"/>
      <x v="271"/>
      <x v="481"/>
    </i>
    <i>
      <x v="525"/>
      <x v="271"/>
      <x v="536"/>
    </i>
    <i>
      <x v="526"/>
      <x v="272"/>
      <x v="512"/>
    </i>
    <i>
      <x v="527"/>
      <x v="273"/>
      <x v="236"/>
    </i>
    <i>
      <x v="528"/>
      <x v="274"/>
      <x v="266"/>
    </i>
    <i>
      <x v="529"/>
      <x v="274"/>
      <x v="300"/>
    </i>
    <i>
      <x v="530"/>
      <x v="274"/>
      <x v="348"/>
    </i>
    <i>
      <x v="531"/>
      <x v="274"/>
      <x v="390"/>
    </i>
    <i>
      <x v="532"/>
      <x v="274"/>
      <x v="486"/>
    </i>
    <i>
      <x v="533"/>
      <x v="274"/>
      <x v="627"/>
    </i>
    <i>
      <x v="534"/>
      <x v="274"/>
      <x v="761"/>
    </i>
    <i>
      <x v="535"/>
      <x v="274"/>
      <x v="783"/>
    </i>
    <i>
      <x v="536"/>
      <x v="275"/>
      <x v="415"/>
    </i>
    <i>
      <x v="537"/>
      <x v="276"/>
      <x v="301"/>
    </i>
    <i>
      <x v="538"/>
      <x v="277"/>
      <x v="328"/>
    </i>
    <i>
      <x v="539"/>
      <x v="278"/>
      <x v="671"/>
    </i>
    <i>
      <x v="541"/>
      <x v="280"/>
      <x v="78"/>
    </i>
    <i>
      <x v="542"/>
      <x v="280"/>
      <x v="87"/>
    </i>
    <i>
      <x v="543"/>
      <x v="280"/>
      <x v="121"/>
    </i>
    <i>
      <x v="544"/>
      <x v="280"/>
      <x v="135"/>
    </i>
    <i>
      <x v="545"/>
      <x v="280"/>
      <x v="341"/>
    </i>
    <i>
      <x v="546"/>
      <x v="280"/>
      <x v="352"/>
    </i>
    <i>
      <x v="547"/>
      <x v="280"/>
      <x v="395"/>
    </i>
    <i>
      <x v="548"/>
      <x v="280"/>
      <x v="489"/>
    </i>
    <i>
      <x v="549"/>
      <x v="280"/>
      <x v="492"/>
    </i>
    <i>
      <x v="550"/>
      <x v="280"/>
      <x v="531"/>
    </i>
    <i>
      <x v="551"/>
      <x v="280"/>
      <x v="578"/>
    </i>
    <i>
      <x v="552"/>
      <x v="280"/>
      <x v="583"/>
    </i>
    <i>
      <x v="553"/>
      <x v="280"/>
      <x v="692"/>
    </i>
    <i>
      <x v="554"/>
      <x v="281"/>
      <x v="22"/>
    </i>
    <i>
      <x v="556"/>
      <x v="283"/>
      <x v="51"/>
    </i>
    <i>
      <x v="557"/>
      <x v="283"/>
      <x v="101"/>
    </i>
    <i>
      <x v="558"/>
      <x v="283"/>
      <x v="155"/>
    </i>
    <i>
      <x v="559"/>
      <x v="283"/>
      <x v="175"/>
    </i>
    <i>
      <x v="560"/>
      <x v="283"/>
      <x v="178"/>
    </i>
    <i>
      <x v="561"/>
      <x v="283"/>
      <x v="237"/>
    </i>
    <i>
      <x v="562"/>
      <x v="283"/>
      <x v="281"/>
    </i>
    <i>
      <x v="563"/>
      <x v="283"/>
      <x v="283"/>
    </i>
    <i>
      <x v="565"/>
      <x v="283"/>
      <x v="484"/>
    </i>
    <i>
      <x v="566"/>
      <x v="283"/>
      <x v="490"/>
    </i>
    <i>
      <x v="567"/>
      <x v="283"/>
      <x v="491"/>
    </i>
    <i>
      <x v="568"/>
      <x v="283"/>
      <x v="503"/>
    </i>
    <i>
      <x v="569"/>
      <x v="283"/>
      <x v="518"/>
    </i>
    <i>
      <x v="570"/>
      <x v="283"/>
      <x v="565"/>
    </i>
    <i>
      <x v="571"/>
      <x v="283"/>
      <x v="669"/>
    </i>
    <i>
      <x v="572"/>
      <x v="283"/>
      <x v="741"/>
    </i>
    <i>
      <x v="573"/>
      <x v="283"/>
      <x v="822"/>
    </i>
    <i>
      <x v="574"/>
      <x v="284"/>
      <x v="434"/>
    </i>
    <i>
      <x v="575"/>
      <x v="285"/>
      <x v="213"/>
    </i>
    <i>
      <x v="576"/>
      <x v="285"/>
      <x v="352"/>
    </i>
    <i>
      <x v="577"/>
      <x v="285"/>
      <x v="410"/>
    </i>
    <i>
      <x v="578"/>
      <x v="286"/>
      <x v="137"/>
    </i>
    <i>
      <x v="579"/>
      <x v="287"/>
      <x v="672"/>
    </i>
    <i>
      <x v="580"/>
      <x v="289"/>
      <x v="452"/>
    </i>
    <i>
      <x v="581"/>
      <x v="290"/>
      <x v="634"/>
    </i>
    <i>
      <x v="582"/>
      <x v="291"/>
      <x v="316"/>
    </i>
    <i>
      <x v="583"/>
      <x v="291"/>
      <x v="449"/>
    </i>
    <i>
      <x v="584"/>
      <x v="292"/>
      <x v="320"/>
    </i>
    <i>
      <x v="585"/>
      <x v="293"/>
      <x v="210"/>
    </i>
    <i>
      <x v="586"/>
      <x v="294"/>
      <x v="451"/>
    </i>
    <i>
      <x v="587"/>
      <x v="296"/>
      <x v="486"/>
    </i>
    <i>
      <x v="588"/>
      <x v="296"/>
      <x v="507"/>
    </i>
    <i>
      <x v="590"/>
      <x v="297"/>
      <x v="138"/>
    </i>
    <i>
      <x v="591"/>
      <x v="298"/>
      <x v="228"/>
    </i>
    <i>
      <x v="592"/>
      <x v="302"/>
      <x v="167"/>
    </i>
    <i>
      <x v="593"/>
      <x v="302"/>
      <x v="749"/>
    </i>
    <i>
      <x v="594"/>
      <x v="303"/>
      <x v="331"/>
    </i>
    <i>
      <x v="595"/>
      <x v="304"/>
      <x v="168"/>
    </i>
    <i>
      <x v="596"/>
      <x v="304"/>
      <x v="304"/>
    </i>
    <i>
      <x v="597"/>
      <x v="305"/>
      <x v="253"/>
    </i>
    <i>
      <x v="598"/>
      <x v="308"/>
      <x v="370"/>
    </i>
    <i>
      <x v="599"/>
      <x v="309"/>
      <x v="160"/>
    </i>
    <i>
      <x v="600"/>
      <x v="310"/>
      <x v="816"/>
    </i>
    <i>
      <x v="601"/>
      <x v="311"/>
      <x v="391"/>
    </i>
    <i>
      <x v="602"/>
      <x v="311"/>
      <x v="519"/>
    </i>
    <i>
      <x v="604"/>
      <x v="312"/>
      <x v="47"/>
    </i>
    <i>
      <x v="605"/>
      <x v="313"/>
      <x v="123"/>
    </i>
    <i>
      <x v="606"/>
      <x v="313"/>
      <x v="214"/>
    </i>
    <i>
      <x v="607"/>
      <x v="313"/>
      <x v="251"/>
    </i>
    <i>
      <x v="608"/>
      <x v="313"/>
      <x v="324"/>
    </i>
    <i>
      <x v="609"/>
      <x v="313"/>
      <x v="367"/>
    </i>
    <i>
      <x v="610"/>
      <x v="313"/>
      <x v="504"/>
    </i>
    <i>
      <x v="611"/>
      <x v="313"/>
      <x v="513"/>
    </i>
    <i>
      <x v="612"/>
      <x v="313"/>
      <x v="585"/>
    </i>
    <i>
      <x v="613"/>
      <x v="313"/>
      <x v="688"/>
    </i>
    <i>
      <x v="614"/>
      <x v="313"/>
      <x v="724"/>
    </i>
    <i>
      <x v="615"/>
      <x v="313"/>
      <x v="735"/>
    </i>
    <i>
      <x v="616"/>
      <x v="313"/>
      <x v="797"/>
    </i>
    <i>
      <x v="617"/>
      <x v="313"/>
      <x v="826"/>
    </i>
    <i>
      <x v="618"/>
      <x v="314"/>
      <x v="700"/>
    </i>
    <i>
      <x v="619"/>
      <x v="315"/>
      <x v="234"/>
    </i>
    <i>
      <x v="620"/>
      <x v="315"/>
      <x v="709"/>
    </i>
    <i>
      <x v="621"/>
      <x v="316"/>
      <x v="674"/>
    </i>
    <i>
      <x v="623"/>
      <x v="317"/>
      <x v="106"/>
    </i>
    <i>
      <x v="624"/>
      <x v="317"/>
      <x v="112"/>
    </i>
    <i>
      <x v="625"/>
      <x v="317"/>
      <x v="197"/>
    </i>
    <i>
      <x v="626"/>
      <x v="317"/>
      <x v="318"/>
    </i>
    <i>
      <x v="627"/>
      <x v="317"/>
      <x v="387"/>
    </i>
    <i>
      <x v="628"/>
      <x v="317"/>
      <x v="517"/>
    </i>
    <i>
      <x v="629"/>
      <x v="317"/>
      <x v="673"/>
    </i>
    <i>
      <x v="631"/>
      <x v="317"/>
      <x v="718"/>
    </i>
    <i>
      <x v="632"/>
      <x v="318"/>
      <x v="768"/>
    </i>
    <i>
      <x v="633"/>
      <x v="318"/>
      <x v="784"/>
    </i>
    <i>
      <x v="634"/>
      <x v="319"/>
      <x v="812"/>
    </i>
    <i>
      <x v="635"/>
      <x v="322"/>
      <x v="374"/>
    </i>
    <i>
      <x v="636"/>
      <x v="323"/>
      <x v="34"/>
    </i>
    <i>
      <x v="637"/>
      <x v="324"/>
      <x v="308"/>
    </i>
    <i>
      <x v="638"/>
      <x v="325"/>
      <x v="309"/>
    </i>
    <i>
      <x v="639"/>
      <x v="326"/>
      <x v="148"/>
    </i>
    <i>
      <x v="640"/>
      <x v="326"/>
      <x v="333"/>
    </i>
    <i>
      <x v="641"/>
      <x v="326"/>
      <x v="766"/>
    </i>
    <i>
      <x v="642"/>
      <x v="327"/>
      <x v="190"/>
    </i>
    <i>
      <x v="645"/>
      <x v="332"/>
      <x v="193"/>
    </i>
    <i>
      <x v="646"/>
      <x v="333"/>
      <x v="38"/>
    </i>
    <i>
      <x v="650"/>
      <x v="333"/>
      <x v="729"/>
    </i>
    <i>
      <x v="651"/>
      <x v="334"/>
      <x v="20"/>
    </i>
    <i>
      <x v="652"/>
      <x v="334"/>
      <x v="86"/>
    </i>
    <i>
      <x v="653"/>
      <x v="334"/>
      <x v="91"/>
    </i>
    <i>
      <x v="654"/>
      <x v="334"/>
      <x v="93"/>
    </i>
    <i>
      <x v="655"/>
      <x v="334"/>
      <x v="264"/>
    </i>
    <i>
      <x v="656"/>
      <x v="334"/>
      <x v="397"/>
    </i>
    <i>
      <x v="657"/>
      <x v="334"/>
      <x v="405"/>
    </i>
    <i>
      <x v="658"/>
      <x v="334"/>
      <x v="606"/>
    </i>
    <i>
      <x v="660"/>
      <x v="336"/>
      <x v="51"/>
    </i>
    <i>
      <x v="661"/>
      <x v="336"/>
      <x v="65"/>
    </i>
    <i>
      <x v="662"/>
      <x v="336"/>
      <x v="128"/>
    </i>
    <i>
      <x v="663"/>
      <x v="336"/>
      <x v="208"/>
    </i>
    <i>
      <x v="664"/>
      <x v="336"/>
      <x v="525"/>
    </i>
    <i>
      <x v="665"/>
      <x v="336"/>
      <x v="526"/>
    </i>
    <i>
      <x v="666"/>
      <x v="336"/>
      <x v="736"/>
    </i>
    <i>
      <x v="667"/>
      <x v="338"/>
      <x v="582"/>
    </i>
    <i>
      <x v="668"/>
      <x v="339"/>
      <x v="682"/>
    </i>
    <i>
      <x v="669"/>
      <x v="339"/>
      <x v="782"/>
    </i>
    <i>
      <x v="670"/>
      <x v="341"/>
      <x v="352"/>
    </i>
    <i>
      <x v="671"/>
      <x v="340"/>
      <x v="60"/>
    </i>
    <i>
      <x v="672"/>
      <x v="340"/>
      <x v="75"/>
    </i>
    <i>
      <x v="673"/>
      <x v="340"/>
      <x v="109"/>
    </i>
    <i>
      <x v="674"/>
      <x v="340"/>
      <x v="120"/>
    </i>
    <i>
      <x v="675"/>
      <x v="340"/>
      <x v="342"/>
    </i>
    <i>
      <x v="676"/>
      <x v="340"/>
      <x v="366"/>
    </i>
    <i>
      <x v="677"/>
      <x v="340"/>
      <x v="769"/>
    </i>
    <i>
      <x v="678"/>
      <x v="342"/>
      <x v="785"/>
    </i>
    <i>
      <x v="679"/>
      <x v="343"/>
      <x v="664"/>
    </i>
    <i>
      <x v="680"/>
      <x v="344"/>
      <x v="161"/>
    </i>
    <i>
      <x v="681"/>
      <x v="345"/>
      <x v="130"/>
    </i>
    <i>
      <x v="682"/>
      <x v="346"/>
      <x v="90"/>
    </i>
    <i>
      <x v="683"/>
      <x v="347"/>
      <x v="274"/>
    </i>
    <i>
      <x v="684"/>
      <x v="347"/>
      <x v="465"/>
    </i>
    <i>
      <x v="685"/>
      <x v="347"/>
      <x v="660"/>
    </i>
    <i>
      <x v="686"/>
      <x v="347"/>
      <x v="804"/>
    </i>
    <i>
      <x v="687"/>
      <x v="348"/>
      <x v="207"/>
    </i>
    <i>
      <x v="689"/>
      <x v="348"/>
      <x v="552"/>
    </i>
    <i>
      <x v="690"/>
      <x v="349"/>
      <x v="599"/>
    </i>
    <i>
      <x v="691"/>
      <x v="350"/>
      <x v="158"/>
    </i>
    <i>
      <x v="693"/>
      <x v="352"/>
      <x v="189"/>
    </i>
    <i>
      <x v="694"/>
      <x v="352"/>
      <x v="227"/>
    </i>
    <i>
      <x v="695"/>
      <x v="352"/>
      <x v="456"/>
    </i>
    <i>
      <x v="696"/>
      <x v="352"/>
      <x v="645"/>
    </i>
    <i>
      <x v="697"/>
      <x v="353"/>
      <x v="49"/>
    </i>
    <i>
      <x v="698"/>
      <x v="353"/>
      <x v="165"/>
    </i>
    <i>
      <x v="699"/>
      <x v="353"/>
      <x v="562"/>
    </i>
    <i>
      <x v="700"/>
      <x v="353"/>
      <x v="764"/>
    </i>
    <i>
      <x v="701"/>
      <x v="354"/>
      <x v="727"/>
    </i>
    <i>
      <x v="703"/>
      <x v="356"/>
      <x v="423"/>
    </i>
    <i>
      <x v="704"/>
      <x v="357"/>
      <x v="438"/>
    </i>
    <i>
      <x v="705"/>
      <x v="358"/>
      <x v="777"/>
    </i>
    <i>
      <x v="706"/>
      <x v="359"/>
      <x v="638"/>
    </i>
    <i>
      <x v="707"/>
      <x v="360"/>
      <x v="69"/>
    </i>
    <i>
      <x v="709"/>
      <x v="363"/>
      <x v="53"/>
    </i>
    <i>
      <x v="710"/>
      <x v="363"/>
      <x v="746"/>
    </i>
    <i>
      <x v="711"/>
      <x v="364"/>
      <x v="77"/>
    </i>
    <i>
      <x v="712"/>
      <x v="365"/>
      <x v="659"/>
    </i>
    <i>
      <x v="713"/>
      <x v="366"/>
      <x v="103"/>
    </i>
    <i>
      <x v="714"/>
      <x v="366"/>
      <x v="105"/>
    </i>
    <i>
      <x v="715"/>
      <x v="366"/>
      <x v="129"/>
    </i>
    <i>
      <x v="716"/>
      <x v="366"/>
      <x v="295"/>
    </i>
    <i>
      <x v="717"/>
      <x v="366"/>
      <x v="314"/>
    </i>
    <i>
      <x v="718"/>
      <x v="366"/>
      <x v="475"/>
    </i>
    <i>
      <x v="719"/>
      <x v="366"/>
      <x v="654"/>
    </i>
    <i>
      <x v="720"/>
      <x v="366"/>
      <x v="690"/>
    </i>
    <i>
      <x v="721"/>
      <x v="366"/>
      <x v="704"/>
    </i>
    <i>
      <x v="722"/>
      <x v="367"/>
      <x v="498"/>
    </i>
    <i>
      <x v="723"/>
      <x v="367"/>
      <x v="533"/>
    </i>
    <i>
      <x v="724"/>
      <x v="370"/>
      <x v="527"/>
    </i>
    <i>
      <x v="725"/>
      <x v="371"/>
      <x v="401"/>
    </i>
    <i>
      <x v="726"/>
      <x v="372"/>
      <x v="72"/>
    </i>
    <i>
      <x v="727"/>
      <x v="373"/>
      <x v="466"/>
    </i>
    <i>
      <x v="728"/>
      <x v="374"/>
      <x v="689"/>
    </i>
    <i>
      <x v="729"/>
      <x v="375"/>
      <x v="257"/>
    </i>
    <i>
      <x v="730"/>
      <x v="375"/>
      <x v="440"/>
    </i>
    <i>
      <x v="731"/>
      <x v="375"/>
      <x v="541"/>
    </i>
    <i>
      <x v="732"/>
      <x v="377"/>
      <x v="428"/>
    </i>
    <i>
      <x v="733"/>
      <x v="378"/>
      <x v="467"/>
    </i>
    <i>
      <x v="734"/>
      <x v="379"/>
      <x v="458"/>
    </i>
    <i>
      <x v="735"/>
      <x v="379"/>
      <x v="593"/>
    </i>
    <i>
      <x v="736"/>
      <x v="380"/>
      <x v="83"/>
    </i>
    <i>
      <x v="738"/>
      <x v="382"/>
      <x/>
    </i>
    <i>
      <x v="739"/>
      <x v="383"/>
      <x v="156"/>
    </i>
    <i>
      <x v="740"/>
      <x v="385"/>
      <x v="8"/>
    </i>
    <i>
      <x v="741"/>
      <x v="386"/>
      <x v="787"/>
    </i>
    <i>
      <x v="742"/>
      <x v="387"/>
      <x v="57"/>
    </i>
    <i>
      <x v="743"/>
      <x v="387"/>
      <x v="71"/>
    </i>
    <i>
      <x v="744"/>
      <x v="387"/>
      <x v="85"/>
    </i>
    <i>
      <x v="745"/>
      <x v="387"/>
      <x v="114"/>
    </i>
    <i>
      <x v="746"/>
      <x v="387"/>
      <x v="145"/>
    </i>
    <i>
      <x v="748"/>
      <x v="387"/>
      <x v="352"/>
    </i>
    <i>
      <x v="749"/>
      <x v="387"/>
      <x v="409"/>
    </i>
    <i>
      <x v="750"/>
      <x v="387"/>
      <x v="423"/>
    </i>
    <i>
      <x v="751"/>
      <x v="387"/>
      <x v="439"/>
    </i>
    <i>
      <x v="752"/>
      <x v="387"/>
      <x v="639"/>
    </i>
    <i>
      <x v="753"/>
      <x v="387"/>
      <x v="644"/>
    </i>
    <i>
      <x v="754"/>
      <x v="387"/>
      <x v="805"/>
    </i>
    <i>
      <x v="755"/>
      <x v="388"/>
      <x v="257"/>
    </i>
    <i>
      <x v="756"/>
      <x v="389"/>
      <x v="41"/>
    </i>
    <i>
      <x v="757"/>
      <x v="389"/>
      <x v="70"/>
    </i>
    <i>
      <x v="758"/>
      <x v="389"/>
      <x v="143"/>
    </i>
    <i>
      <x v="759"/>
      <x v="389"/>
      <x v="170"/>
    </i>
    <i>
      <x v="760"/>
      <x v="389"/>
      <x v="176"/>
    </i>
    <i>
      <x v="762"/>
      <x v="389"/>
      <x v="223"/>
    </i>
    <i>
      <x v="763"/>
      <x v="389"/>
      <x v="363"/>
    </i>
    <i>
      <x v="764"/>
      <x v="389"/>
      <x v="408"/>
    </i>
    <i>
      <x v="766"/>
      <x v="389"/>
      <x v="441"/>
    </i>
    <i>
      <x v="767"/>
      <x v="389"/>
      <x v="547"/>
    </i>
    <i>
      <x v="768"/>
      <x v="389"/>
      <x v="593"/>
    </i>
    <i>
      <x v="769"/>
      <x v="389"/>
      <x v="684"/>
    </i>
    <i>
      <x v="770"/>
      <x v="389"/>
      <x v="788"/>
    </i>
    <i>
      <x v="772"/>
      <x v="389"/>
      <x v="819"/>
    </i>
    <i>
      <x v="773"/>
      <x v="390"/>
      <x v="55"/>
    </i>
    <i>
      <x v="774"/>
      <x v="390"/>
      <x v="199"/>
    </i>
    <i>
      <x v="775"/>
      <x v="390"/>
      <x v="204"/>
    </i>
    <i>
      <x v="776"/>
      <x v="390"/>
      <x v="474"/>
    </i>
    <i>
      <x v="777"/>
      <x v="390"/>
      <x v="501"/>
    </i>
    <i>
      <x v="779"/>
      <x v="390"/>
      <x v="652"/>
    </i>
    <i>
      <x v="780"/>
      <x v="391"/>
      <x v="6"/>
    </i>
    <i>
      <x v="781"/>
      <x v="392"/>
      <x v="814"/>
    </i>
    <i>
      <x v="782"/>
      <x v="393"/>
      <x v="584"/>
    </i>
    <i>
      <x v="785"/>
      <x v="394"/>
      <x v="580"/>
    </i>
    <i>
      <x v="786"/>
      <x v="395"/>
      <x v="745"/>
    </i>
    <i>
      <x v="787"/>
      <x v="396"/>
      <x v="24"/>
    </i>
    <i>
      <x v="788"/>
      <x v="397"/>
      <x v="817"/>
    </i>
    <i>
      <x v="789"/>
      <x v="398"/>
      <x v="125"/>
    </i>
    <i>
      <x v="790"/>
      <x v="399"/>
      <x v="433"/>
    </i>
    <i>
      <x v="791"/>
      <x v="400"/>
      <x v="748"/>
    </i>
    <i>
      <x v="792"/>
      <x v="401"/>
      <x v="23"/>
    </i>
    <i>
      <x v="794"/>
      <x v="401"/>
      <x v="319"/>
    </i>
    <i>
      <x v="796"/>
      <x v="401"/>
      <x v="381"/>
    </i>
    <i>
      <x v="797"/>
      <x v="401"/>
      <x v="409"/>
    </i>
    <i>
      <x v="798"/>
      <x v="401"/>
      <x v="778"/>
    </i>
    <i>
      <x v="799"/>
      <x v="404"/>
      <x v="76"/>
    </i>
    <i>
      <x v="800"/>
      <x v="404"/>
      <x v="260"/>
    </i>
    <i>
      <x v="801"/>
      <x v="404"/>
      <x v="500"/>
    </i>
    <i>
      <x v="802"/>
      <x v="404"/>
      <x v="685"/>
    </i>
    <i>
      <x v="803"/>
      <x v="404"/>
      <x v="724"/>
    </i>
    <i>
      <x v="804"/>
      <x v="404"/>
      <x v="797"/>
    </i>
    <i>
      <x v="805"/>
      <x v="404"/>
      <x v="808"/>
    </i>
    <i>
      <x v="807"/>
      <x v="406"/>
      <x v="263"/>
    </i>
    <i>
      <x v="808"/>
      <x v="407"/>
      <x v="61"/>
    </i>
    <i>
      <x v="809"/>
      <x v="407"/>
      <x v="97"/>
    </i>
    <i>
      <x v="810"/>
      <x v="408"/>
      <x v="6"/>
    </i>
    <i>
      <x v="811"/>
      <x v="408"/>
      <x v="64"/>
    </i>
    <i>
      <x v="812"/>
      <x v="408"/>
      <x v="182"/>
    </i>
    <i>
      <x v="813"/>
      <x v="408"/>
      <x v="265"/>
    </i>
    <i>
      <x v="814"/>
      <x v="408"/>
      <x v="285"/>
    </i>
    <i>
      <x v="815"/>
      <x v="408"/>
      <x v="336"/>
    </i>
    <i>
      <x v="816"/>
      <x v="408"/>
      <x v="494"/>
    </i>
    <i>
      <x v="817"/>
      <x v="408"/>
      <x v="555"/>
    </i>
    <i>
      <x v="818"/>
      <x v="408"/>
      <x v="567"/>
    </i>
    <i>
      <x v="819"/>
      <x v="408"/>
      <x v="661"/>
    </i>
    <i>
      <x v="820"/>
      <x v="408"/>
      <x v="701"/>
    </i>
    <i>
      <x v="821"/>
      <x v="408"/>
      <x v="775"/>
    </i>
    <i>
      <x v="824"/>
      <x v="408"/>
      <x v="797"/>
    </i>
    <i>
      <x v="826"/>
      <x v="410"/>
      <x v="159"/>
    </i>
    <i>
      <x v="827"/>
      <x v="410"/>
      <x v="171"/>
    </i>
    <i>
      <x v="828"/>
      <x v="410"/>
      <x v="258"/>
    </i>
    <i>
      <x v="829"/>
      <x v="410"/>
      <x v="357"/>
    </i>
    <i>
      <x v="830"/>
      <x v="411"/>
      <x v="51"/>
    </i>
    <i>
      <x v="831"/>
      <x v="412"/>
      <x v="803"/>
    </i>
    <i>
      <x v="832"/>
      <x v="413"/>
      <x v="272"/>
    </i>
    <i>
      <x v="833"/>
      <x v="414"/>
      <x v="287"/>
    </i>
    <i>
      <x v="834"/>
      <x v="415"/>
      <x v="518"/>
    </i>
    <i>
      <x v="839"/>
      <x v="418"/>
      <x v="463"/>
    </i>
    <i>
      <x v="840"/>
      <x v="419"/>
      <x v="800"/>
    </i>
    <i>
      <x v="841"/>
      <x v="420"/>
      <x v="202"/>
    </i>
    <i>
      <x v="842"/>
      <x v="421"/>
      <x v="641"/>
    </i>
    <i>
      <x v="843"/>
      <x v="422"/>
      <x v="340"/>
    </i>
    <i>
      <x v="844"/>
      <x v="423"/>
      <x v="655"/>
    </i>
    <i>
      <x v="845"/>
      <x v="425"/>
      <x v="232"/>
    </i>
    <i>
      <x v="846"/>
      <x v="426"/>
      <x v="753"/>
    </i>
    <i>
      <x v="847"/>
      <x v="429"/>
      <x v="157"/>
    </i>
    <i>
      <x v="848"/>
      <x v="429"/>
      <x v="436"/>
    </i>
    <i>
      <x v="849"/>
      <x v="429"/>
      <x v="440"/>
    </i>
    <i>
      <x v="850"/>
      <x v="430"/>
      <x v="94"/>
    </i>
    <i>
      <x v="857"/>
      <x v="276"/>
      <x v="634"/>
    </i>
    <i>
      <x v="858"/>
      <x v="366"/>
      <x v="440"/>
    </i>
    <i>
      <x v="871"/>
      <x v="247"/>
      <x v="365"/>
    </i>
    <i>
      <x v="874"/>
      <x v="38"/>
      <x v="346"/>
    </i>
    <i>
      <x v="880"/>
      <x v="113"/>
      <x v="144"/>
    </i>
    <i>
      <x v="885"/>
      <x v="97"/>
      <x v="227"/>
    </i>
    <i>
      <x v="887"/>
      <x v="340"/>
      <x v="15"/>
    </i>
    <i>
      <x v="914"/>
      <x v="360"/>
      <x v="666"/>
    </i>
    <i>
      <x v="925"/>
      <x v="116"/>
      <x v="8"/>
    </i>
    <i>
      <x v="930"/>
      <x v="185"/>
      <x v="175"/>
    </i>
    <i>
      <x v="937"/>
      <x v="415"/>
      <x v="434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EF786-98B6-480A-85B0-4B900BD44258}" name="PivotTable3" cacheId="89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Q2:S793" firstHeaderRow="2" firstDataRow="2" firstDataCol="2"/>
  <pivotFields count="10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sortType="ascending" defaultSubtotal="0">
      <items count="828">
        <item x="539"/>
        <item m="1" x="741"/>
        <item m="1" x="768"/>
        <item m="1" x="789"/>
        <item m="1" x="800"/>
        <item x="339"/>
        <item x="346"/>
        <item x="380"/>
        <item x="62"/>
        <item m="1" x="763"/>
        <item x="646"/>
        <item x="531"/>
        <item x="280"/>
        <item h="1" x="696"/>
        <item x="199"/>
        <item x="441"/>
        <item h="1" x="725"/>
        <item x="445"/>
        <item x="523"/>
        <item h="1" x="723"/>
        <item x="433"/>
        <item x="490"/>
        <item x="0"/>
        <item x="420"/>
        <item x="557"/>
        <item x="106"/>
        <item x="127"/>
        <item m="1" x="752"/>
        <item h="1" x="680"/>
        <item x="192"/>
        <item x="676"/>
        <item x="140"/>
        <item x="451"/>
        <item x="109"/>
        <item x="218"/>
        <item x="271"/>
        <item x="367"/>
        <item x="289"/>
        <item x="200"/>
        <item m="1" x="792"/>
        <item x="610"/>
        <item x="486"/>
        <item x="507"/>
        <item x="347"/>
        <item x="381"/>
        <item x="213"/>
        <item m="1" x="773"/>
        <item x="99"/>
        <item x="193"/>
        <item x="642"/>
        <item x="656"/>
        <item x="15"/>
        <item x="550"/>
        <item x="480"/>
        <item m="1" x="785"/>
        <item x="421"/>
        <item x="662"/>
        <item x="58"/>
        <item m="1" x="769"/>
        <item x="302"/>
        <item x="661"/>
        <item x="426"/>
        <item x="663"/>
        <item x="240"/>
        <item x="482"/>
        <item x="125"/>
        <item m="1" x="826"/>
        <item x="546"/>
        <item m="1" x="825"/>
        <item x="665"/>
        <item x="212"/>
        <item x="614"/>
        <item x="174"/>
        <item x="110"/>
        <item x="25"/>
        <item x="466"/>
        <item x="313"/>
        <item x="303"/>
        <item x="503"/>
        <item x="475"/>
        <item x="264"/>
        <item x="541"/>
        <item m="1" x="813"/>
        <item x="227"/>
        <item x="71"/>
        <item x="259"/>
        <item x="355"/>
        <item x="401"/>
        <item h="1" x="682"/>
        <item m="1" x="780"/>
        <item x="169"/>
        <item x="471"/>
        <item x="491"/>
        <item x="357"/>
        <item x="152"/>
        <item m="1" x="824"/>
        <item x="151"/>
        <item x="589"/>
        <item x="372"/>
        <item h="1" x="732"/>
        <item x="197"/>
        <item x="548"/>
        <item x="14"/>
        <item x="297"/>
        <item x="202"/>
        <item x="22"/>
        <item x="88"/>
        <item x="613"/>
        <item x="26"/>
        <item x="431"/>
        <item x="363"/>
        <item h="1" x="686"/>
        <item x="146"/>
        <item x="637"/>
        <item x="68"/>
        <item m="1" x="750"/>
        <item x="353"/>
        <item x="326"/>
        <item m="1" x="821"/>
        <item x="361"/>
        <item x="269"/>
        <item x="530"/>
        <item x="384"/>
        <item x="501"/>
        <item x="139"/>
        <item x="18"/>
        <item x="659"/>
        <item x="634"/>
        <item x="149"/>
        <item x="288"/>
        <item x="12"/>
        <item x="186"/>
        <item x="170"/>
        <item x="449"/>
        <item x="216"/>
        <item x="638"/>
        <item m="1" x="778"/>
        <item x="575"/>
        <item x="249"/>
        <item m="1" x="758"/>
        <item h="1" x="697"/>
        <item x="378"/>
        <item m="1" x="784"/>
        <item x="444"/>
        <item x="334"/>
        <item x="74"/>
        <item x="354"/>
        <item x="595"/>
        <item x="205"/>
        <item x="343"/>
        <item x="245"/>
        <item x="272"/>
        <item x="414"/>
        <item x="601"/>
        <item x="435"/>
        <item x="618"/>
        <item x="281"/>
        <item x="283"/>
        <item x="671"/>
        <item x="101"/>
        <item x="340"/>
        <item x="590"/>
        <item x="237"/>
        <item x="60"/>
        <item h="1" x="698"/>
        <item x="388"/>
        <item x="555"/>
        <item x="528"/>
        <item x="305"/>
        <item x="608"/>
        <item x="4"/>
        <item x="547"/>
        <item m="1" x="812"/>
        <item x="485"/>
        <item x="629"/>
        <item x="100"/>
        <item x="243"/>
        <item m="1" x="740"/>
        <item x="73"/>
        <item x="285"/>
        <item x="484"/>
        <item m="1" x="765"/>
        <item x="258"/>
        <item x="474"/>
        <item x="172"/>
        <item x="596"/>
        <item x="524"/>
        <item x="333"/>
        <item x="327"/>
        <item x="652"/>
        <item x="41"/>
        <item x="374"/>
        <item h="1" x="705"/>
        <item x="319"/>
        <item x="430"/>
        <item x="561"/>
        <item m="1" x="806"/>
        <item x="57"/>
        <item x="37"/>
        <item x="153"/>
        <item m="1" x="777"/>
        <item h="1" x="719"/>
        <item x="677"/>
        <item x="419"/>
        <item x="236"/>
        <item x="121"/>
        <item x="405"/>
        <item x="432"/>
        <item x="424"/>
        <item m="1" x="767"/>
        <item x="329"/>
        <item x="348"/>
        <item x="36"/>
        <item x="54"/>
        <item x="591"/>
        <item h="1" x="715"/>
        <item m="1" x="804"/>
        <item x="423"/>
        <item m="1" x="815"/>
        <item x="55"/>
        <item x="188"/>
        <item m="1" x="786"/>
        <item x="72"/>
        <item x="362"/>
        <item x="201"/>
        <item m="1" x="819"/>
        <item x="521"/>
        <item x="9"/>
        <item x="185"/>
        <item x="183"/>
        <item x="156"/>
        <item x="206"/>
        <item x="615"/>
        <item h="1" x="733"/>
        <item x="85"/>
        <item x="13"/>
        <item x="456"/>
        <item x="600"/>
        <item x="130"/>
        <item x="370"/>
        <item x="295"/>
        <item m="1" x="771"/>
        <item x="439"/>
        <item x="572"/>
        <item m="1" x="822"/>
        <item x="582"/>
        <item x="553"/>
        <item m="1" x="805"/>
        <item x="315"/>
        <item x="84"/>
        <item x="583"/>
        <item x="498"/>
        <item x="603"/>
        <item x="64"/>
        <item x="461"/>
        <item x="413"/>
        <item x="250"/>
        <item x="45"/>
        <item x="229"/>
        <item x="540"/>
        <item x="349"/>
        <item x="593"/>
        <item m="1" x="757"/>
        <item x="173"/>
        <item x="165"/>
        <item x="102"/>
        <item x="495"/>
        <item x="513"/>
        <item x="455"/>
        <item x="83"/>
        <item x="154"/>
        <item x="636"/>
        <item x="299"/>
        <item x="399"/>
        <item x="462"/>
        <item x="247"/>
        <item x="116"/>
        <item x="284"/>
        <item x="359"/>
        <item x="416"/>
        <item x="67"/>
        <item x="499"/>
        <item m="1" x="745"/>
        <item x="500"/>
        <item x="19"/>
        <item x="321"/>
        <item x="277"/>
        <item x="407"/>
        <item x="148"/>
        <item x="643"/>
        <item x="464"/>
        <item x="337"/>
        <item x="203"/>
        <item m="1" x="738"/>
        <item x="412"/>
        <item x="224"/>
        <item x="265"/>
        <item x="330"/>
        <item x="654"/>
        <item h="1" x="710"/>
        <item x="341"/>
        <item x="619"/>
        <item h="1" x="685"/>
        <item x="114"/>
        <item x="134"/>
        <item m="1" x="748"/>
        <item x="358"/>
        <item x="82"/>
        <item x="630"/>
        <item x="571"/>
        <item x="511"/>
        <item x="506"/>
        <item m="1" x="753"/>
        <item x="239"/>
        <item x="219"/>
        <item m="1" x="783"/>
        <item x="617"/>
        <item x="554"/>
        <item x="386"/>
        <item x="385"/>
        <item x="645"/>
        <item x="393"/>
        <item h="1" x="683"/>
        <item x="674"/>
        <item x="252"/>
        <item x="579"/>
        <item h="1" x="695"/>
        <item x="171"/>
        <item x="481"/>
        <item x="522"/>
        <item x="230"/>
        <item x="278"/>
        <item x="117"/>
        <item x="675"/>
        <item x="198"/>
        <item m="1" x="749"/>
        <item x="89"/>
        <item m="1" x="794"/>
        <item m="1" x="775"/>
        <item x="142"/>
        <item x="97"/>
        <item x="394"/>
        <item x="23"/>
        <item m="1" x="795"/>
        <item x="580"/>
        <item h="1" x="718"/>
        <item x="255"/>
        <item x="160"/>
        <item x="270"/>
        <item m="1" x="760"/>
        <item x="606"/>
        <item x="532"/>
        <item x="16"/>
        <item x="368"/>
        <item h="1" x="712"/>
        <item x="189"/>
        <item h="1" x="701"/>
        <item x="260"/>
        <item h="1" x="730"/>
        <item x="447"/>
        <item m="1" x="816"/>
        <item x="244"/>
        <item x="633"/>
        <item x="175"/>
        <item m="1" x="820"/>
        <item x="415"/>
        <item x="356"/>
        <item x="404"/>
        <item x="558"/>
        <item m="1" x="811"/>
        <item x="310"/>
        <item x="231"/>
        <item x="301"/>
        <item x="578"/>
        <item x="465"/>
        <item x="448"/>
        <item h="1" x="716"/>
        <item x="425"/>
        <item x="434"/>
        <item x="526"/>
        <item x="96"/>
        <item x="11"/>
        <item x="286"/>
        <item x="556"/>
        <item x="573"/>
        <item x="161"/>
        <item m="1" x="751"/>
        <item x="287"/>
        <item h="1" x="727"/>
        <item x="338"/>
        <item x="77"/>
        <item x="78"/>
        <item x="489"/>
        <item x="323"/>
        <item x="75"/>
        <item x="21"/>
        <item m="1" x="807"/>
        <item x="668"/>
        <item x="517"/>
        <item x="472"/>
        <item x="576"/>
        <item x="317"/>
        <item x="527"/>
        <item h="1" x="693"/>
        <item x="103"/>
        <item x="587"/>
        <item x="32"/>
        <item m="1" x="802"/>
        <item x="263"/>
        <item x="516"/>
        <item x="8"/>
        <item m="1" x="761"/>
        <item x="136"/>
        <item x="87"/>
        <item x="460"/>
        <item x="304"/>
        <item x="350"/>
        <item x="49"/>
        <item x="468"/>
        <item x="469"/>
        <item m="1" x="787"/>
        <item m="1" x="801"/>
        <item x="344"/>
        <item x="31"/>
        <item x="577"/>
        <item m="1" x="797"/>
        <item x="427"/>
        <item h="1" x="729"/>
        <item x="194"/>
        <item x="377"/>
        <item x="453"/>
        <item x="298"/>
        <item m="1" x="781"/>
        <item x="209"/>
        <item x="94"/>
        <item x="267"/>
        <item x="537"/>
        <item x="373"/>
        <item x="599"/>
        <item x="544"/>
        <item x="40"/>
        <item x="679"/>
        <item x="296"/>
        <item x="369"/>
        <item x="221"/>
        <item m="1" x="808"/>
        <item x="520"/>
        <item x="436"/>
        <item m="1" x="788"/>
        <item x="300"/>
        <item x="505"/>
        <item x="44"/>
        <item x="351"/>
        <item x="90"/>
        <item m="1" x="823"/>
        <item x="390"/>
        <item x="536"/>
        <item x="515"/>
        <item x="92"/>
        <item x="446"/>
        <item x="396"/>
        <item x="669"/>
        <item x="365"/>
        <item x="275"/>
        <item x="345"/>
        <item x="379"/>
        <item x="261"/>
        <item x="132"/>
        <item x="123"/>
        <item m="1" x="754"/>
        <item x="635"/>
        <item x="65"/>
        <item x="551"/>
        <item m="1" x="791"/>
        <item x="616"/>
        <item x="53"/>
        <item h="1" x="702"/>
        <item x="104"/>
        <item x="59"/>
        <item h="1" x="713"/>
        <item x="241"/>
        <item x="141"/>
        <item m="1" x="779"/>
        <item x="411"/>
        <item x="649"/>
        <item x="331"/>
        <item x="43"/>
        <item x="478"/>
        <item x="309"/>
        <item x="27"/>
        <item x="157"/>
        <item x="91"/>
        <item x="63"/>
        <item h="1" x="684"/>
        <item x="112"/>
        <item h="1" x="681"/>
        <item x="647"/>
        <item x="477"/>
        <item x="276"/>
        <item x="195"/>
        <item x="214"/>
        <item x="457"/>
        <item m="1" x="772"/>
        <item x="119"/>
        <item x="1"/>
        <item x="294"/>
        <item x="494"/>
        <item x="586"/>
        <item x="443"/>
        <item x="181"/>
        <item x="282"/>
        <item x="336"/>
        <item x="581"/>
        <item x="387"/>
        <item x="632"/>
        <item m="1" x="739"/>
        <item x="222"/>
        <item x="145"/>
        <item x="3"/>
        <item x="17"/>
        <item m="1" x="827"/>
        <item x="126"/>
        <item x="48"/>
        <item x="308"/>
        <item m="1" x="798"/>
        <item x="735"/>
        <item x="306"/>
        <item x="496"/>
        <item x="208"/>
        <item x="328"/>
        <item m="1" x="790"/>
        <item x="512"/>
        <item x="376"/>
        <item x="620"/>
        <item x="395"/>
        <item x="459"/>
        <item x="644"/>
        <item x="422"/>
        <item x="594"/>
        <item x="651"/>
        <item x="42"/>
        <item x="135"/>
        <item x="332"/>
        <item x="191"/>
        <item x="454"/>
        <item x="6"/>
        <item h="1" x="703"/>
        <item x="144"/>
        <item x="562"/>
        <item x="563"/>
        <item x="564"/>
        <item x="228"/>
        <item x="122"/>
        <item x="52"/>
        <item x="220"/>
        <item x="166"/>
        <item m="1" x="774"/>
        <item m="1" x="737"/>
        <item x="655"/>
        <item x="398"/>
        <item x="196"/>
        <item m="1" x="817"/>
        <item x="567"/>
        <item x="178"/>
        <item x="242"/>
        <item x="131"/>
        <item x="314"/>
        <item x="256"/>
        <item x="678"/>
        <item x="371"/>
        <item x="105"/>
        <item x="609"/>
        <item x="184"/>
        <item x="158"/>
        <item x="291"/>
        <item x="670"/>
        <item x="622"/>
        <item m="1" x="799"/>
        <item x="128"/>
        <item x="502"/>
        <item x="437"/>
        <item x="625"/>
        <item x="274"/>
        <item x="664"/>
        <item x="80"/>
        <item x="98"/>
        <item m="1" x="818"/>
        <item x="248"/>
        <item m="1" x="743"/>
        <item x="162"/>
        <item x="391"/>
        <item h="1" m="1" x="809"/>
        <item m="1" x="770"/>
        <item x="93"/>
        <item x="535"/>
        <item x="69"/>
        <item x="545"/>
        <item x="400"/>
        <item x="70"/>
        <item x="10"/>
        <item x="226"/>
        <item x="56"/>
        <item x="559"/>
        <item h="1" x="694"/>
        <item h="1" x="687"/>
        <item x="246"/>
        <item x="440"/>
        <item x="182"/>
        <item h="1" x="688"/>
        <item x="626"/>
        <item x="187"/>
        <item x="418"/>
        <item x="450"/>
        <item x="7"/>
        <item x="497"/>
        <item m="1" x="756"/>
        <item m="1" x="759"/>
        <item x="667"/>
        <item x="163"/>
        <item x="565"/>
        <item x="570"/>
        <item h="1" x="692"/>
        <item x="487"/>
        <item x="650"/>
        <item x="129"/>
        <item h="1" x="709"/>
        <item h="1" x="706"/>
        <item x="360"/>
        <item x="95"/>
        <item x="483"/>
        <item x="428"/>
        <item x="34"/>
        <item x="290"/>
        <item h="1" x="690"/>
        <item x="658"/>
        <item x="508"/>
        <item x="627"/>
        <item x="233"/>
        <item x="176"/>
        <item x="611"/>
        <item h="1" m="1" x="776"/>
        <item x="640"/>
        <item x="190"/>
        <item x="605"/>
        <item x="438"/>
        <item x="76"/>
        <item m="1" x="810"/>
        <item x="597"/>
        <item x="621"/>
        <item x="312"/>
        <item m="1" x="744"/>
        <item h="1" x="726"/>
        <item x="325"/>
        <item x="316"/>
        <item x="311"/>
        <item x="5"/>
        <item h="1" x="699"/>
        <item x="20"/>
        <item x="653"/>
        <item x="232"/>
        <item x="375"/>
        <item x="279"/>
        <item x="409"/>
        <item x="225"/>
        <item x="529"/>
        <item x="307"/>
        <item x="543"/>
        <item x="322"/>
        <item x="66"/>
        <item x="29"/>
        <item x="673"/>
        <item x="463"/>
        <item x="2"/>
        <item x="120"/>
        <item x="28"/>
        <item x="549"/>
        <item x="533"/>
        <item x="560"/>
        <item x="612"/>
        <item x="324"/>
        <item h="1" m="1" x="814"/>
        <item x="177"/>
        <item x="273"/>
        <item h="1" x="721"/>
        <item x="542"/>
        <item x="397"/>
        <item x="318"/>
        <item x="234"/>
        <item x="147"/>
        <item x="641"/>
        <item x="167"/>
        <item m="1" x="782"/>
        <item x="320"/>
        <item x="366"/>
        <item x="402"/>
        <item h="1" x="720"/>
        <item x="204"/>
        <item x="442"/>
        <item h="1" x="708"/>
        <item x="488"/>
        <item x="115"/>
        <item x="39"/>
        <item x="624"/>
        <item x="179"/>
        <item x="335"/>
        <item x="467"/>
        <item x="672"/>
        <item x="509"/>
        <item h="1" x="734"/>
        <item x="406"/>
        <item x="458"/>
        <item x="207"/>
        <item x="538"/>
        <item h="1" x="717"/>
        <item h="1" x="722"/>
        <item x="133"/>
        <item x="408"/>
        <item m="1" x="796"/>
        <item x="124"/>
        <item x="666"/>
        <item x="585"/>
        <item x="168"/>
        <item h="1" x="707"/>
        <item h="1" x="714"/>
        <item x="215"/>
        <item x="492"/>
        <item x="138"/>
        <item x="155"/>
        <item m="1" x="746"/>
        <item x="452"/>
        <item h="1" x="724"/>
        <item x="51"/>
        <item h="1" x="689"/>
        <item x="33"/>
        <item x="262"/>
        <item x="574"/>
        <item x="552"/>
        <item x="164"/>
        <item x="493"/>
        <item x="417"/>
        <item x="111"/>
        <item x="403"/>
        <item x="47"/>
        <item x="180"/>
        <item x="657"/>
        <item x="383"/>
        <item x="588"/>
        <item h="1" x="700"/>
        <item x="648"/>
        <item x="504"/>
        <item x="24"/>
        <item m="1" x="803"/>
        <item m="1" x="793"/>
        <item x="217"/>
        <item x="479"/>
        <item x="639"/>
        <item x="50"/>
        <item x="159"/>
        <item m="1" x="755"/>
        <item x="598"/>
        <item x="389"/>
        <item x="30"/>
        <item x="392"/>
        <item x="352"/>
        <item x="518"/>
        <item x="293"/>
        <item x="534"/>
        <item h="1" x="704"/>
        <item x="81"/>
        <item x="143"/>
        <item h="1" x="711"/>
        <item x="514"/>
        <item h="1" x="731"/>
        <item m="1" x="742"/>
        <item x="470"/>
        <item x="254"/>
        <item m="1" x="766"/>
        <item x="410"/>
        <item x="382"/>
        <item x="660"/>
        <item x="592"/>
        <item h="1" x="691"/>
        <item x="266"/>
        <item x="525"/>
        <item x="79"/>
        <item x="364"/>
        <item m="1" x="764"/>
        <item x="473"/>
        <item x="118"/>
        <item m="1" x="762"/>
        <item x="107"/>
        <item x="235"/>
        <item x="569"/>
        <item x="46"/>
        <item x="86"/>
        <item x="211"/>
        <item x="223"/>
        <item x="108"/>
        <item m="1" x="747"/>
        <item h="1" x="728"/>
        <item x="210"/>
        <item x="628"/>
        <item x="568"/>
        <item x="476"/>
        <item x="61"/>
        <item x="519"/>
        <item x="429"/>
        <item x="604"/>
        <item x="150"/>
        <item x="38"/>
        <item x="510"/>
        <item x="268"/>
        <item x="607"/>
        <item x="251"/>
        <item x="602"/>
        <item x="584"/>
        <item x="566"/>
        <item x="137"/>
        <item x="342"/>
        <item x="35"/>
        <item x="631"/>
        <item x="113"/>
        <item x="257"/>
        <item x="253"/>
        <item x="623"/>
        <item x="292"/>
        <item x="238"/>
        <item h="1" x="736"/>
      </items>
    </pivotField>
    <pivotField axis="axisRow" compact="0" outline="0" showAll="0" defaultSubtotal="0">
      <items count="457">
        <item x="157"/>
        <item m="1" x="376"/>
        <item m="1" x="382"/>
        <item m="1" x="431"/>
        <item m="1" x="390"/>
        <item m="1" x="396"/>
        <item x="76"/>
        <item x="140"/>
        <item x="64"/>
        <item x="237"/>
        <item x="43"/>
        <item x="24"/>
        <item x="254"/>
        <item x="177"/>
        <item x="191"/>
        <item m="1" x="435"/>
        <item x="348"/>
        <item x="219"/>
        <item x="302"/>
        <item x="151"/>
        <item x="307"/>
        <item x="315"/>
        <item x="34"/>
        <item x="86"/>
        <item x="269"/>
        <item m="1" x="423"/>
        <item x="324"/>
        <item x="20"/>
        <item x="282"/>
        <item x="214"/>
        <item x="245"/>
        <item x="292"/>
        <item x="253"/>
        <item m="1" x="414"/>
        <item x="163"/>
        <item x="33"/>
        <item x="263"/>
        <item m="1" x="428"/>
        <item x="178"/>
        <item x="108"/>
        <item x="59"/>
        <item x="90"/>
        <item x="314"/>
        <item x="244"/>
        <item x="12"/>
        <item x="176"/>
        <item x="325"/>
        <item x="45"/>
        <item x="92"/>
        <item x="205"/>
        <item x="353"/>
        <item x="36"/>
        <item x="149"/>
        <item x="224"/>
        <item x="248"/>
        <item x="187"/>
        <item x="227"/>
        <item x="153"/>
        <item x="29"/>
        <item x="182"/>
        <item x="312"/>
        <item m="1" x="446"/>
        <item x="275"/>
        <item m="1" x="406"/>
        <item x="213"/>
        <item x="268"/>
        <item m="1" x="454"/>
        <item x="273"/>
        <item x="47"/>
        <item x="83"/>
        <item x="87"/>
        <item x="199"/>
        <item m="1" x="383"/>
        <item x="139"/>
        <item x="40"/>
        <item x="223"/>
        <item x="287"/>
        <item x="7"/>
        <item x="310"/>
        <item m="1" x="381"/>
        <item x="103"/>
        <item x="71"/>
        <item x="141"/>
        <item x="207"/>
        <item x="231"/>
        <item x="186"/>
        <item m="1" x="403"/>
        <item x="301"/>
        <item m="1" x="394"/>
        <item x="259"/>
        <item x="77"/>
        <item x="160"/>
        <item x="349"/>
        <item x="197"/>
        <item x="169"/>
        <item x="304"/>
        <item x="73"/>
        <item x="190"/>
        <item x="303"/>
        <item x="280"/>
        <item x="95"/>
        <item x="82"/>
        <item x="13"/>
        <item m="1" x="413"/>
        <item x="84"/>
        <item x="234"/>
        <item x="62"/>
        <item x="215"/>
        <item x="264"/>
        <item x="48"/>
        <item x="330"/>
        <item x="258"/>
        <item x="196"/>
        <item x="362"/>
        <item x="308"/>
        <item x="67"/>
        <item x="68"/>
        <item x="272"/>
        <item x="204"/>
        <item x="283"/>
        <item m="1" x="447"/>
        <item x="131"/>
        <item x="135"/>
        <item x="210"/>
        <item x="111"/>
        <item x="61"/>
        <item x="209"/>
        <item x="97"/>
        <item x="152"/>
        <item x="120"/>
        <item x="278"/>
        <item x="266"/>
        <item x="218"/>
        <item x="208"/>
        <item x="102"/>
        <item m="1" x="456"/>
        <item x="105"/>
        <item x="172"/>
        <item m="1" x="401"/>
        <item x="201"/>
        <item m="1" x="430"/>
        <item x="339"/>
        <item x="94"/>
        <item x="88"/>
        <item x="235"/>
        <item x="128"/>
        <item x="158"/>
        <item x="270"/>
        <item x="216"/>
        <item x="89"/>
        <item x="6"/>
        <item m="1" x="440"/>
        <item x="106"/>
        <item m="1" x="439"/>
        <item x="162"/>
        <item x="52"/>
        <item x="132"/>
        <item x="44"/>
        <item x="150"/>
        <item x="321"/>
        <item x="183"/>
        <item x="351"/>
        <item x="85"/>
        <item x="226"/>
        <item x="276"/>
        <item m="1" x="387"/>
        <item x="239"/>
        <item x="290"/>
        <item x="60"/>
        <item x="156"/>
        <item x="165"/>
        <item m="1" x="377"/>
        <item x="137"/>
        <item m="1" x="427"/>
        <item m="1" x="426"/>
        <item x="112"/>
        <item m="1" x="422"/>
        <item x="134"/>
        <item m="1" x="388"/>
        <item x="327"/>
        <item x="116"/>
        <item x="174"/>
        <item x="340"/>
        <item x="14"/>
        <item x="262"/>
        <item x="26"/>
        <item x="220"/>
        <item x="211"/>
        <item x="343"/>
        <item x="195"/>
        <item x="0"/>
        <item x="69"/>
        <item x="334"/>
        <item x="46"/>
        <item x="123"/>
        <item x="19"/>
        <item x="200"/>
        <item x="291"/>
        <item x="202"/>
        <item x="300"/>
        <item x="25"/>
        <item x="65"/>
        <item x="285"/>
        <item x="63"/>
        <item x="179"/>
        <item x="212"/>
        <item x="274"/>
        <item x="238"/>
        <item x="58"/>
        <item x="175"/>
        <item x="217"/>
        <item m="1" x="455"/>
        <item x="286"/>
        <item x="329"/>
        <item x="228"/>
        <item x="331"/>
        <item x="323"/>
        <item x="127"/>
        <item x="345"/>
        <item x="279"/>
        <item x="241"/>
        <item x="35"/>
        <item x="247"/>
        <item x="72"/>
        <item x="271"/>
        <item x="125"/>
        <item x="341"/>
        <item x="332"/>
        <item x="296"/>
        <item x="27"/>
        <item x="189"/>
        <item m="1" x="407"/>
        <item m="1" x="420"/>
        <item x="236"/>
        <item m="1" x="433"/>
        <item x="93"/>
        <item m="1" x="441"/>
        <item x="113"/>
        <item m="1" x="397"/>
        <item x="51"/>
        <item x="180"/>
        <item x="155"/>
        <item x="57"/>
        <item x="288"/>
        <item x="284"/>
        <item x="194"/>
        <item m="1" x="421"/>
        <item x="38"/>
        <item m="1" x="400"/>
        <item x="256"/>
        <item x="317"/>
        <item x="100"/>
        <item m="1" x="434"/>
        <item x="322"/>
        <item x="230"/>
        <item m="1" x="405"/>
        <item m="1" x="432"/>
        <item x="225"/>
        <item x="110"/>
        <item m="1" x="395"/>
        <item m="1" x="391"/>
        <item x="309"/>
        <item x="129"/>
        <item x="114"/>
        <item x="233"/>
        <item x="136"/>
        <item x="81"/>
        <item x="305"/>
        <item x="242"/>
        <item x="117"/>
        <item x="146"/>
        <item x="56"/>
        <item x="333"/>
        <item x="246"/>
        <item x="30"/>
        <item x="185"/>
        <item x="320"/>
        <item x="261"/>
        <item x="249"/>
        <item m="1" x="411"/>
        <item x="21"/>
        <item x="119"/>
        <item m="1" x="418"/>
        <item x="3"/>
        <item x="75"/>
        <item x="8"/>
        <item x="298"/>
        <item x="2"/>
        <item m="1" x="444"/>
        <item x="206"/>
        <item x="344"/>
        <item x="319"/>
        <item x="337"/>
        <item x="198"/>
        <item x="41"/>
        <item m="1" x="442"/>
        <item x="124"/>
        <item x="159"/>
        <item x="130"/>
        <item m="1" x="380"/>
        <item m="1" x="384"/>
        <item m="1" x="393"/>
        <item x="267"/>
        <item x="170"/>
        <item x="98"/>
        <item x="55"/>
        <item m="1" x="408"/>
        <item m="1" x="402"/>
        <item x="188"/>
        <item x="203"/>
        <item x="293"/>
        <item x="17"/>
        <item x="79"/>
        <item x="1"/>
        <item x="145"/>
        <item x="70"/>
        <item x="28"/>
        <item x="49"/>
        <item x="66"/>
        <item x="316"/>
        <item m="1" x="451"/>
        <item m="1" x="443"/>
        <item x="250"/>
        <item x="148"/>
        <item x="328"/>
        <item x="295"/>
        <item x="138"/>
        <item x="39"/>
        <item m="1" x="412"/>
        <item m="1" x="389"/>
        <item m="1" x="445"/>
        <item m="1" x="424"/>
        <item x="193"/>
        <item x="144"/>
        <item x="115"/>
        <item m="1" x="425"/>
        <item x="15"/>
        <item m="1" x="416"/>
        <item x="166"/>
        <item x="164"/>
        <item x="23"/>
        <item x="16"/>
        <item x="232"/>
        <item x="277"/>
        <item x="306"/>
        <item x="251"/>
        <item x="118"/>
        <item x="53"/>
        <item x="91"/>
        <item x="10"/>
        <item x="350"/>
        <item m="1" x="385"/>
        <item x="9"/>
        <item x="222"/>
        <item x="109"/>
        <item m="1" x="436"/>
        <item x="32"/>
        <item x="311"/>
        <item x="229"/>
        <item x="126"/>
        <item x="347"/>
        <item m="1" x="399"/>
        <item m="1" x="392"/>
        <item x="260"/>
        <item x="184"/>
        <item x="154"/>
        <item x="22"/>
        <item x="168"/>
        <item m="1" x="448"/>
        <item m="1" x="386"/>
        <item x="265"/>
        <item x="192"/>
        <item x="122"/>
        <item x="161"/>
        <item x="336"/>
        <item x="99"/>
        <item m="1" x="438"/>
        <item x="133"/>
        <item x="96"/>
        <item x="74"/>
        <item x="342"/>
        <item m="1" x="398"/>
        <item x="281"/>
        <item x="171"/>
        <item m="1" x="452"/>
        <item x="54"/>
        <item x="255"/>
        <item x="50"/>
        <item x="42"/>
        <item x="4"/>
        <item x="107"/>
        <item x="326"/>
        <item x="313"/>
        <item x="294"/>
        <item x="243"/>
        <item x="221"/>
        <item x="289"/>
        <item x="101"/>
        <item x="18"/>
        <item x="142"/>
        <item x="338"/>
        <item x="11"/>
        <item m="1" x="453"/>
        <item m="1" x="409"/>
        <item x="104"/>
        <item m="1" x="379"/>
        <item x="121"/>
        <item x="240"/>
        <item x="37"/>
        <item m="1" x="419"/>
        <item x="80"/>
        <item x="31"/>
        <item x="257"/>
        <item x="181"/>
        <item x="252"/>
        <item x="299"/>
        <item m="1" x="449"/>
        <item m="1" x="417"/>
        <item x="167"/>
        <item x="143"/>
        <item x="352"/>
        <item x="335"/>
        <item x="78"/>
        <item x="5"/>
        <item m="1" x="378"/>
        <item x="318"/>
        <item x="147"/>
        <item m="1" x="415"/>
        <item m="1" x="437"/>
        <item x="173"/>
        <item x="346"/>
        <item m="1" x="410"/>
        <item h="1" x="374"/>
        <item h="1" x="356"/>
        <item h="1" x="297"/>
        <item h="1" x="355"/>
        <item h="1" x="354"/>
        <item h="1" m="1" x="404"/>
        <item h="1" x="357"/>
        <item h="1" x="358"/>
        <item h="1" x="359"/>
        <item h="1" m="1" x="429"/>
        <item h="1" x="360"/>
        <item h="1" x="361"/>
        <item h="1" m="1" x="450"/>
        <item h="1" x="369"/>
        <item h="1" x="363"/>
        <item h="1" x="366"/>
        <item h="1" x="365"/>
        <item h="1" x="364"/>
        <item h="1" x="367"/>
        <item h="1" x="368"/>
        <item h="1" x="371"/>
        <item h="1" x="370"/>
        <item h="1" x="372"/>
        <item h="1" x="373"/>
        <item h="1" m="1" x="375"/>
      </items>
    </pivotField>
    <pivotField compact="0" outline="0" showAll="0"/>
    <pivotField compact="0" outline="0" showAll="0"/>
  </pivotFields>
  <rowFields count="2">
    <field x="7"/>
    <field x="6"/>
  </rowFields>
  <rowItems count="790">
    <i>
      <x/>
      <x v="593"/>
    </i>
    <i>
      <x v="6"/>
      <x v="446"/>
    </i>
    <i r="1">
      <x v="492"/>
    </i>
    <i r="1">
      <x v="628"/>
    </i>
    <i>
      <x v="7"/>
      <x v="711"/>
    </i>
    <i>
      <x v="8"/>
      <x v="31"/>
    </i>
    <i r="1">
      <x v="98"/>
    </i>
    <i r="1">
      <x v="289"/>
    </i>
    <i r="1">
      <x v="394"/>
    </i>
    <i r="1">
      <x v="679"/>
    </i>
    <i>
      <x v="9"/>
      <x v="203"/>
    </i>
    <i>
      <x v="10"/>
      <x v="793"/>
    </i>
    <i>
      <x v="11"/>
      <x v="63"/>
    </i>
    <i r="1">
      <x v="329"/>
    </i>
    <i r="1">
      <x v="353"/>
    </i>
    <i r="1">
      <x v="731"/>
    </i>
    <i r="1">
      <x v="750"/>
    </i>
    <i r="1">
      <x v="780"/>
    </i>
    <i>
      <x v="12"/>
      <x v="774"/>
    </i>
    <i>
      <x v="13"/>
      <x v="419"/>
    </i>
    <i r="1">
      <x v="825"/>
    </i>
    <i>
      <x v="14"/>
      <x v="653"/>
    </i>
    <i>
      <x v="16"/>
      <x v="719"/>
    </i>
    <i>
      <x v="17"/>
      <x v="7"/>
    </i>
    <i>
      <x v="18"/>
      <x v="373"/>
    </i>
    <i>
      <x v="19"/>
      <x v="796"/>
    </i>
    <i>
      <x v="20"/>
      <x v="629"/>
    </i>
    <i>
      <x v="21"/>
      <x v="807"/>
    </i>
    <i>
      <x v="22"/>
      <x v="127"/>
    </i>
    <i r="1">
      <x v="416"/>
    </i>
    <i r="1">
      <x v="605"/>
    </i>
    <i r="1">
      <x v="631"/>
    </i>
    <i>
      <x v="23"/>
      <x v="40"/>
    </i>
    <i r="1">
      <x v="73"/>
    </i>
    <i r="1">
      <x v="334"/>
    </i>
    <i>
      <x v="24"/>
      <x v="42"/>
    </i>
    <i>
      <x v="26"/>
      <x v="581"/>
    </i>
    <i>
      <x v="27"/>
      <x v="657"/>
    </i>
    <i>
      <x v="28"/>
      <x v="259"/>
    </i>
    <i r="1">
      <x v="620"/>
    </i>
    <i>
      <x v="29"/>
      <x v="8"/>
    </i>
    <i>
      <x v="30"/>
      <x v="375"/>
    </i>
    <i>
      <x v="31"/>
      <x v="548"/>
    </i>
    <i r="1">
      <x v="549"/>
    </i>
    <i r="1">
      <x v="550"/>
    </i>
    <i r="1">
      <x v="619"/>
    </i>
    <i>
      <x v="32"/>
      <x v="418"/>
    </i>
    <i>
      <x v="34"/>
      <x v="80"/>
    </i>
    <i r="1">
      <x v="239"/>
    </i>
    <i r="1">
      <x v="243"/>
    </i>
    <i r="1">
      <x v="820"/>
    </i>
    <i>
      <x v="35"/>
      <x v="245"/>
    </i>
    <i r="1">
      <x v="406"/>
    </i>
    <i r="1">
      <x v="512"/>
    </i>
    <i r="1">
      <x v="740"/>
    </i>
    <i>
      <x v="36"/>
      <x v="692"/>
    </i>
    <i>
      <x v="38"/>
      <x v="240"/>
    </i>
    <i r="1">
      <x v="346"/>
    </i>
    <i r="1">
      <x v="461"/>
    </i>
    <i>
      <x v="39"/>
      <x v="270"/>
    </i>
    <i>
      <x v="40"/>
      <x v="280"/>
    </i>
    <i>
      <x v="41"/>
      <x v="205"/>
    </i>
    <i>
      <x v="42"/>
      <x v="804"/>
    </i>
    <i>
      <x v="43"/>
      <x v="740"/>
    </i>
    <i>
      <x v="44"/>
      <x v="110"/>
    </i>
    <i r="1">
      <x v="130"/>
    </i>
    <i r="1">
      <x v="379"/>
    </i>
    <i r="1">
      <x v="486"/>
    </i>
    <i>
      <x v="45"/>
      <x v="37"/>
    </i>
    <i>
      <x v="46"/>
      <x v="636"/>
    </i>
    <i>
      <x v="47"/>
      <x v="756"/>
    </i>
    <i>
      <x v="48"/>
      <x v="14"/>
    </i>
    <i r="1">
      <x v="252"/>
    </i>
    <i r="1">
      <x v="313"/>
    </i>
    <i r="1">
      <x v="347"/>
    </i>
    <i r="1">
      <x v="382"/>
    </i>
    <i r="1">
      <x v="429"/>
    </i>
    <i r="1">
      <x v="468"/>
    </i>
    <i r="1">
      <x v="560"/>
    </i>
    <i>
      <x v="49"/>
      <x v="43"/>
    </i>
    <i>
      <x v="50"/>
      <x v="568"/>
    </i>
    <i>
      <x v="51"/>
      <x v="198"/>
    </i>
    <i>
      <x v="52"/>
      <x v="250"/>
    </i>
    <i r="1">
      <x v="554"/>
    </i>
    <i r="1">
      <x v="665"/>
    </i>
    <i r="1">
      <x v="707"/>
    </i>
    <i>
      <x v="53"/>
      <x v="257"/>
    </i>
    <i>
      <x v="54"/>
      <x v="535"/>
    </i>
    <i>
      <x v="55"/>
      <x v="589"/>
    </i>
    <i>
      <x v="56"/>
      <x v="597"/>
    </i>
    <i>
      <x v="57"/>
      <x v="154"/>
    </i>
    <i r="1">
      <x v="256"/>
    </i>
    <i r="1">
      <x v="258"/>
    </i>
    <i r="1">
      <x v="279"/>
    </i>
    <i r="1">
      <x v="371"/>
    </i>
    <i r="1">
      <x v="559"/>
    </i>
    <i r="1">
      <x v="623"/>
    </i>
    <i>
      <x v="58"/>
      <x v="15"/>
    </i>
    <i r="1">
      <x v="350"/>
    </i>
    <i r="1">
      <x v="410"/>
    </i>
    <i>
      <x v="59"/>
      <x v="372"/>
    </i>
    <i r="1">
      <x v="699"/>
    </i>
    <i>
      <x v="60"/>
      <x v="153"/>
    </i>
    <i>
      <x v="62"/>
      <x v="402"/>
    </i>
    <i>
      <x v="64"/>
      <x v="437"/>
    </i>
    <i>
      <x v="65"/>
      <x v="450"/>
    </i>
    <i>
      <x v="67"/>
      <x v="17"/>
    </i>
    <i r="1">
      <x v="398"/>
    </i>
    <i>
      <x v="68"/>
      <x v="219"/>
    </i>
    <i>
      <x v="69"/>
      <x v="25"/>
    </i>
    <i>
      <x v="70"/>
      <x v="303"/>
    </i>
    <i r="1">
      <x v="310"/>
    </i>
    <i r="1">
      <x v="662"/>
    </i>
    <i r="1">
      <x v="823"/>
    </i>
    <i>
      <x v="71"/>
      <x v="485"/>
    </i>
    <i r="1">
      <x v="579"/>
    </i>
    <i>
      <x v="73"/>
      <x v="231"/>
    </i>
    <i>
      <x v="74"/>
      <x v="540"/>
    </i>
    <i>
      <x v="75"/>
      <x v="760"/>
    </i>
    <i>
      <x v="76"/>
      <x v="642"/>
    </i>
    <i>
      <x v="77"/>
      <x v="11"/>
    </i>
    <i r="1">
      <x v="117"/>
    </i>
    <i r="1">
      <x v="359"/>
    </i>
    <i r="1">
      <x v="399"/>
    </i>
    <i r="1">
      <x v="508"/>
    </i>
    <i r="1">
      <x v="523"/>
    </i>
    <i r="1">
      <x v="553"/>
    </i>
    <i r="1">
      <x v="609"/>
    </i>
    <i r="1">
      <x v="613"/>
    </i>
    <i r="1">
      <x v="629"/>
    </i>
    <i r="1">
      <x v="693"/>
    </i>
    <i r="1">
      <x v="726"/>
    </i>
    <i r="1">
      <x v="804"/>
    </i>
    <i>
      <x v="78"/>
      <x v="366"/>
    </i>
    <i>
      <x v="80"/>
      <x v="242"/>
    </i>
    <i r="1">
      <x v="414"/>
    </i>
    <i r="1">
      <x v="700"/>
    </i>
    <i>
      <x v="81"/>
      <x v="26"/>
    </i>
    <i r="1">
      <x v="45"/>
    </i>
    <i r="1">
      <x v="339"/>
    </i>
    <i r="1">
      <x v="794"/>
    </i>
    <i>
      <x v="82"/>
      <x v="528"/>
    </i>
    <i>
      <x v="83"/>
      <x v="116"/>
    </i>
    <i>
      <x v="84"/>
      <x v="483"/>
    </i>
    <i>
      <x v="85"/>
      <x v="488"/>
    </i>
    <i>
      <x v="87"/>
      <x v="424"/>
    </i>
    <i>
      <x v="89"/>
      <x v="497"/>
    </i>
    <i>
      <x v="90"/>
      <x v="279"/>
    </i>
    <i r="1">
      <x v="311"/>
    </i>
    <i r="1">
      <x v="380"/>
    </i>
    <i>
      <x v="91"/>
      <x v="346"/>
    </i>
    <i r="1">
      <x v="506"/>
    </i>
    <i>
      <x v="92"/>
      <x v="575"/>
    </i>
    <i>
      <x v="93"/>
      <x v="529"/>
    </i>
    <i>
      <x v="94"/>
      <x v="286"/>
    </i>
    <i>
      <x v="95"/>
      <x v="815"/>
    </i>
    <i>
      <x v="96"/>
      <x v="133"/>
    </i>
    <i r="1">
      <x v="257"/>
    </i>
    <i r="1">
      <x v="453"/>
    </i>
    <i r="1">
      <x v="511"/>
    </i>
    <i r="1">
      <x v="551"/>
    </i>
    <i>
      <x v="97"/>
      <x v="227"/>
    </i>
    <i r="1">
      <x v="248"/>
    </i>
    <i r="1">
      <x v="464"/>
    </i>
    <i>
      <x v="98"/>
      <x v="325"/>
    </i>
    <i>
      <x v="99"/>
      <x v="712"/>
    </i>
    <i>
      <x v="100"/>
      <x v="565"/>
    </i>
    <i>
      <x v="101"/>
      <x v="477"/>
    </i>
    <i r="1">
      <x v="505"/>
    </i>
    <i r="1">
      <x v="559"/>
    </i>
    <i r="1">
      <x v="564"/>
    </i>
    <i r="1">
      <x v="617"/>
    </i>
    <i r="1">
      <x v="637"/>
    </i>
    <i r="1">
      <x v="737"/>
    </i>
    <i r="1">
      <x v="738"/>
    </i>
    <i>
      <x v="102"/>
      <x v="12"/>
    </i>
    <i r="1">
      <x v="25"/>
    </i>
    <i r="1">
      <x v="125"/>
    </i>
    <i r="1">
      <x v="144"/>
    </i>
    <i r="1">
      <x v="163"/>
    </i>
    <i r="1">
      <x v="235"/>
    </i>
    <i r="1">
      <x v="268"/>
    </i>
    <i r="1">
      <x v="306"/>
    </i>
    <i r="1">
      <x v="332"/>
    </i>
    <i r="1">
      <x v="383"/>
    </i>
    <i r="1">
      <x v="393"/>
    </i>
    <i r="1">
      <x v="399"/>
    </i>
    <i r="1">
      <x v="417"/>
    </i>
    <i r="1">
      <x v="430"/>
    </i>
    <i r="1">
      <x v="434"/>
    </i>
    <i r="1">
      <x v="444"/>
    </i>
    <i r="1">
      <x v="459"/>
    </i>
    <i r="1">
      <x v="487"/>
    </i>
    <i r="1">
      <x v="509"/>
    </i>
    <i r="1">
      <x v="543"/>
    </i>
    <i r="1">
      <x v="607"/>
    </i>
    <i r="1">
      <x v="649"/>
    </i>
    <i r="1">
      <x v="705"/>
    </i>
    <i r="1">
      <x v="706"/>
    </i>
    <i r="1">
      <x v="742"/>
    </i>
    <i r="1">
      <x v="759"/>
    </i>
    <i r="1">
      <x v="762"/>
    </i>
    <i r="1">
      <x v="779"/>
    </i>
    <i>
      <x v="104"/>
      <x v="384"/>
    </i>
    <i r="1">
      <x v="790"/>
    </i>
    <i r="1">
      <x v="797"/>
    </i>
    <i>
      <x v="105"/>
      <x v="79"/>
    </i>
    <i r="1">
      <x v="365"/>
    </i>
    <i>
      <x v="106"/>
      <x v="30"/>
    </i>
    <i r="1">
      <x v="84"/>
    </i>
    <i r="1">
      <x v="194"/>
    </i>
    <i r="1">
      <x v="496"/>
    </i>
    <i r="1">
      <x v="663"/>
    </i>
    <i>
      <x v="107"/>
      <x v="191"/>
    </i>
    <i r="1">
      <x v="261"/>
    </i>
    <i>
      <x v="108"/>
      <x v="92"/>
    </i>
    <i>
      <x v="109"/>
      <x v="601"/>
    </i>
    <i>
      <x v="110"/>
      <x v="514"/>
    </i>
    <i>
      <x v="111"/>
      <x v="590"/>
    </i>
    <i>
      <x v="112"/>
      <x v="478"/>
    </i>
    <i>
      <x v="113"/>
      <x v="144"/>
    </i>
    <i>
      <x v="114"/>
      <x v="147"/>
    </i>
    <i>
      <x v="115"/>
      <x v="8"/>
    </i>
    <i r="1">
      <x v="150"/>
    </i>
    <i r="1">
      <x v="584"/>
    </i>
    <i r="1">
      <x v="632"/>
    </i>
    <i r="1">
      <x v="742"/>
    </i>
    <i>
      <x v="116"/>
      <x v="8"/>
    </i>
    <i r="1">
      <x v="307"/>
    </i>
    <i>
      <x v="117"/>
      <x v="409"/>
    </i>
    <i>
      <x v="118"/>
      <x v="149"/>
    </i>
    <i r="1">
      <x v="273"/>
    </i>
    <i r="1">
      <x v="468"/>
    </i>
    <i>
      <x v="119"/>
      <x v="81"/>
    </i>
    <i>
      <x v="121"/>
      <x v="131"/>
    </i>
    <i>
      <x v="122"/>
      <x v="32"/>
    </i>
    <i r="1">
      <x v="38"/>
    </i>
    <i>
      <x v="123"/>
      <x v="278"/>
    </i>
    <i>
      <x v="124"/>
      <x v="573"/>
    </i>
    <i>
      <x v="125"/>
      <x v="598"/>
    </i>
    <i>
      <x v="126"/>
      <x v="519"/>
    </i>
    <i>
      <x v="127"/>
      <x v="715"/>
    </i>
    <i>
      <x v="128"/>
      <x v="600"/>
    </i>
    <i>
      <x v="129"/>
      <x v="327"/>
    </i>
    <i r="1">
      <x v="642"/>
    </i>
    <i r="1">
      <x v="643"/>
    </i>
    <i r="1">
      <x v="670"/>
    </i>
    <i r="1">
      <x v="677"/>
    </i>
    <i r="1">
      <x v="818"/>
    </i>
    <i>
      <x v="130"/>
      <x v="676"/>
    </i>
    <i>
      <x v="131"/>
      <x v="614"/>
    </i>
    <i>
      <x v="132"/>
      <x v="478"/>
    </i>
    <i>
      <x v="133"/>
      <x v="146"/>
    </i>
    <i>
      <x v="134"/>
      <x v="124"/>
    </i>
    <i>
      <x v="136"/>
      <x v="80"/>
    </i>
    <i r="1">
      <x v="83"/>
    </i>
    <i r="1">
      <x v="96"/>
    </i>
    <i r="1">
      <x v="119"/>
    </i>
    <i r="1">
      <x v="361"/>
    </i>
    <i r="1">
      <x v="457"/>
    </i>
    <i r="1">
      <x v="703"/>
    </i>
    <i>
      <x v="137"/>
      <x v="430"/>
    </i>
    <i r="1">
      <x v="510"/>
    </i>
    <i>
      <x v="139"/>
      <x v="187"/>
    </i>
    <i>
      <x v="141"/>
      <x v="658"/>
    </i>
    <i>
      <x v="142"/>
      <x v="238"/>
    </i>
    <i r="1">
      <x v="716"/>
    </i>
    <i>
      <x v="143"/>
      <x v="700"/>
    </i>
    <i>
      <x v="144"/>
      <x v="739"/>
    </i>
    <i>
      <x v="145"/>
      <x v="229"/>
    </i>
    <i r="1">
      <x v="792"/>
    </i>
    <i>
      <x v="146"/>
      <x v="587"/>
    </i>
    <i>
      <x v="147"/>
      <x v="810"/>
    </i>
    <i>
      <x v="148"/>
      <x v="269"/>
    </i>
    <i>
      <x v="149"/>
      <x v="276"/>
    </i>
    <i>
      <x v="150"/>
      <x v="545"/>
    </i>
    <i>
      <x v="152"/>
      <x v="94"/>
    </i>
    <i r="1">
      <x v="457"/>
    </i>
    <i>
      <x v="154"/>
      <x v="734"/>
    </i>
    <i>
      <x v="155"/>
      <x v="478"/>
    </i>
    <i>
      <x v="156"/>
      <x v="48"/>
    </i>
    <i>
      <x v="157"/>
      <x v="368"/>
    </i>
    <i r="1">
      <x v="522"/>
    </i>
    <i r="1">
      <x v="574"/>
    </i>
    <i r="1">
      <x v="618"/>
    </i>
    <i>
      <x v="158"/>
      <x v="516"/>
    </i>
    <i>
      <x v="159"/>
      <x v="648"/>
    </i>
    <i>
      <x v="160"/>
      <x v="59"/>
    </i>
    <i>
      <x v="161"/>
      <x v="323"/>
    </i>
    <i>
      <x v="162"/>
      <x v="33"/>
    </i>
    <i>
      <x v="163"/>
      <x v="460"/>
    </i>
    <i>
      <x v="164"/>
      <x v="638"/>
    </i>
    <i>
      <x v="166"/>
      <x v="351"/>
    </i>
    <i r="1">
      <x v="377"/>
    </i>
    <i>
      <x v="167"/>
      <x v="602"/>
    </i>
    <i>
      <x v="168"/>
      <x v="595"/>
    </i>
    <i r="1">
      <x v="801"/>
    </i>
    <i>
      <x v="169"/>
      <x v="480"/>
    </i>
    <i>
      <x v="170"/>
      <x v="811"/>
    </i>
    <i>
      <x v="172"/>
      <x v="696"/>
    </i>
    <i>
      <x v="175"/>
      <x v="21"/>
    </i>
    <i r="1">
      <x v="152"/>
    </i>
    <i r="1">
      <x v="267"/>
    </i>
    <i r="1">
      <x v="290"/>
    </i>
    <i r="1">
      <x v="292"/>
    </i>
    <i r="1">
      <x v="392"/>
    </i>
    <i r="1">
      <x v="638"/>
    </i>
    <i r="1">
      <x v="697"/>
    </i>
    <i r="1">
      <x v="757"/>
    </i>
    <i>
      <x v="177"/>
      <x v="499"/>
    </i>
    <i>
      <x v="179"/>
      <x v="17"/>
    </i>
    <i>
      <x v="180"/>
      <x v="5"/>
    </i>
    <i r="1">
      <x v="35"/>
    </i>
    <i r="1">
      <x v="395"/>
    </i>
    <i r="1">
      <x v="544"/>
    </i>
    <i>
      <x v="181"/>
      <x v="122"/>
    </i>
    <i r="1">
      <x v="277"/>
    </i>
    <i r="1">
      <x v="389"/>
    </i>
    <i>
      <x v="182"/>
      <x v="558"/>
    </i>
    <i>
      <x v="183"/>
      <x v="102"/>
    </i>
    <i>
      <x v="184"/>
      <x v="173"/>
    </i>
    <i>
      <x v="185"/>
      <x v="52"/>
    </i>
    <i r="1">
      <x v="56"/>
    </i>
    <i r="1">
      <x v="108"/>
    </i>
    <i r="1">
      <x v="175"/>
    </i>
    <i r="1">
      <x v="180"/>
    </i>
    <i r="1">
      <x v="422"/>
    </i>
    <i r="1">
      <x v="443"/>
    </i>
    <i r="1">
      <x v="571"/>
    </i>
    <i r="1">
      <x v="687"/>
    </i>
    <i r="1">
      <x v="809"/>
    </i>
    <i>
      <x v="186"/>
      <x v="44"/>
    </i>
    <i>
      <x v="187"/>
      <x v="36"/>
    </i>
    <i r="1">
      <x v="678"/>
    </i>
    <i>
      <x v="188"/>
      <x v="744"/>
    </i>
    <i>
      <x v="189"/>
      <x v="518"/>
    </i>
    <i>
      <x v="190"/>
      <x v="22"/>
    </i>
    <i>
      <x v="191"/>
      <x v="169"/>
    </i>
    <i r="1">
      <x v="249"/>
    </i>
    <i>
      <x v="192"/>
      <x v="113"/>
    </i>
    <i>
      <x v="193"/>
      <x v="417"/>
    </i>
    <i>
      <x v="194"/>
      <x v="17"/>
    </i>
    <i r="1">
      <x v="100"/>
    </i>
    <i r="1">
      <x v="220"/>
    </i>
    <i r="1">
      <x v="317"/>
    </i>
    <i r="1">
      <x v="355"/>
    </i>
    <i r="1">
      <x v="435"/>
    </i>
    <i r="1">
      <x v="610"/>
    </i>
    <i r="1">
      <x v="638"/>
    </i>
    <i r="1">
      <x v="791"/>
    </i>
    <i>
      <x v="195"/>
      <x v="284"/>
    </i>
    <i>
      <x v="196"/>
      <x v="542"/>
    </i>
    <i r="1">
      <x v="679"/>
    </i>
    <i>
      <x v="197"/>
      <x v="195"/>
    </i>
    <i>
      <x v="198"/>
      <x v="62"/>
    </i>
    <i r="1">
      <x v="291"/>
    </i>
    <i r="1">
      <x v="455"/>
    </i>
    <i r="1">
      <x v="532"/>
    </i>
    <i>
      <x v="199"/>
      <x v="120"/>
    </i>
    <i>
      <x v="200"/>
      <x v="10"/>
    </i>
    <i r="1">
      <x v="17"/>
    </i>
    <i r="1">
      <x v="29"/>
    </i>
    <i r="1">
      <x v="74"/>
    </i>
    <i r="1">
      <x v="107"/>
    </i>
    <i r="1">
      <x v="109"/>
    </i>
    <i r="1">
      <x v="132"/>
    </i>
    <i r="1">
      <x v="175"/>
    </i>
    <i r="1">
      <x v="184"/>
    </i>
    <i r="1">
      <x v="188"/>
    </i>
    <i r="1">
      <x v="206"/>
    </i>
    <i r="1">
      <x v="217"/>
    </i>
    <i r="1">
      <x v="222"/>
    </i>
    <i r="1">
      <x v="226"/>
    </i>
    <i r="1">
      <x v="255"/>
    </i>
    <i r="1">
      <x v="275"/>
    </i>
    <i r="1">
      <x v="288"/>
    </i>
    <i r="1">
      <x v="296"/>
    </i>
    <i r="1">
      <x v="449"/>
    </i>
    <i r="1">
      <x v="534"/>
    </i>
    <i r="1">
      <x v="539"/>
    </i>
    <i r="1">
      <x v="590"/>
    </i>
    <i r="1">
      <x v="622"/>
    </i>
    <i r="1">
      <x v="624"/>
    </i>
    <i r="1">
      <x v="647"/>
    </i>
    <i r="1">
      <x v="666"/>
    </i>
    <i r="1">
      <x v="675"/>
    </i>
    <i r="1">
      <x v="720"/>
    </i>
    <i r="1">
      <x v="754"/>
    </i>
    <i r="1">
      <x v="795"/>
    </i>
    <i>
      <x v="201"/>
      <x v="742"/>
    </i>
    <i>
      <x v="202"/>
      <x v="472"/>
    </i>
    <i>
      <x v="203"/>
      <x v="145"/>
    </i>
    <i r="1">
      <x v="268"/>
    </i>
    <i>
      <x v="204"/>
      <x v="442"/>
    </i>
    <i>
      <x v="205"/>
      <x v="569"/>
    </i>
    <i>
      <x v="206"/>
      <x v="186"/>
    </i>
    <i>
      <x v="207"/>
      <x v="537"/>
    </i>
    <i>
      <x v="208"/>
      <x v="18"/>
    </i>
    <i r="1">
      <x v="570"/>
    </i>
    <i r="1">
      <x v="668"/>
    </i>
    <i>
      <x v="209"/>
      <x v="179"/>
    </i>
    <i r="1">
      <x v="455"/>
    </i>
    <i>
      <x v="210"/>
      <x v="141"/>
    </i>
    <i>
      <x v="212"/>
      <x v="246"/>
    </i>
    <i>
      <x v="213"/>
      <x v="290"/>
    </i>
    <i>
      <x v="214"/>
      <x v="8"/>
    </i>
    <i>
      <x v="215"/>
      <x v="362"/>
    </i>
    <i>
      <x v="216"/>
      <x v="824"/>
    </i>
    <i>
      <x v="217"/>
      <x v="743"/>
    </i>
    <i>
      <x v="218"/>
      <x v="126"/>
    </i>
    <i>
      <x v="219"/>
      <x v="44"/>
    </i>
    <i>
      <x v="220"/>
      <x v="378"/>
    </i>
    <i>
      <x v="221"/>
      <x v="212"/>
    </i>
    <i r="1">
      <x v="763"/>
    </i>
    <i r="1">
      <x v="813"/>
    </i>
    <i>
      <x v="222"/>
      <x v="710"/>
    </i>
    <i>
      <x v="223"/>
      <x v="413"/>
    </i>
    <i r="1">
      <x v="686"/>
    </i>
    <i r="1">
      <x v="821"/>
    </i>
    <i>
      <x v="224"/>
      <x v="771"/>
    </i>
    <i>
      <x v="225"/>
      <x v="681"/>
    </i>
    <i>
      <x v="226"/>
      <x v="50"/>
    </i>
    <i>
      <x v="227"/>
      <x v="439"/>
    </i>
    <i>
      <x v="228"/>
      <x v="243"/>
    </i>
    <i>
      <x v="229"/>
      <x v="151"/>
    </i>
    <i r="1">
      <x v="400"/>
    </i>
    <i r="1">
      <x v="489"/>
    </i>
    <i r="1">
      <x v="733"/>
    </i>
    <i>
      <x v="230"/>
      <x v="566"/>
    </i>
    <i>
      <x v="233"/>
      <x v="611"/>
    </i>
    <i>
      <x v="235"/>
      <x v="521"/>
    </i>
    <i>
      <x v="237"/>
      <x v="67"/>
    </i>
    <i r="1">
      <x v="385"/>
    </i>
    <i r="1">
      <x v="462"/>
    </i>
    <i r="1">
      <x v="635"/>
    </i>
    <i r="1">
      <x v="725"/>
    </i>
    <i>
      <x v="239"/>
      <x v="108"/>
    </i>
    <i>
      <x v="240"/>
      <x v="426"/>
    </i>
    <i r="1">
      <x v="431"/>
    </i>
    <i r="1">
      <x v="812"/>
    </i>
    <i>
      <x v="241"/>
      <x v="162"/>
    </i>
    <i r="1">
      <x v="344"/>
    </i>
    <i r="1">
      <x v="366"/>
    </i>
    <i>
      <x v="242"/>
      <x v="224"/>
    </i>
    <i r="1">
      <x v="269"/>
    </i>
    <i r="1">
      <x v="471"/>
    </i>
    <i r="1">
      <x v="576"/>
    </i>
    <i>
      <x v="243"/>
      <x v="166"/>
    </i>
    <i>
      <x v="244"/>
      <x v="596"/>
    </i>
    <i>
      <x v="245"/>
      <x v="667"/>
    </i>
    <i r="1">
      <x v="785"/>
    </i>
    <i>
      <x v="247"/>
      <x v="365"/>
    </i>
    <i r="1">
      <x v="440"/>
    </i>
    <i>
      <x v="249"/>
      <x v="183"/>
    </i>
    <i>
      <x v="250"/>
      <x v="518"/>
    </i>
    <i>
      <x v="251"/>
      <x v="412"/>
    </i>
    <i>
      <x v="253"/>
      <x v="649"/>
    </i>
    <i>
      <x v="254"/>
      <x v="260"/>
    </i>
    <i>
      <x v="257"/>
      <x v="321"/>
    </i>
    <i r="1">
      <x v="350"/>
    </i>
    <i>
      <x v="258"/>
      <x v="230"/>
    </i>
    <i>
      <x v="261"/>
      <x v="185"/>
    </i>
    <i>
      <x v="262"/>
      <x v="254"/>
    </i>
    <i r="1">
      <x v="330"/>
    </i>
    <i r="1">
      <x v="572"/>
    </i>
    <i>
      <x v="263"/>
      <x v="589"/>
    </i>
    <i r="1">
      <x v="594"/>
    </i>
    <i>
      <x v="264"/>
      <x v="294"/>
    </i>
    <i>
      <x v="265"/>
      <x v="104"/>
    </i>
    <i>
      <x v="266"/>
      <x v="211"/>
    </i>
    <i r="1">
      <x v="271"/>
    </i>
    <i r="1">
      <x v="297"/>
    </i>
    <i r="1">
      <x v="298"/>
    </i>
    <i r="1">
      <x v="334"/>
    </i>
    <i r="1">
      <x v="404"/>
    </i>
    <i r="1">
      <x v="470"/>
    </i>
    <i r="1">
      <x v="538"/>
    </i>
    <i r="1">
      <x v="563"/>
    </i>
    <i r="1">
      <x v="612"/>
    </i>
    <i r="1">
      <x v="630"/>
    </i>
    <i r="1">
      <x v="694"/>
    </i>
    <i r="1">
      <x v="702"/>
    </i>
    <i r="1">
      <x v="755"/>
    </i>
    <i r="1">
      <x v="765"/>
    </i>
    <i r="1">
      <x v="802"/>
    </i>
    <i r="1">
      <x v="806"/>
    </i>
    <i>
      <x v="267"/>
      <x v="674"/>
    </i>
    <i>
      <x v="268"/>
      <x v="174"/>
    </i>
    <i r="1">
      <x v="447"/>
    </i>
    <i>
      <x v="269"/>
      <x v="721"/>
    </i>
    <i>
      <x v="270"/>
      <x v="134"/>
    </i>
    <i>
      <x v="271"/>
      <x v="287"/>
    </i>
    <i r="1">
      <x v="471"/>
    </i>
    <i r="1">
      <x v="481"/>
    </i>
    <i r="1">
      <x v="536"/>
    </i>
    <i>
      <x v="272"/>
      <x v="512"/>
    </i>
    <i>
      <x v="273"/>
      <x v="236"/>
    </i>
    <i>
      <x v="274"/>
      <x v="266"/>
    </i>
    <i r="1">
      <x v="300"/>
    </i>
    <i r="1">
      <x v="348"/>
    </i>
    <i r="1">
      <x v="390"/>
    </i>
    <i r="1">
      <x v="486"/>
    </i>
    <i r="1">
      <x v="627"/>
    </i>
    <i r="1">
      <x v="761"/>
    </i>
    <i r="1">
      <x v="783"/>
    </i>
    <i>
      <x v="275"/>
      <x v="415"/>
    </i>
    <i>
      <x v="276"/>
      <x v="301"/>
    </i>
    <i r="1">
      <x v="634"/>
    </i>
    <i>
      <x v="277"/>
      <x v="328"/>
    </i>
    <i>
      <x v="278"/>
      <x v="671"/>
    </i>
    <i>
      <x v="280"/>
      <x v="78"/>
    </i>
    <i r="1">
      <x v="87"/>
    </i>
    <i r="1">
      <x v="121"/>
    </i>
    <i r="1">
      <x v="135"/>
    </i>
    <i r="1">
      <x v="341"/>
    </i>
    <i r="1">
      <x v="352"/>
    </i>
    <i r="1">
      <x v="395"/>
    </i>
    <i r="1">
      <x v="489"/>
    </i>
    <i r="1">
      <x v="492"/>
    </i>
    <i r="1">
      <x v="531"/>
    </i>
    <i r="1">
      <x v="578"/>
    </i>
    <i r="1">
      <x v="583"/>
    </i>
    <i r="1">
      <x v="692"/>
    </i>
    <i>
      <x v="281"/>
      <x v="22"/>
    </i>
    <i>
      <x v="283"/>
      <x v="51"/>
    </i>
    <i r="1">
      <x v="101"/>
    </i>
    <i r="1">
      <x v="155"/>
    </i>
    <i r="1">
      <x v="175"/>
    </i>
    <i r="1">
      <x v="178"/>
    </i>
    <i r="1">
      <x v="237"/>
    </i>
    <i r="1">
      <x v="281"/>
    </i>
    <i r="1">
      <x v="283"/>
    </i>
    <i r="1">
      <x v="484"/>
    </i>
    <i r="1">
      <x v="490"/>
    </i>
    <i r="1">
      <x v="491"/>
    </i>
    <i r="1">
      <x v="503"/>
    </i>
    <i r="1">
      <x v="518"/>
    </i>
    <i r="1">
      <x v="565"/>
    </i>
    <i r="1">
      <x v="669"/>
    </i>
    <i r="1">
      <x v="741"/>
    </i>
    <i r="1">
      <x v="822"/>
    </i>
    <i>
      <x v="284"/>
      <x v="434"/>
    </i>
    <i>
      <x v="285"/>
      <x v="213"/>
    </i>
    <i r="1">
      <x v="352"/>
    </i>
    <i r="1">
      <x v="410"/>
    </i>
    <i>
      <x v="286"/>
      <x v="137"/>
    </i>
    <i>
      <x v="287"/>
      <x v="672"/>
    </i>
    <i>
      <x v="289"/>
      <x v="452"/>
    </i>
    <i>
      <x v="290"/>
      <x v="634"/>
    </i>
    <i>
      <x v="291"/>
      <x v="316"/>
    </i>
    <i r="1">
      <x v="449"/>
    </i>
    <i>
      <x v="292"/>
      <x v="320"/>
    </i>
    <i>
      <x v="293"/>
      <x v="210"/>
    </i>
    <i>
      <x v="294"/>
      <x v="451"/>
    </i>
    <i>
      <x v="296"/>
      <x v="486"/>
    </i>
    <i r="1">
      <x v="507"/>
    </i>
    <i>
      <x v="297"/>
      <x v="138"/>
    </i>
    <i>
      <x v="298"/>
      <x v="228"/>
    </i>
    <i>
      <x v="302"/>
      <x v="167"/>
    </i>
    <i r="1">
      <x v="749"/>
    </i>
    <i>
      <x v="303"/>
      <x v="331"/>
    </i>
    <i>
      <x v="304"/>
      <x v="168"/>
    </i>
    <i r="1">
      <x v="304"/>
    </i>
    <i>
      <x v="305"/>
      <x v="253"/>
    </i>
    <i>
      <x v="308"/>
      <x v="370"/>
    </i>
    <i>
      <x v="309"/>
      <x v="160"/>
    </i>
    <i>
      <x v="310"/>
      <x v="816"/>
    </i>
    <i>
      <x v="311"/>
      <x v="391"/>
    </i>
    <i r="1">
      <x v="519"/>
    </i>
    <i>
      <x v="312"/>
      <x v="47"/>
    </i>
    <i>
      <x v="313"/>
      <x v="123"/>
    </i>
    <i r="1">
      <x v="214"/>
    </i>
    <i r="1">
      <x v="251"/>
    </i>
    <i r="1">
      <x v="324"/>
    </i>
    <i r="1">
      <x v="367"/>
    </i>
    <i r="1">
      <x v="504"/>
    </i>
    <i r="1">
      <x v="513"/>
    </i>
    <i r="1">
      <x v="585"/>
    </i>
    <i r="1">
      <x v="688"/>
    </i>
    <i r="1">
      <x v="724"/>
    </i>
    <i r="1">
      <x v="735"/>
    </i>
    <i r="1">
      <x v="797"/>
    </i>
    <i r="1">
      <x v="826"/>
    </i>
    <i>
      <x v="314"/>
      <x v="700"/>
    </i>
    <i>
      <x v="315"/>
      <x v="234"/>
    </i>
    <i r="1">
      <x v="709"/>
    </i>
    <i>
      <x v="316"/>
      <x v="674"/>
    </i>
    <i>
      <x v="317"/>
      <x v="106"/>
    </i>
    <i r="1">
      <x v="112"/>
    </i>
    <i r="1">
      <x v="197"/>
    </i>
    <i r="1">
      <x v="318"/>
    </i>
    <i r="1">
      <x v="387"/>
    </i>
    <i r="1">
      <x v="517"/>
    </i>
    <i r="1">
      <x v="673"/>
    </i>
    <i r="1">
      <x v="718"/>
    </i>
    <i>
      <x v="318"/>
      <x v="768"/>
    </i>
    <i r="1">
      <x v="784"/>
    </i>
    <i>
      <x v="319"/>
      <x v="812"/>
    </i>
    <i>
      <x v="322"/>
      <x v="374"/>
    </i>
    <i>
      <x v="323"/>
      <x v="34"/>
    </i>
    <i>
      <x v="324"/>
      <x v="308"/>
    </i>
    <i>
      <x v="325"/>
      <x v="309"/>
    </i>
    <i>
      <x v="326"/>
      <x v="148"/>
    </i>
    <i r="1">
      <x v="333"/>
    </i>
    <i r="1">
      <x v="766"/>
    </i>
    <i>
      <x v="327"/>
      <x v="190"/>
    </i>
    <i>
      <x v="332"/>
      <x v="193"/>
    </i>
    <i>
      <x v="333"/>
      <x v="38"/>
    </i>
    <i r="1">
      <x v="729"/>
    </i>
    <i>
      <x v="334"/>
      <x v="20"/>
    </i>
    <i r="1">
      <x v="86"/>
    </i>
    <i r="1">
      <x v="91"/>
    </i>
    <i r="1">
      <x v="93"/>
    </i>
    <i r="1">
      <x v="264"/>
    </i>
    <i r="1">
      <x v="397"/>
    </i>
    <i r="1">
      <x v="405"/>
    </i>
    <i r="1">
      <x v="606"/>
    </i>
    <i>
      <x v="336"/>
      <x v="51"/>
    </i>
    <i r="1">
      <x v="65"/>
    </i>
    <i r="1">
      <x v="128"/>
    </i>
    <i r="1">
      <x v="208"/>
    </i>
    <i r="1">
      <x v="525"/>
    </i>
    <i r="1">
      <x v="526"/>
    </i>
    <i r="1">
      <x v="736"/>
    </i>
    <i>
      <x v="338"/>
      <x v="582"/>
    </i>
    <i>
      <x v="339"/>
      <x v="682"/>
    </i>
    <i r="1">
      <x v="782"/>
    </i>
    <i>
      <x v="340"/>
      <x v="15"/>
    </i>
    <i r="1">
      <x v="60"/>
    </i>
    <i r="1">
      <x v="75"/>
    </i>
    <i r="1">
      <x v="109"/>
    </i>
    <i r="1">
      <x v="120"/>
    </i>
    <i r="1">
      <x v="342"/>
    </i>
    <i r="1">
      <x v="366"/>
    </i>
    <i r="1">
      <x v="769"/>
    </i>
    <i>
      <x v="341"/>
      <x v="352"/>
    </i>
    <i>
      <x v="342"/>
      <x v="785"/>
    </i>
    <i>
      <x v="343"/>
      <x v="664"/>
    </i>
    <i>
      <x v="344"/>
      <x v="161"/>
    </i>
    <i>
      <x v="345"/>
      <x v="130"/>
    </i>
    <i>
      <x v="346"/>
      <x v="90"/>
    </i>
    <i>
      <x v="347"/>
      <x v="274"/>
    </i>
    <i r="1">
      <x v="465"/>
    </i>
    <i r="1">
      <x v="660"/>
    </i>
    <i r="1">
      <x v="804"/>
    </i>
    <i>
      <x v="348"/>
      <x v="207"/>
    </i>
    <i r="1">
      <x v="552"/>
    </i>
    <i>
      <x v="349"/>
      <x v="599"/>
    </i>
    <i>
      <x v="350"/>
      <x v="158"/>
    </i>
    <i>
      <x v="352"/>
      <x v="189"/>
    </i>
    <i r="1">
      <x v="227"/>
    </i>
    <i r="1">
      <x v="456"/>
    </i>
    <i r="1">
      <x v="645"/>
    </i>
    <i>
      <x v="353"/>
      <x v="49"/>
    </i>
    <i r="1">
      <x v="165"/>
    </i>
    <i r="1">
      <x v="562"/>
    </i>
    <i r="1">
      <x v="764"/>
    </i>
    <i>
      <x v="354"/>
      <x v="727"/>
    </i>
    <i>
      <x v="356"/>
      <x v="423"/>
    </i>
    <i>
      <x v="357"/>
      <x v="438"/>
    </i>
    <i>
      <x v="358"/>
      <x v="777"/>
    </i>
    <i>
      <x v="359"/>
      <x v="638"/>
    </i>
    <i>
      <x v="360"/>
      <x v="69"/>
    </i>
    <i r="1">
      <x v="666"/>
    </i>
    <i>
      <x v="363"/>
      <x v="53"/>
    </i>
    <i r="1">
      <x v="746"/>
    </i>
    <i>
      <x v="364"/>
      <x v="77"/>
    </i>
    <i>
      <x v="365"/>
      <x v="659"/>
    </i>
    <i>
      <x v="366"/>
      <x v="103"/>
    </i>
    <i r="1">
      <x v="105"/>
    </i>
    <i r="1">
      <x v="129"/>
    </i>
    <i r="1">
      <x v="295"/>
    </i>
    <i r="1">
      <x v="314"/>
    </i>
    <i r="1">
      <x v="440"/>
    </i>
    <i r="1">
      <x v="475"/>
    </i>
    <i r="1">
      <x v="654"/>
    </i>
    <i r="1">
      <x v="690"/>
    </i>
    <i r="1">
      <x v="704"/>
    </i>
    <i>
      <x v="367"/>
      <x v="498"/>
    </i>
    <i r="1">
      <x v="533"/>
    </i>
    <i>
      <x v="370"/>
      <x v="527"/>
    </i>
    <i>
      <x v="371"/>
      <x v="401"/>
    </i>
    <i>
      <x v="372"/>
      <x v="72"/>
    </i>
    <i>
      <x v="373"/>
      <x v="466"/>
    </i>
    <i>
      <x v="374"/>
      <x v="689"/>
    </i>
    <i>
      <x v="375"/>
      <x v="257"/>
    </i>
    <i r="1">
      <x v="440"/>
    </i>
    <i r="1">
      <x v="541"/>
    </i>
    <i>
      <x v="377"/>
      <x v="428"/>
    </i>
    <i>
      <x v="378"/>
      <x v="467"/>
    </i>
    <i>
      <x v="379"/>
      <x v="458"/>
    </i>
    <i r="1">
      <x v="593"/>
    </i>
    <i>
      <x v="380"/>
      <x v="83"/>
    </i>
    <i>
      <x v="382"/>
      <x/>
    </i>
    <i>
      <x v="383"/>
      <x v="156"/>
    </i>
    <i>
      <x v="385"/>
      <x v="8"/>
    </i>
    <i>
      <x v="386"/>
      <x v="787"/>
    </i>
    <i>
      <x v="387"/>
      <x v="57"/>
    </i>
    <i r="1">
      <x v="71"/>
    </i>
    <i r="1">
      <x v="85"/>
    </i>
    <i r="1">
      <x v="114"/>
    </i>
    <i r="1">
      <x v="145"/>
    </i>
    <i r="1">
      <x v="352"/>
    </i>
    <i r="1">
      <x v="409"/>
    </i>
    <i r="1">
      <x v="423"/>
    </i>
    <i r="1">
      <x v="439"/>
    </i>
    <i r="1">
      <x v="639"/>
    </i>
    <i r="1">
      <x v="644"/>
    </i>
    <i r="1">
      <x v="805"/>
    </i>
    <i>
      <x v="388"/>
      <x v="257"/>
    </i>
    <i>
      <x v="389"/>
      <x v="41"/>
    </i>
    <i r="1">
      <x v="70"/>
    </i>
    <i r="1">
      <x v="143"/>
    </i>
    <i r="1">
      <x v="170"/>
    </i>
    <i r="1">
      <x v="176"/>
    </i>
    <i r="1">
      <x v="223"/>
    </i>
    <i r="1">
      <x v="363"/>
    </i>
    <i r="1">
      <x v="408"/>
    </i>
    <i r="1">
      <x v="441"/>
    </i>
    <i r="1">
      <x v="547"/>
    </i>
    <i r="1">
      <x v="593"/>
    </i>
    <i r="1">
      <x v="684"/>
    </i>
    <i r="1">
      <x v="788"/>
    </i>
    <i r="1">
      <x v="819"/>
    </i>
    <i>
      <x v="390"/>
      <x v="55"/>
    </i>
    <i r="1">
      <x v="199"/>
    </i>
    <i r="1">
      <x v="204"/>
    </i>
    <i r="1">
      <x v="474"/>
    </i>
    <i r="1">
      <x v="501"/>
    </i>
    <i r="1">
      <x v="652"/>
    </i>
    <i>
      <x v="391"/>
      <x v="6"/>
    </i>
    <i>
      <x v="392"/>
      <x v="814"/>
    </i>
    <i>
      <x v="393"/>
      <x v="584"/>
    </i>
    <i>
      <x v="394"/>
      <x v="580"/>
    </i>
    <i>
      <x v="395"/>
      <x v="745"/>
    </i>
    <i>
      <x v="396"/>
      <x v="24"/>
    </i>
    <i>
      <x v="397"/>
      <x v="817"/>
    </i>
    <i>
      <x v="398"/>
      <x v="125"/>
    </i>
    <i>
      <x v="399"/>
      <x v="433"/>
    </i>
    <i>
      <x v="400"/>
      <x v="748"/>
    </i>
    <i>
      <x v="401"/>
      <x v="23"/>
    </i>
    <i r="1">
      <x v="319"/>
    </i>
    <i r="1">
      <x v="381"/>
    </i>
    <i r="1">
      <x v="409"/>
    </i>
    <i r="1">
      <x v="778"/>
    </i>
    <i>
      <x v="404"/>
      <x v="76"/>
    </i>
    <i r="1">
      <x v="260"/>
    </i>
    <i r="1">
      <x v="500"/>
    </i>
    <i r="1">
      <x v="685"/>
    </i>
    <i r="1">
      <x v="724"/>
    </i>
    <i r="1">
      <x v="797"/>
    </i>
    <i r="1">
      <x v="808"/>
    </i>
    <i>
      <x v="406"/>
      <x v="263"/>
    </i>
    <i>
      <x v="407"/>
      <x v="61"/>
    </i>
    <i r="1">
      <x v="97"/>
    </i>
    <i>
      <x v="408"/>
      <x v="6"/>
    </i>
    <i r="1">
      <x v="64"/>
    </i>
    <i r="1">
      <x v="182"/>
    </i>
    <i r="1">
      <x v="265"/>
    </i>
    <i r="1">
      <x v="285"/>
    </i>
    <i r="1">
      <x v="336"/>
    </i>
    <i r="1">
      <x v="494"/>
    </i>
    <i r="1">
      <x v="555"/>
    </i>
    <i r="1">
      <x v="567"/>
    </i>
    <i r="1">
      <x v="661"/>
    </i>
    <i r="1">
      <x v="701"/>
    </i>
    <i r="1">
      <x v="775"/>
    </i>
    <i r="1">
      <x v="797"/>
    </i>
    <i>
      <x v="410"/>
      <x v="159"/>
    </i>
    <i r="1">
      <x v="171"/>
    </i>
    <i r="1">
      <x v="258"/>
    </i>
    <i r="1">
      <x v="357"/>
    </i>
    <i>
      <x v="411"/>
      <x v="51"/>
    </i>
    <i>
      <x v="412"/>
      <x v="803"/>
    </i>
    <i>
      <x v="413"/>
      <x v="272"/>
    </i>
    <i>
      <x v="414"/>
      <x v="287"/>
    </i>
    <i>
      <x v="415"/>
      <x v="434"/>
    </i>
    <i r="1">
      <x v="518"/>
    </i>
    <i>
      <x v="418"/>
      <x v="463"/>
    </i>
    <i>
      <x v="419"/>
      <x v="800"/>
    </i>
    <i>
      <x v="420"/>
      <x v="202"/>
    </i>
    <i>
      <x v="421"/>
      <x v="641"/>
    </i>
    <i>
      <x v="422"/>
      <x v="340"/>
    </i>
    <i>
      <x v="423"/>
      <x v="655"/>
    </i>
    <i>
      <x v="425"/>
      <x v="232"/>
    </i>
    <i>
      <x v="426"/>
      <x v="753"/>
    </i>
    <i>
      <x v="429"/>
      <x v="157"/>
    </i>
    <i r="1">
      <x v="436"/>
    </i>
    <i r="1">
      <x v="440"/>
    </i>
    <i>
      <x v="430"/>
      <x v="94"/>
    </i>
  </rowItems>
  <colItems count="1">
    <i/>
  </colItems>
  <dataFields count="1">
    <dataField name="Count of Place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DD5C7-169B-4B45-938C-EC9083375173}" name="PivotTable2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G5:I858" firstHeaderRow="2" firstDataRow="2" firstDataCol="2" rowPageCount="3" colPageCount="1"/>
  <pivotFields count="10">
    <pivotField compact="0" outline="0" showAll="0"/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axis="axisRow" compact="0" outline="0" showAll="0" sortType="ascending" defaultSubtotal="0">
      <items count="828">
        <item x="539"/>
        <item m="1" x="741"/>
        <item m="1" x="768"/>
        <item m="1" x="789"/>
        <item m="1" x="800"/>
        <item x="339"/>
        <item x="346"/>
        <item x="380"/>
        <item x="62"/>
        <item m="1" x="763"/>
        <item x="646"/>
        <item x="531"/>
        <item x="280"/>
        <item x="696"/>
        <item x="199"/>
        <item x="441"/>
        <item x="725"/>
        <item x="445"/>
        <item x="523"/>
        <item x="723"/>
        <item x="433"/>
        <item x="490"/>
        <item x="0"/>
        <item x="420"/>
        <item x="557"/>
        <item x="106"/>
        <item x="127"/>
        <item m="1" x="752"/>
        <item x="680"/>
        <item x="192"/>
        <item x="676"/>
        <item x="140"/>
        <item x="451"/>
        <item x="109"/>
        <item x="218"/>
        <item x="271"/>
        <item x="367"/>
        <item x="289"/>
        <item x="200"/>
        <item m="1" x="792"/>
        <item x="610"/>
        <item x="486"/>
        <item x="507"/>
        <item x="347"/>
        <item x="381"/>
        <item x="213"/>
        <item m="1" x="773"/>
        <item x="99"/>
        <item x="193"/>
        <item x="642"/>
        <item x="656"/>
        <item x="15"/>
        <item x="550"/>
        <item x="480"/>
        <item m="1" x="785"/>
        <item x="421"/>
        <item x="662"/>
        <item x="58"/>
        <item m="1" x="769"/>
        <item x="302"/>
        <item x="661"/>
        <item x="426"/>
        <item x="663"/>
        <item x="240"/>
        <item x="482"/>
        <item x="125"/>
        <item m="1" x="826"/>
        <item x="546"/>
        <item m="1" x="825"/>
        <item x="665"/>
        <item x="212"/>
        <item x="614"/>
        <item x="174"/>
        <item x="110"/>
        <item x="25"/>
        <item x="466"/>
        <item x="313"/>
        <item x="303"/>
        <item x="503"/>
        <item x="475"/>
        <item x="264"/>
        <item x="541"/>
        <item m="1" x="813"/>
        <item x="227"/>
        <item x="71"/>
        <item x="259"/>
        <item x="355"/>
        <item x="401"/>
        <item x="682"/>
        <item m="1" x="780"/>
        <item x="169"/>
        <item x="471"/>
        <item x="491"/>
        <item x="357"/>
        <item x="152"/>
        <item m="1" x="824"/>
        <item x="151"/>
        <item x="589"/>
        <item x="372"/>
        <item x="732"/>
        <item x="197"/>
        <item x="548"/>
        <item x="14"/>
        <item x="297"/>
        <item x="202"/>
        <item x="22"/>
        <item x="88"/>
        <item x="613"/>
        <item x="26"/>
        <item x="431"/>
        <item x="363"/>
        <item x="686"/>
        <item x="146"/>
        <item x="637"/>
        <item x="68"/>
        <item m="1" x="750"/>
        <item x="353"/>
        <item x="326"/>
        <item m="1" x="821"/>
        <item x="361"/>
        <item x="269"/>
        <item x="530"/>
        <item x="384"/>
        <item x="501"/>
        <item x="139"/>
        <item x="18"/>
        <item x="659"/>
        <item x="634"/>
        <item x="149"/>
        <item x="288"/>
        <item x="12"/>
        <item x="186"/>
        <item x="170"/>
        <item x="449"/>
        <item x="216"/>
        <item x="638"/>
        <item m="1" x="778"/>
        <item x="575"/>
        <item x="249"/>
        <item m="1" x="758"/>
        <item x="697"/>
        <item x="378"/>
        <item m="1" x="784"/>
        <item x="444"/>
        <item x="334"/>
        <item x="74"/>
        <item x="354"/>
        <item x="595"/>
        <item x="205"/>
        <item x="343"/>
        <item x="245"/>
        <item x="272"/>
        <item x="414"/>
        <item x="601"/>
        <item x="435"/>
        <item x="618"/>
        <item x="281"/>
        <item x="283"/>
        <item x="671"/>
        <item x="101"/>
        <item x="340"/>
        <item x="590"/>
        <item x="237"/>
        <item x="60"/>
        <item x="698"/>
        <item x="388"/>
        <item x="555"/>
        <item x="528"/>
        <item x="305"/>
        <item x="608"/>
        <item x="4"/>
        <item x="547"/>
        <item m="1" x="812"/>
        <item x="485"/>
        <item x="629"/>
        <item x="100"/>
        <item x="243"/>
        <item m="1" x="740"/>
        <item x="73"/>
        <item x="285"/>
        <item x="484"/>
        <item m="1" x="765"/>
        <item x="258"/>
        <item x="474"/>
        <item x="172"/>
        <item x="596"/>
        <item x="524"/>
        <item x="333"/>
        <item x="327"/>
        <item x="652"/>
        <item x="41"/>
        <item x="374"/>
        <item x="705"/>
        <item x="319"/>
        <item x="430"/>
        <item x="561"/>
        <item m="1" x="806"/>
        <item x="57"/>
        <item x="37"/>
        <item x="153"/>
        <item m="1" x="777"/>
        <item x="719"/>
        <item x="677"/>
        <item x="419"/>
        <item x="236"/>
        <item x="121"/>
        <item x="405"/>
        <item x="432"/>
        <item x="424"/>
        <item m="1" x="767"/>
        <item x="329"/>
        <item x="348"/>
        <item x="36"/>
        <item x="54"/>
        <item x="591"/>
        <item x="715"/>
        <item m="1" x="804"/>
        <item x="423"/>
        <item m="1" x="815"/>
        <item x="55"/>
        <item x="188"/>
        <item m="1" x="786"/>
        <item x="72"/>
        <item x="362"/>
        <item x="201"/>
        <item m="1" x="819"/>
        <item x="521"/>
        <item x="9"/>
        <item x="185"/>
        <item x="183"/>
        <item x="156"/>
        <item x="206"/>
        <item x="615"/>
        <item x="733"/>
        <item x="85"/>
        <item x="13"/>
        <item x="456"/>
        <item x="600"/>
        <item x="130"/>
        <item x="370"/>
        <item x="295"/>
        <item m="1" x="771"/>
        <item x="439"/>
        <item x="572"/>
        <item m="1" x="822"/>
        <item x="582"/>
        <item x="553"/>
        <item m="1" x="805"/>
        <item x="315"/>
        <item x="84"/>
        <item x="583"/>
        <item x="498"/>
        <item x="603"/>
        <item x="64"/>
        <item x="461"/>
        <item x="413"/>
        <item x="250"/>
        <item x="45"/>
        <item x="229"/>
        <item x="540"/>
        <item x="349"/>
        <item x="593"/>
        <item m="1" x="757"/>
        <item x="173"/>
        <item x="165"/>
        <item x="102"/>
        <item x="495"/>
        <item x="513"/>
        <item x="455"/>
        <item x="83"/>
        <item x="154"/>
        <item x="636"/>
        <item x="299"/>
        <item x="399"/>
        <item x="462"/>
        <item x="247"/>
        <item x="116"/>
        <item x="284"/>
        <item x="359"/>
        <item x="416"/>
        <item x="67"/>
        <item x="499"/>
        <item m="1" x="745"/>
        <item x="500"/>
        <item x="19"/>
        <item x="321"/>
        <item x="277"/>
        <item x="407"/>
        <item x="148"/>
        <item x="643"/>
        <item x="464"/>
        <item x="337"/>
        <item x="203"/>
        <item m="1" x="738"/>
        <item x="412"/>
        <item x="224"/>
        <item x="265"/>
        <item x="330"/>
        <item x="654"/>
        <item x="710"/>
        <item x="341"/>
        <item x="619"/>
        <item x="685"/>
        <item x="114"/>
        <item x="134"/>
        <item m="1" x="748"/>
        <item x="358"/>
        <item x="82"/>
        <item x="630"/>
        <item x="571"/>
        <item x="511"/>
        <item x="506"/>
        <item m="1" x="753"/>
        <item x="239"/>
        <item x="219"/>
        <item m="1" x="783"/>
        <item x="617"/>
        <item x="554"/>
        <item x="386"/>
        <item x="385"/>
        <item x="645"/>
        <item x="393"/>
        <item x="683"/>
        <item x="674"/>
        <item x="252"/>
        <item x="579"/>
        <item x="695"/>
        <item x="171"/>
        <item x="481"/>
        <item x="522"/>
        <item x="230"/>
        <item x="278"/>
        <item x="117"/>
        <item x="675"/>
        <item x="198"/>
        <item m="1" x="749"/>
        <item x="89"/>
        <item m="1" x="794"/>
        <item m="1" x="775"/>
        <item x="142"/>
        <item x="97"/>
        <item x="394"/>
        <item x="23"/>
        <item m="1" x="795"/>
        <item x="580"/>
        <item x="718"/>
        <item x="255"/>
        <item x="160"/>
        <item x="270"/>
        <item m="1" x="760"/>
        <item x="606"/>
        <item x="532"/>
        <item x="16"/>
        <item x="368"/>
        <item x="712"/>
        <item x="189"/>
        <item x="701"/>
        <item x="260"/>
        <item x="730"/>
        <item x="447"/>
        <item m="1" x="816"/>
        <item x="244"/>
        <item x="633"/>
        <item x="175"/>
        <item m="1" x="820"/>
        <item x="415"/>
        <item x="356"/>
        <item x="404"/>
        <item x="558"/>
        <item m="1" x="811"/>
        <item x="310"/>
        <item x="231"/>
        <item x="301"/>
        <item x="578"/>
        <item x="465"/>
        <item x="448"/>
        <item x="716"/>
        <item x="425"/>
        <item x="434"/>
        <item x="526"/>
        <item x="96"/>
        <item x="11"/>
        <item x="286"/>
        <item x="556"/>
        <item x="573"/>
        <item x="161"/>
        <item m="1" x="751"/>
        <item x="287"/>
        <item x="727"/>
        <item x="338"/>
        <item x="77"/>
        <item x="78"/>
        <item x="489"/>
        <item x="323"/>
        <item x="75"/>
        <item x="21"/>
        <item m="1" x="807"/>
        <item x="668"/>
        <item x="517"/>
        <item x="472"/>
        <item x="576"/>
        <item x="317"/>
        <item x="527"/>
        <item x="693"/>
        <item x="103"/>
        <item x="587"/>
        <item x="32"/>
        <item m="1" x="802"/>
        <item x="263"/>
        <item x="516"/>
        <item x="8"/>
        <item m="1" x="761"/>
        <item x="136"/>
        <item x="87"/>
        <item x="460"/>
        <item x="304"/>
        <item x="350"/>
        <item x="49"/>
        <item x="468"/>
        <item x="469"/>
        <item m="1" x="787"/>
        <item m="1" x="801"/>
        <item x="344"/>
        <item x="31"/>
        <item x="577"/>
        <item m="1" x="797"/>
        <item x="427"/>
        <item x="729"/>
        <item x="194"/>
        <item x="377"/>
        <item x="453"/>
        <item x="298"/>
        <item m="1" x="781"/>
        <item x="209"/>
        <item x="94"/>
        <item x="267"/>
        <item x="537"/>
        <item x="373"/>
        <item x="599"/>
        <item x="544"/>
        <item x="40"/>
        <item x="679"/>
        <item x="296"/>
        <item x="369"/>
        <item x="221"/>
        <item m="1" x="808"/>
        <item x="520"/>
        <item x="436"/>
        <item m="1" x="788"/>
        <item x="300"/>
        <item x="505"/>
        <item x="44"/>
        <item x="351"/>
        <item x="90"/>
        <item m="1" x="823"/>
        <item x="390"/>
        <item x="536"/>
        <item x="515"/>
        <item x="92"/>
        <item x="446"/>
        <item x="396"/>
        <item x="669"/>
        <item x="365"/>
        <item x="275"/>
        <item x="345"/>
        <item x="379"/>
        <item x="261"/>
        <item x="132"/>
        <item x="123"/>
        <item m="1" x="754"/>
        <item x="635"/>
        <item x="65"/>
        <item x="551"/>
        <item m="1" x="791"/>
        <item x="616"/>
        <item x="53"/>
        <item x="702"/>
        <item x="104"/>
        <item x="59"/>
        <item x="713"/>
        <item x="241"/>
        <item x="141"/>
        <item m="1" x="779"/>
        <item x="411"/>
        <item x="649"/>
        <item x="331"/>
        <item x="43"/>
        <item x="478"/>
        <item x="309"/>
        <item x="27"/>
        <item x="157"/>
        <item x="91"/>
        <item x="63"/>
        <item x="684"/>
        <item x="112"/>
        <item x="681"/>
        <item x="647"/>
        <item x="477"/>
        <item x="276"/>
        <item x="195"/>
        <item x="214"/>
        <item x="457"/>
        <item m="1" x="772"/>
        <item x="119"/>
        <item x="1"/>
        <item x="294"/>
        <item x="494"/>
        <item x="586"/>
        <item x="443"/>
        <item x="181"/>
        <item x="282"/>
        <item x="336"/>
        <item x="581"/>
        <item x="387"/>
        <item x="632"/>
        <item m="1" x="739"/>
        <item x="222"/>
        <item x="145"/>
        <item x="3"/>
        <item x="17"/>
        <item m="1" x="827"/>
        <item x="126"/>
        <item x="48"/>
        <item x="308"/>
        <item m="1" x="798"/>
        <item x="735"/>
        <item x="306"/>
        <item x="496"/>
        <item x="208"/>
        <item x="328"/>
        <item m="1" x="790"/>
        <item x="512"/>
        <item x="376"/>
        <item x="620"/>
        <item x="395"/>
        <item x="459"/>
        <item x="644"/>
        <item x="422"/>
        <item x="594"/>
        <item x="651"/>
        <item x="42"/>
        <item x="135"/>
        <item x="332"/>
        <item x="191"/>
        <item x="454"/>
        <item x="6"/>
        <item x="703"/>
        <item x="144"/>
        <item x="562"/>
        <item x="563"/>
        <item x="564"/>
        <item x="228"/>
        <item x="122"/>
        <item x="52"/>
        <item x="220"/>
        <item x="166"/>
        <item m="1" x="774"/>
        <item m="1" x="737"/>
        <item x="655"/>
        <item x="398"/>
        <item x="196"/>
        <item m="1" x="817"/>
        <item x="567"/>
        <item x="178"/>
        <item x="242"/>
        <item x="131"/>
        <item x="314"/>
        <item x="256"/>
        <item x="678"/>
        <item x="371"/>
        <item x="105"/>
        <item x="609"/>
        <item x="184"/>
        <item x="158"/>
        <item x="291"/>
        <item x="670"/>
        <item x="622"/>
        <item m="1" x="799"/>
        <item x="128"/>
        <item x="502"/>
        <item x="437"/>
        <item x="625"/>
        <item x="274"/>
        <item x="664"/>
        <item x="80"/>
        <item x="98"/>
        <item m="1" x="818"/>
        <item x="248"/>
        <item m="1" x="743"/>
        <item x="162"/>
        <item x="391"/>
        <item m="1" x="809"/>
        <item m="1" x="770"/>
        <item x="93"/>
        <item x="535"/>
        <item x="69"/>
        <item x="545"/>
        <item x="400"/>
        <item x="70"/>
        <item x="10"/>
        <item x="226"/>
        <item x="56"/>
        <item x="559"/>
        <item x="694"/>
        <item x="687"/>
        <item x="246"/>
        <item x="440"/>
        <item x="182"/>
        <item x="688"/>
        <item x="626"/>
        <item x="187"/>
        <item x="418"/>
        <item x="450"/>
        <item x="7"/>
        <item x="497"/>
        <item m="1" x="756"/>
        <item m="1" x="759"/>
        <item x="667"/>
        <item x="163"/>
        <item x="565"/>
        <item x="570"/>
        <item x="692"/>
        <item x="487"/>
        <item x="650"/>
        <item x="129"/>
        <item x="709"/>
        <item x="706"/>
        <item x="360"/>
        <item x="95"/>
        <item x="483"/>
        <item x="428"/>
        <item x="34"/>
        <item x="290"/>
        <item x="690"/>
        <item x="658"/>
        <item x="508"/>
        <item x="627"/>
        <item x="233"/>
        <item x="176"/>
        <item x="611"/>
        <item m="1" x="776"/>
        <item x="640"/>
        <item x="190"/>
        <item x="605"/>
        <item x="438"/>
        <item x="76"/>
        <item m="1" x="810"/>
        <item x="597"/>
        <item x="621"/>
        <item x="312"/>
        <item m="1" x="744"/>
        <item x="726"/>
        <item x="325"/>
        <item x="316"/>
        <item x="311"/>
        <item x="5"/>
        <item x="699"/>
        <item x="20"/>
        <item x="653"/>
        <item x="232"/>
        <item x="375"/>
        <item x="279"/>
        <item x="409"/>
        <item x="225"/>
        <item x="529"/>
        <item x="307"/>
        <item x="543"/>
        <item x="322"/>
        <item x="66"/>
        <item x="29"/>
        <item x="673"/>
        <item x="463"/>
        <item x="2"/>
        <item x="120"/>
        <item x="28"/>
        <item x="549"/>
        <item x="533"/>
        <item x="560"/>
        <item x="612"/>
        <item x="324"/>
        <item m="1" x="814"/>
        <item x="177"/>
        <item x="273"/>
        <item x="721"/>
        <item x="542"/>
        <item x="397"/>
        <item x="318"/>
        <item x="234"/>
        <item x="147"/>
        <item x="641"/>
        <item x="167"/>
        <item m="1" x="782"/>
        <item x="320"/>
        <item x="366"/>
        <item x="402"/>
        <item x="720"/>
        <item x="204"/>
        <item x="442"/>
        <item x="708"/>
        <item x="488"/>
        <item x="115"/>
        <item x="39"/>
        <item x="624"/>
        <item x="179"/>
        <item x="335"/>
        <item x="467"/>
        <item x="672"/>
        <item x="509"/>
        <item x="734"/>
        <item x="406"/>
        <item x="458"/>
        <item x="207"/>
        <item x="538"/>
        <item x="717"/>
        <item x="722"/>
        <item x="133"/>
        <item x="408"/>
        <item m="1" x="796"/>
        <item x="124"/>
        <item x="666"/>
        <item x="585"/>
        <item x="168"/>
        <item x="707"/>
        <item x="714"/>
        <item x="215"/>
        <item x="492"/>
        <item x="138"/>
        <item x="155"/>
        <item m="1" x="746"/>
        <item x="452"/>
        <item x="724"/>
        <item x="51"/>
        <item x="689"/>
        <item x="33"/>
        <item x="262"/>
        <item x="574"/>
        <item x="552"/>
        <item x="164"/>
        <item x="493"/>
        <item x="417"/>
        <item x="111"/>
        <item x="403"/>
        <item x="47"/>
        <item x="180"/>
        <item x="657"/>
        <item x="383"/>
        <item x="588"/>
        <item x="700"/>
        <item x="648"/>
        <item x="504"/>
        <item x="24"/>
        <item m="1" x="803"/>
        <item m="1" x="793"/>
        <item x="217"/>
        <item x="479"/>
        <item x="639"/>
        <item x="50"/>
        <item x="159"/>
        <item m="1" x="755"/>
        <item x="598"/>
        <item x="389"/>
        <item x="30"/>
        <item x="392"/>
        <item x="352"/>
        <item x="518"/>
        <item x="293"/>
        <item x="534"/>
        <item x="704"/>
        <item x="81"/>
        <item x="143"/>
        <item x="711"/>
        <item x="514"/>
        <item x="731"/>
        <item m="1" x="742"/>
        <item x="470"/>
        <item x="254"/>
        <item m="1" x="766"/>
        <item x="410"/>
        <item x="382"/>
        <item x="660"/>
        <item x="592"/>
        <item x="691"/>
        <item x="266"/>
        <item x="525"/>
        <item x="79"/>
        <item x="364"/>
        <item m="1" x="764"/>
        <item x="473"/>
        <item x="118"/>
        <item m="1" x="762"/>
        <item x="107"/>
        <item x="235"/>
        <item x="569"/>
        <item x="46"/>
        <item x="86"/>
        <item x="211"/>
        <item x="223"/>
        <item x="108"/>
        <item m="1" x="747"/>
        <item x="728"/>
        <item x="210"/>
        <item x="628"/>
        <item x="568"/>
        <item x="476"/>
        <item x="61"/>
        <item x="519"/>
        <item x="429"/>
        <item x="604"/>
        <item x="150"/>
        <item x="38"/>
        <item x="510"/>
        <item x="268"/>
        <item x="607"/>
        <item x="251"/>
        <item x="602"/>
        <item x="584"/>
        <item x="566"/>
        <item x="137"/>
        <item x="342"/>
        <item x="35"/>
        <item x="631"/>
        <item x="113"/>
        <item x="257"/>
        <item x="253"/>
        <item x="623"/>
        <item x="292"/>
        <item x="238"/>
        <item h="1" x="736"/>
      </items>
    </pivotField>
    <pivotField axis="axisRow" compact="0" outline="0" showAll="0" defaultSubtotal="0">
      <items count="457">
        <item x="157"/>
        <item m="1" x="376"/>
        <item m="1" x="382"/>
        <item m="1" x="431"/>
        <item m="1" x="390"/>
        <item m="1" x="396"/>
        <item x="76"/>
        <item x="140"/>
        <item x="64"/>
        <item x="237"/>
        <item x="43"/>
        <item x="24"/>
        <item x="254"/>
        <item x="177"/>
        <item x="191"/>
        <item m="1" x="435"/>
        <item x="348"/>
        <item x="219"/>
        <item x="302"/>
        <item x="151"/>
        <item x="307"/>
        <item x="315"/>
        <item x="34"/>
        <item x="86"/>
        <item x="269"/>
        <item m="1" x="423"/>
        <item x="324"/>
        <item x="20"/>
        <item x="282"/>
        <item x="214"/>
        <item x="245"/>
        <item x="292"/>
        <item x="253"/>
        <item m="1" x="414"/>
        <item x="163"/>
        <item x="33"/>
        <item x="263"/>
        <item m="1" x="428"/>
        <item x="178"/>
        <item x="108"/>
        <item x="59"/>
        <item x="90"/>
        <item x="314"/>
        <item x="244"/>
        <item x="297"/>
        <item x="363"/>
        <item x="12"/>
        <item x="176"/>
        <item x="325"/>
        <item x="45"/>
        <item x="92"/>
        <item x="205"/>
        <item x="353"/>
        <item x="36"/>
        <item x="149"/>
        <item x="224"/>
        <item x="248"/>
        <item x="187"/>
        <item x="227"/>
        <item x="153"/>
        <item x="29"/>
        <item x="182"/>
        <item x="312"/>
        <item m="1" x="446"/>
        <item x="275"/>
        <item m="1" x="406"/>
        <item x="213"/>
        <item x="268"/>
        <item m="1" x="454"/>
        <item x="273"/>
        <item x="47"/>
        <item x="83"/>
        <item x="87"/>
        <item x="199"/>
        <item m="1" x="383"/>
        <item x="139"/>
        <item x="40"/>
        <item x="223"/>
        <item x="287"/>
        <item x="7"/>
        <item x="310"/>
        <item x="367"/>
        <item m="1" x="381"/>
        <item x="103"/>
        <item x="71"/>
        <item x="141"/>
        <item x="207"/>
        <item x="231"/>
        <item x="186"/>
        <item m="1" x="403"/>
        <item x="301"/>
        <item x="358"/>
        <item m="1" x="394"/>
        <item x="259"/>
        <item x="77"/>
        <item x="160"/>
        <item x="349"/>
        <item x="361"/>
        <item x="197"/>
        <item x="169"/>
        <item x="304"/>
        <item x="73"/>
        <item x="190"/>
        <item x="303"/>
        <item x="280"/>
        <item x="95"/>
        <item x="82"/>
        <item x="13"/>
        <item m="1" x="413"/>
        <item x="84"/>
        <item x="234"/>
        <item x="62"/>
        <item x="215"/>
        <item x="264"/>
        <item x="48"/>
        <item x="330"/>
        <item x="258"/>
        <item x="196"/>
        <item x="362"/>
        <item x="308"/>
        <item x="67"/>
        <item x="68"/>
        <item x="272"/>
        <item x="204"/>
        <item x="283"/>
        <item x="356"/>
        <item m="1" x="447"/>
        <item x="131"/>
        <item x="135"/>
        <item x="210"/>
        <item x="111"/>
        <item x="61"/>
        <item x="360"/>
        <item x="209"/>
        <item x="97"/>
        <item x="152"/>
        <item x="120"/>
        <item x="278"/>
        <item x="266"/>
        <item x="218"/>
        <item x="208"/>
        <item x="102"/>
        <item m="1" x="456"/>
        <item x="105"/>
        <item x="172"/>
        <item m="1" x="401"/>
        <item x="201"/>
        <item m="1" x="430"/>
        <item x="339"/>
        <item x="94"/>
        <item x="88"/>
        <item x="235"/>
        <item x="128"/>
        <item x="158"/>
        <item x="270"/>
        <item x="216"/>
        <item x="89"/>
        <item x="6"/>
        <item m="1" x="440"/>
        <item x="106"/>
        <item m="1" x="439"/>
        <item x="162"/>
        <item x="52"/>
        <item x="132"/>
        <item x="44"/>
        <item x="150"/>
        <item x="321"/>
        <item x="183"/>
        <item x="351"/>
        <item x="85"/>
        <item x="226"/>
        <item x="276"/>
        <item x="357"/>
        <item m="1" x="387"/>
        <item x="239"/>
        <item x="290"/>
        <item x="60"/>
        <item x="156"/>
        <item x="165"/>
        <item m="1" x="377"/>
        <item x="137"/>
        <item m="1" x="427"/>
        <item m="1" x="426"/>
        <item x="112"/>
        <item m="1" x="422"/>
        <item x="134"/>
        <item m="1" x="388"/>
        <item x="327"/>
        <item x="116"/>
        <item x="174"/>
        <item m="1" x="429"/>
        <item x="340"/>
        <item x="14"/>
        <item x="262"/>
        <item x="26"/>
        <item x="220"/>
        <item x="211"/>
        <item x="343"/>
        <item x="195"/>
        <item x="0"/>
        <item x="69"/>
        <item x="334"/>
        <item x="46"/>
        <item x="123"/>
        <item x="369"/>
        <item m="1" x="404"/>
        <item x="19"/>
        <item x="200"/>
        <item x="291"/>
        <item x="202"/>
        <item x="300"/>
        <item x="25"/>
        <item x="65"/>
        <item x="285"/>
        <item x="63"/>
        <item x="179"/>
        <item x="212"/>
        <item x="274"/>
        <item x="238"/>
        <item x="58"/>
        <item x="175"/>
        <item x="217"/>
        <item m="1" x="455"/>
        <item x="286"/>
        <item x="329"/>
        <item x="228"/>
        <item x="331"/>
        <item x="323"/>
        <item x="127"/>
        <item x="345"/>
        <item x="279"/>
        <item x="241"/>
        <item x="35"/>
        <item x="247"/>
        <item x="72"/>
        <item x="271"/>
        <item x="125"/>
        <item x="341"/>
        <item x="332"/>
        <item x="296"/>
        <item x="27"/>
        <item x="189"/>
        <item m="1" x="407"/>
        <item m="1" x="420"/>
        <item x="236"/>
        <item m="1" x="433"/>
        <item x="93"/>
        <item m="1" x="441"/>
        <item x="113"/>
        <item m="1" x="397"/>
        <item x="51"/>
        <item x="365"/>
        <item x="180"/>
        <item x="155"/>
        <item x="57"/>
        <item x="355"/>
        <item x="288"/>
        <item x="284"/>
        <item x="194"/>
        <item m="1" x="421"/>
        <item x="38"/>
        <item m="1" x="400"/>
        <item x="256"/>
        <item x="317"/>
        <item x="100"/>
        <item m="1" x="434"/>
        <item x="322"/>
        <item x="230"/>
        <item m="1" x="405"/>
        <item m="1" x="432"/>
        <item x="225"/>
        <item x="110"/>
        <item m="1" x="395"/>
        <item m="1" x="391"/>
        <item x="309"/>
        <item x="129"/>
        <item x="114"/>
        <item x="233"/>
        <item x="136"/>
        <item x="81"/>
        <item x="305"/>
        <item x="242"/>
        <item x="117"/>
        <item x="146"/>
        <item x="56"/>
        <item x="333"/>
        <item x="246"/>
        <item x="30"/>
        <item x="185"/>
        <item x="320"/>
        <item x="261"/>
        <item x="249"/>
        <item m="1" x="411"/>
        <item x="21"/>
        <item x="119"/>
        <item m="1" x="418"/>
        <item x="3"/>
        <item x="75"/>
        <item x="8"/>
        <item x="298"/>
        <item x="2"/>
        <item m="1" x="444"/>
        <item x="206"/>
        <item x="344"/>
        <item x="319"/>
        <item x="337"/>
        <item x="198"/>
        <item x="41"/>
        <item m="1" x="442"/>
        <item x="124"/>
        <item x="159"/>
        <item x="130"/>
        <item m="1" x="380"/>
        <item m="1" x="384"/>
        <item m="1" x="393"/>
        <item x="267"/>
        <item x="170"/>
        <item x="98"/>
        <item x="55"/>
        <item m="1" x="408"/>
        <item m="1" x="402"/>
        <item x="188"/>
        <item x="203"/>
        <item x="293"/>
        <item x="17"/>
        <item x="79"/>
        <item x="1"/>
        <item x="145"/>
        <item x="70"/>
        <item x="28"/>
        <item x="49"/>
        <item x="66"/>
        <item x="316"/>
        <item m="1" x="451"/>
        <item m="1" x="443"/>
        <item x="250"/>
        <item x="148"/>
        <item x="328"/>
        <item x="295"/>
        <item x="138"/>
        <item x="39"/>
        <item m="1" x="412"/>
        <item m="1" x="389"/>
        <item m="1" x="445"/>
        <item m="1" x="424"/>
        <item x="193"/>
        <item x="144"/>
        <item x="115"/>
        <item m="1" x="425"/>
        <item x="15"/>
        <item m="1" x="416"/>
        <item x="166"/>
        <item x="164"/>
        <item x="23"/>
        <item x="16"/>
        <item x="232"/>
        <item x="277"/>
        <item x="306"/>
        <item x="251"/>
        <item x="118"/>
        <item x="53"/>
        <item x="91"/>
        <item x="10"/>
        <item x="350"/>
        <item m="1" x="385"/>
        <item x="9"/>
        <item x="359"/>
        <item x="222"/>
        <item x="109"/>
        <item m="1" x="436"/>
        <item x="32"/>
        <item x="311"/>
        <item x="229"/>
        <item x="126"/>
        <item x="347"/>
        <item m="1" x="399"/>
        <item m="1" x="392"/>
        <item x="260"/>
        <item x="184"/>
        <item x="154"/>
        <item x="22"/>
        <item m="1" x="450"/>
        <item x="168"/>
        <item m="1" x="448"/>
        <item m="1" x="386"/>
        <item x="265"/>
        <item x="192"/>
        <item x="122"/>
        <item x="161"/>
        <item x="336"/>
        <item x="99"/>
        <item m="1" x="438"/>
        <item x="133"/>
        <item x="96"/>
        <item x="368"/>
        <item x="74"/>
        <item x="342"/>
        <item x="366"/>
        <item m="1" x="398"/>
        <item x="281"/>
        <item x="171"/>
        <item m="1" x="452"/>
        <item x="54"/>
        <item x="255"/>
        <item x="50"/>
        <item x="42"/>
        <item x="4"/>
        <item x="107"/>
        <item x="326"/>
        <item x="313"/>
        <item x="294"/>
        <item x="243"/>
        <item x="221"/>
        <item x="354"/>
        <item x="289"/>
        <item x="101"/>
        <item x="364"/>
        <item x="18"/>
        <item x="142"/>
        <item x="338"/>
        <item x="11"/>
        <item m="1" x="453"/>
        <item m="1" x="409"/>
        <item x="104"/>
        <item m="1" x="379"/>
        <item x="121"/>
        <item x="240"/>
        <item x="37"/>
        <item m="1" x="419"/>
        <item x="80"/>
        <item x="31"/>
        <item x="257"/>
        <item x="181"/>
        <item x="252"/>
        <item x="299"/>
        <item m="1" x="449"/>
        <item m="1" x="417"/>
        <item x="167"/>
        <item x="143"/>
        <item x="352"/>
        <item x="335"/>
        <item x="78"/>
        <item x="5"/>
        <item m="1" x="378"/>
        <item x="318"/>
        <item x="147"/>
        <item m="1" x="415"/>
        <item m="1" x="437"/>
        <item x="173"/>
        <item x="346"/>
        <item m="1" x="410"/>
        <item x="374"/>
        <item x="371"/>
        <item x="370"/>
        <item x="372"/>
        <item x="373"/>
        <item m="1" x="375"/>
      </items>
    </pivotField>
    <pivotField dataField="1"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7"/>
    <field x="6"/>
  </rowFields>
  <rowItems count="852">
    <i>
      <x/>
      <x v="215"/>
    </i>
    <i r="1">
      <x v="593"/>
    </i>
    <i>
      <x v="6"/>
      <x v="446"/>
    </i>
    <i r="1">
      <x v="492"/>
    </i>
    <i r="1">
      <x v="628"/>
    </i>
    <i>
      <x v="7"/>
      <x v="711"/>
    </i>
    <i>
      <x v="8"/>
      <x v="31"/>
    </i>
    <i r="1">
      <x v="98"/>
    </i>
    <i r="1">
      <x v="289"/>
    </i>
    <i r="1">
      <x v="394"/>
    </i>
    <i r="1">
      <x v="679"/>
    </i>
    <i>
      <x v="9"/>
      <x v="203"/>
    </i>
    <i>
      <x v="10"/>
      <x v="793"/>
    </i>
    <i>
      <x v="11"/>
      <x v="63"/>
    </i>
    <i r="1">
      <x v="329"/>
    </i>
    <i r="1">
      <x v="353"/>
    </i>
    <i r="1">
      <x v="731"/>
    </i>
    <i r="1">
      <x v="750"/>
    </i>
    <i r="1">
      <x v="780"/>
    </i>
    <i>
      <x v="12"/>
      <x v="774"/>
    </i>
    <i>
      <x v="13"/>
      <x v="419"/>
    </i>
    <i r="1">
      <x v="825"/>
    </i>
    <i>
      <x v="14"/>
      <x v="653"/>
    </i>
    <i>
      <x v="16"/>
      <x v="719"/>
    </i>
    <i>
      <x v="17"/>
      <x v="7"/>
    </i>
    <i>
      <x v="18"/>
      <x v="373"/>
    </i>
    <i>
      <x v="19"/>
      <x v="796"/>
    </i>
    <i>
      <x v="20"/>
      <x v="629"/>
    </i>
    <i>
      <x v="21"/>
      <x v="807"/>
    </i>
    <i>
      <x v="22"/>
      <x v="127"/>
    </i>
    <i r="1">
      <x v="416"/>
    </i>
    <i r="1">
      <x v="605"/>
    </i>
    <i r="1">
      <x v="631"/>
    </i>
    <i r="1">
      <x v="732"/>
    </i>
    <i>
      <x v="23"/>
      <x v="40"/>
    </i>
    <i r="1">
      <x v="73"/>
    </i>
    <i r="1">
      <x v="334"/>
    </i>
    <i r="1">
      <x v="427"/>
    </i>
    <i>
      <x v="24"/>
      <x v="42"/>
    </i>
    <i>
      <x v="26"/>
      <x v="581"/>
    </i>
    <i>
      <x v="27"/>
      <x v="657"/>
    </i>
    <i>
      <x v="28"/>
      <x v="259"/>
    </i>
    <i r="1">
      <x v="620"/>
    </i>
    <i>
      <x v="29"/>
      <x v="8"/>
    </i>
    <i>
      <x v="30"/>
      <x v="375"/>
    </i>
    <i>
      <x v="31"/>
      <x v="548"/>
    </i>
    <i r="1">
      <x v="549"/>
    </i>
    <i r="1">
      <x v="550"/>
    </i>
    <i r="1">
      <x v="619"/>
    </i>
    <i>
      <x v="32"/>
      <x v="418"/>
    </i>
    <i>
      <x v="34"/>
      <x v="80"/>
    </i>
    <i r="1">
      <x v="239"/>
    </i>
    <i r="1">
      <x v="243"/>
    </i>
    <i r="1">
      <x v="820"/>
    </i>
    <i>
      <x v="35"/>
      <x v="245"/>
    </i>
    <i r="1">
      <x v="406"/>
    </i>
    <i r="1">
      <x v="512"/>
    </i>
    <i r="1">
      <x v="740"/>
    </i>
    <i>
      <x v="36"/>
      <x v="692"/>
    </i>
    <i>
      <x v="38"/>
      <x v="240"/>
    </i>
    <i r="1">
      <x v="346"/>
    </i>
    <i r="1">
      <x v="461"/>
    </i>
    <i>
      <x v="39"/>
      <x v="270"/>
    </i>
    <i>
      <x v="40"/>
      <x v="280"/>
    </i>
    <i>
      <x v="41"/>
      <x v="205"/>
    </i>
    <i>
      <x v="42"/>
      <x v="804"/>
    </i>
    <i>
      <x v="43"/>
      <x v="740"/>
    </i>
    <i>
      <x v="44"/>
      <x v="384"/>
    </i>
    <i>
      <x v="45"/>
      <x v="192"/>
    </i>
    <i>
      <x v="46"/>
      <x v="110"/>
    </i>
    <i r="1">
      <x v="130"/>
    </i>
    <i r="1">
      <x v="379"/>
    </i>
    <i r="1">
      <x v="486"/>
    </i>
    <i>
      <x v="47"/>
      <x v="37"/>
    </i>
    <i r="1">
      <x v="302"/>
    </i>
    <i>
      <x v="48"/>
      <x v="636"/>
    </i>
    <i>
      <x v="49"/>
      <x v="756"/>
    </i>
    <i>
      <x v="50"/>
      <x v="14"/>
    </i>
    <i r="1">
      <x v="252"/>
    </i>
    <i r="1">
      <x v="313"/>
    </i>
    <i r="1">
      <x v="347"/>
    </i>
    <i r="1">
      <x v="382"/>
    </i>
    <i r="1">
      <x v="429"/>
    </i>
    <i r="1">
      <x v="468"/>
    </i>
    <i r="1">
      <x v="560"/>
    </i>
    <i>
      <x v="51"/>
      <x v="43"/>
    </i>
    <i>
      <x v="52"/>
      <x v="568"/>
    </i>
    <i>
      <x v="53"/>
      <x v="198"/>
    </i>
    <i>
      <x v="54"/>
      <x v="250"/>
    </i>
    <i r="1">
      <x v="554"/>
    </i>
    <i r="1">
      <x v="665"/>
    </i>
    <i r="1">
      <x v="707"/>
    </i>
    <i>
      <x v="55"/>
      <x v="257"/>
    </i>
    <i>
      <x v="56"/>
      <x v="535"/>
    </i>
    <i>
      <x v="57"/>
      <x v="589"/>
    </i>
    <i>
      <x v="58"/>
      <x v="597"/>
    </i>
    <i>
      <x v="59"/>
      <x v="154"/>
    </i>
    <i r="1">
      <x v="256"/>
    </i>
    <i r="1">
      <x v="258"/>
    </i>
    <i r="1">
      <x v="279"/>
    </i>
    <i r="1">
      <x v="371"/>
    </i>
    <i r="1">
      <x v="559"/>
    </i>
    <i r="1">
      <x v="623"/>
    </i>
    <i>
      <x v="60"/>
      <x v="15"/>
    </i>
    <i r="1">
      <x v="350"/>
    </i>
    <i r="1">
      <x v="410"/>
    </i>
    <i>
      <x v="61"/>
      <x v="372"/>
    </i>
    <i r="1">
      <x v="699"/>
    </i>
    <i>
      <x v="62"/>
      <x v="153"/>
    </i>
    <i>
      <x v="64"/>
      <x v="402"/>
    </i>
    <i>
      <x v="66"/>
      <x v="437"/>
    </i>
    <i>
      <x v="67"/>
      <x v="450"/>
    </i>
    <i>
      <x v="69"/>
      <x v="17"/>
    </i>
    <i r="1">
      <x v="398"/>
    </i>
    <i>
      <x v="70"/>
      <x v="219"/>
    </i>
    <i>
      <x v="71"/>
      <x v="25"/>
    </i>
    <i>
      <x v="72"/>
      <x v="303"/>
    </i>
    <i r="1">
      <x v="310"/>
    </i>
    <i r="1">
      <x v="662"/>
    </i>
    <i r="1">
      <x v="714"/>
    </i>
    <i r="1">
      <x v="722"/>
    </i>
    <i r="1">
      <x v="823"/>
    </i>
    <i>
      <x v="73"/>
      <x v="485"/>
    </i>
    <i r="1">
      <x v="579"/>
    </i>
    <i>
      <x v="75"/>
      <x v="231"/>
    </i>
    <i>
      <x v="76"/>
      <x v="540"/>
    </i>
    <i>
      <x v="77"/>
      <x v="760"/>
    </i>
    <i>
      <x v="78"/>
      <x v="642"/>
    </i>
    <i>
      <x v="79"/>
      <x v="11"/>
    </i>
    <i r="1">
      <x v="117"/>
    </i>
    <i r="1">
      <x v="359"/>
    </i>
    <i r="1">
      <x v="399"/>
    </i>
    <i r="1">
      <x v="403"/>
    </i>
    <i r="1">
      <x v="508"/>
    </i>
    <i r="1">
      <x v="523"/>
    </i>
    <i r="1">
      <x v="553"/>
    </i>
    <i r="1">
      <x v="609"/>
    </i>
    <i r="1">
      <x v="613"/>
    </i>
    <i r="1">
      <x v="629"/>
    </i>
    <i r="1">
      <x v="693"/>
    </i>
    <i r="1">
      <x v="726"/>
    </i>
    <i r="1">
      <x v="804"/>
    </i>
    <i>
      <x v="80"/>
      <x v="366"/>
    </i>
    <i>
      <x v="81"/>
      <x v="479"/>
    </i>
    <i>
      <x v="83"/>
      <x v="242"/>
    </i>
    <i r="1">
      <x v="414"/>
    </i>
    <i r="1">
      <x v="700"/>
    </i>
    <i>
      <x v="84"/>
      <x v="26"/>
    </i>
    <i r="1">
      <x v="45"/>
    </i>
    <i r="1">
      <x v="339"/>
    </i>
    <i r="1">
      <x v="794"/>
    </i>
    <i>
      <x v="85"/>
      <x v="528"/>
    </i>
    <i>
      <x v="86"/>
      <x v="116"/>
    </i>
    <i>
      <x v="87"/>
      <x v="483"/>
    </i>
    <i>
      <x v="88"/>
      <x v="488"/>
    </i>
    <i>
      <x v="90"/>
      <x v="424"/>
    </i>
    <i>
      <x v="91"/>
      <x v="720"/>
    </i>
    <i>
      <x v="93"/>
      <x v="497"/>
    </i>
    <i>
      <x v="94"/>
      <x v="279"/>
    </i>
    <i r="1">
      <x v="311"/>
    </i>
    <i r="1">
      <x v="380"/>
    </i>
    <i>
      <x v="95"/>
      <x v="346"/>
    </i>
    <i r="1">
      <x v="506"/>
    </i>
    <i>
      <x v="96"/>
      <x v="575"/>
    </i>
    <i>
      <x v="97"/>
      <x v="164"/>
    </i>
    <i>
      <x v="98"/>
      <x v="529"/>
    </i>
    <i>
      <x v="99"/>
      <x v="286"/>
    </i>
    <i>
      <x v="100"/>
      <x v="815"/>
    </i>
    <i>
      <x v="101"/>
      <x v="133"/>
    </i>
    <i r="1">
      <x v="257"/>
    </i>
    <i r="1">
      <x v="453"/>
    </i>
    <i r="1">
      <x v="511"/>
    </i>
    <i r="1">
      <x v="551"/>
    </i>
    <i>
      <x v="102"/>
      <x v="227"/>
    </i>
    <i r="1">
      <x v="248"/>
    </i>
    <i r="1">
      <x v="464"/>
    </i>
    <i>
      <x v="103"/>
      <x v="325"/>
    </i>
    <i r="1">
      <x v="713"/>
    </i>
    <i>
      <x v="104"/>
      <x v="712"/>
    </i>
    <i>
      <x v="105"/>
      <x v="565"/>
    </i>
    <i>
      <x v="106"/>
      <x v="477"/>
    </i>
    <i r="1">
      <x v="505"/>
    </i>
    <i r="1">
      <x v="559"/>
    </i>
    <i r="1">
      <x v="564"/>
    </i>
    <i r="1">
      <x v="617"/>
    </i>
    <i r="1">
      <x v="637"/>
    </i>
    <i r="1">
      <x v="708"/>
    </i>
    <i r="1">
      <x v="737"/>
    </i>
    <i r="1">
      <x v="738"/>
    </i>
    <i>
      <x v="107"/>
      <x v="12"/>
    </i>
    <i r="1">
      <x v="25"/>
    </i>
    <i r="1">
      <x v="125"/>
    </i>
    <i r="1">
      <x v="144"/>
    </i>
    <i r="1">
      <x v="163"/>
    </i>
    <i r="1">
      <x v="235"/>
    </i>
    <i r="1">
      <x v="268"/>
    </i>
    <i r="1">
      <x v="306"/>
    </i>
    <i r="1">
      <x v="332"/>
    </i>
    <i r="1">
      <x v="383"/>
    </i>
    <i r="1">
      <x v="393"/>
    </i>
    <i r="1">
      <x v="399"/>
    </i>
    <i r="1">
      <x v="417"/>
    </i>
    <i r="1">
      <x v="430"/>
    </i>
    <i r="1">
      <x v="434"/>
    </i>
    <i r="1">
      <x v="444"/>
    </i>
    <i r="1">
      <x v="459"/>
    </i>
    <i r="1">
      <x v="487"/>
    </i>
    <i r="1">
      <x v="509"/>
    </i>
    <i r="1">
      <x v="543"/>
    </i>
    <i r="1">
      <x v="607"/>
    </i>
    <i r="1">
      <x v="649"/>
    </i>
    <i r="1">
      <x v="683"/>
    </i>
    <i r="1">
      <x v="705"/>
    </i>
    <i r="1">
      <x v="706"/>
    </i>
    <i r="1">
      <x v="742"/>
    </i>
    <i r="1">
      <x v="759"/>
    </i>
    <i r="1">
      <x v="762"/>
    </i>
    <i r="1">
      <x v="779"/>
    </i>
    <i>
      <x v="109"/>
      <x v="384"/>
    </i>
    <i r="1">
      <x v="790"/>
    </i>
    <i r="1">
      <x v="797"/>
    </i>
    <i>
      <x v="110"/>
      <x v="79"/>
    </i>
    <i r="1">
      <x v="365"/>
    </i>
    <i>
      <x v="111"/>
      <x v="30"/>
    </i>
    <i r="1">
      <x v="84"/>
    </i>
    <i r="1">
      <x v="194"/>
    </i>
    <i r="1">
      <x v="496"/>
    </i>
    <i r="1">
      <x v="663"/>
    </i>
    <i>
      <x v="112"/>
      <x v="191"/>
    </i>
    <i r="1">
      <x v="261"/>
    </i>
    <i>
      <x v="113"/>
      <x v="92"/>
    </i>
    <i>
      <x v="114"/>
      <x v="601"/>
    </i>
    <i>
      <x v="115"/>
      <x v="514"/>
    </i>
    <i>
      <x v="116"/>
      <x v="590"/>
    </i>
    <i>
      <x v="117"/>
      <x v="478"/>
    </i>
    <i>
      <x v="118"/>
      <x v="144"/>
    </i>
    <i>
      <x v="119"/>
      <x v="147"/>
    </i>
    <i r="1">
      <x v="747"/>
    </i>
    <i>
      <x v="120"/>
      <x v="8"/>
    </i>
    <i r="1">
      <x v="150"/>
    </i>
    <i r="1">
      <x v="584"/>
    </i>
    <i r="1">
      <x v="632"/>
    </i>
    <i r="1">
      <x v="742"/>
    </i>
    <i>
      <x v="121"/>
      <x v="8"/>
    </i>
    <i r="1">
      <x v="307"/>
    </i>
    <i>
      <x v="122"/>
      <x v="409"/>
    </i>
    <i>
      <x v="123"/>
      <x v="149"/>
    </i>
    <i r="1">
      <x v="273"/>
    </i>
    <i r="1">
      <x v="468"/>
    </i>
    <i>
      <x v="124"/>
      <x v="81"/>
    </i>
    <i>
      <x v="125"/>
      <x v="493"/>
    </i>
    <i>
      <x v="127"/>
      <x v="131"/>
    </i>
    <i>
      <x v="128"/>
      <x v="32"/>
    </i>
    <i r="1">
      <x v="38"/>
    </i>
    <i>
      <x v="129"/>
      <x v="278"/>
    </i>
    <i>
      <x v="130"/>
      <x v="573"/>
    </i>
    <i>
      <x v="131"/>
      <x v="598"/>
    </i>
    <i>
      <x v="132"/>
      <x v="326"/>
    </i>
    <i>
      <x v="133"/>
      <x v="519"/>
    </i>
    <i>
      <x v="134"/>
      <x v="715"/>
    </i>
    <i>
      <x v="135"/>
      <x v="600"/>
    </i>
    <i>
      <x v="136"/>
      <x v="327"/>
    </i>
    <i r="1">
      <x v="642"/>
    </i>
    <i r="1">
      <x v="643"/>
    </i>
    <i r="1">
      <x v="670"/>
    </i>
    <i r="1">
      <x v="677"/>
    </i>
    <i r="1">
      <x v="818"/>
    </i>
    <i>
      <x v="137"/>
      <x v="676"/>
    </i>
    <i>
      <x v="138"/>
      <x v="614"/>
    </i>
    <i>
      <x v="139"/>
      <x v="478"/>
    </i>
    <i>
      <x v="140"/>
      <x v="146"/>
    </i>
    <i>
      <x v="141"/>
      <x v="124"/>
    </i>
    <i>
      <x v="143"/>
      <x v="80"/>
    </i>
    <i r="1">
      <x v="83"/>
    </i>
    <i r="1">
      <x v="96"/>
    </i>
    <i r="1">
      <x v="119"/>
    </i>
    <i r="1">
      <x v="361"/>
    </i>
    <i r="1">
      <x v="457"/>
    </i>
    <i r="1">
      <x v="703"/>
    </i>
    <i>
      <x v="144"/>
      <x v="430"/>
    </i>
    <i r="1">
      <x v="510"/>
    </i>
    <i>
      <x v="146"/>
      <x v="187"/>
    </i>
    <i>
      <x v="148"/>
      <x v="658"/>
    </i>
    <i>
      <x v="149"/>
      <x v="238"/>
    </i>
    <i r="1">
      <x v="716"/>
    </i>
    <i>
      <x v="150"/>
      <x v="700"/>
    </i>
    <i>
      <x v="151"/>
      <x v="739"/>
    </i>
    <i>
      <x v="152"/>
      <x v="229"/>
    </i>
    <i r="1">
      <x v="730"/>
    </i>
    <i r="1">
      <x v="792"/>
    </i>
    <i>
      <x v="153"/>
      <x v="358"/>
    </i>
    <i r="1">
      <x v="587"/>
    </i>
    <i>
      <x v="154"/>
      <x v="810"/>
    </i>
    <i>
      <x v="155"/>
      <x v="269"/>
    </i>
    <i>
      <x v="156"/>
      <x v="276"/>
    </i>
    <i>
      <x v="157"/>
      <x v="545"/>
    </i>
    <i>
      <x v="159"/>
      <x v="94"/>
    </i>
    <i r="1">
      <x v="457"/>
    </i>
    <i>
      <x v="161"/>
      <x v="734"/>
    </i>
    <i>
      <x v="162"/>
      <x v="478"/>
    </i>
    <i>
      <x v="163"/>
      <x v="48"/>
    </i>
    <i>
      <x v="164"/>
      <x v="368"/>
    </i>
    <i r="1">
      <x v="522"/>
    </i>
    <i r="1">
      <x v="574"/>
    </i>
    <i r="1">
      <x v="618"/>
    </i>
    <i>
      <x v="165"/>
      <x v="516"/>
    </i>
    <i>
      <x v="166"/>
      <x v="648"/>
    </i>
    <i>
      <x v="167"/>
      <x v="59"/>
    </i>
    <i>
      <x v="168"/>
      <x v="323"/>
    </i>
    <i>
      <x v="169"/>
      <x v="33"/>
    </i>
    <i>
      <x v="170"/>
      <x v="460"/>
    </i>
    <i>
      <x v="171"/>
      <x v="388"/>
    </i>
    <i r="1">
      <x v="638"/>
    </i>
    <i>
      <x v="172"/>
      <x v="366"/>
    </i>
    <i>
      <x v="174"/>
      <x v="351"/>
    </i>
    <i r="1">
      <x v="377"/>
    </i>
    <i>
      <x v="175"/>
      <x v="602"/>
    </i>
    <i>
      <x v="176"/>
      <x v="595"/>
    </i>
    <i r="1">
      <x v="801"/>
    </i>
    <i>
      <x v="177"/>
      <x v="480"/>
    </i>
    <i>
      <x v="178"/>
      <x v="811"/>
    </i>
    <i>
      <x v="180"/>
      <x v="696"/>
    </i>
    <i>
      <x v="183"/>
      <x v="21"/>
    </i>
    <i r="1">
      <x v="152"/>
    </i>
    <i r="1">
      <x v="201"/>
    </i>
    <i r="1">
      <x v="267"/>
    </i>
    <i r="1">
      <x v="290"/>
    </i>
    <i r="1">
      <x v="292"/>
    </i>
    <i r="1">
      <x v="392"/>
    </i>
    <i r="1">
      <x v="638"/>
    </i>
    <i r="1">
      <x v="697"/>
    </i>
    <i r="1">
      <x v="757"/>
    </i>
    <i>
      <x v="185"/>
      <x v="499"/>
    </i>
    <i>
      <x v="187"/>
      <x v="17"/>
    </i>
    <i>
      <x v="188"/>
      <x v="5"/>
    </i>
    <i r="1">
      <x v="35"/>
    </i>
    <i r="1">
      <x v="395"/>
    </i>
    <i r="1">
      <x v="476"/>
    </i>
    <i r="1">
      <x v="544"/>
    </i>
    <i>
      <x v="189"/>
      <x v="122"/>
    </i>
    <i r="1">
      <x v="277"/>
    </i>
    <i r="1">
      <x v="389"/>
    </i>
    <i r="1">
      <x v="695"/>
    </i>
    <i>
      <x v="191"/>
      <x v="558"/>
    </i>
    <i>
      <x v="192"/>
      <x v="102"/>
    </i>
    <i>
      <x v="193"/>
      <x v="173"/>
    </i>
    <i>
      <x v="194"/>
      <x v="16"/>
    </i>
    <i r="1">
      <x v="52"/>
    </i>
    <i r="1">
      <x v="56"/>
    </i>
    <i r="1">
      <x v="108"/>
    </i>
    <i r="1">
      <x v="175"/>
    </i>
    <i r="1">
      <x v="180"/>
    </i>
    <i r="1">
      <x v="422"/>
    </i>
    <i r="1">
      <x v="443"/>
    </i>
    <i r="1">
      <x v="571"/>
    </i>
    <i r="1">
      <x v="633"/>
    </i>
    <i r="1">
      <x v="687"/>
    </i>
    <i r="1">
      <x v="809"/>
    </i>
    <i>
      <x v="195"/>
      <x v="44"/>
    </i>
    <i>
      <x v="196"/>
      <x v="36"/>
    </i>
    <i r="1">
      <x v="678"/>
    </i>
    <i>
      <x v="197"/>
      <x v="744"/>
    </i>
    <i>
      <x v="198"/>
      <x v="518"/>
    </i>
    <i>
      <x v="199"/>
      <x v="22"/>
    </i>
    <i>
      <x v="200"/>
      <x v="169"/>
    </i>
    <i r="1">
      <x v="249"/>
    </i>
    <i>
      <x v="201"/>
      <x v="113"/>
    </i>
    <i>
      <x v="202"/>
      <x v="417"/>
    </i>
    <i>
      <x v="203"/>
      <x v="17"/>
    </i>
    <i r="1">
      <x v="100"/>
    </i>
    <i r="1">
      <x v="220"/>
    </i>
    <i r="1">
      <x v="317"/>
    </i>
    <i r="1">
      <x v="355"/>
    </i>
    <i r="1">
      <x v="435"/>
    </i>
    <i r="1">
      <x v="610"/>
    </i>
    <i r="1">
      <x v="638"/>
    </i>
    <i r="1">
      <x v="791"/>
    </i>
    <i>
      <x v="204"/>
      <x v="345"/>
    </i>
    <i>
      <x v="206"/>
      <x v="284"/>
    </i>
    <i>
      <x v="207"/>
      <x v="542"/>
    </i>
    <i r="1">
      <x v="679"/>
    </i>
    <i>
      <x v="208"/>
      <x v="195"/>
    </i>
    <i>
      <x v="209"/>
      <x v="62"/>
    </i>
    <i r="1">
      <x v="291"/>
    </i>
    <i r="1">
      <x v="455"/>
    </i>
    <i r="1">
      <x v="532"/>
    </i>
    <i r="1">
      <x v="656"/>
    </i>
    <i>
      <x v="210"/>
      <x v="120"/>
    </i>
    <i>
      <x v="211"/>
      <x v="10"/>
    </i>
    <i r="1">
      <x v="17"/>
    </i>
    <i r="1">
      <x v="29"/>
    </i>
    <i r="1">
      <x v="74"/>
    </i>
    <i r="1">
      <x v="107"/>
    </i>
    <i r="1">
      <x v="109"/>
    </i>
    <i r="1">
      <x v="132"/>
    </i>
    <i r="1">
      <x v="175"/>
    </i>
    <i r="1">
      <x v="184"/>
    </i>
    <i r="1">
      <x v="188"/>
    </i>
    <i r="1">
      <x v="206"/>
    </i>
    <i r="1">
      <x v="217"/>
    </i>
    <i r="1">
      <x v="222"/>
    </i>
    <i r="1">
      <x v="226"/>
    </i>
    <i r="1">
      <x v="255"/>
    </i>
    <i r="1">
      <x v="275"/>
    </i>
    <i r="1">
      <x v="288"/>
    </i>
    <i r="1">
      <x v="296"/>
    </i>
    <i r="1">
      <x v="449"/>
    </i>
    <i r="1">
      <x v="534"/>
    </i>
    <i r="1">
      <x v="539"/>
    </i>
    <i r="1">
      <x v="590"/>
    </i>
    <i r="1">
      <x v="622"/>
    </i>
    <i r="1">
      <x v="624"/>
    </i>
    <i r="1">
      <x v="647"/>
    </i>
    <i r="1">
      <x v="666"/>
    </i>
    <i r="1">
      <x v="675"/>
    </i>
    <i r="1">
      <x v="720"/>
    </i>
    <i r="1">
      <x v="754"/>
    </i>
    <i r="1">
      <x v="795"/>
    </i>
    <i>
      <x v="212"/>
      <x v="742"/>
    </i>
    <i>
      <x v="213"/>
      <x v="472"/>
    </i>
    <i r="1">
      <x v="625"/>
    </i>
    <i>
      <x v="214"/>
      <x v="145"/>
    </i>
    <i r="1">
      <x v="268"/>
    </i>
    <i>
      <x v="215"/>
      <x v="442"/>
    </i>
    <i>
      <x v="216"/>
      <x v="569"/>
    </i>
    <i>
      <x v="217"/>
      <x v="186"/>
    </i>
    <i>
      <x v="218"/>
      <x v="537"/>
    </i>
    <i>
      <x v="219"/>
      <x v="18"/>
    </i>
    <i r="1">
      <x v="570"/>
    </i>
    <i r="1">
      <x v="668"/>
    </i>
    <i>
      <x v="220"/>
      <x v="179"/>
    </i>
    <i r="1">
      <x v="455"/>
    </i>
    <i>
      <x v="221"/>
      <x v="141"/>
    </i>
    <i>
      <x v="223"/>
      <x v="246"/>
    </i>
    <i>
      <x v="224"/>
      <x v="290"/>
    </i>
    <i>
      <x v="225"/>
      <x v="8"/>
    </i>
    <i>
      <x v="226"/>
      <x v="362"/>
    </i>
    <i>
      <x v="227"/>
      <x v="824"/>
    </i>
    <i>
      <x v="228"/>
      <x v="743"/>
    </i>
    <i>
      <x v="229"/>
      <x v="126"/>
    </i>
    <i>
      <x v="230"/>
      <x v="44"/>
    </i>
    <i>
      <x v="231"/>
      <x v="378"/>
    </i>
    <i>
      <x v="232"/>
      <x v="212"/>
    </i>
    <i r="1">
      <x v="763"/>
    </i>
    <i r="1">
      <x v="813"/>
    </i>
    <i>
      <x v="233"/>
      <x v="376"/>
    </i>
    <i r="1">
      <x v="710"/>
    </i>
    <i>
      <x v="234"/>
      <x v="413"/>
    </i>
    <i r="1">
      <x v="686"/>
    </i>
    <i r="1">
      <x v="821"/>
    </i>
    <i>
      <x v="235"/>
      <x v="771"/>
    </i>
    <i>
      <x v="236"/>
      <x v="681"/>
    </i>
    <i>
      <x v="237"/>
      <x v="50"/>
    </i>
    <i>
      <x v="238"/>
      <x v="439"/>
    </i>
    <i>
      <x v="239"/>
      <x v="243"/>
    </i>
    <i>
      <x v="240"/>
      <x v="151"/>
    </i>
    <i r="1">
      <x v="400"/>
    </i>
    <i r="1">
      <x v="489"/>
    </i>
    <i r="1">
      <x v="733"/>
    </i>
    <i r="1">
      <x v="772"/>
    </i>
    <i>
      <x v="241"/>
      <x v="566"/>
    </i>
    <i>
      <x v="244"/>
      <x v="611"/>
    </i>
    <i>
      <x v="246"/>
      <x v="19"/>
    </i>
    <i r="1">
      <x v="521"/>
    </i>
    <i>
      <x v="248"/>
      <x v="67"/>
    </i>
    <i r="1">
      <x v="385"/>
    </i>
    <i r="1">
      <x v="462"/>
    </i>
    <i r="1">
      <x v="635"/>
    </i>
    <i r="1">
      <x v="725"/>
    </i>
    <i>
      <x v="250"/>
      <x v="108"/>
    </i>
    <i>
      <x v="251"/>
      <x v="698"/>
    </i>
    <i>
      <x v="252"/>
      <x v="426"/>
    </i>
    <i r="1">
      <x v="431"/>
    </i>
    <i r="1">
      <x v="812"/>
    </i>
    <i>
      <x v="253"/>
      <x v="162"/>
    </i>
    <i r="1">
      <x v="344"/>
    </i>
    <i r="1">
      <x v="366"/>
    </i>
    <i>
      <x v="254"/>
      <x v="224"/>
    </i>
    <i r="1">
      <x v="269"/>
    </i>
    <i r="1">
      <x v="471"/>
    </i>
    <i r="1">
      <x v="576"/>
    </i>
    <i>
      <x v="255"/>
      <x v="28"/>
    </i>
    <i>
      <x v="256"/>
      <x v="166"/>
    </i>
    <i>
      <x v="257"/>
      <x v="596"/>
    </i>
    <i>
      <x v="258"/>
      <x v="667"/>
    </i>
    <i r="1">
      <x v="785"/>
    </i>
    <i>
      <x v="260"/>
      <x v="365"/>
    </i>
    <i r="1">
      <x v="440"/>
    </i>
    <i>
      <x v="262"/>
      <x v="183"/>
    </i>
    <i>
      <x v="263"/>
      <x v="322"/>
    </i>
    <i r="1">
      <x v="518"/>
    </i>
    <i>
      <x v="264"/>
      <x v="412"/>
    </i>
    <i>
      <x v="266"/>
      <x v="649"/>
    </i>
    <i>
      <x v="267"/>
      <x v="260"/>
    </i>
    <i>
      <x v="270"/>
      <x v="321"/>
    </i>
    <i r="1">
      <x v="350"/>
    </i>
    <i>
      <x v="271"/>
      <x v="230"/>
    </i>
    <i>
      <x v="274"/>
      <x v="185"/>
    </i>
    <i>
      <x v="275"/>
      <x v="254"/>
    </i>
    <i r="1">
      <x v="330"/>
    </i>
    <i r="1">
      <x v="572"/>
    </i>
    <i>
      <x v="276"/>
      <x v="589"/>
    </i>
    <i r="1">
      <x v="594"/>
    </i>
    <i>
      <x v="277"/>
      <x v="294"/>
    </i>
    <i>
      <x v="278"/>
      <x v="104"/>
    </i>
    <i>
      <x v="279"/>
      <x v="211"/>
    </i>
    <i r="1">
      <x v="271"/>
    </i>
    <i r="1">
      <x v="297"/>
    </i>
    <i r="1">
      <x v="298"/>
    </i>
    <i r="1">
      <x v="334"/>
    </i>
    <i r="1">
      <x v="404"/>
    </i>
    <i r="1">
      <x v="470"/>
    </i>
    <i r="1">
      <x v="538"/>
    </i>
    <i r="1">
      <x v="563"/>
    </i>
    <i r="1">
      <x v="612"/>
    </i>
    <i r="1">
      <x v="630"/>
    </i>
    <i r="1">
      <x v="694"/>
    </i>
    <i r="1">
      <x v="702"/>
    </i>
    <i r="1">
      <x v="755"/>
    </i>
    <i r="1">
      <x v="765"/>
    </i>
    <i r="1">
      <x v="802"/>
    </i>
    <i r="1">
      <x v="806"/>
    </i>
    <i>
      <x v="280"/>
      <x v="674"/>
    </i>
    <i>
      <x v="281"/>
      <x v="174"/>
    </i>
    <i r="1">
      <x v="447"/>
    </i>
    <i>
      <x v="282"/>
      <x v="721"/>
    </i>
    <i>
      <x v="283"/>
      <x v="134"/>
    </i>
    <i>
      <x v="284"/>
      <x v="287"/>
    </i>
    <i r="1">
      <x v="471"/>
    </i>
    <i r="1">
      <x v="481"/>
    </i>
    <i r="1">
      <x v="536"/>
    </i>
    <i>
      <x v="285"/>
      <x v="512"/>
    </i>
    <i>
      <x v="286"/>
      <x v="236"/>
    </i>
    <i>
      <x v="287"/>
      <x v="266"/>
    </i>
    <i r="1">
      <x v="300"/>
    </i>
    <i r="1">
      <x v="348"/>
    </i>
    <i r="1">
      <x v="390"/>
    </i>
    <i r="1">
      <x v="486"/>
    </i>
    <i r="1">
      <x v="627"/>
    </i>
    <i r="1">
      <x v="761"/>
    </i>
    <i r="1">
      <x v="783"/>
    </i>
    <i>
      <x v="288"/>
      <x v="415"/>
    </i>
    <i r="1">
      <x v="603"/>
    </i>
    <i>
      <x v="289"/>
      <x v="301"/>
    </i>
    <i r="1">
      <x v="634"/>
    </i>
    <i>
      <x v="290"/>
      <x v="328"/>
    </i>
    <i>
      <x v="291"/>
      <x v="671"/>
    </i>
    <i>
      <x v="293"/>
      <x v="78"/>
    </i>
    <i r="1">
      <x v="87"/>
    </i>
    <i r="1">
      <x v="88"/>
    </i>
    <i r="1">
      <x v="121"/>
    </i>
    <i r="1">
      <x v="135"/>
    </i>
    <i r="1">
      <x v="341"/>
    </i>
    <i r="1">
      <x v="352"/>
    </i>
    <i r="1">
      <x v="395"/>
    </i>
    <i r="1">
      <x v="489"/>
    </i>
    <i r="1">
      <x v="492"/>
    </i>
    <i r="1">
      <x v="531"/>
    </i>
    <i r="1">
      <x v="578"/>
    </i>
    <i r="1">
      <x v="583"/>
    </i>
    <i r="1">
      <x v="692"/>
    </i>
    <i>
      <x v="294"/>
      <x v="22"/>
    </i>
    <i>
      <x v="296"/>
      <x v="51"/>
    </i>
    <i r="1">
      <x v="101"/>
    </i>
    <i r="1">
      <x v="155"/>
    </i>
    <i r="1">
      <x v="175"/>
    </i>
    <i r="1">
      <x v="178"/>
    </i>
    <i r="1">
      <x v="237"/>
    </i>
    <i r="1">
      <x v="281"/>
    </i>
    <i r="1">
      <x v="283"/>
    </i>
    <i r="1">
      <x v="484"/>
    </i>
    <i r="1">
      <x v="490"/>
    </i>
    <i r="1">
      <x v="491"/>
    </i>
    <i r="1">
      <x v="503"/>
    </i>
    <i r="1">
      <x v="518"/>
    </i>
    <i r="1">
      <x v="565"/>
    </i>
    <i r="1">
      <x v="608"/>
    </i>
    <i r="1">
      <x v="669"/>
    </i>
    <i r="1">
      <x v="741"/>
    </i>
    <i r="1">
      <x v="822"/>
    </i>
    <i>
      <x v="297"/>
      <x v="434"/>
    </i>
    <i>
      <x v="298"/>
      <x v="213"/>
    </i>
    <i r="1">
      <x v="352"/>
    </i>
    <i r="1">
      <x v="410"/>
    </i>
    <i>
      <x v="299"/>
      <x v="137"/>
    </i>
    <i>
      <x v="300"/>
      <x v="672"/>
    </i>
    <i>
      <x v="302"/>
      <x v="452"/>
    </i>
    <i>
      <x v="303"/>
      <x v="634"/>
    </i>
    <i>
      <x v="304"/>
      <x v="316"/>
    </i>
    <i r="1">
      <x v="449"/>
    </i>
    <i>
      <x v="305"/>
      <x v="320"/>
    </i>
    <i>
      <x v="306"/>
      <x v="210"/>
    </i>
    <i>
      <x v="307"/>
      <x v="451"/>
    </i>
    <i>
      <x v="309"/>
      <x v="486"/>
    </i>
    <i r="1">
      <x v="507"/>
    </i>
    <i>
      <x v="310"/>
      <x v="138"/>
    </i>
    <i>
      <x v="311"/>
      <x v="228"/>
    </i>
    <i>
      <x v="315"/>
      <x v="167"/>
    </i>
    <i r="1">
      <x v="749"/>
    </i>
    <i>
      <x v="316"/>
      <x v="331"/>
    </i>
    <i>
      <x v="317"/>
      <x v="168"/>
    </i>
    <i r="1">
      <x v="304"/>
    </i>
    <i>
      <x v="318"/>
      <x v="253"/>
    </i>
    <i>
      <x v="321"/>
      <x v="13"/>
    </i>
    <i r="1">
      <x v="370"/>
    </i>
    <i>
      <x v="322"/>
      <x v="160"/>
    </i>
    <i>
      <x v="323"/>
      <x v="816"/>
    </i>
    <i>
      <x v="324"/>
      <x v="391"/>
    </i>
    <i r="1">
      <x v="519"/>
    </i>
    <i>
      <x v="325"/>
      <x v="47"/>
    </i>
    <i>
      <x v="326"/>
      <x v="123"/>
    </i>
    <i r="1">
      <x v="214"/>
    </i>
    <i r="1">
      <x v="251"/>
    </i>
    <i r="1">
      <x v="324"/>
    </i>
    <i r="1">
      <x v="367"/>
    </i>
    <i r="1">
      <x v="504"/>
    </i>
    <i r="1">
      <x v="513"/>
    </i>
    <i r="1">
      <x v="585"/>
    </i>
    <i r="1">
      <x v="688"/>
    </i>
    <i r="1">
      <x v="724"/>
    </i>
    <i r="1">
      <x v="735"/>
    </i>
    <i r="1">
      <x v="797"/>
    </i>
    <i r="1">
      <x v="826"/>
    </i>
    <i>
      <x v="327"/>
      <x v="700"/>
    </i>
    <i>
      <x v="328"/>
      <x v="234"/>
    </i>
    <i r="1">
      <x v="709"/>
    </i>
    <i>
      <x v="329"/>
      <x v="604"/>
    </i>
    <i r="1">
      <x v="674"/>
    </i>
    <i>
      <x v="330"/>
      <x v="106"/>
    </i>
    <i r="1">
      <x v="112"/>
    </i>
    <i r="1">
      <x v="197"/>
    </i>
    <i r="1">
      <x v="318"/>
    </i>
    <i r="1">
      <x v="387"/>
    </i>
    <i r="1">
      <x v="517"/>
    </i>
    <i r="1">
      <x v="673"/>
    </i>
    <i r="1">
      <x v="718"/>
    </i>
    <i>
      <x v="331"/>
      <x v="768"/>
    </i>
    <i r="1">
      <x v="784"/>
    </i>
    <i>
      <x v="332"/>
      <x v="812"/>
    </i>
    <i>
      <x v="335"/>
      <x v="374"/>
    </i>
    <i>
      <x v="336"/>
      <x v="34"/>
    </i>
    <i>
      <x v="337"/>
      <x v="308"/>
    </i>
    <i>
      <x v="338"/>
      <x v="309"/>
    </i>
    <i>
      <x v="339"/>
      <x v="148"/>
    </i>
    <i r="1">
      <x v="333"/>
    </i>
    <i r="1">
      <x v="766"/>
    </i>
    <i>
      <x v="340"/>
      <x v="190"/>
    </i>
    <i>
      <x v="345"/>
      <x v="193"/>
    </i>
    <i>
      <x v="346"/>
      <x v="38"/>
    </i>
    <i r="1">
      <x v="729"/>
    </i>
    <i r="1">
      <x v="781"/>
    </i>
    <i>
      <x v="347"/>
      <x v="20"/>
    </i>
    <i r="1">
      <x v="86"/>
    </i>
    <i r="1">
      <x v="91"/>
    </i>
    <i r="1">
      <x v="93"/>
    </i>
    <i r="1">
      <x v="264"/>
    </i>
    <i r="1">
      <x v="354"/>
    </i>
    <i r="1">
      <x v="397"/>
    </i>
    <i r="1">
      <x v="405"/>
    </i>
    <i r="1">
      <x v="606"/>
    </i>
    <i>
      <x v="349"/>
      <x v="51"/>
    </i>
    <i r="1">
      <x v="65"/>
    </i>
    <i r="1">
      <x v="128"/>
    </i>
    <i r="1">
      <x v="208"/>
    </i>
    <i r="1">
      <x v="525"/>
    </i>
    <i r="1">
      <x v="526"/>
    </i>
    <i r="1">
      <x v="736"/>
    </i>
    <i>
      <x v="351"/>
      <x v="582"/>
    </i>
    <i>
      <x v="352"/>
      <x v="682"/>
    </i>
    <i r="1">
      <x v="782"/>
    </i>
    <i>
      <x v="353"/>
      <x v="15"/>
    </i>
    <i r="1">
      <x v="60"/>
    </i>
    <i r="1">
      <x v="75"/>
    </i>
    <i r="1">
      <x v="109"/>
    </i>
    <i r="1">
      <x v="120"/>
    </i>
    <i r="1">
      <x v="342"/>
    </i>
    <i r="1">
      <x v="366"/>
    </i>
    <i r="1">
      <x v="769"/>
    </i>
    <i>
      <x v="354"/>
      <x v="352"/>
    </i>
    <i>
      <x v="355"/>
      <x v="785"/>
    </i>
    <i>
      <x v="356"/>
      <x v="664"/>
    </i>
    <i>
      <x v="357"/>
      <x v="161"/>
    </i>
    <i>
      <x v="358"/>
      <x v="130"/>
    </i>
    <i>
      <x v="359"/>
      <x v="90"/>
    </i>
    <i>
      <x v="360"/>
      <x v="274"/>
    </i>
    <i r="1">
      <x v="465"/>
    </i>
    <i r="1">
      <x v="660"/>
    </i>
    <i r="1">
      <x v="804"/>
    </i>
    <i>
      <x v="361"/>
      <x v="207"/>
    </i>
    <i r="1">
      <x v="552"/>
    </i>
    <i>
      <x v="362"/>
      <x v="599"/>
    </i>
    <i>
      <x v="363"/>
      <x v="158"/>
    </i>
    <i r="1">
      <x v="356"/>
    </i>
    <i>
      <x v="365"/>
      <x v="189"/>
    </i>
    <i r="1">
      <x v="227"/>
    </i>
    <i r="1">
      <x v="456"/>
    </i>
    <i r="1">
      <x v="645"/>
    </i>
    <i>
      <x v="366"/>
      <x v="604"/>
    </i>
    <i>
      <x v="367"/>
      <x v="49"/>
    </i>
    <i r="1">
      <x v="165"/>
    </i>
    <i r="1">
      <x v="562"/>
    </i>
    <i r="1">
      <x v="764"/>
    </i>
    <i>
      <x v="368"/>
      <x v="727"/>
    </i>
    <i>
      <x v="370"/>
      <x v="423"/>
    </i>
    <i>
      <x v="371"/>
      <x v="438"/>
    </i>
    <i>
      <x v="372"/>
      <x v="777"/>
    </i>
    <i>
      <x v="373"/>
      <x v="638"/>
    </i>
    <i>
      <x v="374"/>
      <x v="69"/>
    </i>
    <i r="1">
      <x v="140"/>
    </i>
    <i r="1">
      <x v="666"/>
    </i>
    <i>
      <x v="377"/>
      <x v="53"/>
    </i>
    <i r="1">
      <x v="746"/>
    </i>
    <i>
      <x v="378"/>
      <x v="77"/>
    </i>
    <i>
      <x v="379"/>
      <x v="659"/>
    </i>
    <i>
      <x v="380"/>
      <x v="103"/>
    </i>
    <i r="1">
      <x v="105"/>
    </i>
    <i r="1">
      <x v="111"/>
    </i>
    <i r="1">
      <x v="129"/>
    </i>
    <i r="1">
      <x v="295"/>
    </i>
    <i r="1">
      <x v="314"/>
    </i>
    <i r="1">
      <x v="440"/>
    </i>
    <i r="1">
      <x v="475"/>
    </i>
    <i r="1">
      <x v="654"/>
    </i>
    <i r="1">
      <x v="690"/>
    </i>
    <i r="1">
      <x v="704"/>
    </i>
    <i>
      <x v="382"/>
      <x v="498"/>
    </i>
    <i r="1">
      <x v="533"/>
    </i>
    <i>
      <x v="385"/>
      <x v="527"/>
    </i>
    <i>
      <x v="386"/>
      <x v="401"/>
    </i>
    <i>
      <x v="387"/>
      <x v="72"/>
    </i>
    <i r="1">
      <x v="546"/>
    </i>
    <i>
      <x v="388"/>
      <x v="466"/>
    </i>
    <i>
      <x v="389"/>
      <x v="689"/>
    </i>
    <i>
      <x v="390"/>
      <x v="257"/>
    </i>
    <i r="1">
      <x v="440"/>
    </i>
    <i r="1">
      <x v="541"/>
    </i>
    <i>
      <x v="392"/>
      <x v="428"/>
    </i>
    <i>
      <x v="393"/>
      <x v="467"/>
    </i>
    <i>
      <x v="394"/>
      <x v="723"/>
    </i>
    <i>
      <x v="395"/>
      <x v="458"/>
    </i>
    <i r="1">
      <x v="593"/>
    </i>
    <i>
      <x v="396"/>
      <x v="83"/>
    </i>
    <i>
      <x v="397"/>
      <x v="299"/>
    </i>
    <i>
      <x v="399"/>
      <x/>
    </i>
    <i>
      <x v="400"/>
      <x v="156"/>
    </i>
    <i>
      <x v="402"/>
      <x v="8"/>
    </i>
    <i>
      <x v="403"/>
      <x v="787"/>
    </i>
    <i>
      <x v="404"/>
      <x v="57"/>
    </i>
    <i r="1">
      <x v="71"/>
    </i>
    <i r="1">
      <x v="85"/>
    </i>
    <i r="1">
      <x v="114"/>
    </i>
    <i r="1">
      <x v="145"/>
    </i>
    <i r="1">
      <x v="352"/>
    </i>
    <i r="1">
      <x v="409"/>
    </i>
    <i r="1">
      <x v="423"/>
    </i>
    <i r="1">
      <x v="439"/>
    </i>
    <i r="1">
      <x v="639"/>
    </i>
    <i r="1">
      <x v="644"/>
    </i>
    <i r="1">
      <x v="770"/>
    </i>
    <i r="1">
      <x v="805"/>
    </i>
    <i>
      <x v="405"/>
      <x v="257"/>
    </i>
    <i>
      <x v="406"/>
      <x v="41"/>
    </i>
    <i r="1">
      <x v="70"/>
    </i>
    <i r="1">
      <x v="143"/>
    </i>
    <i r="1">
      <x v="170"/>
    </i>
    <i r="1">
      <x v="176"/>
    </i>
    <i r="1">
      <x v="223"/>
    </i>
    <i r="1">
      <x v="363"/>
    </i>
    <i r="1">
      <x v="408"/>
    </i>
    <i r="1">
      <x v="441"/>
    </i>
    <i r="1">
      <x v="547"/>
    </i>
    <i r="1">
      <x v="593"/>
    </i>
    <i r="1">
      <x v="684"/>
    </i>
    <i r="1">
      <x v="767"/>
    </i>
    <i r="1">
      <x v="788"/>
    </i>
    <i r="1">
      <x v="819"/>
    </i>
    <i>
      <x v="407"/>
      <x v="55"/>
    </i>
    <i r="1">
      <x v="199"/>
    </i>
    <i r="1">
      <x v="204"/>
    </i>
    <i r="1">
      <x v="474"/>
    </i>
    <i r="1">
      <x v="501"/>
    </i>
    <i r="1">
      <x v="652"/>
    </i>
    <i>
      <x v="408"/>
      <x v="6"/>
    </i>
    <i>
      <x v="409"/>
      <x v="814"/>
    </i>
    <i>
      <x v="410"/>
      <x v="584"/>
    </i>
    <i>
      <x v="411"/>
      <x v="580"/>
    </i>
    <i>
      <x v="412"/>
      <x v="745"/>
    </i>
    <i>
      <x v="413"/>
      <x v="310"/>
    </i>
    <i>
      <x v="414"/>
      <x v="24"/>
    </i>
    <i>
      <x v="415"/>
      <x v="817"/>
    </i>
    <i>
      <x v="416"/>
      <x v="626"/>
    </i>
    <i>
      <x v="417"/>
      <x v="125"/>
    </i>
    <i>
      <x v="418"/>
      <x v="354"/>
    </i>
    <i r="1">
      <x v="433"/>
    </i>
    <i>
      <x v="419"/>
      <x v="748"/>
    </i>
    <i>
      <x v="420"/>
      <x v="23"/>
    </i>
    <i r="1">
      <x v="319"/>
    </i>
    <i r="1">
      <x v="381"/>
    </i>
    <i r="1">
      <x v="409"/>
    </i>
    <i r="1">
      <x v="778"/>
    </i>
    <i>
      <x v="423"/>
      <x v="76"/>
    </i>
    <i r="1">
      <x v="260"/>
    </i>
    <i r="1">
      <x v="495"/>
    </i>
    <i r="1">
      <x v="500"/>
    </i>
    <i r="1">
      <x v="685"/>
    </i>
    <i r="1">
      <x v="724"/>
    </i>
    <i r="1">
      <x v="797"/>
    </i>
    <i r="1">
      <x v="808"/>
    </i>
    <i>
      <x v="425"/>
      <x v="263"/>
    </i>
    <i>
      <x v="426"/>
      <x v="61"/>
    </i>
    <i r="1">
      <x v="97"/>
    </i>
    <i>
      <x v="427"/>
      <x v="6"/>
    </i>
    <i r="1">
      <x v="64"/>
    </i>
    <i r="1">
      <x v="182"/>
    </i>
    <i r="1">
      <x v="265"/>
    </i>
    <i r="1">
      <x v="285"/>
    </i>
    <i r="1">
      <x v="336"/>
    </i>
    <i r="1">
      <x v="494"/>
    </i>
    <i r="1">
      <x v="555"/>
    </i>
    <i r="1">
      <x v="567"/>
    </i>
    <i r="1">
      <x v="661"/>
    </i>
    <i r="1">
      <x v="701"/>
    </i>
    <i r="1">
      <x v="775"/>
    </i>
    <i r="1">
      <x v="797"/>
    </i>
    <i>
      <x v="429"/>
      <x v="159"/>
    </i>
    <i r="1">
      <x v="171"/>
    </i>
    <i r="1">
      <x v="258"/>
    </i>
    <i r="1">
      <x v="357"/>
    </i>
    <i>
      <x v="430"/>
      <x v="51"/>
    </i>
    <i>
      <x v="431"/>
      <x v="621"/>
    </i>
    <i r="1">
      <x v="803"/>
    </i>
    <i>
      <x v="432"/>
      <x v="272"/>
    </i>
    <i>
      <x v="433"/>
      <x v="287"/>
    </i>
    <i>
      <x v="434"/>
      <x v="434"/>
    </i>
    <i r="1">
      <x v="518"/>
    </i>
    <i>
      <x v="437"/>
      <x v="463"/>
    </i>
    <i>
      <x v="438"/>
      <x v="800"/>
    </i>
    <i>
      <x v="439"/>
      <x v="202"/>
    </i>
    <i>
      <x v="440"/>
      <x v="641"/>
    </i>
    <i>
      <x v="441"/>
      <x v="340"/>
    </i>
    <i>
      <x v="442"/>
      <x v="655"/>
    </i>
    <i>
      <x v="444"/>
      <x v="232"/>
    </i>
    <i>
      <x v="445"/>
      <x v="753"/>
    </i>
    <i>
      <x v="448"/>
      <x v="157"/>
    </i>
    <i r="1">
      <x v="436"/>
    </i>
    <i r="1">
      <x v="440"/>
    </i>
    <i>
      <x v="449"/>
      <x v="94"/>
    </i>
    <i>
      <x v="452"/>
      <x v="799"/>
    </i>
    <i>
      <x v="453"/>
      <x v="651"/>
    </i>
    <i>
      <x v="454"/>
      <x v="99"/>
    </i>
    <i>
      <x v="455"/>
      <x v="233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403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197BAC-7869-4FAE-828D-56726D7D8AD5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gridDropZones="1" multipleFieldFilters="0">
  <location ref="B5:D858" firstHeaderRow="2" firstDataRow="2" firstDataCol="2" rowPageCount="3" colPageCount="1"/>
  <pivotFields count="10">
    <pivotField compact="0" outline="0" showAll="0"/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axis="axisRow" compact="0" outline="0" showAll="0" sortType="ascending" defaultSubtotal="0">
      <items count="828">
        <item x="539"/>
        <item m="1" x="741"/>
        <item m="1" x="768"/>
        <item m="1" x="789"/>
        <item m="1" x="800"/>
        <item x="339"/>
        <item x="346"/>
        <item x="380"/>
        <item x="62"/>
        <item m="1" x="763"/>
        <item x="646"/>
        <item x="531"/>
        <item x="280"/>
        <item x="696"/>
        <item x="199"/>
        <item x="441"/>
        <item x="725"/>
        <item x="445"/>
        <item x="523"/>
        <item x="723"/>
        <item x="433"/>
        <item x="490"/>
        <item x="0"/>
        <item x="420"/>
        <item x="557"/>
        <item x="106"/>
        <item x="127"/>
        <item m="1" x="752"/>
        <item x="680"/>
        <item x="192"/>
        <item x="676"/>
        <item x="140"/>
        <item x="451"/>
        <item x="109"/>
        <item x="218"/>
        <item x="271"/>
        <item x="367"/>
        <item x="289"/>
        <item x="200"/>
        <item m="1" x="792"/>
        <item x="610"/>
        <item x="486"/>
        <item x="507"/>
        <item x="347"/>
        <item x="381"/>
        <item x="213"/>
        <item m="1" x="773"/>
        <item x="99"/>
        <item x="193"/>
        <item x="642"/>
        <item x="656"/>
        <item x="15"/>
        <item x="550"/>
        <item x="480"/>
        <item m="1" x="785"/>
        <item x="421"/>
        <item x="662"/>
        <item x="58"/>
        <item m="1" x="769"/>
        <item x="302"/>
        <item x="661"/>
        <item x="426"/>
        <item x="663"/>
        <item x="240"/>
        <item x="482"/>
        <item x="125"/>
        <item m="1" x="826"/>
        <item x="546"/>
        <item m="1" x="825"/>
        <item x="665"/>
        <item x="212"/>
        <item x="614"/>
        <item x="174"/>
        <item x="110"/>
        <item x="25"/>
        <item x="466"/>
        <item x="313"/>
        <item x="303"/>
        <item x="503"/>
        <item x="475"/>
        <item x="264"/>
        <item x="541"/>
        <item m="1" x="813"/>
        <item x="227"/>
        <item x="71"/>
        <item x="259"/>
        <item x="355"/>
        <item x="401"/>
        <item x="682"/>
        <item m="1" x="780"/>
        <item x="169"/>
        <item x="471"/>
        <item x="491"/>
        <item x="357"/>
        <item x="152"/>
        <item m="1" x="824"/>
        <item x="151"/>
        <item x="589"/>
        <item x="372"/>
        <item x="732"/>
        <item x="197"/>
        <item x="548"/>
        <item x="14"/>
        <item x="297"/>
        <item x="202"/>
        <item x="22"/>
        <item x="88"/>
        <item x="613"/>
        <item x="26"/>
        <item x="431"/>
        <item x="363"/>
        <item x="686"/>
        <item x="146"/>
        <item x="637"/>
        <item x="68"/>
        <item m="1" x="750"/>
        <item x="353"/>
        <item x="326"/>
        <item m="1" x="821"/>
        <item x="361"/>
        <item x="269"/>
        <item x="530"/>
        <item x="384"/>
        <item x="501"/>
        <item x="139"/>
        <item x="18"/>
        <item x="659"/>
        <item x="634"/>
        <item x="149"/>
        <item x="288"/>
        <item x="12"/>
        <item x="186"/>
        <item x="170"/>
        <item x="449"/>
        <item x="216"/>
        <item x="638"/>
        <item m="1" x="778"/>
        <item x="575"/>
        <item x="249"/>
        <item m="1" x="758"/>
        <item x="697"/>
        <item x="378"/>
        <item m="1" x="784"/>
        <item x="444"/>
        <item x="334"/>
        <item x="74"/>
        <item x="354"/>
        <item x="595"/>
        <item x="205"/>
        <item x="343"/>
        <item x="245"/>
        <item x="272"/>
        <item x="414"/>
        <item x="601"/>
        <item x="435"/>
        <item x="618"/>
        <item x="281"/>
        <item x="283"/>
        <item x="671"/>
        <item x="101"/>
        <item x="340"/>
        <item x="590"/>
        <item x="237"/>
        <item x="60"/>
        <item x="698"/>
        <item x="388"/>
        <item x="555"/>
        <item x="528"/>
        <item x="305"/>
        <item x="608"/>
        <item x="4"/>
        <item x="547"/>
        <item m="1" x="812"/>
        <item x="485"/>
        <item x="629"/>
        <item x="100"/>
        <item x="243"/>
        <item m="1" x="740"/>
        <item x="73"/>
        <item x="285"/>
        <item x="484"/>
        <item m="1" x="765"/>
        <item x="258"/>
        <item x="474"/>
        <item x="172"/>
        <item x="596"/>
        <item x="524"/>
        <item x="333"/>
        <item x="327"/>
        <item x="652"/>
        <item x="41"/>
        <item x="374"/>
        <item x="705"/>
        <item x="319"/>
        <item x="430"/>
        <item x="561"/>
        <item m="1" x="806"/>
        <item x="57"/>
        <item x="37"/>
        <item x="153"/>
        <item m="1" x="777"/>
        <item x="719"/>
        <item x="677"/>
        <item x="419"/>
        <item x="236"/>
        <item x="121"/>
        <item x="405"/>
        <item x="432"/>
        <item x="424"/>
        <item m="1" x="767"/>
        <item x="329"/>
        <item x="348"/>
        <item x="36"/>
        <item x="54"/>
        <item x="591"/>
        <item x="715"/>
        <item m="1" x="804"/>
        <item x="423"/>
        <item m="1" x="815"/>
        <item x="55"/>
        <item x="188"/>
        <item m="1" x="786"/>
        <item x="72"/>
        <item x="362"/>
        <item x="201"/>
        <item m="1" x="819"/>
        <item x="521"/>
        <item x="9"/>
        <item x="185"/>
        <item x="183"/>
        <item x="156"/>
        <item x="206"/>
        <item x="615"/>
        <item x="733"/>
        <item x="85"/>
        <item x="13"/>
        <item x="456"/>
        <item x="600"/>
        <item x="130"/>
        <item x="370"/>
        <item x="295"/>
        <item m="1" x="771"/>
        <item x="439"/>
        <item x="572"/>
        <item m="1" x="822"/>
        <item x="582"/>
        <item x="553"/>
        <item m="1" x="805"/>
        <item x="315"/>
        <item x="84"/>
        <item x="583"/>
        <item x="498"/>
        <item x="603"/>
        <item x="64"/>
        <item x="461"/>
        <item x="413"/>
        <item x="250"/>
        <item x="45"/>
        <item x="229"/>
        <item x="540"/>
        <item x="349"/>
        <item x="593"/>
        <item m="1" x="757"/>
        <item x="173"/>
        <item x="165"/>
        <item x="102"/>
        <item x="495"/>
        <item x="513"/>
        <item x="455"/>
        <item x="83"/>
        <item x="154"/>
        <item x="636"/>
        <item x="299"/>
        <item x="399"/>
        <item x="462"/>
        <item x="247"/>
        <item x="116"/>
        <item x="284"/>
        <item x="359"/>
        <item x="416"/>
        <item x="67"/>
        <item x="499"/>
        <item m="1" x="745"/>
        <item x="500"/>
        <item x="19"/>
        <item x="321"/>
        <item x="277"/>
        <item x="407"/>
        <item x="148"/>
        <item x="643"/>
        <item x="464"/>
        <item x="337"/>
        <item x="203"/>
        <item m="1" x="738"/>
        <item x="412"/>
        <item x="224"/>
        <item x="265"/>
        <item x="330"/>
        <item x="654"/>
        <item x="710"/>
        <item x="341"/>
        <item x="619"/>
        <item x="685"/>
        <item x="114"/>
        <item x="134"/>
        <item m="1" x="748"/>
        <item x="358"/>
        <item x="82"/>
        <item x="630"/>
        <item x="571"/>
        <item x="511"/>
        <item x="506"/>
        <item m="1" x="753"/>
        <item x="239"/>
        <item x="219"/>
        <item m="1" x="783"/>
        <item x="617"/>
        <item x="554"/>
        <item x="386"/>
        <item x="385"/>
        <item x="645"/>
        <item x="393"/>
        <item x="683"/>
        <item x="674"/>
        <item x="252"/>
        <item x="579"/>
        <item x="695"/>
        <item x="171"/>
        <item x="481"/>
        <item x="522"/>
        <item x="230"/>
        <item x="278"/>
        <item x="117"/>
        <item x="675"/>
        <item x="198"/>
        <item m="1" x="749"/>
        <item x="89"/>
        <item m="1" x="794"/>
        <item m="1" x="775"/>
        <item x="142"/>
        <item x="97"/>
        <item x="394"/>
        <item x="23"/>
        <item m="1" x="795"/>
        <item x="580"/>
        <item x="718"/>
        <item x="255"/>
        <item x="160"/>
        <item x="270"/>
        <item m="1" x="760"/>
        <item x="606"/>
        <item x="532"/>
        <item x="16"/>
        <item x="368"/>
        <item x="712"/>
        <item x="189"/>
        <item x="701"/>
        <item x="260"/>
        <item x="730"/>
        <item x="447"/>
        <item m="1" x="816"/>
        <item x="244"/>
        <item x="633"/>
        <item x="175"/>
        <item m="1" x="820"/>
        <item x="415"/>
        <item x="356"/>
        <item x="404"/>
        <item x="558"/>
        <item m="1" x="811"/>
        <item x="310"/>
        <item x="231"/>
        <item x="301"/>
        <item x="578"/>
        <item x="465"/>
        <item x="448"/>
        <item x="716"/>
        <item x="425"/>
        <item x="434"/>
        <item x="526"/>
        <item x="96"/>
        <item x="11"/>
        <item x="286"/>
        <item x="556"/>
        <item x="573"/>
        <item x="161"/>
        <item m="1" x="751"/>
        <item x="287"/>
        <item x="727"/>
        <item x="338"/>
        <item x="77"/>
        <item x="78"/>
        <item x="489"/>
        <item x="323"/>
        <item x="75"/>
        <item x="21"/>
        <item m="1" x="807"/>
        <item x="668"/>
        <item x="517"/>
        <item x="472"/>
        <item x="576"/>
        <item x="317"/>
        <item x="527"/>
        <item x="693"/>
        <item x="103"/>
        <item x="587"/>
        <item x="32"/>
        <item m="1" x="802"/>
        <item x="263"/>
        <item x="516"/>
        <item x="8"/>
        <item m="1" x="761"/>
        <item x="136"/>
        <item x="87"/>
        <item x="460"/>
        <item x="304"/>
        <item x="350"/>
        <item x="49"/>
        <item x="468"/>
        <item x="469"/>
        <item m="1" x="787"/>
        <item m="1" x="801"/>
        <item x="344"/>
        <item x="31"/>
        <item x="577"/>
        <item m="1" x="797"/>
        <item x="427"/>
        <item x="729"/>
        <item x="194"/>
        <item x="377"/>
        <item x="453"/>
        <item x="298"/>
        <item m="1" x="781"/>
        <item x="209"/>
        <item x="94"/>
        <item x="267"/>
        <item x="537"/>
        <item x="373"/>
        <item x="599"/>
        <item x="544"/>
        <item x="40"/>
        <item x="679"/>
        <item x="296"/>
        <item x="369"/>
        <item x="221"/>
        <item m="1" x="808"/>
        <item x="520"/>
        <item x="436"/>
        <item m="1" x="788"/>
        <item x="300"/>
        <item x="505"/>
        <item x="44"/>
        <item x="351"/>
        <item x="90"/>
        <item m="1" x="823"/>
        <item x="390"/>
        <item x="536"/>
        <item x="515"/>
        <item x="92"/>
        <item x="446"/>
        <item x="396"/>
        <item x="669"/>
        <item x="365"/>
        <item x="275"/>
        <item x="345"/>
        <item x="379"/>
        <item x="261"/>
        <item x="132"/>
        <item x="123"/>
        <item m="1" x="754"/>
        <item x="635"/>
        <item x="65"/>
        <item x="551"/>
        <item m="1" x="791"/>
        <item x="616"/>
        <item x="53"/>
        <item x="702"/>
        <item x="104"/>
        <item x="59"/>
        <item x="713"/>
        <item x="241"/>
        <item x="141"/>
        <item m="1" x="779"/>
        <item x="411"/>
        <item x="649"/>
        <item x="331"/>
        <item x="43"/>
        <item x="478"/>
        <item x="309"/>
        <item x="27"/>
        <item x="157"/>
        <item x="91"/>
        <item x="63"/>
        <item x="684"/>
        <item x="112"/>
        <item x="681"/>
        <item x="647"/>
        <item x="477"/>
        <item x="276"/>
        <item x="195"/>
        <item x="214"/>
        <item x="457"/>
        <item m="1" x="772"/>
        <item x="119"/>
        <item x="1"/>
        <item x="294"/>
        <item x="494"/>
        <item x="586"/>
        <item x="443"/>
        <item x="181"/>
        <item x="282"/>
        <item x="336"/>
        <item x="581"/>
        <item x="387"/>
        <item x="632"/>
        <item m="1" x="739"/>
        <item x="222"/>
        <item x="145"/>
        <item x="3"/>
        <item x="17"/>
        <item m="1" x="827"/>
        <item x="126"/>
        <item x="48"/>
        <item x="308"/>
        <item m="1" x="798"/>
        <item x="735"/>
        <item x="306"/>
        <item x="496"/>
        <item x="208"/>
        <item x="328"/>
        <item m="1" x="790"/>
        <item x="512"/>
        <item x="376"/>
        <item x="620"/>
        <item x="395"/>
        <item x="459"/>
        <item x="644"/>
        <item x="422"/>
        <item x="594"/>
        <item x="651"/>
        <item x="42"/>
        <item x="135"/>
        <item x="332"/>
        <item x="191"/>
        <item x="454"/>
        <item x="6"/>
        <item x="703"/>
        <item x="144"/>
        <item x="562"/>
        <item x="563"/>
        <item x="564"/>
        <item x="228"/>
        <item x="122"/>
        <item x="52"/>
        <item x="220"/>
        <item x="166"/>
        <item m="1" x="774"/>
        <item m="1" x="737"/>
        <item x="655"/>
        <item x="398"/>
        <item x="196"/>
        <item m="1" x="817"/>
        <item x="567"/>
        <item x="178"/>
        <item x="242"/>
        <item x="131"/>
        <item x="314"/>
        <item x="256"/>
        <item x="678"/>
        <item x="371"/>
        <item x="105"/>
        <item x="609"/>
        <item x="184"/>
        <item x="158"/>
        <item x="291"/>
        <item x="670"/>
        <item x="622"/>
        <item m="1" x="799"/>
        <item x="128"/>
        <item x="502"/>
        <item x="437"/>
        <item x="625"/>
        <item x="274"/>
        <item x="664"/>
        <item x="80"/>
        <item x="98"/>
        <item m="1" x="818"/>
        <item x="248"/>
        <item m="1" x="743"/>
        <item x="162"/>
        <item x="391"/>
        <item m="1" x="809"/>
        <item m="1" x="770"/>
        <item x="93"/>
        <item x="535"/>
        <item x="69"/>
        <item x="545"/>
        <item x="400"/>
        <item x="70"/>
        <item x="10"/>
        <item x="226"/>
        <item x="56"/>
        <item x="559"/>
        <item x="694"/>
        <item x="687"/>
        <item x="246"/>
        <item x="440"/>
        <item x="182"/>
        <item x="688"/>
        <item x="626"/>
        <item x="187"/>
        <item x="418"/>
        <item x="450"/>
        <item x="7"/>
        <item x="497"/>
        <item m="1" x="756"/>
        <item m="1" x="759"/>
        <item x="667"/>
        <item x="163"/>
        <item x="565"/>
        <item x="570"/>
        <item x="692"/>
        <item x="487"/>
        <item x="650"/>
        <item x="129"/>
        <item x="709"/>
        <item x="706"/>
        <item x="360"/>
        <item x="95"/>
        <item x="483"/>
        <item x="428"/>
        <item x="34"/>
        <item x="290"/>
        <item x="690"/>
        <item x="658"/>
        <item x="508"/>
        <item x="627"/>
        <item x="233"/>
        <item x="176"/>
        <item x="611"/>
        <item m="1" x="776"/>
        <item x="640"/>
        <item x="190"/>
        <item x="605"/>
        <item x="438"/>
        <item x="76"/>
        <item m="1" x="810"/>
        <item x="597"/>
        <item x="621"/>
        <item x="312"/>
        <item m="1" x="744"/>
        <item x="726"/>
        <item x="325"/>
        <item x="316"/>
        <item x="311"/>
        <item x="5"/>
        <item x="699"/>
        <item x="20"/>
        <item x="653"/>
        <item x="232"/>
        <item x="375"/>
        <item x="279"/>
        <item x="409"/>
        <item x="225"/>
        <item x="529"/>
        <item x="307"/>
        <item x="543"/>
        <item x="322"/>
        <item x="66"/>
        <item x="29"/>
        <item x="673"/>
        <item x="463"/>
        <item x="2"/>
        <item x="120"/>
        <item x="28"/>
        <item x="549"/>
        <item x="533"/>
        <item x="560"/>
        <item x="612"/>
        <item x="324"/>
        <item m="1" x="814"/>
        <item x="177"/>
        <item x="273"/>
        <item x="721"/>
        <item x="542"/>
        <item x="397"/>
        <item x="318"/>
        <item x="234"/>
        <item x="147"/>
        <item x="641"/>
        <item x="167"/>
        <item m="1" x="782"/>
        <item x="320"/>
        <item x="366"/>
        <item x="402"/>
        <item x="720"/>
        <item x="204"/>
        <item x="442"/>
        <item x="708"/>
        <item x="488"/>
        <item x="115"/>
        <item x="39"/>
        <item x="624"/>
        <item x="179"/>
        <item x="335"/>
        <item x="467"/>
        <item x="672"/>
        <item x="509"/>
        <item x="734"/>
        <item x="406"/>
        <item x="458"/>
        <item x="207"/>
        <item x="538"/>
        <item x="717"/>
        <item x="722"/>
        <item x="133"/>
        <item x="408"/>
        <item m="1" x="796"/>
        <item x="124"/>
        <item x="666"/>
        <item x="585"/>
        <item x="168"/>
        <item x="707"/>
        <item x="714"/>
        <item x="215"/>
        <item x="492"/>
        <item x="138"/>
        <item x="155"/>
        <item m="1" x="746"/>
        <item x="452"/>
        <item x="724"/>
        <item x="51"/>
        <item x="689"/>
        <item x="33"/>
        <item x="262"/>
        <item x="574"/>
        <item x="552"/>
        <item x="164"/>
        <item x="493"/>
        <item x="417"/>
        <item x="111"/>
        <item x="403"/>
        <item x="47"/>
        <item x="180"/>
        <item x="657"/>
        <item x="383"/>
        <item x="588"/>
        <item x="700"/>
        <item x="648"/>
        <item x="504"/>
        <item x="24"/>
        <item m="1" x="803"/>
        <item m="1" x="793"/>
        <item x="217"/>
        <item x="479"/>
        <item x="639"/>
        <item x="50"/>
        <item x="159"/>
        <item m="1" x="755"/>
        <item x="598"/>
        <item x="389"/>
        <item x="30"/>
        <item x="392"/>
        <item x="352"/>
        <item x="518"/>
        <item x="293"/>
        <item x="534"/>
        <item x="704"/>
        <item x="81"/>
        <item x="143"/>
        <item x="711"/>
        <item x="514"/>
        <item x="731"/>
        <item m="1" x="742"/>
        <item x="470"/>
        <item x="254"/>
        <item m="1" x="766"/>
        <item x="410"/>
        <item x="382"/>
        <item x="660"/>
        <item x="592"/>
        <item x="691"/>
        <item x="266"/>
        <item x="525"/>
        <item x="79"/>
        <item x="364"/>
        <item m="1" x="764"/>
        <item x="473"/>
        <item x="118"/>
        <item m="1" x="762"/>
        <item x="107"/>
        <item x="235"/>
        <item x="569"/>
        <item x="46"/>
        <item x="86"/>
        <item x="211"/>
        <item x="223"/>
        <item x="108"/>
        <item m="1" x="747"/>
        <item x="728"/>
        <item x="210"/>
        <item x="628"/>
        <item x="568"/>
        <item x="476"/>
        <item x="61"/>
        <item x="519"/>
        <item x="429"/>
        <item x="604"/>
        <item x="150"/>
        <item x="38"/>
        <item x="510"/>
        <item x="268"/>
        <item x="607"/>
        <item x="251"/>
        <item x="602"/>
        <item x="584"/>
        <item x="566"/>
        <item x="137"/>
        <item x="342"/>
        <item x="35"/>
        <item x="631"/>
        <item x="113"/>
        <item x="257"/>
        <item x="253"/>
        <item x="623"/>
        <item x="292"/>
        <item x="238"/>
        <item h="1" x="736"/>
      </items>
    </pivotField>
    <pivotField axis="axisRow" compact="0" outline="0" showAll="0" defaultSubtotal="0">
      <items count="457">
        <item x="157"/>
        <item m="1" x="376"/>
        <item m="1" x="382"/>
        <item m="1" x="431"/>
        <item m="1" x="390"/>
        <item m="1" x="396"/>
        <item x="76"/>
        <item x="140"/>
        <item x="64"/>
        <item x="237"/>
        <item x="43"/>
        <item x="24"/>
        <item x="254"/>
        <item x="177"/>
        <item x="191"/>
        <item m="1" x="435"/>
        <item x="348"/>
        <item x="219"/>
        <item x="302"/>
        <item x="151"/>
        <item x="307"/>
        <item x="315"/>
        <item x="34"/>
        <item x="86"/>
        <item x="269"/>
        <item m="1" x="423"/>
        <item x="324"/>
        <item x="20"/>
        <item x="282"/>
        <item x="214"/>
        <item x="245"/>
        <item x="292"/>
        <item x="253"/>
        <item m="1" x="414"/>
        <item x="163"/>
        <item x="33"/>
        <item x="263"/>
        <item m="1" x="428"/>
        <item x="178"/>
        <item x="108"/>
        <item x="59"/>
        <item x="90"/>
        <item x="314"/>
        <item x="244"/>
        <item x="297"/>
        <item x="363"/>
        <item x="12"/>
        <item x="176"/>
        <item x="325"/>
        <item x="45"/>
        <item x="92"/>
        <item x="205"/>
        <item x="353"/>
        <item x="36"/>
        <item x="149"/>
        <item x="224"/>
        <item x="248"/>
        <item x="187"/>
        <item x="227"/>
        <item x="153"/>
        <item x="29"/>
        <item x="182"/>
        <item x="312"/>
        <item m="1" x="446"/>
        <item x="275"/>
        <item m="1" x="406"/>
        <item x="213"/>
        <item x="268"/>
        <item m="1" x="454"/>
        <item x="273"/>
        <item x="47"/>
        <item x="83"/>
        <item x="87"/>
        <item x="199"/>
        <item m="1" x="383"/>
        <item x="139"/>
        <item x="40"/>
        <item x="223"/>
        <item x="287"/>
        <item x="7"/>
        <item x="310"/>
        <item x="367"/>
        <item m="1" x="381"/>
        <item x="103"/>
        <item x="71"/>
        <item x="141"/>
        <item x="207"/>
        <item x="231"/>
        <item x="186"/>
        <item m="1" x="403"/>
        <item x="301"/>
        <item x="358"/>
        <item m="1" x="394"/>
        <item x="259"/>
        <item x="77"/>
        <item x="160"/>
        <item x="349"/>
        <item x="361"/>
        <item x="197"/>
        <item x="169"/>
        <item x="304"/>
        <item x="73"/>
        <item x="190"/>
        <item x="303"/>
        <item x="280"/>
        <item x="95"/>
        <item x="82"/>
        <item x="13"/>
        <item m="1" x="413"/>
        <item x="84"/>
        <item x="234"/>
        <item x="62"/>
        <item x="215"/>
        <item x="264"/>
        <item x="48"/>
        <item x="330"/>
        <item x="258"/>
        <item x="196"/>
        <item x="362"/>
        <item x="308"/>
        <item x="67"/>
        <item x="68"/>
        <item x="272"/>
        <item x="204"/>
        <item x="283"/>
        <item x="356"/>
        <item m="1" x="447"/>
        <item x="131"/>
        <item x="135"/>
        <item x="210"/>
        <item x="111"/>
        <item x="61"/>
        <item x="360"/>
        <item x="209"/>
        <item x="97"/>
        <item x="152"/>
        <item x="120"/>
        <item x="278"/>
        <item x="266"/>
        <item x="218"/>
        <item x="208"/>
        <item x="102"/>
        <item m="1" x="456"/>
        <item x="105"/>
        <item x="172"/>
        <item m="1" x="401"/>
        <item x="201"/>
        <item m="1" x="430"/>
        <item x="339"/>
        <item x="94"/>
        <item x="88"/>
        <item x="235"/>
        <item x="128"/>
        <item x="158"/>
        <item x="270"/>
        <item x="216"/>
        <item x="89"/>
        <item x="6"/>
        <item m="1" x="440"/>
        <item x="106"/>
        <item m="1" x="439"/>
        <item x="162"/>
        <item x="52"/>
        <item x="132"/>
        <item x="44"/>
        <item x="150"/>
        <item x="321"/>
        <item x="183"/>
        <item x="351"/>
        <item x="85"/>
        <item x="226"/>
        <item x="276"/>
        <item x="357"/>
        <item m="1" x="387"/>
        <item x="239"/>
        <item x="290"/>
        <item x="60"/>
        <item x="156"/>
        <item x="165"/>
        <item m="1" x="377"/>
        <item x="137"/>
        <item m="1" x="427"/>
        <item m="1" x="426"/>
        <item x="112"/>
        <item m="1" x="422"/>
        <item x="134"/>
        <item m="1" x="388"/>
        <item x="327"/>
        <item x="116"/>
        <item x="174"/>
        <item m="1" x="429"/>
        <item x="340"/>
        <item x="14"/>
        <item x="262"/>
        <item x="26"/>
        <item x="220"/>
        <item x="211"/>
        <item x="343"/>
        <item x="195"/>
        <item x="0"/>
        <item x="69"/>
        <item x="334"/>
        <item x="46"/>
        <item x="123"/>
        <item x="369"/>
        <item m="1" x="404"/>
        <item x="19"/>
        <item x="200"/>
        <item x="291"/>
        <item x="202"/>
        <item x="300"/>
        <item x="25"/>
        <item x="65"/>
        <item x="285"/>
        <item x="63"/>
        <item x="179"/>
        <item x="212"/>
        <item x="274"/>
        <item x="238"/>
        <item x="58"/>
        <item x="175"/>
        <item x="217"/>
        <item m="1" x="455"/>
        <item x="286"/>
        <item x="329"/>
        <item x="228"/>
        <item x="331"/>
        <item x="323"/>
        <item x="127"/>
        <item x="345"/>
        <item x="279"/>
        <item x="241"/>
        <item x="35"/>
        <item x="247"/>
        <item x="72"/>
        <item x="271"/>
        <item x="125"/>
        <item x="341"/>
        <item x="332"/>
        <item x="296"/>
        <item x="27"/>
        <item x="189"/>
        <item m="1" x="407"/>
        <item m="1" x="420"/>
        <item x="236"/>
        <item m="1" x="433"/>
        <item x="93"/>
        <item m="1" x="441"/>
        <item x="113"/>
        <item m="1" x="397"/>
        <item x="51"/>
        <item x="365"/>
        <item x="180"/>
        <item x="155"/>
        <item x="57"/>
        <item x="355"/>
        <item x="288"/>
        <item x="284"/>
        <item x="194"/>
        <item m="1" x="421"/>
        <item x="38"/>
        <item m="1" x="400"/>
        <item x="256"/>
        <item x="317"/>
        <item x="100"/>
        <item m="1" x="434"/>
        <item x="322"/>
        <item x="230"/>
        <item m="1" x="405"/>
        <item m="1" x="432"/>
        <item x="225"/>
        <item x="110"/>
        <item m="1" x="395"/>
        <item m="1" x="391"/>
        <item x="309"/>
        <item x="129"/>
        <item x="114"/>
        <item x="233"/>
        <item x="136"/>
        <item x="81"/>
        <item x="305"/>
        <item x="242"/>
        <item x="117"/>
        <item x="146"/>
        <item x="56"/>
        <item x="333"/>
        <item x="246"/>
        <item x="30"/>
        <item x="185"/>
        <item x="320"/>
        <item x="261"/>
        <item x="249"/>
        <item m="1" x="411"/>
        <item x="21"/>
        <item x="119"/>
        <item m="1" x="418"/>
        <item x="3"/>
        <item x="75"/>
        <item x="8"/>
        <item x="298"/>
        <item x="2"/>
        <item m="1" x="444"/>
        <item x="206"/>
        <item x="344"/>
        <item x="319"/>
        <item x="337"/>
        <item x="198"/>
        <item x="41"/>
        <item m="1" x="442"/>
        <item x="124"/>
        <item x="159"/>
        <item x="130"/>
        <item m="1" x="380"/>
        <item m="1" x="384"/>
        <item m="1" x="393"/>
        <item x="267"/>
        <item x="170"/>
        <item x="98"/>
        <item x="55"/>
        <item m="1" x="408"/>
        <item m="1" x="402"/>
        <item x="188"/>
        <item x="203"/>
        <item x="293"/>
        <item x="17"/>
        <item x="79"/>
        <item x="1"/>
        <item x="145"/>
        <item x="70"/>
        <item x="28"/>
        <item x="49"/>
        <item x="66"/>
        <item x="316"/>
        <item m="1" x="451"/>
        <item m="1" x="443"/>
        <item x="250"/>
        <item x="148"/>
        <item x="328"/>
        <item x="295"/>
        <item x="138"/>
        <item x="39"/>
        <item m="1" x="412"/>
        <item m="1" x="389"/>
        <item m="1" x="445"/>
        <item m="1" x="424"/>
        <item x="193"/>
        <item x="144"/>
        <item x="115"/>
        <item m="1" x="425"/>
        <item x="15"/>
        <item m="1" x="416"/>
        <item x="166"/>
        <item x="164"/>
        <item x="23"/>
        <item x="16"/>
        <item x="232"/>
        <item x="277"/>
        <item x="306"/>
        <item x="251"/>
        <item x="118"/>
        <item x="53"/>
        <item x="91"/>
        <item x="10"/>
        <item x="350"/>
        <item m="1" x="385"/>
        <item x="9"/>
        <item x="359"/>
        <item x="222"/>
        <item x="109"/>
        <item m="1" x="436"/>
        <item x="32"/>
        <item x="311"/>
        <item x="229"/>
        <item x="126"/>
        <item x="347"/>
        <item m="1" x="399"/>
        <item m="1" x="392"/>
        <item x="260"/>
        <item x="184"/>
        <item x="154"/>
        <item x="22"/>
        <item m="1" x="450"/>
        <item x="168"/>
        <item m="1" x="448"/>
        <item m="1" x="386"/>
        <item x="265"/>
        <item x="192"/>
        <item x="122"/>
        <item x="161"/>
        <item x="336"/>
        <item x="99"/>
        <item m="1" x="438"/>
        <item x="133"/>
        <item x="96"/>
        <item x="368"/>
        <item x="74"/>
        <item x="342"/>
        <item x="366"/>
        <item m="1" x="398"/>
        <item x="281"/>
        <item x="171"/>
        <item m="1" x="452"/>
        <item x="54"/>
        <item x="255"/>
        <item x="50"/>
        <item x="42"/>
        <item x="4"/>
        <item x="107"/>
        <item x="326"/>
        <item x="313"/>
        <item x="294"/>
        <item x="243"/>
        <item x="221"/>
        <item x="354"/>
        <item x="289"/>
        <item x="101"/>
        <item x="364"/>
        <item x="18"/>
        <item x="142"/>
        <item x="338"/>
        <item x="11"/>
        <item m="1" x="453"/>
        <item m="1" x="409"/>
        <item x="104"/>
        <item m="1" x="379"/>
        <item x="121"/>
        <item x="240"/>
        <item x="37"/>
        <item m="1" x="419"/>
        <item x="80"/>
        <item x="31"/>
        <item x="257"/>
        <item x="181"/>
        <item x="252"/>
        <item x="299"/>
        <item m="1" x="449"/>
        <item m="1" x="417"/>
        <item x="167"/>
        <item x="143"/>
        <item x="352"/>
        <item x="335"/>
        <item x="78"/>
        <item x="5"/>
        <item m="1" x="378"/>
        <item x="318"/>
        <item x="147"/>
        <item m="1" x="415"/>
        <item m="1" x="437"/>
        <item x="173"/>
        <item x="346"/>
        <item m="1" x="410"/>
        <item x="374"/>
        <item x="371"/>
        <item x="370"/>
        <item x="372"/>
        <item x="373"/>
        <item m="1" x="375"/>
      </items>
    </pivotField>
    <pivotField dataField="1" compact="0" outline="0" showAl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7"/>
  </rowFields>
  <rowItems count="852">
    <i>
      <x/>
      <x v="399"/>
    </i>
    <i>
      <x v="5"/>
      <x v="188"/>
    </i>
    <i>
      <x v="6"/>
      <x v="408"/>
    </i>
    <i r="1">
      <x v="427"/>
    </i>
    <i>
      <x v="7"/>
      <x v="17"/>
    </i>
    <i>
      <x v="8"/>
      <x v="29"/>
    </i>
    <i r="1">
      <x v="120"/>
    </i>
    <i r="1">
      <x v="121"/>
    </i>
    <i r="1">
      <x v="225"/>
    </i>
    <i r="1">
      <x v="402"/>
    </i>
    <i>
      <x v="10"/>
      <x v="211"/>
    </i>
    <i>
      <x v="11"/>
      <x v="79"/>
    </i>
    <i>
      <x v="12"/>
      <x v="107"/>
    </i>
    <i>
      <x v="13"/>
      <x v="321"/>
    </i>
    <i>
      <x v="14"/>
      <x v="50"/>
    </i>
    <i>
      <x v="15"/>
      <x v="60"/>
    </i>
    <i r="1">
      <x v="353"/>
    </i>
    <i>
      <x v="16"/>
      <x v="194"/>
    </i>
    <i>
      <x v="17"/>
      <x v="69"/>
    </i>
    <i r="1">
      <x v="187"/>
    </i>
    <i r="1">
      <x v="203"/>
    </i>
    <i r="1">
      <x v="211"/>
    </i>
    <i>
      <x v="18"/>
      <x v="219"/>
    </i>
    <i>
      <x v="19"/>
      <x v="246"/>
    </i>
    <i>
      <x v="20"/>
      <x v="347"/>
    </i>
    <i>
      <x v="21"/>
      <x v="183"/>
    </i>
    <i>
      <x v="22"/>
      <x v="199"/>
    </i>
    <i r="1">
      <x v="294"/>
    </i>
    <i>
      <x v="23"/>
      <x v="420"/>
    </i>
    <i>
      <x v="24"/>
      <x v="414"/>
    </i>
    <i>
      <x v="25"/>
      <x v="71"/>
    </i>
    <i r="1">
      <x v="107"/>
    </i>
    <i>
      <x v="26"/>
      <x v="84"/>
    </i>
    <i>
      <x v="28"/>
      <x v="255"/>
    </i>
    <i>
      <x v="29"/>
      <x v="211"/>
    </i>
    <i>
      <x v="30"/>
      <x v="111"/>
    </i>
    <i>
      <x v="31"/>
      <x v="8"/>
    </i>
    <i>
      <x v="32"/>
      <x v="128"/>
    </i>
    <i>
      <x v="33"/>
      <x v="169"/>
    </i>
    <i>
      <x v="34"/>
      <x v="336"/>
    </i>
    <i>
      <x v="35"/>
      <x v="188"/>
    </i>
    <i>
      <x v="36"/>
      <x v="196"/>
    </i>
    <i>
      <x v="37"/>
      <x v="47"/>
    </i>
    <i>
      <x v="38"/>
      <x v="128"/>
    </i>
    <i r="1">
      <x v="346"/>
    </i>
    <i>
      <x v="40"/>
      <x v="23"/>
    </i>
    <i>
      <x v="41"/>
      <x v="406"/>
    </i>
    <i>
      <x v="42"/>
      <x v="24"/>
    </i>
    <i>
      <x v="43"/>
      <x v="51"/>
    </i>
    <i>
      <x v="44"/>
      <x v="195"/>
    </i>
    <i r="1">
      <x v="230"/>
    </i>
    <i>
      <x v="45"/>
      <x v="84"/>
    </i>
    <i>
      <x v="47"/>
      <x v="325"/>
    </i>
    <i>
      <x v="48"/>
      <x v="163"/>
    </i>
    <i>
      <x v="49"/>
      <x v="367"/>
    </i>
    <i>
      <x v="50"/>
      <x v="237"/>
    </i>
    <i>
      <x v="51"/>
      <x v="296"/>
    </i>
    <i r="1">
      <x v="349"/>
    </i>
    <i r="1">
      <x v="430"/>
    </i>
    <i>
      <x v="52"/>
      <x v="194"/>
    </i>
    <i>
      <x v="53"/>
      <x v="377"/>
    </i>
    <i>
      <x v="55"/>
      <x v="407"/>
    </i>
    <i>
      <x v="56"/>
      <x v="194"/>
    </i>
    <i>
      <x v="57"/>
      <x v="404"/>
    </i>
    <i>
      <x v="59"/>
      <x v="167"/>
    </i>
    <i>
      <x v="60"/>
      <x v="353"/>
    </i>
    <i>
      <x v="61"/>
      <x v="426"/>
    </i>
    <i>
      <x v="62"/>
      <x v="209"/>
    </i>
    <i>
      <x v="63"/>
      <x v="11"/>
    </i>
    <i>
      <x v="64"/>
      <x v="427"/>
    </i>
    <i>
      <x v="65"/>
      <x v="349"/>
    </i>
    <i>
      <x v="67"/>
      <x v="248"/>
    </i>
    <i>
      <x v="69"/>
      <x v="374"/>
    </i>
    <i>
      <x v="70"/>
      <x v="406"/>
    </i>
    <i>
      <x v="71"/>
      <x v="404"/>
    </i>
    <i>
      <x v="72"/>
      <x v="387"/>
    </i>
    <i>
      <x v="73"/>
      <x v="23"/>
    </i>
    <i>
      <x v="74"/>
      <x v="211"/>
    </i>
    <i>
      <x v="75"/>
      <x v="353"/>
    </i>
    <i>
      <x v="76"/>
      <x v="423"/>
    </i>
    <i>
      <x v="77"/>
      <x v="378"/>
    </i>
    <i>
      <x v="78"/>
      <x v="293"/>
    </i>
    <i>
      <x v="79"/>
      <x v="110"/>
    </i>
    <i>
      <x v="80"/>
      <x v="34"/>
    </i>
    <i r="1">
      <x v="143"/>
    </i>
    <i>
      <x v="81"/>
      <x v="124"/>
    </i>
    <i>
      <x v="83"/>
      <x v="143"/>
    </i>
    <i r="1">
      <x v="396"/>
    </i>
    <i>
      <x v="84"/>
      <x v="111"/>
    </i>
    <i>
      <x v="85"/>
      <x v="404"/>
    </i>
    <i>
      <x v="86"/>
      <x v="347"/>
    </i>
    <i>
      <x v="87"/>
      <x v="293"/>
    </i>
    <i>
      <x v="88"/>
      <x v="293"/>
    </i>
    <i>
      <x v="90"/>
      <x v="359"/>
    </i>
    <i>
      <x v="91"/>
      <x v="347"/>
    </i>
    <i>
      <x v="92"/>
      <x v="113"/>
    </i>
    <i>
      <x v="93"/>
      <x v="347"/>
    </i>
    <i>
      <x v="94"/>
      <x v="159"/>
    </i>
    <i r="1">
      <x v="449"/>
    </i>
    <i>
      <x v="96"/>
      <x v="143"/>
    </i>
    <i>
      <x v="97"/>
      <x v="426"/>
    </i>
    <i>
      <x v="98"/>
      <x v="8"/>
    </i>
    <i>
      <x v="99"/>
      <x v="454"/>
    </i>
    <i>
      <x v="100"/>
      <x v="203"/>
    </i>
    <i>
      <x v="101"/>
      <x v="296"/>
    </i>
    <i>
      <x v="102"/>
      <x v="192"/>
    </i>
    <i>
      <x v="103"/>
      <x v="380"/>
    </i>
    <i>
      <x v="104"/>
      <x v="278"/>
    </i>
    <i>
      <x v="105"/>
      <x v="380"/>
    </i>
    <i>
      <x v="106"/>
      <x v="330"/>
    </i>
    <i>
      <x v="107"/>
      <x v="211"/>
    </i>
    <i>
      <x v="108"/>
      <x v="194"/>
    </i>
    <i r="1">
      <x v="250"/>
    </i>
    <i>
      <x v="109"/>
      <x v="211"/>
    </i>
    <i r="1">
      <x v="353"/>
    </i>
    <i>
      <x v="110"/>
      <x v="46"/>
    </i>
    <i>
      <x v="111"/>
      <x v="380"/>
    </i>
    <i>
      <x v="112"/>
      <x v="330"/>
    </i>
    <i>
      <x v="113"/>
      <x v="201"/>
    </i>
    <i>
      <x v="114"/>
      <x v="404"/>
    </i>
    <i>
      <x v="116"/>
      <x v="86"/>
    </i>
    <i>
      <x v="117"/>
      <x v="79"/>
    </i>
    <i>
      <x v="119"/>
      <x v="143"/>
    </i>
    <i>
      <x v="120"/>
      <x v="210"/>
    </i>
    <i r="1">
      <x v="353"/>
    </i>
    <i>
      <x v="121"/>
      <x v="293"/>
    </i>
    <i>
      <x v="122"/>
      <x v="189"/>
    </i>
    <i>
      <x v="123"/>
      <x v="326"/>
    </i>
    <i>
      <x v="124"/>
      <x v="141"/>
    </i>
    <i>
      <x v="125"/>
      <x v="107"/>
    </i>
    <i r="1">
      <x v="417"/>
    </i>
    <i>
      <x v="126"/>
      <x v="229"/>
    </i>
    <i>
      <x v="127"/>
      <x v="22"/>
    </i>
    <i>
      <x v="128"/>
      <x v="349"/>
    </i>
    <i>
      <x v="129"/>
      <x v="380"/>
    </i>
    <i>
      <x v="130"/>
      <x v="46"/>
    </i>
    <i r="1">
      <x v="358"/>
    </i>
    <i>
      <x v="131"/>
      <x v="127"/>
    </i>
    <i>
      <x v="132"/>
      <x v="211"/>
    </i>
    <i>
      <x v="133"/>
      <x v="101"/>
    </i>
    <i>
      <x v="134"/>
      <x v="283"/>
    </i>
    <i>
      <x v="135"/>
      <x v="293"/>
    </i>
    <i>
      <x v="137"/>
      <x v="299"/>
    </i>
    <i>
      <x v="138"/>
      <x v="310"/>
    </i>
    <i>
      <x v="140"/>
      <x v="374"/>
    </i>
    <i>
      <x v="141"/>
      <x v="221"/>
    </i>
    <i>
      <x v="143"/>
      <x v="406"/>
    </i>
    <i>
      <x v="144"/>
      <x v="107"/>
    </i>
    <i r="1">
      <x v="118"/>
    </i>
    <i>
      <x v="145"/>
      <x v="214"/>
    </i>
    <i r="1">
      <x v="404"/>
    </i>
    <i>
      <x v="146"/>
      <x v="140"/>
    </i>
    <i>
      <x v="147"/>
      <x v="119"/>
    </i>
    <i>
      <x v="148"/>
      <x v="339"/>
    </i>
    <i>
      <x v="149"/>
      <x v="123"/>
    </i>
    <i>
      <x v="150"/>
      <x v="120"/>
    </i>
    <i>
      <x v="151"/>
      <x v="240"/>
    </i>
    <i>
      <x v="152"/>
      <x v="183"/>
    </i>
    <i>
      <x v="153"/>
      <x v="62"/>
    </i>
    <i>
      <x v="154"/>
      <x v="59"/>
    </i>
    <i>
      <x v="155"/>
      <x v="296"/>
    </i>
    <i>
      <x v="156"/>
      <x v="400"/>
    </i>
    <i>
      <x v="157"/>
      <x v="448"/>
    </i>
    <i>
      <x v="158"/>
      <x v="363"/>
    </i>
    <i>
      <x v="159"/>
      <x v="429"/>
    </i>
    <i>
      <x v="160"/>
      <x v="322"/>
    </i>
    <i>
      <x v="161"/>
      <x v="357"/>
    </i>
    <i>
      <x v="162"/>
      <x v="253"/>
    </i>
    <i>
      <x v="163"/>
      <x v="107"/>
    </i>
    <i>
      <x v="164"/>
      <x v="97"/>
    </i>
    <i>
      <x v="165"/>
      <x v="367"/>
    </i>
    <i>
      <x v="166"/>
      <x v="256"/>
    </i>
    <i>
      <x v="167"/>
      <x v="315"/>
    </i>
    <i>
      <x v="168"/>
      <x v="317"/>
    </i>
    <i>
      <x v="169"/>
      <x v="200"/>
    </i>
    <i>
      <x v="170"/>
      <x v="406"/>
    </i>
    <i>
      <x v="171"/>
      <x v="429"/>
    </i>
    <i>
      <x v="173"/>
      <x v="193"/>
    </i>
    <i>
      <x v="174"/>
      <x v="281"/>
    </i>
    <i>
      <x v="175"/>
      <x v="194"/>
    </i>
    <i r="1">
      <x v="211"/>
    </i>
    <i r="1">
      <x v="296"/>
    </i>
    <i>
      <x v="176"/>
      <x v="406"/>
    </i>
    <i>
      <x v="178"/>
      <x v="296"/>
    </i>
    <i>
      <x v="179"/>
      <x v="220"/>
    </i>
    <i>
      <x v="180"/>
      <x v="194"/>
    </i>
    <i>
      <x v="182"/>
      <x v="427"/>
    </i>
    <i>
      <x v="183"/>
      <x v="262"/>
    </i>
    <i>
      <x v="184"/>
      <x v="211"/>
    </i>
    <i>
      <x v="185"/>
      <x v="274"/>
    </i>
    <i>
      <x v="186"/>
      <x v="217"/>
    </i>
    <i>
      <x v="187"/>
      <x v="146"/>
    </i>
    <i>
      <x v="188"/>
      <x v="211"/>
    </i>
    <i>
      <x v="189"/>
      <x v="365"/>
    </i>
    <i>
      <x v="190"/>
      <x v="340"/>
    </i>
    <i>
      <x v="191"/>
      <x v="112"/>
    </i>
    <i>
      <x v="192"/>
      <x v="45"/>
    </i>
    <i>
      <x v="193"/>
      <x v="345"/>
    </i>
    <i>
      <x v="194"/>
      <x v="111"/>
    </i>
    <i>
      <x v="195"/>
      <x v="208"/>
    </i>
    <i>
      <x v="197"/>
      <x v="330"/>
    </i>
    <i>
      <x v="198"/>
      <x v="53"/>
    </i>
    <i>
      <x v="199"/>
      <x v="407"/>
    </i>
    <i>
      <x v="201"/>
      <x v="183"/>
    </i>
    <i>
      <x v="202"/>
      <x v="439"/>
    </i>
    <i>
      <x v="203"/>
      <x v="9"/>
    </i>
    <i>
      <x v="204"/>
      <x v="407"/>
    </i>
    <i>
      <x v="205"/>
      <x v="41"/>
    </i>
    <i>
      <x v="206"/>
      <x v="211"/>
    </i>
    <i>
      <x v="207"/>
      <x v="361"/>
    </i>
    <i>
      <x v="208"/>
      <x v="349"/>
    </i>
    <i>
      <x v="210"/>
      <x v="306"/>
    </i>
    <i>
      <x v="211"/>
      <x v="279"/>
    </i>
    <i>
      <x v="212"/>
      <x v="232"/>
    </i>
    <i>
      <x v="213"/>
      <x v="298"/>
    </i>
    <i>
      <x v="214"/>
      <x v="326"/>
    </i>
    <i>
      <x v="215"/>
      <x/>
    </i>
    <i>
      <x v="217"/>
      <x v="211"/>
    </i>
    <i>
      <x v="219"/>
      <x v="70"/>
    </i>
    <i>
      <x v="220"/>
      <x v="203"/>
    </i>
    <i>
      <x v="222"/>
      <x v="211"/>
    </i>
    <i>
      <x v="223"/>
      <x v="406"/>
    </i>
    <i>
      <x v="224"/>
      <x v="254"/>
    </i>
    <i>
      <x v="226"/>
      <x v="211"/>
    </i>
    <i>
      <x v="227"/>
      <x v="102"/>
    </i>
    <i r="1">
      <x v="365"/>
    </i>
    <i>
      <x v="228"/>
      <x v="311"/>
    </i>
    <i>
      <x v="229"/>
      <x v="152"/>
    </i>
    <i>
      <x v="230"/>
      <x v="271"/>
    </i>
    <i>
      <x v="231"/>
      <x v="75"/>
    </i>
    <i>
      <x v="232"/>
      <x v="444"/>
    </i>
    <i>
      <x v="233"/>
      <x v="455"/>
    </i>
    <i>
      <x v="234"/>
      <x v="328"/>
    </i>
    <i>
      <x v="235"/>
      <x v="107"/>
    </i>
    <i>
      <x v="236"/>
      <x v="286"/>
    </i>
    <i>
      <x v="237"/>
      <x v="296"/>
    </i>
    <i>
      <x v="238"/>
      <x v="149"/>
    </i>
    <i>
      <x v="239"/>
      <x v="34"/>
    </i>
    <i>
      <x v="240"/>
      <x v="38"/>
    </i>
    <i>
      <x v="242"/>
      <x v="83"/>
    </i>
    <i>
      <x v="243"/>
      <x v="34"/>
    </i>
    <i r="1">
      <x v="239"/>
    </i>
    <i>
      <x v="245"/>
      <x v="35"/>
    </i>
    <i>
      <x v="246"/>
      <x v="223"/>
    </i>
    <i>
      <x v="248"/>
      <x v="102"/>
    </i>
    <i>
      <x v="249"/>
      <x v="200"/>
    </i>
    <i>
      <x v="250"/>
      <x v="54"/>
    </i>
    <i>
      <x v="251"/>
      <x v="326"/>
    </i>
    <i>
      <x v="252"/>
      <x v="50"/>
    </i>
    <i>
      <x v="253"/>
      <x v="318"/>
    </i>
    <i>
      <x v="254"/>
      <x v="275"/>
    </i>
    <i>
      <x v="255"/>
      <x v="211"/>
    </i>
    <i>
      <x v="256"/>
      <x v="59"/>
    </i>
    <i>
      <x v="257"/>
      <x v="55"/>
    </i>
    <i r="1">
      <x v="101"/>
    </i>
    <i r="1">
      <x v="390"/>
    </i>
    <i r="1">
      <x v="405"/>
    </i>
    <i>
      <x v="258"/>
      <x v="59"/>
    </i>
    <i r="1">
      <x v="429"/>
    </i>
    <i>
      <x v="259"/>
      <x v="28"/>
    </i>
    <i>
      <x v="260"/>
      <x v="267"/>
    </i>
    <i r="1">
      <x v="423"/>
    </i>
    <i>
      <x v="261"/>
      <x v="112"/>
    </i>
    <i>
      <x v="263"/>
      <x v="425"/>
    </i>
    <i>
      <x v="264"/>
      <x v="347"/>
    </i>
    <i>
      <x v="265"/>
      <x v="427"/>
    </i>
    <i>
      <x v="266"/>
      <x v="287"/>
    </i>
    <i>
      <x v="267"/>
      <x v="183"/>
    </i>
    <i>
      <x v="268"/>
      <x v="107"/>
    </i>
    <i r="1">
      <x v="214"/>
    </i>
    <i>
      <x v="269"/>
      <x v="155"/>
    </i>
    <i r="1">
      <x v="254"/>
    </i>
    <i>
      <x v="270"/>
      <x v="39"/>
    </i>
    <i>
      <x v="271"/>
      <x v="279"/>
    </i>
    <i>
      <x v="272"/>
      <x v="432"/>
    </i>
    <i>
      <x v="273"/>
      <x v="123"/>
    </i>
    <i>
      <x v="274"/>
      <x v="360"/>
    </i>
    <i>
      <x v="275"/>
      <x v="211"/>
    </i>
    <i>
      <x v="276"/>
      <x v="156"/>
    </i>
    <i>
      <x v="277"/>
      <x v="189"/>
    </i>
    <i>
      <x v="278"/>
      <x v="129"/>
    </i>
    <i>
      <x v="279"/>
      <x v="59"/>
    </i>
    <i r="1">
      <x v="94"/>
    </i>
    <i>
      <x v="280"/>
      <x v="40"/>
    </i>
    <i>
      <x v="281"/>
      <x v="296"/>
    </i>
    <i>
      <x v="283"/>
      <x v="296"/>
    </i>
    <i>
      <x v="284"/>
      <x v="206"/>
    </i>
    <i>
      <x v="285"/>
      <x v="427"/>
    </i>
    <i>
      <x v="286"/>
      <x v="99"/>
    </i>
    <i>
      <x v="287"/>
      <x v="284"/>
    </i>
    <i r="1">
      <x v="433"/>
    </i>
    <i>
      <x v="288"/>
      <x v="211"/>
    </i>
    <i>
      <x v="289"/>
      <x v="8"/>
    </i>
    <i>
      <x v="290"/>
      <x v="183"/>
    </i>
    <i r="1">
      <x v="224"/>
    </i>
    <i>
      <x v="291"/>
      <x v="209"/>
    </i>
    <i>
      <x v="292"/>
      <x v="183"/>
    </i>
    <i>
      <x v="294"/>
      <x v="277"/>
    </i>
    <i>
      <x v="295"/>
      <x v="380"/>
    </i>
    <i>
      <x v="296"/>
      <x v="211"/>
    </i>
    <i>
      <x v="297"/>
      <x v="279"/>
    </i>
    <i>
      <x v="298"/>
      <x v="279"/>
    </i>
    <i>
      <x v="299"/>
      <x v="397"/>
    </i>
    <i>
      <x v="300"/>
      <x v="287"/>
    </i>
    <i>
      <x v="301"/>
      <x v="289"/>
    </i>
    <i>
      <x v="302"/>
      <x v="47"/>
    </i>
    <i>
      <x v="303"/>
      <x v="72"/>
    </i>
    <i>
      <x v="304"/>
      <x v="317"/>
    </i>
    <i>
      <x v="306"/>
      <x v="107"/>
    </i>
    <i>
      <x v="307"/>
      <x v="121"/>
    </i>
    <i>
      <x v="308"/>
      <x v="337"/>
    </i>
    <i>
      <x v="309"/>
      <x v="338"/>
    </i>
    <i>
      <x v="310"/>
      <x v="72"/>
    </i>
    <i r="1">
      <x v="413"/>
    </i>
    <i>
      <x v="311"/>
      <x v="94"/>
    </i>
    <i>
      <x v="313"/>
      <x v="50"/>
    </i>
    <i>
      <x v="314"/>
      <x v="380"/>
    </i>
    <i>
      <x v="316"/>
      <x v="304"/>
    </i>
    <i>
      <x v="317"/>
      <x v="203"/>
    </i>
    <i>
      <x v="318"/>
      <x v="330"/>
    </i>
    <i>
      <x v="319"/>
      <x v="420"/>
    </i>
    <i>
      <x v="320"/>
      <x v="305"/>
    </i>
    <i>
      <x v="321"/>
      <x v="270"/>
    </i>
    <i>
      <x v="322"/>
      <x v="263"/>
    </i>
    <i>
      <x v="323"/>
      <x v="168"/>
    </i>
    <i>
      <x v="324"/>
      <x v="326"/>
    </i>
    <i>
      <x v="325"/>
      <x v="103"/>
    </i>
    <i>
      <x v="326"/>
      <x v="132"/>
    </i>
    <i>
      <x v="327"/>
      <x v="136"/>
    </i>
    <i>
      <x v="328"/>
      <x v="290"/>
    </i>
    <i>
      <x v="329"/>
      <x v="11"/>
    </i>
    <i>
      <x v="330"/>
      <x v="275"/>
    </i>
    <i>
      <x v="331"/>
      <x v="316"/>
    </i>
    <i>
      <x v="332"/>
      <x v="107"/>
    </i>
    <i>
      <x v="333"/>
      <x v="339"/>
    </i>
    <i>
      <x v="334"/>
      <x v="23"/>
    </i>
    <i r="1">
      <x v="279"/>
    </i>
    <i>
      <x v="336"/>
      <x v="427"/>
    </i>
    <i>
      <x v="339"/>
      <x v="84"/>
    </i>
    <i>
      <x v="340"/>
      <x v="441"/>
    </i>
    <i>
      <x v="341"/>
      <x v="293"/>
    </i>
    <i>
      <x v="342"/>
      <x v="353"/>
    </i>
    <i>
      <x v="344"/>
      <x v="253"/>
    </i>
    <i>
      <x v="345"/>
      <x v="204"/>
    </i>
    <i>
      <x v="346"/>
      <x v="38"/>
    </i>
    <i r="1">
      <x v="95"/>
    </i>
    <i>
      <x v="347"/>
      <x v="50"/>
    </i>
    <i>
      <x v="348"/>
      <x v="287"/>
    </i>
    <i>
      <x v="350"/>
      <x v="60"/>
    </i>
    <i r="1">
      <x v="270"/>
    </i>
    <i>
      <x v="351"/>
      <x v="174"/>
    </i>
    <i>
      <x v="352"/>
      <x v="293"/>
    </i>
    <i r="1">
      <x v="298"/>
    </i>
    <i r="1">
      <x v="354"/>
    </i>
    <i r="1">
      <x v="404"/>
    </i>
    <i>
      <x v="353"/>
      <x v="11"/>
    </i>
    <i>
      <x v="354"/>
      <x v="347"/>
    </i>
    <i r="1">
      <x v="418"/>
    </i>
    <i>
      <x v="355"/>
      <x v="203"/>
    </i>
    <i>
      <x v="356"/>
      <x v="363"/>
    </i>
    <i>
      <x v="357"/>
      <x v="429"/>
    </i>
    <i>
      <x v="358"/>
      <x v="153"/>
    </i>
    <i>
      <x v="359"/>
      <x v="79"/>
    </i>
    <i>
      <x v="361"/>
      <x v="143"/>
    </i>
    <i>
      <x v="362"/>
      <x v="226"/>
    </i>
    <i>
      <x v="363"/>
      <x v="406"/>
    </i>
    <i>
      <x v="365"/>
      <x v="110"/>
    </i>
    <i r="1">
      <x v="260"/>
    </i>
    <i>
      <x v="366"/>
      <x v="80"/>
    </i>
    <i r="1">
      <x v="172"/>
    </i>
    <i r="1">
      <x v="253"/>
    </i>
    <i r="1">
      <x v="353"/>
    </i>
    <i>
      <x v="367"/>
      <x v="326"/>
    </i>
    <i>
      <x v="368"/>
      <x v="164"/>
    </i>
    <i>
      <x v="370"/>
      <x v="321"/>
    </i>
    <i>
      <x v="371"/>
      <x v="59"/>
    </i>
    <i>
      <x v="372"/>
      <x v="61"/>
    </i>
    <i>
      <x v="373"/>
      <x v="18"/>
    </i>
    <i>
      <x v="374"/>
      <x v="335"/>
    </i>
    <i>
      <x v="375"/>
      <x v="30"/>
    </i>
    <i>
      <x v="376"/>
      <x v="233"/>
    </i>
    <i>
      <x v="377"/>
      <x v="174"/>
    </i>
    <i>
      <x v="378"/>
      <x v="231"/>
    </i>
    <i>
      <x v="379"/>
      <x v="46"/>
    </i>
    <i>
      <x v="380"/>
      <x v="94"/>
    </i>
    <i>
      <x v="381"/>
      <x v="420"/>
    </i>
    <i>
      <x v="382"/>
      <x v="50"/>
    </i>
    <i>
      <x v="383"/>
      <x v="107"/>
    </i>
    <i>
      <x v="384"/>
      <x v="44"/>
    </i>
    <i r="1">
      <x v="109"/>
    </i>
    <i>
      <x v="385"/>
      <x v="248"/>
    </i>
    <i>
      <x v="387"/>
      <x v="330"/>
    </i>
    <i>
      <x v="388"/>
      <x v="171"/>
    </i>
    <i>
      <x v="389"/>
      <x v="189"/>
    </i>
    <i>
      <x v="390"/>
      <x v="287"/>
    </i>
    <i>
      <x v="391"/>
      <x v="324"/>
    </i>
    <i>
      <x v="392"/>
      <x v="183"/>
    </i>
    <i>
      <x v="393"/>
      <x v="107"/>
    </i>
    <i>
      <x v="394"/>
      <x v="8"/>
    </i>
    <i>
      <x v="395"/>
      <x v="188"/>
    </i>
    <i r="1">
      <x v="293"/>
    </i>
    <i>
      <x v="397"/>
      <x v="347"/>
    </i>
    <i>
      <x v="398"/>
      <x v="69"/>
    </i>
    <i>
      <x v="399"/>
      <x v="79"/>
    </i>
    <i r="1">
      <x v="107"/>
    </i>
    <i>
      <x v="400"/>
      <x v="240"/>
    </i>
    <i>
      <x v="401"/>
      <x v="386"/>
    </i>
    <i>
      <x v="402"/>
      <x v="64"/>
    </i>
    <i>
      <x v="403"/>
      <x v="79"/>
    </i>
    <i>
      <x v="404"/>
      <x v="279"/>
    </i>
    <i>
      <x v="405"/>
      <x v="347"/>
    </i>
    <i>
      <x v="406"/>
      <x v="35"/>
    </i>
    <i>
      <x v="408"/>
      <x v="406"/>
    </i>
    <i>
      <x v="409"/>
      <x v="122"/>
    </i>
    <i r="1">
      <x v="404"/>
    </i>
    <i r="1">
      <x v="420"/>
    </i>
    <i>
      <x v="410"/>
      <x v="60"/>
    </i>
    <i r="1">
      <x v="298"/>
    </i>
    <i>
      <x v="412"/>
      <x v="264"/>
    </i>
    <i>
      <x v="413"/>
      <x v="234"/>
    </i>
    <i>
      <x v="414"/>
      <x v="83"/>
    </i>
    <i>
      <x v="415"/>
      <x v="288"/>
    </i>
    <i>
      <x v="416"/>
      <x v="22"/>
    </i>
    <i>
      <x v="417"/>
      <x v="107"/>
    </i>
    <i r="1">
      <x v="202"/>
    </i>
    <i>
      <x v="418"/>
      <x v="32"/>
    </i>
    <i>
      <x v="419"/>
      <x v="13"/>
    </i>
    <i>
      <x v="422"/>
      <x v="194"/>
    </i>
    <i>
      <x v="423"/>
      <x v="370"/>
    </i>
    <i r="1">
      <x v="404"/>
    </i>
    <i>
      <x v="424"/>
      <x v="90"/>
    </i>
    <i>
      <x v="426"/>
      <x v="252"/>
    </i>
    <i>
      <x v="427"/>
      <x v="23"/>
    </i>
    <i>
      <x v="428"/>
      <x v="392"/>
    </i>
    <i>
      <x v="429"/>
      <x v="50"/>
    </i>
    <i>
      <x v="430"/>
      <x v="107"/>
    </i>
    <i r="1">
      <x v="144"/>
    </i>
    <i>
      <x v="431"/>
      <x v="252"/>
    </i>
    <i>
      <x v="433"/>
      <x v="418"/>
    </i>
    <i>
      <x v="434"/>
      <x v="107"/>
    </i>
    <i r="1">
      <x v="297"/>
    </i>
    <i r="1">
      <x v="434"/>
    </i>
    <i>
      <x v="435"/>
      <x v="203"/>
    </i>
    <i>
      <x v="436"/>
      <x v="448"/>
    </i>
    <i>
      <x v="437"/>
      <x v="66"/>
    </i>
    <i>
      <x v="438"/>
      <x v="371"/>
    </i>
    <i>
      <x v="439"/>
      <x v="238"/>
    </i>
    <i r="1">
      <x v="404"/>
    </i>
    <i>
      <x v="440"/>
      <x v="260"/>
    </i>
    <i r="1">
      <x v="380"/>
    </i>
    <i r="1">
      <x v="390"/>
    </i>
    <i r="1">
      <x v="448"/>
    </i>
    <i>
      <x v="441"/>
      <x v="406"/>
    </i>
    <i>
      <x v="442"/>
      <x v="215"/>
    </i>
    <i>
      <x v="443"/>
      <x v="194"/>
    </i>
    <i>
      <x v="444"/>
      <x v="107"/>
    </i>
    <i>
      <x v="446"/>
      <x v="6"/>
    </i>
    <i>
      <x v="447"/>
      <x v="281"/>
    </i>
    <i>
      <x v="449"/>
      <x v="211"/>
    </i>
    <i r="1">
      <x v="304"/>
    </i>
    <i>
      <x v="450"/>
      <x v="67"/>
    </i>
    <i>
      <x v="451"/>
      <x v="307"/>
    </i>
    <i>
      <x v="452"/>
      <x v="302"/>
    </i>
    <i>
      <x v="453"/>
      <x v="101"/>
    </i>
    <i>
      <x v="455"/>
      <x v="209"/>
    </i>
    <i r="1">
      <x v="220"/>
    </i>
    <i>
      <x v="456"/>
      <x v="365"/>
    </i>
    <i>
      <x v="457"/>
      <x v="143"/>
    </i>
    <i r="1">
      <x v="159"/>
    </i>
    <i>
      <x v="458"/>
      <x v="395"/>
    </i>
    <i>
      <x v="459"/>
      <x v="107"/>
    </i>
    <i>
      <x v="460"/>
      <x v="170"/>
    </i>
    <i>
      <x v="461"/>
      <x v="38"/>
    </i>
    <i>
      <x v="462"/>
      <x v="248"/>
    </i>
    <i>
      <x v="463"/>
      <x v="437"/>
    </i>
    <i>
      <x v="464"/>
      <x v="102"/>
    </i>
    <i>
      <x v="465"/>
      <x v="360"/>
    </i>
    <i>
      <x v="466"/>
      <x v="388"/>
    </i>
    <i>
      <x v="467"/>
      <x v="393"/>
    </i>
    <i>
      <x v="468"/>
      <x v="50"/>
    </i>
    <i r="1">
      <x v="123"/>
    </i>
    <i>
      <x v="470"/>
      <x v="279"/>
    </i>
    <i>
      <x v="471"/>
      <x v="254"/>
    </i>
    <i r="1">
      <x v="284"/>
    </i>
    <i>
      <x v="472"/>
      <x v="213"/>
    </i>
    <i>
      <x v="474"/>
      <x v="407"/>
    </i>
    <i>
      <x v="475"/>
      <x v="380"/>
    </i>
    <i>
      <x v="476"/>
      <x v="188"/>
    </i>
    <i>
      <x v="477"/>
      <x v="106"/>
    </i>
    <i>
      <x v="478"/>
      <x v="117"/>
    </i>
    <i r="1">
      <x v="139"/>
    </i>
    <i r="1">
      <x v="162"/>
    </i>
    <i>
      <x v="479"/>
      <x v="81"/>
    </i>
    <i>
      <x v="480"/>
      <x v="177"/>
    </i>
    <i>
      <x v="481"/>
      <x v="284"/>
    </i>
    <i>
      <x v="483"/>
      <x v="87"/>
    </i>
    <i>
      <x v="484"/>
      <x v="296"/>
    </i>
    <i>
      <x v="485"/>
      <x v="73"/>
    </i>
    <i>
      <x v="486"/>
      <x v="46"/>
    </i>
    <i r="1">
      <x v="287"/>
    </i>
    <i r="1">
      <x v="309"/>
    </i>
    <i>
      <x v="487"/>
      <x v="107"/>
    </i>
    <i>
      <x v="488"/>
      <x v="88"/>
    </i>
    <i>
      <x v="489"/>
      <x v="240"/>
    </i>
    <i r="1">
      <x v="293"/>
    </i>
    <i>
      <x v="490"/>
      <x v="296"/>
    </i>
    <i>
      <x v="491"/>
      <x v="296"/>
    </i>
    <i>
      <x v="492"/>
      <x v="6"/>
    </i>
    <i r="1">
      <x v="293"/>
    </i>
    <i>
      <x v="493"/>
      <x v="125"/>
    </i>
    <i>
      <x v="494"/>
      <x v="427"/>
    </i>
    <i>
      <x v="495"/>
      <x v="423"/>
    </i>
    <i>
      <x v="496"/>
      <x v="111"/>
    </i>
    <i>
      <x v="497"/>
      <x v="93"/>
    </i>
    <i>
      <x v="498"/>
      <x v="382"/>
    </i>
    <i>
      <x v="499"/>
      <x v="185"/>
    </i>
    <i>
      <x v="500"/>
      <x v="423"/>
    </i>
    <i>
      <x v="501"/>
      <x v="407"/>
    </i>
    <i>
      <x v="503"/>
      <x v="296"/>
    </i>
    <i>
      <x v="504"/>
      <x v="326"/>
    </i>
    <i>
      <x v="505"/>
      <x v="106"/>
    </i>
    <i>
      <x v="506"/>
      <x v="95"/>
    </i>
    <i>
      <x v="507"/>
      <x v="309"/>
    </i>
    <i>
      <x v="508"/>
      <x v="79"/>
    </i>
    <i>
      <x v="509"/>
      <x v="107"/>
    </i>
    <i>
      <x v="510"/>
      <x v="144"/>
    </i>
    <i>
      <x v="511"/>
      <x v="101"/>
    </i>
    <i>
      <x v="512"/>
      <x v="35"/>
    </i>
    <i r="1">
      <x v="285"/>
    </i>
    <i>
      <x v="513"/>
      <x v="326"/>
    </i>
    <i>
      <x v="514"/>
      <x v="115"/>
    </i>
    <i>
      <x v="516"/>
      <x v="165"/>
    </i>
    <i>
      <x v="517"/>
      <x v="330"/>
    </i>
    <i>
      <x v="518"/>
      <x v="198"/>
    </i>
    <i r="1">
      <x v="263"/>
    </i>
    <i r="1">
      <x v="296"/>
    </i>
    <i r="1">
      <x v="434"/>
    </i>
    <i>
      <x v="519"/>
      <x v="133"/>
    </i>
    <i r="1">
      <x v="324"/>
    </i>
    <i>
      <x v="521"/>
      <x v="246"/>
    </i>
    <i>
      <x v="522"/>
      <x v="164"/>
    </i>
    <i>
      <x v="523"/>
      <x v="79"/>
    </i>
    <i>
      <x v="525"/>
      <x v="349"/>
    </i>
    <i>
      <x v="526"/>
      <x v="349"/>
    </i>
    <i>
      <x v="527"/>
      <x v="385"/>
    </i>
    <i>
      <x v="528"/>
      <x v="85"/>
    </i>
    <i>
      <x v="529"/>
      <x v="98"/>
    </i>
    <i>
      <x v="531"/>
      <x v="293"/>
    </i>
    <i>
      <x v="532"/>
      <x v="209"/>
    </i>
    <i>
      <x v="533"/>
      <x v="382"/>
    </i>
    <i>
      <x v="534"/>
      <x v="211"/>
    </i>
    <i>
      <x v="535"/>
      <x v="56"/>
    </i>
    <i>
      <x v="536"/>
      <x v="284"/>
    </i>
    <i>
      <x v="537"/>
      <x v="218"/>
    </i>
    <i>
      <x v="538"/>
      <x v="279"/>
    </i>
    <i>
      <x v="539"/>
      <x v="211"/>
    </i>
    <i>
      <x v="540"/>
      <x v="76"/>
    </i>
    <i>
      <x v="541"/>
      <x v="390"/>
    </i>
    <i>
      <x v="542"/>
      <x v="207"/>
    </i>
    <i>
      <x v="543"/>
      <x v="107"/>
    </i>
    <i>
      <x v="544"/>
      <x v="188"/>
    </i>
    <i>
      <x v="545"/>
      <x v="157"/>
    </i>
    <i>
      <x v="546"/>
      <x v="387"/>
    </i>
    <i>
      <x v="547"/>
      <x v="406"/>
    </i>
    <i>
      <x v="548"/>
      <x v="31"/>
    </i>
    <i>
      <x v="549"/>
      <x v="31"/>
    </i>
    <i>
      <x v="550"/>
      <x v="31"/>
    </i>
    <i>
      <x v="551"/>
      <x v="101"/>
    </i>
    <i>
      <x v="552"/>
      <x v="361"/>
    </i>
    <i>
      <x v="553"/>
      <x v="79"/>
    </i>
    <i>
      <x v="554"/>
      <x v="54"/>
    </i>
    <i>
      <x v="555"/>
      <x v="427"/>
    </i>
    <i>
      <x v="558"/>
      <x v="191"/>
    </i>
    <i>
      <x v="559"/>
      <x v="59"/>
    </i>
    <i r="1">
      <x v="106"/>
    </i>
    <i>
      <x v="560"/>
      <x v="50"/>
    </i>
    <i>
      <x v="562"/>
      <x v="367"/>
    </i>
    <i>
      <x v="563"/>
      <x v="279"/>
    </i>
    <i>
      <x v="564"/>
      <x v="106"/>
    </i>
    <i>
      <x v="565"/>
      <x v="105"/>
    </i>
    <i r="1">
      <x v="296"/>
    </i>
    <i>
      <x v="566"/>
      <x v="241"/>
    </i>
    <i>
      <x v="567"/>
      <x v="427"/>
    </i>
    <i>
      <x v="568"/>
      <x v="52"/>
    </i>
    <i>
      <x v="569"/>
      <x v="216"/>
    </i>
    <i>
      <x v="570"/>
      <x v="219"/>
    </i>
    <i>
      <x v="571"/>
      <x v="194"/>
    </i>
    <i>
      <x v="572"/>
      <x v="275"/>
    </i>
    <i>
      <x v="573"/>
      <x v="130"/>
    </i>
    <i>
      <x v="574"/>
      <x v="164"/>
    </i>
    <i>
      <x v="575"/>
      <x v="96"/>
    </i>
    <i>
      <x v="576"/>
      <x v="254"/>
    </i>
    <i>
      <x v="578"/>
      <x v="293"/>
    </i>
    <i>
      <x v="579"/>
      <x v="73"/>
    </i>
    <i>
      <x v="580"/>
      <x v="411"/>
    </i>
    <i>
      <x v="581"/>
      <x v="26"/>
    </i>
    <i>
      <x v="582"/>
      <x v="351"/>
    </i>
    <i>
      <x v="583"/>
      <x v="293"/>
    </i>
    <i>
      <x v="584"/>
      <x v="120"/>
    </i>
    <i r="1">
      <x v="410"/>
    </i>
    <i>
      <x v="585"/>
      <x v="326"/>
    </i>
    <i>
      <x v="587"/>
      <x v="153"/>
    </i>
    <i>
      <x v="589"/>
      <x v="57"/>
    </i>
    <i r="1">
      <x v="276"/>
    </i>
    <i>
      <x v="590"/>
      <x v="116"/>
    </i>
    <i r="1">
      <x v="211"/>
    </i>
    <i>
      <x v="593"/>
      <x/>
    </i>
    <i r="1">
      <x v="395"/>
    </i>
    <i r="1">
      <x v="406"/>
    </i>
    <i>
      <x v="594"/>
      <x v="276"/>
    </i>
    <i>
      <x v="595"/>
      <x v="176"/>
    </i>
    <i>
      <x v="596"/>
      <x v="257"/>
    </i>
    <i>
      <x v="597"/>
      <x v="58"/>
    </i>
    <i>
      <x v="598"/>
      <x v="131"/>
    </i>
    <i>
      <x v="599"/>
      <x v="362"/>
    </i>
    <i>
      <x v="600"/>
      <x v="135"/>
    </i>
    <i>
      <x v="601"/>
      <x v="114"/>
    </i>
    <i>
      <x v="602"/>
      <x v="175"/>
    </i>
    <i>
      <x v="603"/>
      <x v="288"/>
    </i>
    <i>
      <x v="604"/>
      <x v="329"/>
    </i>
    <i r="1">
      <x v="366"/>
    </i>
    <i>
      <x v="605"/>
      <x v="22"/>
    </i>
    <i>
      <x v="606"/>
      <x v="347"/>
    </i>
    <i>
      <x v="607"/>
      <x v="107"/>
    </i>
    <i>
      <x v="608"/>
      <x v="296"/>
    </i>
    <i>
      <x v="609"/>
      <x v="79"/>
    </i>
    <i>
      <x v="610"/>
      <x v="203"/>
    </i>
    <i>
      <x v="611"/>
      <x v="244"/>
    </i>
    <i>
      <x v="612"/>
      <x v="279"/>
    </i>
    <i>
      <x v="613"/>
      <x v="79"/>
    </i>
    <i>
      <x v="614"/>
      <x v="138"/>
    </i>
    <i>
      <x v="617"/>
      <x v="106"/>
    </i>
    <i>
      <x v="618"/>
      <x v="164"/>
    </i>
    <i>
      <x v="619"/>
      <x v="31"/>
    </i>
    <i>
      <x v="620"/>
      <x v="28"/>
    </i>
    <i>
      <x v="621"/>
      <x v="431"/>
    </i>
    <i>
      <x v="622"/>
      <x v="211"/>
    </i>
    <i>
      <x v="623"/>
      <x v="59"/>
    </i>
    <i>
      <x v="624"/>
      <x v="211"/>
    </i>
    <i>
      <x v="625"/>
      <x v="213"/>
    </i>
    <i>
      <x v="626"/>
      <x v="416"/>
    </i>
    <i>
      <x v="627"/>
      <x v="287"/>
    </i>
    <i>
      <x v="628"/>
      <x v="6"/>
    </i>
    <i>
      <x v="629"/>
      <x v="20"/>
    </i>
    <i r="1">
      <x v="79"/>
    </i>
    <i>
      <x v="630"/>
      <x v="279"/>
    </i>
    <i>
      <x v="631"/>
      <x v="22"/>
    </i>
    <i>
      <x v="632"/>
      <x v="120"/>
    </i>
    <i>
      <x v="633"/>
      <x v="194"/>
    </i>
    <i>
      <x v="634"/>
      <x v="289"/>
    </i>
    <i r="1">
      <x v="303"/>
    </i>
    <i>
      <x v="635"/>
      <x v="248"/>
    </i>
    <i>
      <x v="636"/>
      <x v="48"/>
    </i>
    <i>
      <x v="637"/>
      <x v="106"/>
    </i>
    <i>
      <x v="638"/>
      <x v="171"/>
    </i>
    <i r="1">
      <x v="183"/>
    </i>
    <i r="1">
      <x v="203"/>
    </i>
    <i r="1">
      <x v="373"/>
    </i>
    <i>
      <x v="639"/>
      <x v="404"/>
    </i>
    <i>
      <x v="641"/>
      <x v="440"/>
    </i>
    <i>
      <x v="642"/>
      <x v="78"/>
    </i>
    <i r="1">
      <x v="136"/>
    </i>
    <i>
      <x v="643"/>
      <x v="136"/>
    </i>
    <i>
      <x v="644"/>
      <x v="404"/>
    </i>
    <i>
      <x v="645"/>
      <x v="365"/>
    </i>
    <i>
      <x v="647"/>
      <x v="211"/>
    </i>
    <i>
      <x v="648"/>
      <x v="166"/>
    </i>
    <i>
      <x v="649"/>
      <x v="107"/>
    </i>
    <i r="1">
      <x v="266"/>
    </i>
    <i>
      <x v="651"/>
      <x v="453"/>
    </i>
    <i>
      <x v="652"/>
      <x v="407"/>
    </i>
    <i>
      <x v="653"/>
      <x v="14"/>
    </i>
    <i>
      <x v="654"/>
      <x v="380"/>
    </i>
    <i>
      <x v="655"/>
      <x v="442"/>
    </i>
    <i>
      <x v="656"/>
      <x v="209"/>
    </i>
    <i>
      <x v="657"/>
      <x v="27"/>
    </i>
    <i>
      <x v="658"/>
      <x v="148"/>
    </i>
    <i>
      <x v="659"/>
      <x v="379"/>
    </i>
    <i>
      <x v="660"/>
      <x v="360"/>
    </i>
    <i>
      <x v="661"/>
      <x v="427"/>
    </i>
    <i>
      <x v="662"/>
      <x v="72"/>
    </i>
    <i>
      <x v="663"/>
      <x v="111"/>
    </i>
    <i>
      <x v="664"/>
      <x v="356"/>
    </i>
    <i>
      <x v="665"/>
      <x v="54"/>
    </i>
    <i>
      <x v="666"/>
      <x v="211"/>
    </i>
    <i r="1">
      <x v="374"/>
    </i>
    <i>
      <x v="667"/>
      <x v="258"/>
    </i>
    <i>
      <x v="668"/>
      <x v="219"/>
    </i>
    <i>
      <x v="669"/>
      <x v="296"/>
    </i>
    <i>
      <x v="670"/>
      <x v="136"/>
    </i>
    <i>
      <x v="671"/>
      <x v="291"/>
    </i>
    <i>
      <x v="672"/>
      <x v="300"/>
    </i>
    <i>
      <x v="673"/>
      <x v="330"/>
    </i>
    <i>
      <x v="674"/>
      <x v="280"/>
    </i>
    <i r="1">
      <x v="329"/>
    </i>
    <i>
      <x v="675"/>
      <x v="211"/>
    </i>
    <i>
      <x v="676"/>
      <x v="137"/>
    </i>
    <i>
      <x v="677"/>
      <x v="136"/>
    </i>
    <i>
      <x v="678"/>
      <x v="196"/>
    </i>
    <i>
      <x v="679"/>
      <x v="8"/>
    </i>
    <i r="1">
      <x v="207"/>
    </i>
    <i>
      <x v="681"/>
      <x v="236"/>
    </i>
    <i>
      <x v="682"/>
      <x v="352"/>
    </i>
    <i>
      <x v="683"/>
      <x v="107"/>
    </i>
    <i>
      <x v="684"/>
      <x v="406"/>
    </i>
    <i>
      <x v="685"/>
      <x v="423"/>
    </i>
    <i>
      <x v="686"/>
      <x v="234"/>
    </i>
    <i>
      <x v="687"/>
      <x v="194"/>
    </i>
    <i>
      <x v="688"/>
      <x v="326"/>
    </i>
    <i>
      <x v="689"/>
      <x v="389"/>
    </i>
    <i>
      <x v="690"/>
      <x v="380"/>
    </i>
    <i>
      <x v="692"/>
      <x v="36"/>
    </i>
    <i r="1">
      <x v="293"/>
    </i>
    <i>
      <x v="693"/>
      <x v="79"/>
    </i>
    <i>
      <x v="694"/>
      <x v="279"/>
    </i>
    <i>
      <x v="695"/>
      <x v="189"/>
    </i>
    <i>
      <x v="696"/>
      <x v="180"/>
    </i>
    <i>
      <x v="697"/>
      <x v="183"/>
    </i>
    <i>
      <x v="698"/>
      <x v="251"/>
    </i>
    <i>
      <x v="699"/>
      <x v="61"/>
    </i>
    <i>
      <x v="700"/>
      <x v="83"/>
    </i>
    <i r="1">
      <x v="150"/>
    </i>
    <i r="1">
      <x v="327"/>
    </i>
    <i>
      <x v="701"/>
      <x v="427"/>
    </i>
    <i>
      <x v="702"/>
      <x v="279"/>
    </i>
    <i>
      <x v="703"/>
      <x v="143"/>
    </i>
    <i>
      <x v="704"/>
      <x v="380"/>
    </i>
    <i>
      <x v="705"/>
      <x v="107"/>
    </i>
    <i>
      <x v="706"/>
      <x v="107"/>
    </i>
    <i>
      <x v="707"/>
      <x v="54"/>
    </i>
    <i>
      <x v="708"/>
      <x v="106"/>
    </i>
    <i>
      <x v="709"/>
      <x v="328"/>
    </i>
    <i>
      <x v="710"/>
      <x v="233"/>
    </i>
    <i>
      <x v="711"/>
      <x v="7"/>
    </i>
    <i>
      <x v="712"/>
      <x v="104"/>
    </i>
    <i>
      <x v="713"/>
      <x v="103"/>
    </i>
    <i>
      <x v="714"/>
      <x v="72"/>
    </i>
    <i>
      <x v="715"/>
      <x v="134"/>
    </i>
    <i>
      <x v="716"/>
      <x v="149"/>
    </i>
    <i>
      <x v="718"/>
      <x v="330"/>
    </i>
    <i>
      <x v="719"/>
      <x v="16"/>
    </i>
    <i>
      <x v="720"/>
      <x v="91"/>
    </i>
    <i r="1">
      <x v="211"/>
    </i>
    <i>
      <x v="721"/>
      <x v="282"/>
    </i>
    <i>
      <x v="722"/>
      <x v="72"/>
    </i>
    <i>
      <x v="723"/>
      <x v="394"/>
    </i>
    <i>
      <x v="724"/>
      <x v="326"/>
    </i>
    <i r="1">
      <x v="423"/>
    </i>
    <i>
      <x v="725"/>
      <x v="248"/>
    </i>
    <i>
      <x v="726"/>
      <x v="79"/>
    </i>
    <i>
      <x v="727"/>
      <x v="368"/>
    </i>
    <i>
      <x v="729"/>
      <x v="346"/>
    </i>
    <i>
      <x v="730"/>
      <x v="152"/>
    </i>
    <i>
      <x v="731"/>
      <x v="11"/>
    </i>
    <i>
      <x v="732"/>
      <x v="22"/>
    </i>
    <i>
      <x v="733"/>
      <x v="240"/>
    </i>
    <i>
      <x v="734"/>
      <x v="161"/>
    </i>
    <i>
      <x v="735"/>
      <x v="326"/>
    </i>
    <i>
      <x v="736"/>
      <x v="349"/>
    </i>
    <i>
      <x v="737"/>
      <x v="106"/>
    </i>
    <i>
      <x v="738"/>
      <x v="106"/>
    </i>
    <i>
      <x v="739"/>
      <x v="151"/>
    </i>
    <i>
      <x v="740"/>
      <x v="35"/>
    </i>
    <i r="1">
      <x v="43"/>
    </i>
    <i>
      <x v="741"/>
      <x v="296"/>
    </i>
    <i>
      <x v="742"/>
      <x v="107"/>
    </i>
    <i r="1">
      <x v="120"/>
    </i>
    <i r="1">
      <x v="212"/>
    </i>
    <i>
      <x v="743"/>
      <x v="228"/>
    </i>
    <i>
      <x v="744"/>
      <x v="197"/>
    </i>
    <i>
      <x v="745"/>
      <x v="412"/>
    </i>
    <i>
      <x v="746"/>
      <x v="377"/>
    </i>
    <i>
      <x v="747"/>
      <x v="119"/>
    </i>
    <i>
      <x v="748"/>
      <x v="419"/>
    </i>
    <i>
      <x v="749"/>
      <x v="315"/>
    </i>
    <i>
      <x v="750"/>
      <x v="11"/>
    </i>
    <i>
      <x v="753"/>
      <x v="445"/>
    </i>
    <i>
      <x v="754"/>
      <x v="211"/>
    </i>
    <i>
      <x v="755"/>
      <x v="279"/>
    </i>
    <i>
      <x v="756"/>
      <x v="49"/>
    </i>
    <i>
      <x v="757"/>
      <x v="183"/>
    </i>
    <i>
      <x v="759"/>
      <x v="107"/>
    </i>
    <i>
      <x v="760"/>
      <x v="77"/>
    </i>
    <i>
      <x v="761"/>
      <x v="287"/>
    </i>
    <i>
      <x v="762"/>
      <x v="107"/>
    </i>
    <i>
      <x v="763"/>
      <x v="232"/>
    </i>
    <i>
      <x v="764"/>
      <x v="367"/>
    </i>
    <i>
      <x v="765"/>
      <x v="279"/>
    </i>
    <i>
      <x v="766"/>
      <x v="339"/>
    </i>
    <i>
      <x v="767"/>
      <x v="406"/>
    </i>
    <i>
      <x v="768"/>
      <x v="331"/>
    </i>
    <i>
      <x v="769"/>
      <x v="353"/>
    </i>
    <i>
      <x v="770"/>
      <x v="404"/>
    </i>
    <i>
      <x v="771"/>
      <x v="235"/>
    </i>
    <i>
      <x v="772"/>
      <x v="240"/>
    </i>
    <i>
      <x v="774"/>
      <x v="12"/>
    </i>
    <i>
      <x v="775"/>
      <x v="427"/>
    </i>
    <i>
      <x v="777"/>
      <x v="372"/>
    </i>
    <i>
      <x v="778"/>
      <x v="420"/>
    </i>
    <i>
      <x v="779"/>
      <x v="107"/>
    </i>
    <i>
      <x v="780"/>
      <x v="11"/>
    </i>
    <i>
      <x v="781"/>
      <x v="346"/>
    </i>
    <i>
      <x v="782"/>
      <x v="352"/>
    </i>
    <i>
      <x v="783"/>
      <x v="287"/>
    </i>
    <i>
      <x v="784"/>
      <x v="331"/>
    </i>
    <i>
      <x v="785"/>
      <x v="258"/>
    </i>
    <i r="1">
      <x v="355"/>
    </i>
    <i>
      <x v="787"/>
      <x v="403"/>
    </i>
    <i>
      <x v="788"/>
      <x v="406"/>
    </i>
    <i>
      <x v="790"/>
      <x v="109"/>
    </i>
    <i>
      <x v="791"/>
      <x v="203"/>
    </i>
    <i>
      <x v="792"/>
      <x v="152"/>
    </i>
    <i>
      <x v="793"/>
      <x v="10"/>
    </i>
    <i>
      <x v="794"/>
      <x v="84"/>
    </i>
    <i>
      <x v="795"/>
      <x v="211"/>
    </i>
    <i>
      <x v="796"/>
      <x v="19"/>
    </i>
    <i>
      <x v="797"/>
      <x v="109"/>
    </i>
    <i r="1">
      <x v="326"/>
    </i>
    <i r="1">
      <x v="423"/>
    </i>
    <i r="1">
      <x v="427"/>
    </i>
    <i>
      <x v="799"/>
      <x v="452"/>
    </i>
    <i>
      <x v="800"/>
      <x v="438"/>
    </i>
    <i>
      <x v="801"/>
      <x v="176"/>
    </i>
    <i>
      <x v="802"/>
      <x v="279"/>
    </i>
    <i>
      <x v="803"/>
      <x v="431"/>
    </i>
    <i>
      <x v="804"/>
      <x v="42"/>
    </i>
    <i r="1">
      <x v="79"/>
    </i>
    <i r="1">
      <x v="360"/>
    </i>
    <i>
      <x v="805"/>
      <x v="404"/>
    </i>
    <i>
      <x v="806"/>
      <x v="279"/>
    </i>
    <i>
      <x v="807"/>
      <x v="21"/>
    </i>
    <i>
      <x v="808"/>
      <x v="423"/>
    </i>
    <i>
      <x v="809"/>
      <x v="194"/>
    </i>
    <i>
      <x v="810"/>
      <x v="154"/>
    </i>
    <i>
      <x v="811"/>
      <x v="178"/>
    </i>
    <i>
      <x v="812"/>
      <x v="252"/>
    </i>
    <i r="1">
      <x v="332"/>
    </i>
    <i>
      <x v="813"/>
      <x v="232"/>
    </i>
    <i>
      <x v="814"/>
      <x v="409"/>
    </i>
    <i>
      <x v="815"/>
      <x v="100"/>
    </i>
    <i>
      <x v="816"/>
      <x v="323"/>
    </i>
    <i>
      <x v="817"/>
      <x v="415"/>
    </i>
    <i>
      <x v="818"/>
      <x v="136"/>
    </i>
    <i>
      <x v="819"/>
      <x v="406"/>
    </i>
    <i>
      <x v="820"/>
      <x v="34"/>
    </i>
    <i>
      <x v="821"/>
      <x v="234"/>
    </i>
    <i>
      <x v="822"/>
      <x v="296"/>
    </i>
    <i>
      <x v="823"/>
      <x v="72"/>
    </i>
    <i>
      <x v="824"/>
      <x v="227"/>
    </i>
    <i>
      <x v="825"/>
      <x v="13"/>
    </i>
    <i>
      <x v="826"/>
      <x v="326"/>
    </i>
    <i t="grand">
      <x/>
    </i>
  </rowItems>
  <colItems count="1">
    <i/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1">
    <format dxfId="1272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98BC22-19E6-4001-830A-5017B0512DA9}" name="PivotTable5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AU7:AV251" firstHeaderRow="2" firstDataRow="2" firstDataCol="1" rowPageCount="5" colPageCount="1"/>
  <pivotFields count="10">
    <pivotField axis="axisPage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t="default"/>
      </items>
    </pivotField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dataField="1" compact="0" outline="0" showAll="0"/>
    <pivotField axis="axisPage" compact="0" outline="0" showAll="0">
      <items count="101">
        <item x="0"/>
        <item x="95"/>
        <item x="1"/>
        <item x="2"/>
        <item x="3"/>
        <item x="90"/>
        <item x="4"/>
        <item x="98"/>
        <item x="5"/>
        <item x="97"/>
        <item x="6"/>
        <item x="7"/>
        <item x="8"/>
        <item x="9"/>
        <item x="91"/>
        <item x="10"/>
        <item x="11"/>
        <item x="12"/>
        <item x="13"/>
        <item x="92"/>
        <item x="14"/>
        <item x="96"/>
        <item x="15"/>
        <item x="16"/>
        <item x="17"/>
        <item x="18"/>
        <item x="19"/>
        <item x="9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94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9"/>
        <item t="default"/>
      </items>
    </pivotField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243">
    <i>
      <x v="635"/>
    </i>
    <i>
      <x v="746"/>
    </i>
    <i>
      <x v="589"/>
    </i>
    <i>
      <x v="139"/>
    </i>
    <i>
      <x v="503"/>
    </i>
    <i>
      <x v="374"/>
    </i>
    <i>
      <x v="759"/>
    </i>
    <i>
      <x v="500"/>
    </i>
    <i>
      <x v="407"/>
    </i>
    <i>
      <x v="538"/>
    </i>
    <i>
      <x v="14"/>
    </i>
    <i>
      <x v="631"/>
    </i>
    <i>
      <x v="108"/>
    </i>
    <i>
      <x v="514"/>
    </i>
    <i>
      <x v="168"/>
    </i>
    <i>
      <x v="580"/>
    </i>
    <i>
      <x v="172"/>
    </i>
    <i>
      <x v="462"/>
    </i>
    <i>
      <x v="183"/>
    </i>
    <i>
      <x v="501"/>
    </i>
    <i>
      <x v="268"/>
    </i>
    <i>
      <x v="524"/>
    </i>
    <i>
      <x v="289"/>
    </i>
    <i>
      <x v="574"/>
    </i>
    <i>
      <x v="378"/>
    </i>
    <i>
      <x v="599"/>
    </i>
    <i>
      <x v="719"/>
    </i>
    <i>
      <x v="647"/>
    </i>
    <i>
      <x v="42"/>
    </i>
    <i>
      <x v="400"/>
    </i>
    <i>
      <x v="84"/>
    </i>
    <i>
      <x v="167"/>
    </i>
    <i>
      <x v="110"/>
    </i>
    <i>
      <x v="473"/>
    </i>
    <i>
      <x v="387"/>
    </i>
    <i>
      <x v="484"/>
    </i>
    <i>
      <x v="676"/>
    </i>
    <i>
      <x v="112"/>
    </i>
    <i>
      <x v="340"/>
    </i>
    <i>
      <x v="201"/>
    </i>
    <i>
      <x v="581"/>
    </i>
    <i>
      <x v="508"/>
    </i>
    <i>
      <x v="626"/>
    </i>
    <i>
      <x v="244"/>
    </i>
    <i>
      <x v="169"/>
    </i>
    <i>
      <x v="5"/>
    </i>
    <i>
      <x v="714"/>
    </i>
    <i>
      <x v="154"/>
    </i>
    <i>
      <x v="552"/>
    </i>
    <i>
      <x v="426"/>
    </i>
    <i>
      <x v="705"/>
    </i>
    <i>
      <x v="601"/>
    </i>
    <i>
      <x v="518"/>
    </i>
    <i>
      <x v="157"/>
    </i>
    <i>
      <x v="143"/>
    </i>
    <i>
      <x v="165"/>
    </i>
    <i>
      <x v="855"/>
    </i>
    <i>
      <x v="65"/>
    </i>
    <i>
      <x v="545"/>
    </i>
    <i>
      <x v="72"/>
    </i>
    <i>
      <x v="621"/>
    </i>
    <i>
      <x v="197"/>
    </i>
    <i>
      <x v="688"/>
    </i>
    <i>
      <x v="263"/>
    </i>
    <i>
      <x v="822"/>
    </i>
    <i>
      <x v="288"/>
    </i>
    <i>
      <x v="114"/>
    </i>
    <i>
      <x v="90"/>
    </i>
    <i>
      <x v="531"/>
    </i>
    <i>
      <x v="301"/>
    </i>
    <i>
      <x v="573"/>
    </i>
    <i>
      <x v="305"/>
    </i>
    <i>
      <x v="604"/>
    </i>
    <i>
      <x v="313"/>
    </i>
    <i>
      <x v="672"/>
    </i>
    <i>
      <x v="319"/>
    </i>
    <i>
      <x v="680"/>
    </i>
    <i>
      <x v="335"/>
    </i>
    <i>
      <x v="693"/>
    </i>
    <i>
      <x v="355"/>
    </i>
    <i>
      <x v="813"/>
    </i>
    <i>
      <x v="367"/>
    </i>
    <i>
      <x v="840"/>
    </i>
    <i>
      <x v="369"/>
    </i>
    <i>
      <x v="468"/>
    </i>
    <i>
      <x v="63"/>
    </i>
    <i>
      <x v="806"/>
    </i>
    <i>
      <x v="655"/>
    </i>
    <i>
      <x v="226"/>
    </i>
    <i>
      <x v="306"/>
    </i>
    <i>
      <x v="151"/>
    </i>
    <i>
      <x v="309"/>
    </i>
    <i>
      <x v="916"/>
    </i>
    <i>
      <x v="182"/>
    </i>
    <i>
      <x v="627"/>
    </i>
    <i>
      <x v="73"/>
    </i>
    <i>
      <x v="247"/>
    </i>
    <i>
      <x v="320"/>
    </i>
    <i>
      <x v="37"/>
    </i>
    <i>
      <x v="331"/>
    </i>
    <i>
      <x v="292"/>
    </i>
    <i>
      <x v="185"/>
    </i>
    <i>
      <x v="586"/>
    </i>
    <i>
      <x v="338"/>
    </i>
    <i>
      <x v="610"/>
    </i>
    <i>
      <x v="92"/>
    </i>
    <i>
      <x v="27"/>
    </i>
    <i>
      <x v="346"/>
    </i>
    <i>
      <x v="239"/>
    </i>
    <i>
      <x v="194"/>
    </i>
    <i>
      <x v="694"/>
    </i>
    <i>
      <x v="364"/>
    </i>
    <i>
      <x v="743"/>
    </i>
    <i>
      <x v="160"/>
    </i>
    <i>
      <x v="783"/>
    </i>
    <i>
      <x v="83"/>
    </i>
    <i>
      <x v="816"/>
    </i>
    <i>
      <x v="370"/>
    </i>
    <i>
      <x v="886"/>
    </i>
    <i>
      <x v="371"/>
    </i>
    <i>
      <x v="126"/>
    </i>
    <i>
      <x v="8"/>
    </i>
    <i>
      <x v="594"/>
    </i>
    <i>
      <x v="93"/>
    </i>
    <i>
      <x v="229"/>
    </i>
    <i>
      <x v="379"/>
    </i>
    <i>
      <x v="231"/>
    </i>
    <i>
      <x v="380"/>
    </i>
    <i>
      <x v="137"/>
    </i>
    <i>
      <x v="382"/>
    </i>
    <i>
      <x v="643"/>
    </i>
    <i>
      <x v="383"/>
    </i>
    <i>
      <x v="664"/>
    </i>
    <i>
      <x v="386"/>
    </i>
    <i>
      <x v="43"/>
    </i>
    <i>
      <x v="101"/>
    </i>
    <i>
      <x v="256"/>
    </i>
    <i>
      <x v="392"/>
    </i>
    <i>
      <x v="150"/>
    </i>
    <i>
      <x v="393"/>
    </i>
    <i>
      <x v="721"/>
    </i>
    <i>
      <x v="395"/>
    </i>
    <i>
      <x v="749"/>
    </i>
    <i>
      <x v="397"/>
    </i>
    <i>
      <x v="772"/>
    </i>
    <i>
      <x v="399"/>
    </i>
    <i>
      <x v="793"/>
    </i>
    <i>
      <x v="102"/>
    </i>
    <i>
      <x v="68"/>
    </i>
    <i>
      <x v="1"/>
    </i>
    <i>
      <x v="170"/>
    </i>
    <i>
      <x v="409"/>
    </i>
    <i>
      <x v="159"/>
    </i>
    <i>
      <x v="412"/>
    </i>
    <i>
      <x v="893"/>
    </i>
    <i>
      <x v="105"/>
    </i>
    <i>
      <x v="125"/>
    </i>
    <i>
      <x v="435"/>
    </i>
    <i>
      <x v="128"/>
    </i>
    <i>
      <x v="438"/>
    </i>
    <i>
      <x v="25"/>
    </i>
    <i>
      <x v="439"/>
    </i>
    <i>
      <x v="131"/>
    </i>
    <i>
      <x v="443"/>
    </i>
    <i>
      <x v="602"/>
    </i>
    <i>
      <x v="444"/>
    </i>
    <i>
      <x v="606"/>
    </i>
    <i>
      <x v="447"/>
    </i>
    <i>
      <x v="611"/>
    </i>
    <i>
      <x v="453"/>
    </i>
    <i>
      <x v="136"/>
    </i>
    <i>
      <x v="461"/>
    </i>
    <i>
      <x v="628"/>
    </i>
    <i>
      <x v="106"/>
    </i>
    <i>
      <x v="632"/>
    </i>
    <i>
      <x v="463"/>
    </i>
    <i>
      <x v="637"/>
    </i>
    <i>
      <x v="466"/>
    </i>
    <i>
      <x v="59"/>
    </i>
    <i>
      <x v="203"/>
    </i>
    <i>
      <x v="663"/>
    </i>
    <i>
      <x v="44"/>
    </i>
    <i>
      <x v="669"/>
    </i>
    <i>
      <x v="479"/>
    </i>
    <i>
      <x v="675"/>
    </i>
    <i>
      <x v="482"/>
    </i>
    <i>
      <x v="678"/>
    </i>
    <i>
      <x v="46"/>
    </i>
    <i>
      <x v="683"/>
    </i>
    <i>
      <x v="52"/>
    </i>
    <i>
      <x v="67"/>
    </i>
    <i>
      <x v="204"/>
    </i>
    <i>
      <x v="85"/>
    </i>
    <i>
      <x v="918"/>
    </i>
    <i>
      <x v="718"/>
    </i>
    <i>
      <x v="922"/>
    </i>
    <i>
      <x v="720"/>
    </i>
    <i>
      <x v="509"/>
    </i>
    <i>
      <x v="731"/>
    </i>
    <i>
      <x v="510"/>
    </i>
    <i>
      <x v="34"/>
    </i>
    <i>
      <x v="120"/>
    </i>
    <i>
      <x v="757"/>
    </i>
    <i>
      <x v="210"/>
    </i>
    <i>
      <x v="760"/>
    </i>
    <i>
      <x v="522"/>
    </i>
    <i>
      <x v="776"/>
    </i>
    <i>
      <x v="121"/>
    </i>
    <i>
      <x v="786"/>
    </i>
    <i>
      <x v="212"/>
    </i>
    <i>
      <x v="800"/>
    </i>
    <i>
      <x v="122"/>
    </i>
    <i>
      <x v="809"/>
    </i>
    <i>
      <x v="220"/>
    </i>
    <i>
      <x v="814"/>
    </i>
    <i>
      <x v="123"/>
    </i>
    <i>
      <x v="818"/>
    </i>
    <i>
      <x v="553"/>
    </i>
    <i>
      <x v="833"/>
    </i>
    <i>
      <x v="555"/>
    </i>
    <i>
      <x v="847"/>
    </i>
    <i>
      <x v="556"/>
    </i>
    <i>
      <x v="883"/>
    </i>
    <i>
      <x v="560"/>
    </i>
    <i>
      <x v="890"/>
    </i>
    <i>
      <x v="564"/>
    </i>
    <i>
      <x v="905"/>
    </i>
    <i>
      <x v="571"/>
    </i>
    <i>
      <x v="177"/>
    </i>
    <i>
      <x v="224"/>
    </i>
    <i>
      <x v="931"/>
    </i>
    <i>
      <x v="506"/>
    </i>
    <i>
      <x v="19"/>
    </i>
    <i>
      <x v="614"/>
    </i>
    <i>
      <x v="489"/>
    </i>
    <i>
      <x v="327"/>
    </i>
    <i>
      <x v="423"/>
    </i>
    <i>
      <x v="164"/>
    </i>
    <i>
      <x v="119"/>
    </i>
    <i>
      <x v="521"/>
    </i>
    <i>
      <x v="253"/>
    </i>
    <i>
      <x v="477"/>
    </i>
    <i>
      <x v="255"/>
    </i>
  </rowItems>
  <colItems count="1">
    <i/>
  </colItems>
  <pageFields count="5">
    <pageField fld="0" hier="-1"/>
    <pageField fld="1" hier="-1"/>
    <pageField fld="2" hier="-1"/>
    <pageField fld="3" hier="-1"/>
    <pageField fld="5" item="3" hier="-1"/>
  </pageFields>
  <dataFields count="1">
    <dataField name="Number of Finishes" fld="4" subtotal="count" baseField="9" baseItem="746" numFmtId="164"/>
  </dataFields>
  <formats count="29">
    <format dxfId="1156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155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154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153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152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151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150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149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148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147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146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145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144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143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142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141">
      <pivotArea dataOnly="0" labelOnly="1" outline="0" fieldPosition="0">
        <references count="1">
          <reference field="9" count="1">
            <x v="168"/>
          </reference>
        </references>
      </pivotArea>
    </format>
    <format dxfId="1140">
      <pivotArea dataOnly="0" labelOnly="1" outline="0" fieldPosition="0">
        <references count="1">
          <reference field="9" count="1">
            <x v="378"/>
          </reference>
        </references>
      </pivotArea>
    </format>
    <format dxfId="1139">
      <pivotArea dataOnly="0" labelOnly="1" outline="0" fieldPosition="0">
        <references count="1">
          <reference field="9" count="1">
            <x v="705"/>
          </reference>
        </references>
      </pivotArea>
    </format>
    <format dxfId="1138">
      <pivotArea dataOnly="0" labelOnly="1" outline="0" fieldPosition="0">
        <references count="1">
          <reference field="9" count="1">
            <x v="167"/>
          </reference>
        </references>
      </pivotArea>
    </format>
    <format dxfId="1137">
      <pivotArea dataOnly="0" labelOnly="1" outline="0" fieldPosition="0">
        <references count="1">
          <reference field="9" count="1">
            <x v="268"/>
          </reference>
        </references>
      </pivotArea>
    </format>
    <format dxfId="1136">
      <pivotArea dataOnly="0" labelOnly="1" outline="0" fieldPosition="0">
        <references count="1">
          <reference field="9" count="1">
            <x v="635"/>
          </reference>
        </references>
      </pivotArea>
    </format>
    <format dxfId="1135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134">
      <pivotArea dataOnly="0" labelOnly="1" outline="0" fieldPosition="0">
        <references count="1">
          <reference field="9" count="1">
            <x v="538"/>
          </reference>
        </references>
      </pivotArea>
    </format>
    <format dxfId="1133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132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31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30">
      <pivotArea type="origin" dataOnly="0" labelOnly="1" outline="0" fieldPosition="0"/>
    </format>
    <format dxfId="1129">
      <pivotArea outline="0" collapsedLevelsAreSubtotals="1" fieldPosition="0"/>
    </format>
    <format dxfId="1128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CC9ED2-D33B-46D2-850E-3BD5EA1E0FA3}" name="PivotTable4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AR6:AS859" firstHeaderRow="2" firstDataRow="2" firstDataCol="1" rowPageCount="4" colPageCount="1"/>
  <pivotFields count="10">
    <pivotField axis="axisPage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t="default"/>
      </items>
    </pivotField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dataField="1" compact="0" outline="0" showAll="0"/>
    <pivotField compact="0" outline="0" showAll="0"/>
    <pivotField compact="0" outline="0" showAll="0" sortType="ascending" defaultSubtotal="0"/>
    <pivotField compact="0" outline="0" showAll="0" defaultSubtotal="0"/>
    <pivotField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52">
    <i>
      <x v="746"/>
    </i>
    <i>
      <x v="573"/>
    </i>
    <i>
      <x v="400"/>
    </i>
    <i>
      <x v="63"/>
    </i>
    <i>
      <x v="581"/>
    </i>
    <i>
      <x v="589"/>
    </i>
    <i>
      <x v="635"/>
    </i>
    <i>
      <x v="139"/>
    </i>
    <i>
      <x v="167"/>
    </i>
    <i>
      <x v="378"/>
    </i>
    <i>
      <x v="599"/>
    </i>
    <i>
      <x v="169"/>
    </i>
    <i>
      <x v="183"/>
    </i>
    <i>
      <x v="407"/>
    </i>
    <i>
      <x v="108"/>
    </i>
    <i>
      <x v="500"/>
    </i>
    <i>
      <x v="514"/>
    </i>
    <i>
      <x v="172"/>
    </i>
    <i>
      <x v="133"/>
    </i>
    <i>
      <x v="524"/>
    </i>
    <i>
      <x v="110"/>
    </i>
    <i>
      <x v="168"/>
    </i>
    <i>
      <x v="201"/>
    </i>
    <i>
      <x v="340"/>
    </i>
    <i>
      <x v="693"/>
    </i>
    <i>
      <x v="556"/>
    </i>
    <i>
      <x v="116"/>
    </i>
    <i>
      <x v="628"/>
    </i>
    <i>
      <x v="719"/>
    </i>
    <i>
      <x v="154"/>
    </i>
    <i>
      <x v="143"/>
    </i>
    <i>
      <x v="289"/>
    </i>
    <i>
      <x v="268"/>
    </i>
    <i>
      <x v="785"/>
    </i>
    <i>
      <x v="374"/>
    </i>
    <i>
      <x v="42"/>
    </i>
    <i>
      <x v="604"/>
    </i>
    <i>
      <x v="206"/>
    </i>
    <i>
      <x v="27"/>
    </i>
    <i>
      <x v="580"/>
    </i>
    <i>
      <x v="676"/>
    </i>
    <i>
      <x v="855"/>
    </i>
    <i>
      <x v="160"/>
    </i>
    <i>
      <x v="574"/>
    </i>
    <i>
      <x v="247"/>
    </i>
    <i>
      <x v="387"/>
    </i>
    <i>
      <x v="552"/>
    </i>
    <i>
      <x v="101"/>
    </i>
    <i>
      <x v="454"/>
    </i>
    <i>
      <x v="463"/>
    </i>
    <i>
      <x v="621"/>
    </i>
    <i>
      <x v="531"/>
    </i>
    <i>
      <x v="606"/>
    </i>
    <i>
      <x v="14"/>
    </i>
    <i>
      <x v="631"/>
    </i>
    <i>
      <x v="759"/>
    </i>
    <i>
      <x v="157"/>
    </i>
    <i>
      <x v="244"/>
    </i>
    <i>
      <x v="163"/>
    </i>
    <i>
      <x v="495"/>
    </i>
    <i>
      <x v="447"/>
    </i>
    <i>
      <x v="647"/>
    </i>
    <i>
      <x v="84"/>
    </i>
    <i>
      <x v="545"/>
    </i>
    <i>
      <x v="629"/>
    </i>
    <i>
      <x v="508"/>
    </i>
    <i>
      <x v="714"/>
    </i>
    <i>
      <x v="705"/>
    </i>
    <i>
      <x v="673"/>
    </i>
    <i>
      <x v="542"/>
    </i>
    <i>
      <x v="571"/>
    </i>
    <i>
      <x v="301"/>
    </i>
    <i>
      <x v="185"/>
    </i>
    <i>
      <x v="25"/>
    </i>
    <i>
      <x v="672"/>
    </i>
    <i>
      <x v="655"/>
    </i>
    <i>
      <x v="5"/>
    </i>
    <i>
      <x v="538"/>
    </i>
    <i>
      <x v="473"/>
    </i>
    <i>
      <x v="73"/>
    </i>
    <i>
      <x v="370"/>
    </i>
    <i>
      <x v="462"/>
    </i>
    <i>
      <x v="122"/>
    </i>
    <i>
      <x v="107"/>
    </i>
    <i>
      <x v="680"/>
    </i>
    <i>
      <x v="386"/>
    </i>
    <i>
      <x v="367"/>
    </i>
    <i>
      <x v="355"/>
    </i>
    <i>
      <x v="678"/>
    </i>
    <i>
      <x v="19"/>
    </i>
    <i>
      <x v="335"/>
    </i>
    <i>
      <x v="668"/>
    </i>
    <i>
      <x v="466"/>
    </i>
    <i>
      <x v="72"/>
    </i>
    <i>
      <x v="46"/>
    </i>
    <i>
      <x v="318"/>
    </i>
    <i>
      <x v="320"/>
    </i>
    <i>
      <x v="337"/>
    </i>
    <i>
      <x v="342"/>
    </i>
    <i>
      <x v="126"/>
    </i>
    <i>
      <x v="601"/>
    </i>
    <i>
      <x v="127"/>
    </i>
    <i>
      <x v="509"/>
    </i>
    <i>
      <x v="501"/>
    </i>
    <i>
      <x v="637"/>
    </i>
    <i>
      <x v="688"/>
    </i>
    <i>
      <x v="59"/>
    </i>
    <i>
      <x v="65"/>
    </i>
    <i>
      <x v="228"/>
    </i>
    <i>
      <x v="434"/>
    </i>
    <i>
      <x v="192"/>
    </i>
    <i>
      <x v="489"/>
    </i>
    <i>
      <x v="200"/>
    </i>
    <i>
      <x v="158"/>
    </i>
    <i>
      <x v="379"/>
    </i>
    <i>
      <x v="518"/>
    </i>
    <i>
      <x v="503"/>
    </i>
    <i>
      <x v="484"/>
    </i>
    <i>
      <x v="313"/>
    </i>
    <i>
      <x v="240"/>
    </i>
    <i>
      <x v="112"/>
    </i>
    <i>
      <x v="810"/>
    </i>
    <i>
      <x v="215"/>
    </i>
    <i>
      <x v="566"/>
    </i>
    <i>
      <x v="369"/>
    </i>
    <i>
      <x v="171"/>
    </i>
    <i>
      <x v="565"/>
    </i>
    <i>
      <x v="29"/>
    </i>
    <i>
      <x v="611"/>
    </i>
    <i>
      <x v="34"/>
    </i>
    <i>
      <x v="663"/>
    </i>
    <i>
      <x v="306"/>
    </i>
    <i>
      <x v="60"/>
    </i>
    <i>
      <x v="79"/>
    </i>
    <i>
      <x v="138"/>
    </i>
    <i>
      <x v="506"/>
    </i>
    <i>
      <x v="319"/>
    </i>
    <i>
      <x v="380"/>
    </i>
    <i>
      <x v="443"/>
    </i>
    <i>
      <x v="847"/>
    </i>
    <i>
      <x v="35"/>
    </i>
    <i>
      <x v="199"/>
    </i>
    <i>
      <x v="346"/>
    </i>
    <i>
      <x v="858"/>
    </i>
    <i>
      <x v="1"/>
    </i>
    <i>
      <x v="564"/>
    </i>
    <i>
      <x v="480"/>
    </i>
    <i>
      <x v="722"/>
    </i>
    <i>
      <x v="118"/>
    </i>
    <i>
      <x v="44"/>
    </i>
    <i>
      <x v="264"/>
    </i>
    <i>
      <x v="432"/>
    </i>
    <i>
      <x v="68"/>
    </i>
    <i>
      <x v="328"/>
    </i>
    <i>
      <x v="691"/>
    </i>
    <i>
      <x v="548"/>
    </i>
    <i>
      <x v="307"/>
    </i>
    <i>
      <x v="223"/>
    </i>
    <i>
      <x v="36"/>
    </i>
    <i>
      <x v="274"/>
    </i>
    <i>
      <x v="316"/>
    </i>
    <i>
      <x v="362"/>
    </i>
    <i>
      <x v="914"/>
    </i>
    <i>
      <x v="393"/>
    </i>
    <i>
      <x v="123"/>
    </i>
    <i>
      <x v="212"/>
    </i>
    <i>
      <x v="586"/>
    </i>
    <i>
      <x v="338"/>
    </i>
    <i>
      <x v="114"/>
    </i>
    <i>
      <x v="324"/>
    </i>
    <i>
      <x v="151"/>
    </i>
    <i>
      <x v="831"/>
    </i>
    <i>
      <x v="477"/>
    </i>
    <i>
      <x v="641"/>
    </i>
    <i>
      <x v="431"/>
    </i>
    <i>
      <x v="694"/>
    </i>
    <i>
      <x v="305"/>
    </i>
    <i>
      <x v="821"/>
    </i>
    <i>
      <x v="449"/>
    </i>
    <i>
      <x v="683"/>
    </i>
    <i>
      <x v="444"/>
    </i>
    <i>
      <x v="532"/>
    </i>
    <i>
      <x v="550"/>
    </i>
    <i>
      <x v="182"/>
    </i>
    <i>
      <x v="577"/>
    </i>
    <i>
      <x v="93"/>
    </i>
    <i>
      <x v="211"/>
    </i>
    <i>
      <x v="554"/>
    </i>
    <i>
      <x v="523"/>
    </i>
    <i>
      <x v="426"/>
    </i>
    <i>
      <x v="445"/>
    </i>
    <i>
      <x v="292"/>
    </i>
    <i>
      <x v="630"/>
    </i>
    <i>
      <x v="468"/>
    </i>
    <i>
      <x v="409"/>
    </i>
    <i>
      <x v="181"/>
    </i>
    <i>
      <x v="592"/>
    </i>
    <i>
      <x v="871"/>
    </i>
    <i>
      <x v="150"/>
    </i>
    <i>
      <x v="669"/>
    </i>
    <i>
      <x v="159"/>
    </i>
    <i>
      <x v="193"/>
    </i>
    <i>
      <x v="43"/>
    </i>
    <i>
      <x v="721"/>
    </i>
    <i>
      <x v="822"/>
    </i>
    <i>
      <x v="53"/>
    </i>
    <i>
      <x v="392"/>
    </i>
    <i>
      <x v="594"/>
    </i>
    <i>
      <x v="364"/>
    </i>
    <i>
      <x v="608"/>
    </i>
    <i>
      <x v="795"/>
    </i>
    <i>
      <x v="525"/>
    </i>
    <i>
      <x v="209"/>
    </i>
    <i>
      <x v="488"/>
    </i>
    <i>
      <x v="9"/>
    </i>
    <i>
      <x v="129"/>
    </i>
    <i>
      <x v="731"/>
    </i>
    <i>
      <x v="383"/>
    </i>
    <i>
      <x v="725"/>
    </i>
    <i>
      <x v="675"/>
    </i>
    <i>
      <x v="106"/>
    </i>
    <i>
      <x v="809"/>
    </i>
    <i>
      <x v="237"/>
    </i>
    <i>
      <x v="85"/>
    </i>
    <i>
      <x v="165"/>
    </i>
    <i>
      <x v="553"/>
    </i>
    <i>
      <x v="636"/>
    </i>
    <i>
      <x v="104"/>
    </i>
    <i>
      <x v="640"/>
    </i>
    <i>
      <x v="288"/>
    </i>
    <i>
      <x v="887"/>
    </i>
    <i>
      <x v="744"/>
    </i>
    <i>
      <x v="397"/>
    </i>
    <i>
      <x v="664"/>
    </i>
    <i>
      <x v="817"/>
    </i>
    <i>
      <x v="204"/>
    </i>
    <i>
      <x v="783"/>
    </i>
    <i>
      <x v="720"/>
    </i>
    <i>
      <x v="229"/>
    </i>
    <i>
      <x v="540"/>
    </i>
    <i>
      <x v="927"/>
    </i>
    <i>
      <x v="467"/>
    </i>
    <i>
      <x v="178"/>
    </i>
    <i>
      <x v="750"/>
    </i>
    <i>
      <x v="883"/>
    </i>
    <i>
      <x v="243"/>
    </i>
    <i>
      <x v="41"/>
    </i>
    <i>
      <x v="345"/>
    </i>
    <i>
      <x v="591"/>
    </i>
    <i>
      <x v="417"/>
    </i>
    <i>
      <x v="396"/>
    </i>
    <i>
      <x v="348"/>
    </i>
    <i>
      <x v="776"/>
    </i>
    <i>
      <x v="137"/>
    </i>
    <i>
      <x v="90"/>
    </i>
    <i>
      <x v="358"/>
    </i>
    <i>
      <x v="717"/>
    </i>
    <i>
      <x v="375"/>
    </i>
    <i>
      <x v="291"/>
    </i>
    <i>
      <x v="430"/>
    </i>
    <i>
      <x v="612"/>
    </i>
    <i>
      <x v="625"/>
    </i>
    <i>
      <x v="83"/>
    </i>
    <i>
      <x v="261"/>
    </i>
    <i>
      <x v="732"/>
    </i>
    <i>
      <x v="643"/>
    </i>
    <i>
      <x v="121"/>
    </i>
    <i>
      <x v="22"/>
    </i>
    <i>
      <x v="147"/>
    </i>
    <i>
      <x v="836"/>
    </i>
    <i>
      <x v="18"/>
    </i>
    <i>
      <x v="81"/>
    </i>
    <i>
      <x v="752"/>
    </i>
    <i>
      <x v="258"/>
    </i>
    <i>
      <x v="459"/>
    </i>
    <i>
      <x v="91"/>
    </i>
    <i>
      <x v="642"/>
    </i>
    <i>
      <x v="723"/>
    </i>
    <i>
      <x v="257"/>
    </i>
    <i>
      <x v="718"/>
    </i>
    <i>
      <x v="899"/>
    </i>
    <i>
      <x v="88"/>
    </i>
    <i>
      <x v="52"/>
    </i>
    <i>
      <x v="452"/>
    </i>
    <i>
      <x v="840"/>
    </i>
    <i>
      <x v="412"/>
    </i>
    <i>
      <x v="263"/>
    </i>
    <i>
      <x v="239"/>
    </i>
    <i>
      <x v="474"/>
    </i>
    <i>
      <x v="309"/>
    </i>
    <i>
      <x v="866"/>
    </i>
    <i>
      <x v="626"/>
    </i>
    <i>
      <x v="253"/>
    </i>
    <i>
      <x v="846"/>
    </i>
    <i>
      <x v="497"/>
    </i>
    <i>
      <x v="853"/>
    </i>
    <i>
      <x v="30"/>
    </i>
    <i>
      <x v="61"/>
    </i>
    <i>
      <x v="421"/>
    </i>
    <i>
      <x v="490"/>
    </i>
    <i>
      <x v="823"/>
    </i>
    <i>
      <x v="748"/>
    </i>
    <i>
      <x v="659"/>
    </i>
    <i>
      <x v="20"/>
    </i>
    <i>
      <x v="790"/>
    </i>
    <i>
      <x v="801"/>
    </i>
    <i>
      <x v="520"/>
    </i>
    <i>
      <x v="144"/>
    </i>
    <i>
      <x v="839"/>
    </i>
    <i>
      <x v="109"/>
    </i>
    <i>
      <x v="136"/>
    </i>
    <i>
      <x v="736"/>
    </i>
    <i>
      <x v="749"/>
    </i>
    <i>
      <x v="234"/>
    </i>
    <i>
      <x v="15"/>
    </i>
    <i>
      <x v="919"/>
    </i>
    <i>
      <x v="433"/>
    </i>
    <i>
      <x v="522"/>
    </i>
    <i>
      <x v="333"/>
    </i>
    <i>
      <x v="806"/>
    </i>
    <i>
      <x v="219"/>
    </i>
    <i>
      <x v="54"/>
    </i>
    <i>
      <x v="909"/>
    </i>
    <i>
      <x v="411"/>
    </i>
    <i>
      <x v="461"/>
    </i>
    <i>
      <x v="198"/>
    </i>
    <i>
      <x v="365"/>
    </i>
    <i>
      <x v="671"/>
    </i>
    <i>
      <x v="255"/>
    </i>
    <i>
      <x v="762"/>
    </i>
    <i>
      <x v="755"/>
    </i>
    <i>
      <x v="627"/>
    </i>
    <i>
      <x v="125"/>
    </i>
    <i>
      <x v="884"/>
    </i>
    <i>
      <x v="293"/>
    </i>
    <i>
      <x v="295"/>
    </i>
    <i>
      <x v="451"/>
    </i>
    <i>
      <x v="579"/>
    </i>
    <i>
      <x v="910"/>
    </i>
    <i>
      <x v="382"/>
    </i>
    <i>
      <x v="6"/>
    </i>
    <i>
      <x v="399"/>
    </i>
    <i>
      <x v="92"/>
    </i>
    <i>
      <x v="128"/>
    </i>
    <i>
      <x v="859"/>
    </i>
    <i>
      <x v="911"/>
    </i>
    <i>
      <x v="811"/>
    </i>
    <i>
      <x v="390"/>
    </i>
    <i>
      <x v="885"/>
    </i>
    <i>
      <x v="132"/>
    </i>
    <i>
      <x v="917"/>
    </i>
    <i>
      <x v="194"/>
    </i>
    <i>
      <x v="353"/>
    </i>
    <i>
      <x v="51"/>
    </i>
    <i>
      <x v="815"/>
    </i>
    <i>
      <x v="330"/>
    </i>
    <i>
      <x v="453"/>
    </i>
    <i>
      <x v="164"/>
    </i>
    <i>
      <x v="904"/>
    </i>
    <i>
      <x v="70"/>
    </i>
    <i>
      <x v="82"/>
    </i>
    <i>
      <x v="754"/>
    </i>
    <i>
      <x v="832"/>
    </i>
    <i>
      <x v="303"/>
    </i>
    <i>
      <x v="437"/>
    </i>
    <i>
      <x v="757"/>
    </i>
    <i>
      <x v="930"/>
    </i>
    <i>
      <x v="568"/>
    </i>
    <i>
      <x v="813"/>
    </i>
    <i>
      <x v="777"/>
    </i>
    <i>
      <x v="336"/>
    </i>
    <i>
      <x v="363"/>
    </i>
    <i>
      <x v="404"/>
    </i>
    <i>
      <x v="197"/>
    </i>
    <i>
      <x v="845"/>
    </i>
    <i>
      <x v="614"/>
    </i>
    <i>
      <x v="876"/>
    </i>
    <i>
      <x v="696"/>
    </i>
    <i>
      <x v="202"/>
    </i>
    <i>
      <x v="841"/>
    </i>
    <i>
      <x v="733"/>
    </i>
    <i>
      <x v="145"/>
    </i>
    <i>
      <x v="475"/>
    </i>
    <i>
      <x v="877"/>
    </i>
    <i>
      <x v="686"/>
    </i>
    <i>
      <x v="406"/>
    </i>
    <i>
      <x v="873"/>
    </i>
    <i>
      <x v="135"/>
    </i>
    <i>
      <x v="756"/>
    </i>
    <i>
      <x v="743"/>
    </i>
    <i>
      <x v="886"/>
    </i>
    <i>
      <x v="915"/>
    </i>
    <i>
      <x v="131"/>
    </i>
    <i>
      <x v="555"/>
    </i>
    <i>
      <x v="241"/>
    </i>
    <i>
      <x v="788"/>
    </i>
    <i>
      <x v="772"/>
    </i>
    <i>
      <x v="233"/>
    </i>
    <i>
      <x v="478"/>
    </i>
    <i>
      <x v="458"/>
    </i>
    <i>
      <x v="103"/>
    </i>
    <i>
      <x v="97"/>
    </i>
    <i>
      <x v="256"/>
    </i>
    <i>
      <x v="882"/>
    </i>
    <i>
      <x v="634"/>
    </i>
    <i>
      <x v="711"/>
    </i>
    <i>
      <x v="690"/>
    </i>
    <i>
      <x v="2"/>
    </i>
    <i>
      <x v="499"/>
    </i>
    <i>
      <x v="248"/>
    </i>
    <i>
      <x v="186"/>
    </i>
    <i>
      <x v="921"/>
    </i>
    <i>
      <x v="649"/>
    </i>
    <i>
      <x v="439"/>
    </i>
    <i>
      <x v="710"/>
    </i>
    <i>
      <x v="31"/>
    </i>
    <i>
      <x v="878"/>
    </i>
    <i>
      <x v="682"/>
    </i>
    <i>
      <x v="537"/>
    </i>
    <i>
      <x v="773"/>
    </i>
    <i>
      <x v="862"/>
    </i>
    <i>
      <x v="350"/>
    </i>
    <i>
      <x v="510"/>
    </i>
    <i>
      <x v="479"/>
    </i>
    <i>
      <x v="331"/>
    </i>
    <i>
      <x v="464"/>
    </i>
    <i>
      <x v="280"/>
    </i>
    <i>
      <x v="632"/>
    </i>
    <i>
      <x v="279"/>
    </i>
    <i>
      <x v="195"/>
    </i>
    <i>
      <x v="517"/>
    </i>
    <i>
      <x v="441"/>
    </i>
    <i>
      <x v="203"/>
    </i>
    <i>
      <x v="745"/>
    </i>
    <i>
      <x v="287"/>
    </i>
    <i>
      <x v="513"/>
    </i>
    <i>
      <x v="702"/>
    </i>
    <i>
      <x v="102"/>
    </i>
    <i>
      <x v="71"/>
    </i>
    <i>
      <x v="818"/>
    </i>
    <i>
      <x v="662"/>
    </i>
    <i>
      <x v="610"/>
    </i>
    <i>
      <x v="872"/>
    </i>
    <i>
      <x v="931"/>
    </i>
    <i>
      <x v="549"/>
    </i>
    <i>
      <x v="32"/>
    </i>
    <i>
      <x v="13"/>
    </i>
    <i>
      <x v="23"/>
    </i>
    <i>
      <x v="156"/>
    </i>
    <i>
      <x v="793"/>
    </i>
    <i>
      <x v="249"/>
    </i>
    <i>
      <x v="913"/>
    </i>
    <i>
      <x v="902"/>
    </i>
    <i>
      <x v="391"/>
    </i>
    <i>
      <x v="936"/>
    </i>
    <i>
      <x v="224"/>
    </i>
    <i>
      <x v="816"/>
    </i>
    <i>
      <x v="890"/>
    </i>
    <i>
      <x v="903"/>
    </i>
    <i>
      <x v="405"/>
    </i>
    <i>
      <x v="870"/>
    </i>
    <i>
      <x v="455"/>
    </i>
    <i>
      <x v="276"/>
    </i>
    <i>
      <x v="803"/>
    </i>
    <i>
      <x v="677"/>
    </i>
    <i>
      <x v="95"/>
    </i>
    <i>
      <x v="922"/>
    </i>
    <i>
      <x v="590"/>
    </i>
    <i>
      <x v="269"/>
    </i>
    <i>
      <x v="354"/>
    </i>
    <i>
      <x v="242"/>
    </i>
    <i>
      <x v="302"/>
    </i>
    <i>
      <x v="875"/>
    </i>
    <i>
      <x v="865"/>
    </i>
    <i>
      <x v="908"/>
    </i>
    <i>
      <x v="923"/>
    </i>
    <i>
      <x v="226"/>
    </i>
    <i>
      <x v="697"/>
    </i>
    <i>
      <x v="170"/>
    </i>
    <i>
      <x v="684"/>
    </i>
    <i>
      <x v="113"/>
    </i>
    <i>
      <x v="180"/>
    </i>
    <i>
      <x v="245"/>
    </i>
    <i>
      <x v="814"/>
    </i>
    <i>
      <x v="207"/>
    </i>
    <i>
      <x v="173"/>
    </i>
    <i>
      <x v="98"/>
    </i>
    <i>
      <x v="916"/>
    </i>
    <i>
      <x v="315"/>
    </i>
    <i>
      <x v="796"/>
    </i>
    <i>
      <x v="436"/>
    </i>
    <i>
      <x v="900"/>
    </i>
    <i>
      <x v="360"/>
    </i>
    <i>
      <x v="483"/>
    </i>
    <i>
      <x v="820"/>
    </i>
    <i>
      <x v="281"/>
    </i>
    <i>
      <x v="395"/>
    </i>
    <i>
      <x v="787"/>
    </i>
    <i>
      <x v="704"/>
    </i>
    <i>
      <x v="633"/>
    </i>
    <i>
      <x v="560"/>
    </i>
    <i>
      <x v="250"/>
    </i>
    <i>
      <x v="189"/>
    </i>
    <i>
      <x v="835"/>
    </i>
    <i>
      <x v="438"/>
    </i>
    <i>
      <x v="828"/>
    </i>
    <i>
      <x v="67"/>
    </i>
    <i>
      <x v="880"/>
    </i>
    <i>
      <x v="819"/>
    </i>
    <i>
      <x v="210"/>
    </i>
    <i>
      <x v="460"/>
    </i>
    <i>
      <x v="429"/>
    </i>
    <i>
      <x v="74"/>
    </i>
    <i>
      <x v="402"/>
    </i>
    <i>
      <x v="120"/>
    </i>
    <i>
      <x v="933"/>
    </i>
    <i>
      <x v="605"/>
    </i>
    <i>
      <x v="912"/>
    </i>
    <i>
      <x v="505"/>
    </i>
    <i>
      <x v="708"/>
    </i>
    <i>
      <x v="512"/>
    </i>
    <i>
      <x v="265"/>
    </i>
    <i>
      <x v="558"/>
    </i>
    <i>
      <x v="849"/>
    </i>
    <i>
      <x v="352"/>
    </i>
    <i>
      <x v="638"/>
    </i>
    <i>
      <x v="89"/>
    </i>
    <i>
      <x v="37"/>
    </i>
    <i>
      <x v="888"/>
    </i>
    <i>
      <x v="535"/>
    </i>
    <i>
      <x v="290"/>
    </i>
    <i>
      <x v="937"/>
    </i>
    <i>
      <x v="557"/>
    </i>
    <i>
      <x v="117"/>
    </i>
    <i>
      <x v="177"/>
    </i>
    <i>
      <x v="12"/>
    </i>
    <i>
      <x v="918"/>
    </i>
    <i>
      <x v="86"/>
    </i>
    <i>
      <x v="377"/>
    </i>
    <i>
      <x v="898"/>
    </i>
    <i>
      <x v="654"/>
    </i>
    <i>
      <x v="833"/>
    </i>
    <i>
      <x v="658"/>
    </i>
    <i>
      <x v="932"/>
    </i>
    <i>
      <x v="760"/>
    </i>
    <i>
      <x v="595"/>
    </i>
    <i>
      <x v="64"/>
    </i>
    <i>
      <x v="115"/>
    </i>
    <i>
      <x v="709"/>
    </i>
    <i>
      <x v="602"/>
    </i>
    <i>
      <x v="435"/>
    </i>
    <i>
      <x v="504"/>
    </i>
    <i>
      <x v="416"/>
    </i>
    <i>
      <x v="344"/>
    </i>
    <i>
      <x v="569"/>
    </i>
    <i>
      <x v="388"/>
    </i>
    <i>
      <x v="907"/>
    </i>
    <i>
      <x v="142"/>
    </i>
    <i>
      <x v="670"/>
    </i>
    <i>
      <x v="812"/>
    </i>
    <i>
      <x v="615"/>
    </i>
    <i>
      <x v="800"/>
    </i>
    <i>
      <x v="161"/>
    </i>
    <i>
      <x v="339"/>
    </i>
    <i>
      <x v="385"/>
    </i>
    <i>
      <x v="607"/>
    </i>
    <i>
      <x v="896"/>
    </i>
    <i>
      <x v="844"/>
    </i>
    <i>
      <x v="926"/>
    </i>
    <i>
      <x v="596"/>
    </i>
    <i>
      <x v="470"/>
    </i>
    <i>
      <x v="343"/>
    </i>
    <i>
      <x v="166"/>
    </i>
    <i>
      <x v="218"/>
    </i>
    <i>
      <x v="891"/>
    </i>
    <i>
      <x v="16"/>
    </i>
    <i>
      <x v="837"/>
    </i>
    <i>
      <x v="857"/>
    </i>
    <i>
      <x v="753"/>
    </i>
    <i>
      <x v="271"/>
    </i>
    <i>
      <x v="323"/>
    </i>
    <i>
      <x v="619"/>
    </i>
    <i>
      <x v="657"/>
    </i>
    <i>
      <x v="152"/>
    </i>
    <i>
      <x v="893"/>
    </i>
    <i>
      <x v="8"/>
    </i>
    <i>
      <x v="21"/>
    </i>
    <i>
      <x v="259"/>
    </i>
    <i>
      <x v="446"/>
    </i>
    <i>
      <x v="494"/>
    </i>
    <i>
      <x v="111"/>
    </i>
    <i>
      <x v="254"/>
    </i>
    <i>
      <x v="286"/>
    </i>
    <i>
      <x v="511"/>
    </i>
    <i>
      <x v="485"/>
    </i>
    <i>
      <x v="526"/>
    </i>
    <i>
      <x v="222"/>
    </i>
    <i>
      <x v="807"/>
    </i>
    <i>
      <x v="861"/>
    </i>
    <i>
      <x v="99"/>
    </i>
    <i>
      <x v="105"/>
    </i>
    <i>
      <x v="332"/>
    </i>
    <i>
      <x v="371"/>
    </i>
    <i>
      <x v="225"/>
    </i>
    <i>
      <x v="347"/>
    </i>
    <i>
      <x v="551"/>
    </i>
    <i>
      <x v="227"/>
    </i>
    <i>
      <x v="96"/>
    </i>
    <i>
      <x v="623"/>
    </i>
    <i>
      <x v="728"/>
    </i>
    <i>
      <x v="559"/>
    </i>
    <i>
      <x v="786"/>
    </i>
    <i>
      <x v="38"/>
    </i>
    <i>
      <x v="482"/>
    </i>
    <i>
      <x v="905"/>
    </i>
    <i>
      <x v="892"/>
    </i>
    <i>
      <x v="598"/>
    </i>
    <i>
      <x v="906"/>
    </i>
    <i>
      <x v="87"/>
    </i>
    <i>
      <x v="17"/>
    </i>
    <i>
      <x v="146"/>
    </i>
    <i>
      <x v="547"/>
    </i>
    <i>
      <x v="278"/>
    </i>
    <i>
      <x v="928"/>
    </i>
    <i>
      <x v="174"/>
    </i>
    <i>
      <x v="361"/>
    </i>
    <i>
      <x v="408"/>
    </i>
    <i>
      <x v="486"/>
    </i>
    <i>
      <x v="829"/>
    </i>
    <i>
      <x v="298"/>
    </i>
    <i>
      <x v="285"/>
    </i>
    <i>
      <x v="491"/>
    </i>
    <i>
      <x v="55"/>
    </i>
    <i>
      <x v="294"/>
    </i>
    <i>
      <x v="739"/>
    </i>
    <i>
      <x v="925"/>
    </i>
    <i>
      <x v="232"/>
    </i>
    <i>
      <x v="39"/>
    </i>
    <i>
      <x v="45"/>
    </i>
    <i>
      <x v="78"/>
    </i>
    <i>
      <x v="235"/>
    </i>
    <i>
      <x v="868"/>
    </i>
    <i>
      <x v="874"/>
    </i>
    <i>
      <x v="665"/>
    </i>
    <i>
      <x v="457"/>
    </i>
    <i>
      <x v="498"/>
    </i>
    <i>
      <x v="321"/>
    </i>
    <i>
      <x v="450"/>
    </i>
    <i>
      <x v="231"/>
    </i>
    <i>
      <x v="398"/>
    </i>
    <i>
      <x v="389"/>
    </i>
    <i>
      <x v="425"/>
    </i>
    <i>
      <x v="282"/>
    </i>
    <i>
      <x v="141"/>
    </i>
    <i>
      <x v="660"/>
    </i>
    <i>
      <x v="751"/>
    </i>
    <i>
      <x v="842"/>
    </i>
    <i>
      <x v="487"/>
    </i>
    <i>
      <x v="221"/>
    </i>
    <i>
      <x v="205"/>
    </i>
    <i>
      <x v="867"/>
    </i>
    <i>
      <x v="830"/>
    </i>
    <i>
      <x v="69"/>
    </i>
    <i>
      <x v="11"/>
    </i>
    <i>
      <x v="516"/>
    </i>
    <i>
      <x v="155"/>
    </i>
    <i>
      <x v="804"/>
    </i>
    <i>
      <x v="196"/>
    </i>
    <i>
      <x v="597"/>
    </i>
    <i>
      <x v="394"/>
    </i>
    <i>
      <x v="372"/>
    </i>
    <i>
      <x v="418"/>
    </i>
    <i>
      <x v="284"/>
    </i>
    <i>
      <x v="80"/>
    </i>
    <i>
      <x v="134"/>
    </i>
    <i>
      <x v="300"/>
    </i>
    <i>
      <x v="481"/>
    </i>
    <i>
      <x v="583"/>
    </i>
    <i>
      <x v="251"/>
    </i>
    <i>
      <x v="600"/>
    </i>
    <i>
      <x v="707"/>
    </i>
    <i>
      <x v="529"/>
    </i>
    <i>
      <x v="62"/>
    </i>
    <i>
      <x v="56"/>
    </i>
    <i>
      <x v="562"/>
    </i>
    <i>
      <x v="543"/>
    </i>
    <i>
      <x v="536"/>
    </i>
    <i>
      <x v="75"/>
    </i>
    <i>
      <x v="692"/>
    </i>
    <i>
      <x v="808"/>
    </i>
    <i>
      <x v="368"/>
    </i>
    <i>
      <x v="563"/>
    </i>
    <i>
      <x v="546"/>
    </i>
    <i>
      <x v="217"/>
    </i>
    <i>
      <x v="76"/>
    </i>
    <i>
      <x v="311"/>
    </i>
    <i>
      <x v="357"/>
    </i>
    <i>
      <x v="763"/>
    </i>
    <i>
      <x v="515"/>
    </i>
    <i>
      <x v="528"/>
    </i>
    <i>
      <x v="584"/>
    </i>
    <i>
      <x v="648"/>
    </i>
    <i>
      <x v="326"/>
    </i>
    <i>
      <x v="422"/>
    </i>
    <i>
      <x v="334"/>
    </i>
    <i>
      <x v="272"/>
    </i>
    <i>
      <x v="187"/>
    </i>
    <i>
      <x v="758"/>
    </i>
    <i>
      <x v="465"/>
    </i>
    <i>
      <x v="273"/>
    </i>
    <i>
      <x v="624"/>
    </i>
    <i>
      <x v="679"/>
    </i>
    <i>
      <x v="329"/>
    </i>
    <i>
      <x v="582"/>
    </i>
    <i>
      <x v="539"/>
    </i>
    <i>
      <x v="77"/>
    </i>
    <i>
      <x v="727"/>
    </i>
    <i>
      <x v="843"/>
    </i>
    <i>
      <x v="797"/>
    </i>
    <i>
      <x v="639"/>
    </i>
    <i>
      <x v="40"/>
    </i>
    <i>
      <x v="191"/>
    </i>
    <i>
      <x v="695"/>
    </i>
    <i>
      <x v="827"/>
    </i>
    <i>
      <x v="901"/>
    </i>
    <i>
      <x v="296"/>
    </i>
    <i>
      <x v="297"/>
    </i>
    <i>
      <x v="153"/>
    </i>
    <i>
      <x v="262"/>
    </i>
    <i>
      <x v="650"/>
    </i>
    <i>
      <x v="646"/>
    </i>
    <i>
      <x v="674"/>
    </i>
    <i>
      <x v="356"/>
    </i>
    <i>
      <x v="570"/>
    </i>
    <i>
      <x v="848"/>
    </i>
    <i>
      <x v="277"/>
    </i>
    <i>
      <x v="299"/>
    </i>
    <i>
      <x v="856"/>
    </i>
    <i>
      <x v="645"/>
    </i>
    <i>
      <x v="622"/>
    </i>
    <i>
      <x v="190"/>
    </i>
    <i>
      <x v="216"/>
    </i>
    <i>
      <x v="715"/>
    </i>
    <i>
      <x v="24"/>
    </i>
    <i>
      <x v="322"/>
    </i>
    <i>
      <x v="934"/>
    </i>
    <i>
      <x v="869"/>
    </i>
    <i>
      <x v="779"/>
    </i>
    <i>
      <x v="314"/>
    </i>
    <i>
      <x v="403"/>
    </i>
    <i>
      <x v="230"/>
    </i>
    <i>
      <x v="130"/>
    </i>
    <i>
      <x v="10"/>
    </i>
    <i>
      <x v="651"/>
    </i>
    <i>
      <x v="575"/>
    </i>
    <i>
      <x v="246"/>
    </i>
    <i>
      <x v="666"/>
    </i>
    <i>
      <x v="424"/>
    </i>
    <i>
      <x v="50"/>
    </i>
    <i>
      <x v="26"/>
    </i>
    <i>
      <x v="66"/>
    </i>
    <i>
      <x v="603"/>
    </i>
    <i>
      <x v="771"/>
    </i>
    <i>
      <x v="681"/>
    </i>
    <i>
      <x v="706"/>
    </i>
    <i>
      <x v="689"/>
    </i>
    <i>
      <x v="616"/>
    </i>
    <i>
      <x v="667"/>
    </i>
    <i>
      <x v="609"/>
    </i>
    <i>
      <x v="685"/>
    </i>
    <i>
      <x v="613"/>
    </i>
    <i>
      <x v="768"/>
    </i>
    <i>
      <x v="767"/>
    </i>
    <i>
      <x v="620"/>
    </i>
    <i>
      <x v="769"/>
    </i>
    <i>
      <x v="729"/>
    </i>
    <i>
      <x v="617"/>
    </i>
    <i>
      <x v="863"/>
    </i>
    <i>
      <x v="656"/>
    </i>
    <i>
      <x v="703"/>
    </i>
    <i>
      <x v="730"/>
    </i>
    <i>
      <x v="850"/>
    </i>
    <i>
      <x v="472"/>
    </i>
    <i>
      <x v="423"/>
    </i>
    <i>
      <x v="521"/>
    </i>
    <i>
      <x v="493"/>
    </i>
    <i>
      <x v="419"/>
    </i>
    <i>
      <x v="471"/>
    </i>
    <i>
      <x v="527"/>
    </i>
    <i>
      <x v="415"/>
    </i>
    <i>
      <x v="519"/>
    </i>
    <i>
      <x v="310"/>
    </i>
    <i>
      <x v="533"/>
    </i>
    <i>
      <x v="428"/>
    </i>
    <i>
      <x v="561"/>
    </i>
    <i>
      <x v="376"/>
    </i>
    <i>
      <x v="492"/>
    </i>
    <i>
      <x v="567"/>
    </i>
    <i>
      <x v="325"/>
    </i>
    <i>
      <x v="381"/>
    </i>
    <i>
      <x v="351"/>
    </i>
    <i>
      <x v="349"/>
    </i>
    <i>
      <x v="576"/>
    </i>
    <i>
      <x v="534"/>
    </i>
    <i>
      <x v="440"/>
    </i>
    <i>
      <x v="572"/>
    </i>
    <i>
      <x v="442"/>
    </i>
    <i>
      <x v="327"/>
    </i>
    <i>
      <x v="420"/>
    </i>
    <i>
      <x v="448"/>
    </i>
    <i>
      <x v="469"/>
    </i>
    <i>
      <x v="308"/>
    </i>
    <i>
      <x v="359"/>
    </i>
    <i>
      <x v="366"/>
    </i>
    <i>
      <x v="476"/>
    </i>
    <i>
      <x v="530"/>
    </i>
    <i>
      <x v="312"/>
    </i>
    <i>
      <x v="585"/>
    </i>
    <i>
      <x v="401"/>
    </i>
    <i>
      <x v="587"/>
    </i>
    <i>
      <x v="502"/>
    </i>
    <i>
      <x v="317"/>
    </i>
    <i>
      <x v="496"/>
    </i>
    <i>
      <x v="48"/>
    </i>
    <i>
      <x v="149"/>
    </i>
    <i>
      <x v="208"/>
    </i>
    <i>
      <x v="3"/>
    </i>
    <i>
      <x v="28"/>
    </i>
    <i>
      <x v="252"/>
    </i>
    <i>
      <x v="220"/>
    </i>
    <i>
      <x v="7"/>
    </i>
    <i>
      <x v="100"/>
    </i>
    <i>
      <x v="267"/>
    </i>
    <i>
      <x v="238"/>
    </i>
    <i>
      <x v="33"/>
    </i>
    <i>
      <x v="58"/>
    </i>
    <i>
      <x v="213"/>
    </i>
    <i>
      <x v="49"/>
    </i>
    <i>
      <x v="270"/>
    </i>
    <i>
      <x v="94"/>
    </i>
    <i>
      <x v="4"/>
    </i>
    <i>
      <x v="283"/>
    </i>
    <i>
      <x v="148"/>
    </i>
    <i>
      <x v="184"/>
    </i>
    <i>
      <x v="47"/>
    </i>
    <i>
      <x v="124"/>
    </i>
    <i>
      <x v="119"/>
    </i>
    <i>
      <x v="188"/>
    </i>
    <i>
      <x v="275"/>
    </i>
    <i>
      <x v="176"/>
    </i>
    <i>
      <x v="57"/>
    </i>
    <i>
      <x v="266"/>
    </i>
  </rowItems>
  <colItems count="1">
    <i/>
  </colItems>
  <pageFields count="4">
    <pageField fld="0" hier="-1"/>
    <pageField fld="1" hier="-1"/>
    <pageField fld="2" hier="-1"/>
    <pageField fld="3" hier="-1"/>
  </pageFields>
  <dataFields count="1">
    <dataField name="Sum of Money" fld="4" baseField="0" baseItem="0" numFmtId="164"/>
  </dataFields>
  <formats count="29">
    <format dxfId="1185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184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183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182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181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180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179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178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177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176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175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174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173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172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171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170">
      <pivotArea dataOnly="0" labelOnly="1" outline="0" fieldPosition="0">
        <references count="1">
          <reference field="9" count="1">
            <x v="168"/>
          </reference>
        </references>
      </pivotArea>
    </format>
    <format dxfId="1169">
      <pivotArea dataOnly="0" labelOnly="1" outline="0" fieldPosition="0">
        <references count="1">
          <reference field="9" count="1">
            <x v="378"/>
          </reference>
        </references>
      </pivotArea>
    </format>
    <format dxfId="1168">
      <pivotArea dataOnly="0" labelOnly="1" outline="0" fieldPosition="0">
        <references count="1">
          <reference field="9" count="1">
            <x v="705"/>
          </reference>
        </references>
      </pivotArea>
    </format>
    <format dxfId="1167">
      <pivotArea dataOnly="0" labelOnly="1" outline="0" fieldPosition="0">
        <references count="1">
          <reference field="9" count="1">
            <x v="167"/>
          </reference>
        </references>
      </pivotArea>
    </format>
    <format dxfId="1166">
      <pivotArea dataOnly="0" labelOnly="1" outline="0" fieldPosition="0">
        <references count="1">
          <reference field="9" count="1">
            <x v="268"/>
          </reference>
        </references>
      </pivotArea>
    </format>
    <format dxfId="1165">
      <pivotArea dataOnly="0" labelOnly="1" outline="0" fieldPosition="0">
        <references count="1">
          <reference field="9" count="1">
            <x v="635"/>
          </reference>
        </references>
      </pivotArea>
    </format>
    <format dxfId="1164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163">
      <pivotArea dataOnly="0" labelOnly="1" outline="0" fieldPosition="0">
        <references count="1">
          <reference field="9" count="1">
            <x v="538"/>
          </reference>
        </references>
      </pivotArea>
    </format>
    <format dxfId="1162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161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60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59">
      <pivotArea type="origin" dataOnly="0" labelOnly="1" outline="0" fieldPosition="0"/>
    </format>
    <format dxfId="1158">
      <pivotArea outline="0" collapsedLevelsAreSubtotals="1" fieldPosition="0"/>
    </format>
    <format dxfId="1157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AJ6:AK859" firstHeaderRow="2" firstDataRow="2" firstDataCol="1" rowPageCount="4" colPageCount="1"/>
  <pivotFields count="10">
    <pivotField axis="axisPage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t="default"/>
      </items>
    </pivotField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52">
    <i>
      <x v="746"/>
    </i>
    <i>
      <x v="581"/>
    </i>
    <i>
      <x v="635"/>
    </i>
    <i>
      <x v="573"/>
    </i>
    <i>
      <x v="139"/>
    </i>
    <i>
      <x v="589"/>
    </i>
    <i>
      <x v="599"/>
    </i>
    <i>
      <x v="378"/>
    </i>
    <i>
      <x v="169"/>
    </i>
    <i>
      <x v="183"/>
    </i>
    <i>
      <x v="407"/>
    </i>
    <i>
      <x v="400"/>
    </i>
    <i>
      <x v="500"/>
    </i>
    <i>
      <x v="172"/>
    </i>
    <i>
      <x v="108"/>
    </i>
    <i>
      <x v="524"/>
    </i>
    <i>
      <x v="374"/>
    </i>
    <i>
      <x v="167"/>
    </i>
    <i>
      <x v="133"/>
    </i>
    <i>
      <x v="63"/>
    </i>
    <i>
      <x v="110"/>
    </i>
    <i>
      <x v="168"/>
    </i>
    <i>
      <x v="508"/>
    </i>
    <i>
      <x v="289"/>
    </i>
    <i>
      <x v="42"/>
    </i>
    <i>
      <x v="719"/>
    </i>
    <i>
      <x v="514"/>
    </i>
    <i>
      <x v="552"/>
    </i>
    <i>
      <x v="531"/>
    </i>
    <i>
      <x v="604"/>
    </i>
    <i>
      <x v="580"/>
    </i>
    <i>
      <x v="268"/>
    </i>
    <i>
      <x v="647"/>
    </i>
    <i>
      <x v="206"/>
    </i>
    <i>
      <x v="386"/>
    </i>
    <i>
      <x v="714"/>
    </i>
    <i>
      <x v="101"/>
    </i>
    <i>
      <x v="116"/>
    </i>
    <i>
      <x v="247"/>
    </i>
    <i>
      <x v="463"/>
    </i>
    <i>
      <x v="855"/>
    </i>
    <i>
      <x v="301"/>
    </i>
    <i>
      <x v="556"/>
    </i>
    <i>
      <x v="693"/>
    </i>
    <i>
      <x v="160"/>
    </i>
    <i>
      <x v="154"/>
    </i>
    <i>
      <x v="65"/>
    </i>
    <i>
      <x v="705"/>
    </i>
    <i>
      <x v="676"/>
    </i>
    <i>
      <x v="466"/>
    </i>
    <i>
      <x v="462"/>
    </i>
    <i>
      <x v="369"/>
    </i>
    <i>
      <x v="27"/>
    </i>
    <i>
      <x v="143"/>
    </i>
    <i>
      <x v="454"/>
    </i>
    <i>
      <x v="501"/>
    </i>
    <i>
      <x v="631"/>
    </i>
    <i>
      <x v="545"/>
    </i>
    <i>
      <x v="5"/>
    </i>
    <i>
      <x v="785"/>
    </i>
    <i>
      <x v="538"/>
    </i>
    <i>
      <x v="14"/>
    </i>
    <i>
      <x v="628"/>
    </i>
    <i>
      <x v="672"/>
    </i>
    <i>
      <x v="84"/>
    </i>
    <i>
      <x v="340"/>
    </i>
    <i>
      <x v="574"/>
    </i>
    <i>
      <x v="621"/>
    </i>
    <i>
      <x v="518"/>
    </i>
    <i>
      <x v="370"/>
    </i>
    <i>
      <x v="201"/>
    </i>
    <i>
      <x v="678"/>
    </i>
    <i>
      <x v="759"/>
    </i>
    <i>
      <x v="387"/>
    </i>
    <i>
      <x v="468"/>
    </i>
    <i>
      <x v="542"/>
    </i>
    <i>
      <x v="367"/>
    </i>
    <i>
      <x v="244"/>
    </i>
    <i>
      <x v="60"/>
    </i>
    <i>
      <x v="107"/>
    </i>
    <i>
      <x v="426"/>
    </i>
    <i>
      <x v="157"/>
    </i>
    <i>
      <x v="473"/>
    </i>
    <i>
      <x v="680"/>
    </i>
    <i>
      <x v="19"/>
    </i>
    <i>
      <x v="688"/>
    </i>
    <i>
      <x v="342"/>
    </i>
    <i>
      <x v="319"/>
    </i>
    <i>
      <x v="335"/>
    </i>
    <i>
      <x v="307"/>
    </i>
    <i>
      <x v="25"/>
    </i>
    <i>
      <x v="495"/>
    </i>
    <i>
      <x v="53"/>
    </i>
    <i>
      <x v="810"/>
    </i>
    <i>
      <x v="127"/>
    </i>
    <i>
      <x v="292"/>
    </i>
    <i>
      <x v="477"/>
    </i>
    <i>
      <x v="122"/>
    </i>
    <i>
      <x v="571"/>
    </i>
    <i>
      <x v="123"/>
    </i>
    <i>
      <x v="655"/>
    </i>
    <i>
      <x v="606"/>
    </i>
    <i>
      <x v="409"/>
    </i>
    <i>
      <x v="240"/>
    </i>
    <i>
      <x v="484"/>
    </i>
    <i>
      <x v="611"/>
    </i>
    <i>
      <x v="337"/>
    </i>
    <i>
      <x v="503"/>
    </i>
    <i>
      <x v="264"/>
    </i>
    <i>
      <x v="306"/>
    </i>
    <i>
      <x v="629"/>
    </i>
    <i>
      <x v="73"/>
    </i>
    <i>
      <x v="185"/>
    </i>
    <i>
      <x v="380"/>
    </i>
    <i>
      <x v="641"/>
    </i>
    <i>
      <x v="355"/>
    </i>
    <i>
      <x v="506"/>
    </i>
    <i>
      <x v="668"/>
    </i>
    <i>
      <x v="691"/>
    </i>
    <i>
      <x v="193"/>
    </i>
    <i>
      <x v="320"/>
    </i>
    <i>
      <x v="509"/>
    </i>
    <i>
      <x v="229"/>
    </i>
    <i>
      <x v="447"/>
    </i>
    <i>
      <x v="379"/>
    </i>
    <i>
      <x v="305"/>
    </i>
    <i>
      <x v="566"/>
    </i>
    <i>
      <x v="601"/>
    </i>
    <i>
      <x v="112"/>
    </i>
    <i>
      <x v="443"/>
    </i>
    <i>
      <x v="126"/>
    </i>
    <i>
      <x v="85"/>
    </i>
    <i>
      <x v="72"/>
    </i>
    <i>
      <x v="106"/>
    </i>
    <i>
      <x v="444"/>
    </i>
    <i>
      <x v="847"/>
    </i>
    <i>
      <x v="223"/>
    </i>
    <i>
      <x v="489"/>
    </i>
    <i>
      <x v="393"/>
    </i>
    <i>
      <x v="637"/>
    </i>
    <i>
      <x v="93"/>
    </i>
    <i>
      <x v="36"/>
    </i>
    <i>
      <x v="579"/>
    </i>
    <i>
      <x v="59"/>
    </i>
    <i>
      <x v="821"/>
    </i>
    <i>
      <x v="30"/>
    </i>
    <i>
      <x v="345"/>
    </i>
    <i>
      <x v="215"/>
    </i>
    <i>
      <x v="118"/>
    </i>
    <i>
      <x v="274"/>
    </i>
    <i>
      <x v="44"/>
    </i>
    <i>
      <x v="822"/>
    </i>
    <i>
      <x v="291"/>
    </i>
    <i>
      <x v="532"/>
    </i>
    <i>
      <x v="673"/>
    </i>
    <i>
      <x v="525"/>
    </i>
    <i>
      <x v="362"/>
    </i>
    <i>
      <x v="212"/>
    </i>
    <i>
      <x v="795"/>
    </i>
    <i>
      <x v="434"/>
    </i>
    <i>
      <x v="158"/>
    </i>
    <i>
      <x v="383"/>
    </i>
    <i>
      <x v="34"/>
    </i>
    <i>
      <x v="313"/>
    </i>
    <i>
      <x v="586"/>
    </i>
    <i>
      <x v="553"/>
    </i>
    <i>
      <x v="643"/>
    </i>
    <i>
      <x v="548"/>
    </i>
    <i>
      <x v="192"/>
    </i>
    <i>
      <x v="1"/>
    </i>
    <i>
      <x v="114"/>
    </i>
    <i>
      <x v="554"/>
    </i>
    <i>
      <x v="627"/>
    </i>
    <i>
      <x v="67"/>
    </i>
    <i>
      <x v="725"/>
    </i>
    <i>
      <x v="46"/>
    </i>
    <i>
      <x v="328"/>
    </i>
    <i>
      <x v="29"/>
    </i>
    <i>
      <x v="564"/>
    </i>
    <i>
      <x v="671"/>
    </i>
    <i>
      <x v="783"/>
    </i>
    <i>
      <x v="261"/>
    </i>
    <i>
      <x v="211"/>
    </i>
    <i>
      <x v="338"/>
    </i>
    <i>
      <x v="243"/>
    </i>
    <i>
      <x v="364"/>
    </i>
    <i>
      <x v="550"/>
    </i>
    <i>
      <x v="228"/>
    </i>
    <i>
      <x v="663"/>
    </i>
    <i>
      <x v="346"/>
    </i>
    <i>
      <x v="540"/>
    </i>
    <i>
      <x v="204"/>
    </i>
    <i>
      <x v="199"/>
    </i>
    <i>
      <x v="445"/>
    </i>
    <i>
      <x v="399"/>
    </i>
    <i>
      <x v="396"/>
    </i>
    <i>
      <x v="178"/>
    </i>
    <i>
      <x v="451"/>
    </i>
    <i>
      <x v="640"/>
    </i>
    <i>
      <x v="809"/>
    </i>
    <i>
      <x v="432"/>
    </i>
    <i>
      <x v="35"/>
    </i>
    <i>
      <x v="523"/>
    </i>
    <i>
      <x v="392"/>
    </i>
    <i>
      <x v="61"/>
    </i>
    <i>
      <x v="591"/>
    </i>
    <i>
      <x v="626"/>
    </i>
    <i>
      <x v="565"/>
    </i>
    <i>
      <x v="914"/>
    </i>
    <i>
      <x v="147"/>
    </i>
    <i>
      <x v="488"/>
    </i>
    <i>
      <x v="683"/>
    </i>
    <i>
      <x v="479"/>
    </i>
    <i>
      <x v="721"/>
    </i>
    <i>
      <x v="163"/>
    </i>
    <i>
      <x v="182"/>
    </i>
    <i>
      <x v="68"/>
    </i>
    <i>
      <x v="151"/>
    </i>
    <i>
      <x v="121"/>
    </i>
    <i>
      <x v="255"/>
    </i>
    <i>
      <x v="79"/>
    </i>
    <i>
      <x v="253"/>
    </i>
    <i>
      <x v="164"/>
    </i>
    <i>
      <x v="762"/>
    </i>
    <i>
      <x v="478"/>
    </i>
    <i>
      <x v="625"/>
    </i>
    <i>
      <x v="288"/>
    </i>
    <i>
      <x v="664"/>
    </i>
    <i>
      <x v="9"/>
    </i>
    <i>
      <x v="675"/>
    </i>
    <i>
      <x v="171"/>
    </i>
    <i>
      <x v="165"/>
    </i>
    <i>
      <x v="159"/>
    </i>
    <i>
      <x v="831"/>
    </i>
    <i>
      <x v="125"/>
    </i>
    <i>
      <x v="694"/>
    </i>
    <i>
      <x v="315"/>
    </i>
    <i>
      <x v="324"/>
    </i>
    <i>
      <x v="577"/>
    </i>
    <i>
      <x v="752"/>
    </i>
    <i>
      <x v="612"/>
    </i>
    <i>
      <x v="522"/>
    </i>
    <i>
      <x v="858"/>
    </i>
    <i>
      <x v="682"/>
    </i>
    <i>
      <x v="517"/>
    </i>
    <i>
      <x v="520"/>
    </i>
    <i>
      <x v="239"/>
    </i>
    <i>
      <x v="83"/>
    </i>
    <i>
      <x v="480"/>
    </i>
    <i>
      <x v="788"/>
    </i>
    <i>
      <x v="132"/>
    </i>
    <i>
      <x v="104"/>
    </i>
    <i>
      <x v="219"/>
    </i>
    <i>
      <x v="200"/>
    </i>
    <i>
      <x v="327"/>
    </i>
    <i>
      <x v="309"/>
    </i>
    <i>
      <x v="137"/>
    </i>
    <i>
      <x v="51"/>
    </i>
    <i>
      <x v="280"/>
    </i>
    <i>
      <x v="516"/>
    </i>
    <i>
      <x v="405"/>
    </i>
    <i>
      <x v="91"/>
    </i>
    <i>
      <x v="669"/>
    </i>
    <i>
      <x v="736"/>
    </i>
    <i>
      <x v="866"/>
    </i>
    <i>
      <x v="358"/>
    </i>
    <i>
      <x v="490"/>
    </i>
    <i>
      <x v="731"/>
    </i>
    <i>
      <x v="467"/>
    </i>
    <i>
      <x v="375"/>
    </i>
    <i>
      <x v="209"/>
    </i>
    <i>
      <x v="614"/>
    </i>
    <i>
      <x v="198"/>
    </i>
    <i>
      <x v="257"/>
    </i>
    <i>
      <x v="15"/>
    </i>
    <i>
      <x v="194"/>
    </i>
    <i>
      <x v="594"/>
    </i>
    <i>
      <x v="871"/>
    </i>
    <i>
      <x v="90"/>
    </i>
    <i>
      <x v="210"/>
    </i>
    <i>
      <x v="111"/>
    </i>
    <i>
      <x v="382"/>
    </i>
    <i>
      <x v="412"/>
    </i>
    <i>
      <x v="279"/>
    </i>
    <i>
      <x v="397"/>
    </i>
    <i>
      <x v="180"/>
    </i>
    <i>
      <x v="195"/>
    </i>
    <i>
      <x v="449"/>
    </i>
    <i>
      <x v="702"/>
    </i>
    <i>
      <x v="430"/>
    </i>
    <i>
      <x v="18"/>
    </i>
    <i>
      <x v="174"/>
    </i>
    <i>
      <x v="22"/>
    </i>
    <i>
      <x v="202"/>
    </i>
    <i>
      <x v="43"/>
    </i>
    <i>
      <x v="485"/>
    </i>
    <i>
      <x v="120"/>
    </i>
    <i>
      <x v="883"/>
    </i>
    <i>
      <x v="592"/>
    </i>
    <i>
      <x v="750"/>
    </i>
    <i>
      <x v="233"/>
    </i>
    <i>
      <x v="638"/>
    </i>
    <i>
      <x v="437"/>
    </i>
    <i>
      <x v="64"/>
    </i>
    <i>
      <x v="421"/>
    </i>
    <i>
      <x v="633"/>
    </i>
    <i>
      <x v="526"/>
    </i>
    <i>
      <x v="237"/>
    </i>
    <i>
      <x v="141"/>
    </i>
    <i>
      <x v="777"/>
    </i>
    <i>
      <x v="686"/>
    </i>
    <i>
      <x v="649"/>
    </i>
    <i>
      <x v="657"/>
    </i>
    <i>
      <x v="295"/>
    </i>
    <i>
      <x v="817"/>
    </i>
    <i>
      <x v="757"/>
    </i>
    <i>
      <x v="343"/>
    </i>
    <i>
      <x v="474"/>
    </i>
    <i>
      <x v="710"/>
    </i>
    <i>
      <x v="605"/>
    </i>
    <i>
      <x v="181"/>
    </i>
    <i>
      <x v="497"/>
    </i>
    <i>
      <x v="92"/>
    </i>
    <i>
      <x v="316"/>
    </i>
    <i>
      <x v="433"/>
    </i>
    <i>
      <x v="452"/>
    </i>
    <i>
      <x v="549"/>
    </i>
    <i>
      <x v="630"/>
    </i>
    <i>
      <x v="464"/>
    </i>
    <i>
      <x v="150"/>
    </i>
    <i>
      <x v="711"/>
    </i>
    <i>
      <x v="555"/>
    </i>
    <i>
      <x v="109"/>
    </i>
    <i>
      <x v="505"/>
    </i>
    <i>
      <x v="97"/>
    </i>
    <i>
      <x v="249"/>
    </i>
    <i>
      <x v="86"/>
    </i>
    <i>
      <x v="16"/>
    </i>
    <i>
      <x v="323"/>
    </i>
    <i>
      <x v="642"/>
    </i>
    <i>
      <x v="453"/>
    </i>
    <i>
      <x v="31"/>
    </i>
    <i>
      <x v="248"/>
    </i>
    <i>
      <x v="23"/>
    </i>
    <i>
      <x v="636"/>
    </i>
    <i>
      <x v="754"/>
    </i>
    <i>
      <x v="720"/>
    </i>
    <i>
      <x v="846"/>
    </i>
    <i>
      <x v="348"/>
    </i>
    <i>
      <x v="749"/>
    </i>
    <i>
      <x v="487"/>
    </i>
    <i>
      <x v="226"/>
    </i>
    <i>
      <x v="832"/>
    </i>
    <i>
      <x v="662"/>
    </i>
    <i>
      <x v="458"/>
    </i>
    <i>
      <x v="718"/>
    </i>
    <i>
      <x v="840"/>
    </i>
    <i>
      <x v="276"/>
    </i>
    <i>
      <x v="455"/>
    </i>
    <i>
      <x v="391"/>
    </i>
    <i>
      <x v="256"/>
    </i>
    <i>
      <x v="773"/>
    </i>
    <i>
      <x v="887"/>
    </i>
    <i>
      <x v="406"/>
    </i>
    <i>
      <x v="815"/>
    </i>
    <i>
      <x v="242"/>
    </i>
    <i>
      <x v="634"/>
    </i>
    <i>
      <x v="41"/>
    </i>
    <i>
      <x v="460"/>
    </i>
    <i>
      <x v="899"/>
    </i>
    <i>
      <x v="156"/>
    </i>
    <i>
      <x v="873"/>
    </i>
    <i>
      <x v="790"/>
    </i>
    <i>
      <x v="704"/>
    </i>
    <i>
      <x v="88"/>
    </i>
    <i>
      <x v="911"/>
    </i>
    <i>
      <x v="138"/>
    </i>
    <i>
      <x v="659"/>
    </i>
    <i>
      <x v="318"/>
    </i>
    <i>
      <x v="755"/>
    </i>
    <i>
      <x v="270"/>
    </i>
    <i>
      <x v="207"/>
    </i>
    <i>
      <x v="331"/>
    </i>
    <i>
      <x v="615"/>
    </i>
    <i>
      <x v="161"/>
    </i>
    <i>
      <x v="189"/>
    </i>
    <i>
      <x v="360"/>
    </i>
    <i>
      <x v="339"/>
    </i>
    <i>
      <x v="645"/>
    </i>
    <i>
      <x v="853"/>
    </i>
    <i>
      <x v="354"/>
    </i>
    <i>
      <x v="743"/>
    </i>
    <i>
      <x v="13"/>
    </i>
    <i>
      <x v="722"/>
    </i>
    <i>
      <x v="266"/>
    </i>
    <i>
      <x v="862"/>
    </i>
    <i>
      <x v="884"/>
    </i>
    <i>
      <x v="608"/>
    </i>
    <i>
      <x v="352"/>
    </i>
    <i>
      <x v="95"/>
    </i>
    <i>
      <x v="218"/>
    </i>
    <i>
      <x v="89"/>
    </i>
    <i>
      <x v="332"/>
    </i>
    <i>
      <x v="224"/>
    </i>
    <i>
      <x v="186"/>
    </i>
    <i>
      <x v="54"/>
    </i>
    <i>
      <x v="435"/>
    </i>
    <i>
      <x v="595"/>
    </i>
    <i>
      <x v="806"/>
    </i>
    <i>
      <x v="275"/>
    </i>
    <i>
      <x v="813"/>
    </i>
    <i>
      <x v="823"/>
    </i>
    <i>
      <x v="142"/>
    </i>
    <i>
      <x v="610"/>
    </i>
    <i>
      <x v="135"/>
    </i>
    <i>
      <x v="28"/>
    </i>
    <i>
      <x v="431"/>
    </i>
    <i>
      <x v="271"/>
    </i>
    <i>
      <x v="170"/>
    </i>
    <i>
      <x v="439"/>
    </i>
    <i>
      <x v="20"/>
    </i>
    <i>
      <x v="936"/>
    </i>
    <i>
      <x v="912"/>
    </i>
    <i>
      <x v="293"/>
    </i>
    <i>
      <x v="350"/>
    </i>
    <i>
      <x v="417"/>
    </i>
    <i>
      <x v="475"/>
    </i>
    <i>
      <x v="258"/>
    </i>
    <i>
      <x v="908"/>
    </i>
    <i>
      <x v="859"/>
    </i>
    <i>
      <x v="336"/>
    </i>
    <i>
      <x v="402"/>
    </i>
    <i>
      <x v="166"/>
    </i>
    <i>
      <x v="103"/>
    </i>
    <i>
      <x v="648"/>
    </i>
    <i>
      <x v="728"/>
    </i>
    <i>
      <x v="297"/>
    </i>
    <i>
      <x v="820"/>
    </i>
    <i>
      <x v="203"/>
    </i>
    <i>
      <x v="71"/>
    </i>
    <i>
      <x v="732"/>
    </i>
    <i>
      <x v="81"/>
    </i>
    <i>
      <x v="916"/>
    </i>
    <i>
      <x v="937"/>
    </i>
    <i>
      <x v="658"/>
    </i>
    <i>
      <x v="128"/>
    </i>
    <i>
      <x v="57"/>
    </i>
    <i>
      <x v="624"/>
    </i>
    <i>
      <x v="144"/>
    </i>
    <i>
      <x v="428"/>
    </i>
    <i>
      <x v="129"/>
    </i>
    <i>
      <x v="494"/>
    </i>
    <i>
      <x v="568"/>
    </i>
    <i>
      <x v="910"/>
    </i>
    <i>
      <x v="717"/>
    </i>
    <i>
      <x v="836"/>
    </i>
    <i>
      <x v="486"/>
    </i>
    <i>
      <x v="11"/>
    </i>
    <i>
      <x v="45"/>
    </i>
    <i>
      <x v="82"/>
    </i>
    <i>
      <x v="310"/>
    </i>
    <i>
      <x v="459"/>
    </i>
    <i>
      <x v="441"/>
    </i>
    <i>
      <x v="748"/>
    </i>
    <i>
      <x v="6"/>
    </i>
    <i>
      <x v="52"/>
    </i>
    <i>
      <x v="744"/>
    </i>
    <i>
      <x v="875"/>
    </i>
    <i>
      <x v="776"/>
    </i>
    <i>
      <x v="49"/>
    </i>
    <i>
      <x v="136"/>
    </i>
    <i>
      <x v="841"/>
    </i>
    <i>
      <x v="909"/>
    </i>
    <i>
      <x v="839"/>
    </i>
    <i>
      <x v="521"/>
    </i>
    <i>
      <x v="326"/>
    </i>
    <i>
      <x v="330"/>
    </i>
    <i>
      <x v="543"/>
    </i>
    <i>
      <x v="677"/>
    </i>
    <i>
      <x v="220"/>
    </i>
    <i>
      <x v="217"/>
    </i>
    <i>
      <x v="689"/>
    </i>
    <i>
      <x v="411"/>
    </i>
    <i>
      <x v="145"/>
    </i>
    <i>
      <x v="286"/>
    </i>
    <i>
      <x v="898"/>
    </i>
    <i>
      <x v="583"/>
    </i>
    <i>
      <x v="558"/>
    </i>
    <i>
      <x v="685"/>
    </i>
    <i>
      <x v="557"/>
    </i>
    <i>
      <x v="696"/>
    </i>
    <i>
      <x v="499"/>
    </i>
    <i>
      <x v="845"/>
    </i>
    <i>
      <x v="390"/>
    </i>
    <i>
      <x v="919"/>
    </i>
    <i>
      <x v="423"/>
    </i>
    <i>
      <x v="278"/>
    </i>
    <i>
      <x v="152"/>
    </i>
    <i>
      <x v="333"/>
    </i>
    <i>
      <x v="723"/>
    </i>
    <i>
      <x v="807"/>
    </i>
    <i>
      <x v="461"/>
    </i>
    <i>
      <x v="234"/>
    </i>
    <i>
      <x v="269"/>
    </i>
    <i>
      <x v="733"/>
    </i>
    <i>
      <x v="404"/>
    </i>
    <i>
      <x v="263"/>
    </i>
    <i>
      <x v="885"/>
    </i>
    <i>
      <x v="70"/>
    </i>
    <i>
      <x v="684"/>
    </i>
    <i>
      <x v="287"/>
    </i>
    <i>
      <x v="353"/>
    </i>
    <i>
      <x v="32"/>
    </i>
    <i>
      <x v="537"/>
    </i>
    <i>
      <x v="98"/>
    </i>
    <i>
      <x v="772"/>
    </i>
    <i>
      <x v="811"/>
    </i>
    <i>
      <x v="102"/>
    </i>
    <i>
      <x v="119"/>
    </i>
    <i>
      <x v="436"/>
    </i>
    <i>
      <x v="927"/>
    </i>
    <i>
      <x v="471"/>
    </i>
    <i>
      <x v="632"/>
    </i>
    <i>
      <x v="481"/>
    </i>
    <i>
      <x v="113"/>
    </i>
    <i>
      <x v="281"/>
    </i>
    <i>
      <x v="131"/>
    </i>
    <i>
      <x v="227"/>
    </i>
    <i>
      <x v="149"/>
    </i>
    <i>
      <x v="596"/>
    </i>
    <i>
      <x v="510"/>
    </i>
    <i>
      <x v="598"/>
    </i>
    <i>
      <x v="690"/>
    </i>
    <i>
      <x v="173"/>
    </i>
    <i>
      <x v="300"/>
    </i>
    <i>
      <x v="756"/>
    </i>
    <i>
      <x v="654"/>
    </i>
    <i>
      <x v="535"/>
    </i>
    <i>
      <x v="622"/>
    </i>
    <i>
      <x v="619"/>
    </i>
    <i>
      <x v="504"/>
    </i>
    <i>
      <x v="12"/>
    </i>
    <i>
      <x v="395"/>
    </i>
    <i>
      <x v="245"/>
    </i>
    <i>
      <x v="870"/>
    </i>
    <i>
      <x v="265"/>
    </i>
    <i>
      <x v="616"/>
    </i>
    <i>
      <x v="921"/>
    </i>
    <i>
      <x v="913"/>
    </i>
    <i>
      <x v="2"/>
    </i>
    <i>
      <x v="511"/>
    </i>
    <i>
      <x v="418"/>
    </i>
    <i>
      <x v="882"/>
    </i>
    <i>
      <x v="602"/>
    </i>
    <i>
      <x v="115"/>
    </i>
    <i>
      <x v="835"/>
    </i>
    <i>
      <x v="74"/>
    </i>
    <i>
      <x v="394"/>
    </i>
    <i>
      <x v="446"/>
    </i>
    <i>
      <x v="917"/>
    </i>
    <i>
      <x v="803"/>
    </i>
    <i>
      <x v="513"/>
    </i>
    <i>
      <x v="796"/>
    </i>
    <i>
      <x v="80"/>
    </i>
    <i>
      <x v="709"/>
    </i>
    <i>
      <x v="250"/>
    </i>
    <i>
      <x v="793"/>
    </i>
    <i>
      <x v="801"/>
    </i>
    <i>
      <x v="450"/>
    </i>
    <i>
      <x v="816"/>
    </i>
    <i>
      <x v="389"/>
    </i>
    <i>
      <x v="302"/>
    </i>
    <i>
      <x v="184"/>
    </i>
    <i>
      <x v="361"/>
    </i>
    <i>
      <x v="117"/>
    </i>
    <i>
      <x v="235"/>
    </i>
    <i>
      <x v="617"/>
    </i>
    <i>
      <x v="597"/>
    </i>
    <i>
      <x v="590"/>
    </i>
    <i>
      <x v="285"/>
    </i>
    <i>
      <x v="915"/>
    </i>
    <i>
      <x v="670"/>
    </i>
    <i>
      <x v="876"/>
    </i>
    <i>
      <x v="536"/>
    </i>
    <i>
      <x v="290"/>
    </i>
    <i>
      <x v="519"/>
    </i>
    <i>
      <x v="814"/>
    </i>
    <i>
      <x v="429"/>
    </i>
    <i>
      <x v="225"/>
    </i>
    <i>
      <x v="153"/>
    </i>
    <i>
      <x v="10"/>
    </i>
    <i>
      <x v="559"/>
    </i>
    <i>
      <x v="222"/>
    </i>
    <i>
      <x v="707"/>
    </i>
    <i>
      <x v="695"/>
    </i>
    <i>
      <x v="660"/>
    </i>
    <i>
      <x v="562"/>
    </i>
    <i>
      <x v="679"/>
    </i>
    <i>
      <x v="100"/>
    </i>
    <i>
      <x v="296"/>
    </i>
    <i>
      <x v="177"/>
    </i>
    <i>
      <x v="284"/>
    </i>
    <i>
      <x v="872"/>
    </i>
    <i>
      <x v="561"/>
    </i>
    <i>
      <x v="585"/>
    </i>
    <i>
      <x v="922"/>
    </i>
    <i>
      <x v="78"/>
    </i>
    <i>
      <x v="75"/>
    </i>
    <i>
      <x v="708"/>
    </i>
    <i>
      <x v="572"/>
    </i>
    <i>
      <x v="849"/>
    </i>
    <i>
      <x v="833"/>
    </i>
    <i>
      <x v="877"/>
    </i>
    <i>
      <x v="878"/>
    </i>
    <i>
      <x v="904"/>
    </i>
    <i>
      <x v="745"/>
    </i>
    <i>
      <x v="365"/>
    </i>
    <i>
      <x v="865"/>
    </i>
    <i>
      <x v="483"/>
    </i>
    <i>
      <x v="55"/>
    </i>
    <i>
      <x v="37"/>
    </i>
    <i>
      <x v="697"/>
    </i>
    <i>
      <x v="282"/>
    </i>
    <i>
      <x v="21"/>
    </i>
    <i>
      <x v="155"/>
    </i>
    <i>
      <x v="923"/>
    </i>
    <i>
      <x v="438"/>
    </i>
    <i>
      <x v="371"/>
    </i>
    <i>
      <x v="314"/>
    </i>
    <i>
      <x v="191"/>
    </i>
    <i>
      <x v="408"/>
    </i>
    <i>
      <x v="753"/>
    </i>
    <i>
      <x v="377"/>
    </i>
    <i>
      <x v="819"/>
    </i>
    <i>
      <x v="3"/>
    </i>
    <i>
      <x v="607"/>
    </i>
    <i>
      <x v="96"/>
    </i>
    <i>
      <x v="482"/>
    </i>
    <i>
      <x v="69"/>
    </i>
    <i>
      <x v="262"/>
    </i>
    <i>
      <x v="818"/>
    </i>
    <i>
      <x v="560"/>
    </i>
    <i>
      <x v="771"/>
    </i>
    <i>
      <x v="252"/>
    </i>
    <i>
      <x v="39"/>
    </i>
    <i>
      <x v="563"/>
    </i>
    <i>
      <x v="87"/>
    </i>
    <i>
      <x v="551"/>
    </i>
    <i>
      <x v="857"/>
    </i>
    <i>
      <x v="861"/>
    </i>
    <i>
      <x v="930"/>
    </i>
    <i>
      <x v="812"/>
    </i>
    <i>
      <x v="837"/>
    </i>
    <i>
      <x v="905"/>
    </i>
    <i>
      <x v="197"/>
    </i>
    <i>
      <x v="298"/>
    </i>
    <i>
      <x v="902"/>
    </i>
    <i>
      <x v="681"/>
    </i>
    <i>
      <x v="62"/>
    </i>
    <i>
      <x v="547"/>
    </i>
    <i>
      <x v="674"/>
    </i>
    <i>
      <x v="134"/>
    </i>
    <i>
      <x v="539"/>
    </i>
    <i>
      <x v="58"/>
    </i>
    <i>
      <x v="230"/>
    </i>
    <i>
      <x v="317"/>
    </i>
    <i>
      <x v="933"/>
    </i>
    <i>
      <x v="294"/>
    </i>
    <i>
      <x v="422"/>
    </i>
    <i>
      <x v="886"/>
    </i>
    <i>
      <x v="376"/>
    </i>
    <i>
      <x v="760"/>
    </i>
    <i>
      <x v="528"/>
    </i>
    <i>
      <x v="787"/>
    </i>
    <i>
      <x v="896"/>
    </i>
    <i>
      <x v="529"/>
    </i>
    <i>
      <x v="221"/>
    </i>
    <i>
      <x v="190"/>
    </i>
    <i>
      <x v="534"/>
    </i>
    <i>
      <x v="907"/>
    </i>
    <i>
      <x v="246"/>
    </i>
    <i>
      <x v="767"/>
    </i>
    <i>
      <x v="727"/>
    </i>
    <i>
      <x v="372"/>
    </i>
    <i>
      <x v="94"/>
    </i>
    <i>
      <x v="231"/>
    </i>
    <i>
      <x v="900"/>
    </i>
    <i>
      <x v="903"/>
    </i>
    <i>
      <x v="357"/>
    </i>
    <i>
      <x v="347"/>
    </i>
    <i>
      <x v="600"/>
    </i>
    <i>
      <x v="205"/>
    </i>
    <i>
      <x v="216"/>
    </i>
    <i>
      <x v="665"/>
    </i>
    <i>
      <x v="303"/>
    </i>
    <i>
      <x v="105"/>
    </i>
    <i>
      <x v="238"/>
    </i>
    <i>
      <x v="603"/>
    </i>
    <i>
      <x v="570"/>
    </i>
    <i>
      <x v="715"/>
    </i>
    <i>
      <x v="797"/>
    </i>
    <i>
      <x v="768"/>
    </i>
    <i>
      <x v="232"/>
    </i>
    <i>
      <x v="890"/>
    </i>
    <i>
      <x v="800"/>
    </i>
    <i>
      <x v="844"/>
    </i>
    <i>
      <x v="56"/>
    </i>
    <i>
      <x v="322"/>
    </i>
    <i>
      <x v="515"/>
    </i>
    <i>
      <x v="613"/>
    </i>
    <i>
      <x v="398"/>
    </i>
    <i>
      <x v="334"/>
    </i>
    <i>
      <x v="808"/>
    </i>
    <i>
      <x v="33"/>
    </i>
    <i>
      <x v="299"/>
    </i>
    <i>
      <x v="769"/>
    </i>
    <i>
      <x v="546"/>
    </i>
    <i>
      <x v="926"/>
    </i>
    <i>
      <x v="38"/>
    </i>
    <i>
      <x v="779"/>
    </i>
    <i>
      <x v="786"/>
    </i>
    <i>
      <x v="758"/>
    </i>
    <i>
      <x v="259"/>
    </i>
    <i>
      <x v="584"/>
    </i>
    <i>
      <x v="582"/>
    </i>
    <i>
      <x v="272"/>
    </i>
    <i>
      <x v="368"/>
    </i>
    <i>
      <x v="751"/>
    </i>
    <i>
      <x v="867"/>
    </i>
    <i>
      <x v="620"/>
    </i>
    <i>
      <x v="829"/>
    </i>
    <i>
      <x v="254"/>
    </i>
    <i>
      <x v="99"/>
    </i>
    <i>
      <x v="893"/>
    </i>
    <i>
      <x v="827"/>
    </i>
    <i>
      <x v="575"/>
    </i>
    <i>
      <x v="76"/>
    </i>
    <i>
      <x v="277"/>
    </i>
    <i>
      <x v="931"/>
    </i>
    <i>
      <x v="888"/>
    </i>
    <i>
      <x v="24"/>
    </i>
    <i>
      <x v="40"/>
    </i>
    <i>
      <x v="891"/>
    </i>
    <i>
      <x v="925"/>
    </i>
    <i>
      <x v="465"/>
    </i>
    <i>
      <x v="470"/>
    </i>
    <i>
      <x v="863"/>
    </i>
    <i>
      <x v="842"/>
    </i>
    <i>
      <x v="77"/>
    </i>
    <i>
      <x v="874"/>
    </i>
    <i>
      <x v="830"/>
    </i>
    <i>
      <x v="739"/>
    </i>
    <i>
      <x v="901"/>
    </i>
    <i>
      <x v="932"/>
    </i>
    <i>
      <x v="273"/>
    </i>
    <i>
      <x v="934"/>
    </i>
    <i>
      <x v="623"/>
    </i>
    <i>
      <x v="469"/>
    </i>
    <i>
      <x v="843"/>
    </i>
    <i>
      <x v="17"/>
    </i>
    <i>
      <x v="213"/>
    </i>
    <i>
      <x v="804"/>
    </i>
    <i>
      <x v="868"/>
    </i>
    <i>
      <x v="311"/>
    </i>
    <i>
      <x v="251"/>
    </i>
    <i>
      <x v="892"/>
    </i>
    <i>
      <x v="187"/>
    </i>
    <i>
      <x v="651"/>
    </i>
    <i>
      <x v="656"/>
    </i>
    <i>
      <x v="196"/>
    </i>
    <i>
      <x v="918"/>
    </i>
    <i>
      <x v="491"/>
    </i>
    <i>
      <x v="492"/>
    </i>
    <i>
      <x v="440"/>
    </i>
    <i>
      <x v="692"/>
    </i>
    <i>
      <x v="442"/>
    </i>
    <i>
      <x v="639"/>
    </i>
    <i>
      <x v="666"/>
    </i>
    <i>
      <x v="424"/>
    </i>
    <i>
      <x v="66"/>
    </i>
    <i>
      <x v="26"/>
    </i>
    <i>
      <x v="856"/>
    </i>
    <i>
      <x v="241"/>
    </i>
    <i>
      <x v="457"/>
    </i>
    <i>
      <x v="498"/>
    </i>
    <i>
      <x v="321"/>
    </i>
    <i>
      <x v="906"/>
    </i>
    <i>
      <x v="425"/>
    </i>
    <i>
      <x v="869"/>
    </i>
    <i>
      <x v="363"/>
    </i>
    <i>
      <x v="47"/>
    </i>
    <i>
      <x v="50"/>
    </i>
    <i>
      <x v="848"/>
    </i>
    <i>
      <x v="8"/>
    </i>
    <i>
      <x v="388"/>
    </i>
    <i>
      <x v="512"/>
    </i>
    <i>
      <x v="880"/>
    </i>
    <i>
      <x v="381"/>
    </i>
    <i>
      <x v="148"/>
    </i>
    <i>
      <x v="567"/>
    </i>
    <i>
      <x v="928"/>
    </i>
    <i>
      <x v="502"/>
    </i>
    <i>
      <x v="385"/>
    </i>
    <i>
      <x v="828"/>
    </i>
    <i>
      <x v="476"/>
    </i>
    <i>
      <x v="329"/>
    </i>
    <i>
      <x v="401"/>
    </i>
    <i>
      <x v="609"/>
    </i>
    <i>
      <x v="416"/>
    </i>
    <i>
      <x v="344"/>
    </i>
    <i>
      <x v="650"/>
    </i>
    <i>
      <x v="569"/>
    </i>
    <i>
      <x v="359"/>
    </i>
    <i>
      <x v="48"/>
    </i>
    <i>
      <x v="4"/>
    </i>
    <i>
      <x v="146"/>
    </i>
    <i>
      <x v="587"/>
    </i>
    <i>
      <x v="403"/>
    </i>
    <i>
      <x v="124"/>
    </i>
    <i>
      <x v="530"/>
    </i>
    <i>
      <x v="267"/>
    </i>
    <i>
      <x v="706"/>
    </i>
    <i>
      <x v="493"/>
    </i>
    <i>
      <x v="130"/>
    </i>
    <i>
      <x v="646"/>
    </i>
    <i>
      <x v="356"/>
    </i>
    <i>
      <x v="763"/>
    </i>
    <i>
      <x v="420"/>
    </i>
    <i>
      <x v="703"/>
    </i>
    <i>
      <x v="527"/>
    </i>
    <i>
      <x v="349"/>
    </i>
    <i>
      <x v="415"/>
    </i>
    <i>
      <x v="667"/>
    </i>
    <i>
      <x v="366"/>
    </i>
    <i>
      <x v="188"/>
    </i>
    <i>
      <x v="730"/>
    </i>
    <i>
      <x v="472"/>
    </i>
    <i>
      <x v="176"/>
    </i>
    <i>
      <x v="576"/>
    </i>
    <i>
      <x v="351"/>
    </i>
    <i>
      <x v="7"/>
    </i>
    <i>
      <x v="419"/>
    </i>
    <i>
      <x v="325"/>
    </i>
    <i>
      <x v="496"/>
    </i>
    <i>
      <x v="448"/>
    </i>
    <i>
      <x v="208"/>
    </i>
    <i>
      <x v="312"/>
    </i>
    <i>
      <x v="308"/>
    </i>
    <i>
      <x v="729"/>
    </i>
    <i>
      <x v="283"/>
    </i>
    <i>
      <x v="533"/>
    </i>
    <i>
      <x v="850"/>
    </i>
  </rowItems>
  <colItems count="1">
    <i/>
  </colItems>
  <pageFields count="4">
    <pageField fld="0" hier="-1"/>
    <pageField fld="1" hier="-1"/>
    <pageField fld="2" hier="-1"/>
    <pageField fld="3" hier="-1"/>
  </pageFields>
  <dataFields count="1">
    <dataField name="Sum of Points" fld="8" baseField="7" baseItem="338" numFmtId="3"/>
  </dataFields>
  <formats count="27">
    <format dxfId="1212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211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210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209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208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207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206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205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204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203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202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201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200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199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198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197">
      <pivotArea dataOnly="0" labelOnly="1" outline="0" fieldPosition="0">
        <references count="1">
          <reference field="9" count="1">
            <x v="168"/>
          </reference>
        </references>
      </pivotArea>
    </format>
    <format dxfId="1196">
      <pivotArea dataOnly="0" labelOnly="1" outline="0" fieldPosition="0">
        <references count="1">
          <reference field="9" count="1">
            <x v="378"/>
          </reference>
        </references>
      </pivotArea>
    </format>
    <format dxfId="1195">
      <pivotArea dataOnly="0" labelOnly="1" outline="0" fieldPosition="0">
        <references count="1">
          <reference field="9" count="1">
            <x v="705"/>
          </reference>
        </references>
      </pivotArea>
    </format>
    <format dxfId="1194">
      <pivotArea dataOnly="0" labelOnly="1" outline="0" fieldPosition="0">
        <references count="1">
          <reference field="9" count="1">
            <x v="167"/>
          </reference>
        </references>
      </pivotArea>
    </format>
    <format dxfId="1193">
      <pivotArea dataOnly="0" labelOnly="1" outline="0" fieldPosition="0">
        <references count="1">
          <reference field="9" count="1">
            <x v="268"/>
          </reference>
        </references>
      </pivotArea>
    </format>
    <format dxfId="1192">
      <pivotArea dataOnly="0" labelOnly="1" outline="0" fieldPosition="0">
        <references count="1">
          <reference field="9" count="1">
            <x v="635"/>
          </reference>
        </references>
      </pivotArea>
    </format>
    <format dxfId="1191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190">
      <pivotArea dataOnly="0" labelOnly="1" outline="0" fieldPosition="0">
        <references count="1">
          <reference field="9" count="1">
            <x v="538"/>
          </reference>
        </references>
      </pivotArea>
    </format>
    <format dxfId="1189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188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87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86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C6:Z858" firstHeaderRow="1" firstDataRow="2" firstDataCol="1" rowPageCount="3" colPageCount="1"/>
  <pivotFields count="10">
    <pivotField axis="axisCol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2"/>
        <item x="17"/>
        <item x="18"/>
        <item x="19"/>
        <item x="20"/>
        <item x="21"/>
        <item t="default"/>
      </items>
    </pivotField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51">
    <i>
      <x v="746"/>
    </i>
    <i>
      <x v="581"/>
    </i>
    <i>
      <x v="635"/>
    </i>
    <i>
      <x v="573"/>
    </i>
    <i>
      <x v="139"/>
    </i>
    <i>
      <x v="589"/>
    </i>
    <i>
      <x v="599"/>
    </i>
    <i>
      <x v="378"/>
    </i>
    <i>
      <x v="169"/>
    </i>
    <i>
      <x v="183"/>
    </i>
    <i>
      <x v="407"/>
    </i>
    <i>
      <x v="400"/>
    </i>
    <i>
      <x v="500"/>
    </i>
    <i>
      <x v="172"/>
    </i>
    <i>
      <x v="108"/>
    </i>
    <i>
      <x v="524"/>
    </i>
    <i>
      <x v="374"/>
    </i>
    <i>
      <x v="167"/>
    </i>
    <i>
      <x v="133"/>
    </i>
    <i>
      <x v="63"/>
    </i>
    <i>
      <x v="110"/>
    </i>
    <i>
      <x v="168"/>
    </i>
    <i>
      <x v="508"/>
    </i>
    <i>
      <x v="289"/>
    </i>
    <i>
      <x v="42"/>
    </i>
    <i>
      <x v="719"/>
    </i>
    <i>
      <x v="514"/>
    </i>
    <i>
      <x v="552"/>
    </i>
    <i>
      <x v="531"/>
    </i>
    <i>
      <x v="604"/>
    </i>
    <i>
      <x v="580"/>
    </i>
    <i>
      <x v="268"/>
    </i>
    <i>
      <x v="647"/>
    </i>
    <i>
      <x v="206"/>
    </i>
    <i>
      <x v="386"/>
    </i>
    <i>
      <x v="714"/>
    </i>
    <i>
      <x v="101"/>
    </i>
    <i>
      <x v="116"/>
    </i>
    <i>
      <x v="247"/>
    </i>
    <i>
      <x v="463"/>
    </i>
    <i>
      <x v="855"/>
    </i>
    <i>
      <x v="301"/>
    </i>
    <i>
      <x v="556"/>
    </i>
    <i>
      <x v="693"/>
    </i>
    <i>
      <x v="160"/>
    </i>
    <i>
      <x v="154"/>
    </i>
    <i>
      <x v="65"/>
    </i>
    <i>
      <x v="705"/>
    </i>
    <i>
      <x v="676"/>
    </i>
    <i>
      <x v="466"/>
    </i>
    <i>
      <x v="462"/>
    </i>
    <i>
      <x v="369"/>
    </i>
    <i>
      <x v="27"/>
    </i>
    <i>
      <x v="143"/>
    </i>
    <i>
      <x v="454"/>
    </i>
    <i>
      <x v="501"/>
    </i>
    <i>
      <x v="631"/>
    </i>
    <i>
      <x v="545"/>
    </i>
    <i>
      <x v="5"/>
    </i>
    <i>
      <x v="785"/>
    </i>
    <i>
      <x v="538"/>
    </i>
    <i>
      <x v="14"/>
    </i>
    <i>
      <x v="628"/>
    </i>
    <i>
      <x v="672"/>
    </i>
    <i>
      <x v="84"/>
    </i>
    <i>
      <x v="340"/>
    </i>
    <i>
      <x v="574"/>
    </i>
    <i>
      <x v="621"/>
    </i>
    <i>
      <x v="518"/>
    </i>
    <i>
      <x v="370"/>
    </i>
    <i>
      <x v="201"/>
    </i>
    <i>
      <x v="678"/>
    </i>
    <i>
      <x v="759"/>
    </i>
    <i>
      <x v="387"/>
    </i>
    <i>
      <x v="468"/>
    </i>
    <i>
      <x v="542"/>
    </i>
    <i>
      <x v="367"/>
    </i>
    <i>
      <x v="244"/>
    </i>
    <i>
      <x v="60"/>
    </i>
    <i>
      <x v="107"/>
    </i>
    <i>
      <x v="426"/>
    </i>
    <i>
      <x v="157"/>
    </i>
    <i>
      <x v="473"/>
    </i>
    <i>
      <x v="680"/>
    </i>
    <i>
      <x v="19"/>
    </i>
    <i>
      <x v="688"/>
    </i>
    <i>
      <x v="342"/>
    </i>
    <i>
      <x v="319"/>
    </i>
    <i>
      <x v="335"/>
    </i>
    <i>
      <x v="307"/>
    </i>
    <i>
      <x v="25"/>
    </i>
    <i>
      <x v="495"/>
    </i>
    <i>
      <x v="53"/>
    </i>
    <i>
      <x v="810"/>
    </i>
    <i>
      <x v="127"/>
    </i>
    <i>
      <x v="292"/>
    </i>
    <i>
      <x v="477"/>
    </i>
    <i>
      <x v="122"/>
    </i>
    <i>
      <x v="571"/>
    </i>
    <i>
      <x v="123"/>
    </i>
    <i>
      <x v="655"/>
    </i>
    <i>
      <x v="606"/>
    </i>
    <i>
      <x v="409"/>
    </i>
    <i>
      <x v="240"/>
    </i>
    <i>
      <x v="484"/>
    </i>
    <i>
      <x v="611"/>
    </i>
    <i>
      <x v="337"/>
    </i>
    <i>
      <x v="503"/>
    </i>
    <i>
      <x v="264"/>
    </i>
    <i>
      <x v="306"/>
    </i>
    <i>
      <x v="629"/>
    </i>
    <i>
      <x v="73"/>
    </i>
    <i>
      <x v="185"/>
    </i>
    <i>
      <x v="380"/>
    </i>
    <i>
      <x v="641"/>
    </i>
    <i>
      <x v="355"/>
    </i>
    <i>
      <x v="506"/>
    </i>
    <i>
      <x v="668"/>
    </i>
    <i>
      <x v="691"/>
    </i>
    <i>
      <x v="193"/>
    </i>
    <i>
      <x v="320"/>
    </i>
    <i>
      <x v="509"/>
    </i>
    <i>
      <x v="229"/>
    </i>
    <i>
      <x v="447"/>
    </i>
    <i>
      <x v="379"/>
    </i>
    <i>
      <x v="305"/>
    </i>
    <i>
      <x v="566"/>
    </i>
    <i>
      <x v="601"/>
    </i>
    <i>
      <x v="112"/>
    </i>
    <i>
      <x v="443"/>
    </i>
    <i>
      <x v="126"/>
    </i>
    <i>
      <x v="85"/>
    </i>
    <i>
      <x v="72"/>
    </i>
    <i>
      <x v="106"/>
    </i>
    <i>
      <x v="444"/>
    </i>
    <i>
      <x v="847"/>
    </i>
    <i>
      <x v="223"/>
    </i>
    <i>
      <x v="489"/>
    </i>
    <i>
      <x v="393"/>
    </i>
    <i>
      <x v="637"/>
    </i>
    <i>
      <x v="93"/>
    </i>
    <i>
      <x v="36"/>
    </i>
    <i>
      <x v="579"/>
    </i>
    <i>
      <x v="59"/>
    </i>
    <i>
      <x v="821"/>
    </i>
    <i>
      <x v="30"/>
    </i>
    <i>
      <x v="345"/>
    </i>
    <i>
      <x v="215"/>
    </i>
    <i>
      <x v="118"/>
    </i>
    <i>
      <x v="274"/>
    </i>
    <i>
      <x v="44"/>
    </i>
    <i>
      <x v="822"/>
    </i>
    <i>
      <x v="291"/>
    </i>
    <i>
      <x v="532"/>
    </i>
    <i>
      <x v="673"/>
    </i>
    <i>
      <x v="525"/>
    </i>
    <i>
      <x v="362"/>
    </i>
    <i>
      <x v="212"/>
    </i>
    <i>
      <x v="795"/>
    </i>
    <i>
      <x v="434"/>
    </i>
    <i>
      <x v="158"/>
    </i>
    <i>
      <x v="383"/>
    </i>
    <i>
      <x v="34"/>
    </i>
    <i>
      <x v="313"/>
    </i>
    <i>
      <x v="586"/>
    </i>
    <i>
      <x v="553"/>
    </i>
    <i>
      <x v="643"/>
    </i>
    <i>
      <x v="548"/>
    </i>
    <i>
      <x v="192"/>
    </i>
    <i>
      <x v="1"/>
    </i>
    <i>
      <x v="114"/>
    </i>
    <i>
      <x v="554"/>
    </i>
    <i>
      <x v="627"/>
    </i>
    <i>
      <x v="67"/>
    </i>
    <i>
      <x v="725"/>
    </i>
    <i>
      <x v="46"/>
    </i>
    <i>
      <x v="328"/>
    </i>
    <i>
      <x v="29"/>
    </i>
    <i>
      <x v="564"/>
    </i>
    <i>
      <x v="671"/>
    </i>
    <i>
      <x v="783"/>
    </i>
    <i>
      <x v="261"/>
    </i>
    <i>
      <x v="211"/>
    </i>
    <i>
      <x v="338"/>
    </i>
    <i>
      <x v="243"/>
    </i>
    <i>
      <x v="364"/>
    </i>
    <i>
      <x v="550"/>
    </i>
    <i>
      <x v="228"/>
    </i>
    <i>
      <x v="663"/>
    </i>
    <i>
      <x v="346"/>
    </i>
    <i>
      <x v="540"/>
    </i>
    <i>
      <x v="204"/>
    </i>
    <i>
      <x v="199"/>
    </i>
    <i>
      <x v="445"/>
    </i>
    <i>
      <x v="399"/>
    </i>
    <i>
      <x v="396"/>
    </i>
    <i>
      <x v="178"/>
    </i>
    <i>
      <x v="451"/>
    </i>
    <i>
      <x v="640"/>
    </i>
    <i>
      <x v="809"/>
    </i>
    <i>
      <x v="432"/>
    </i>
    <i>
      <x v="35"/>
    </i>
    <i>
      <x v="523"/>
    </i>
    <i>
      <x v="392"/>
    </i>
    <i>
      <x v="61"/>
    </i>
    <i>
      <x v="591"/>
    </i>
    <i>
      <x v="626"/>
    </i>
    <i>
      <x v="565"/>
    </i>
    <i>
      <x v="914"/>
    </i>
    <i>
      <x v="147"/>
    </i>
    <i>
      <x v="488"/>
    </i>
    <i>
      <x v="683"/>
    </i>
    <i>
      <x v="479"/>
    </i>
    <i>
      <x v="721"/>
    </i>
    <i>
      <x v="163"/>
    </i>
    <i>
      <x v="182"/>
    </i>
    <i>
      <x v="68"/>
    </i>
    <i>
      <x v="151"/>
    </i>
    <i>
      <x v="121"/>
    </i>
    <i>
      <x v="255"/>
    </i>
    <i>
      <x v="79"/>
    </i>
    <i>
      <x v="253"/>
    </i>
    <i>
      <x v="164"/>
    </i>
    <i>
      <x v="762"/>
    </i>
    <i>
      <x v="478"/>
    </i>
    <i>
      <x v="625"/>
    </i>
    <i>
      <x v="288"/>
    </i>
    <i>
      <x v="664"/>
    </i>
    <i>
      <x v="9"/>
    </i>
    <i>
      <x v="675"/>
    </i>
    <i>
      <x v="171"/>
    </i>
    <i>
      <x v="165"/>
    </i>
    <i>
      <x v="159"/>
    </i>
    <i>
      <x v="831"/>
    </i>
    <i>
      <x v="125"/>
    </i>
    <i>
      <x v="694"/>
    </i>
    <i>
      <x v="315"/>
    </i>
    <i>
      <x v="324"/>
    </i>
    <i>
      <x v="577"/>
    </i>
    <i>
      <x v="752"/>
    </i>
    <i>
      <x v="612"/>
    </i>
    <i>
      <x v="522"/>
    </i>
    <i>
      <x v="858"/>
    </i>
    <i>
      <x v="682"/>
    </i>
    <i>
      <x v="517"/>
    </i>
    <i>
      <x v="520"/>
    </i>
    <i>
      <x v="239"/>
    </i>
    <i>
      <x v="83"/>
    </i>
    <i>
      <x v="480"/>
    </i>
    <i>
      <x v="788"/>
    </i>
    <i>
      <x v="132"/>
    </i>
    <i>
      <x v="104"/>
    </i>
    <i>
      <x v="219"/>
    </i>
    <i>
      <x v="200"/>
    </i>
    <i>
      <x v="327"/>
    </i>
    <i>
      <x v="309"/>
    </i>
    <i>
      <x v="137"/>
    </i>
    <i>
      <x v="51"/>
    </i>
    <i>
      <x v="280"/>
    </i>
    <i>
      <x v="516"/>
    </i>
    <i>
      <x v="405"/>
    </i>
    <i>
      <x v="91"/>
    </i>
    <i>
      <x v="669"/>
    </i>
    <i>
      <x v="736"/>
    </i>
    <i>
      <x v="866"/>
    </i>
    <i>
      <x v="358"/>
    </i>
    <i>
      <x v="490"/>
    </i>
    <i>
      <x v="731"/>
    </i>
    <i>
      <x v="467"/>
    </i>
    <i>
      <x v="375"/>
    </i>
    <i>
      <x v="209"/>
    </i>
    <i>
      <x v="614"/>
    </i>
    <i>
      <x v="198"/>
    </i>
    <i>
      <x v="257"/>
    </i>
    <i>
      <x v="15"/>
    </i>
    <i>
      <x v="194"/>
    </i>
    <i>
      <x v="594"/>
    </i>
    <i>
      <x v="871"/>
    </i>
    <i>
      <x v="90"/>
    </i>
    <i>
      <x v="210"/>
    </i>
    <i>
      <x v="111"/>
    </i>
    <i>
      <x v="382"/>
    </i>
    <i>
      <x v="412"/>
    </i>
    <i>
      <x v="279"/>
    </i>
    <i>
      <x v="397"/>
    </i>
    <i>
      <x v="180"/>
    </i>
    <i>
      <x v="195"/>
    </i>
    <i>
      <x v="449"/>
    </i>
    <i>
      <x v="702"/>
    </i>
    <i>
      <x v="430"/>
    </i>
    <i>
      <x v="18"/>
    </i>
    <i>
      <x v="174"/>
    </i>
    <i>
      <x v="22"/>
    </i>
    <i>
      <x v="202"/>
    </i>
    <i>
      <x v="43"/>
    </i>
    <i>
      <x v="485"/>
    </i>
    <i>
      <x v="120"/>
    </i>
    <i>
      <x v="883"/>
    </i>
    <i>
      <x v="592"/>
    </i>
    <i>
      <x v="750"/>
    </i>
    <i>
      <x v="233"/>
    </i>
    <i>
      <x v="638"/>
    </i>
    <i>
      <x v="437"/>
    </i>
    <i>
      <x v="64"/>
    </i>
    <i>
      <x v="421"/>
    </i>
    <i>
      <x v="633"/>
    </i>
    <i>
      <x v="526"/>
    </i>
    <i>
      <x v="237"/>
    </i>
    <i>
      <x v="141"/>
    </i>
    <i>
      <x v="777"/>
    </i>
    <i>
      <x v="686"/>
    </i>
    <i>
      <x v="649"/>
    </i>
    <i>
      <x v="657"/>
    </i>
    <i>
      <x v="295"/>
    </i>
    <i>
      <x v="817"/>
    </i>
    <i>
      <x v="757"/>
    </i>
    <i>
      <x v="343"/>
    </i>
    <i>
      <x v="474"/>
    </i>
    <i>
      <x v="710"/>
    </i>
    <i>
      <x v="605"/>
    </i>
    <i>
      <x v="181"/>
    </i>
    <i>
      <x v="497"/>
    </i>
    <i>
      <x v="92"/>
    </i>
    <i>
      <x v="316"/>
    </i>
    <i>
      <x v="433"/>
    </i>
    <i>
      <x v="452"/>
    </i>
    <i>
      <x v="549"/>
    </i>
    <i>
      <x v="630"/>
    </i>
    <i>
      <x v="464"/>
    </i>
    <i>
      <x v="150"/>
    </i>
    <i>
      <x v="711"/>
    </i>
    <i>
      <x v="555"/>
    </i>
    <i>
      <x v="109"/>
    </i>
    <i>
      <x v="505"/>
    </i>
    <i>
      <x v="97"/>
    </i>
    <i>
      <x v="249"/>
    </i>
    <i>
      <x v="86"/>
    </i>
    <i>
      <x v="16"/>
    </i>
    <i>
      <x v="323"/>
    </i>
    <i>
      <x v="642"/>
    </i>
    <i>
      <x v="453"/>
    </i>
    <i>
      <x v="31"/>
    </i>
    <i>
      <x v="248"/>
    </i>
    <i>
      <x v="23"/>
    </i>
    <i>
      <x v="636"/>
    </i>
    <i>
      <x v="754"/>
    </i>
    <i>
      <x v="720"/>
    </i>
    <i>
      <x v="846"/>
    </i>
    <i>
      <x v="348"/>
    </i>
    <i>
      <x v="749"/>
    </i>
    <i>
      <x v="487"/>
    </i>
    <i>
      <x v="226"/>
    </i>
    <i>
      <x v="832"/>
    </i>
    <i>
      <x v="662"/>
    </i>
    <i>
      <x v="458"/>
    </i>
    <i>
      <x v="718"/>
    </i>
    <i>
      <x v="840"/>
    </i>
    <i>
      <x v="276"/>
    </i>
    <i>
      <x v="455"/>
    </i>
    <i>
      <x v="391"/>
    </i>
    <i>
      <x v="256"/>
    </i>
    <i>
      <x v="773"/>
    </i>
    <i>
      <x v="887"/>
    </i>
    <i>
      <x v="406"/>
    </i>
    <i>
      <x v="815"/>
    </i>
    <i>
      <x v="242"/>
    </i>
    <i>
      <x v="634"/>
    </i>
    <i>
      <x v="41"/>
    </i>
    <i>
      <x v="460"/>
    </i>
    <i>
      <x v="899"/>
    </i>
    <i>
      <x v="156"/>
    </i>
    <i>
      <x v="873"/>
    </i>
    <i>
      <x v="790"/>
    </i>
    <i>
      <x v="704"/>
    </i>
    <i>
      <x v="88"/>
    </i>
    <i>
      <x v="911"/>
    </i>
    <i>
      <x v="138"/>
    </i>
    <i>
      <x v="659"/>
    </i>
    <i>
      <x v="318"/>
    </i>
    <i>
      <x v="755"/>
    </i>
    <i>
      <x v="270"/>
    </i>
    <i>
      <x v="207"/>
    </i>
    <i>
      <x v="331"/>
    </i>
    <i>
      <x v="615"/>
    </i>
    <i>
      <x v="161"/>
    </i>
    <i>
      <x v="189"/>
    </i>
    <i>
      <x v="360"/>
    </i>
    <i>
      <x v="339"/>
    </i>
    <i>
      <x v="645"/>
    </i>
    <i>
      <x v="853"/>
    </i>
    <i>
      <x v="354"/>
    </i>
    <i>
      <x v="743"/>
    </i>
    <i>
      <x v="13"/>
    </i>
    <i>
      <x v="722"/>
    </i>
    <i>
      <x v="266"/>
    </i>
    <i>
      <x v="862"/>
    </i>
    <i>
      <x v="884"/>
    </i>
    <i>
      <x v="608"/>
    </i>
    <i>
      <x v="352"/>
    </i>
    <i>
      <x v="95"/>
    </i>
    <i>
      <x v="218"/>
    </i>
    <i>
      <x v="89"/>
    </i>
    <i>
      <x v="332"/>
    </i>
    <i>
      <x v="224"/>
    </i>
    <i>
      <x v="186"/>
    </i>
    <i>
      <x v="54"/>
    </i>
    <i>
      <x v="435"/>
    </i>
    <i>
      <x v="595"/>
    </i>
    <i>
      <x v="806"/>
    </i>
    <i>
      <x v="275"/>
    </i>
    <i>
      <x v="813"/>
    </i>
    <i>
      <x v="823"/>
    </i>
    <i>
      <x v="142"/>
    </i>
    <i>
      <x v="610"/>
    </i>
    <i>
      <x v="135"/>
    </i>
    <i>
      <x v="28"/>
    </i>
    <i>
      <x v="431"/>
    </i>
    <i>
      <x v="271"/>
    </i>
    <i>
      <x v="170"/>
    </i>
    <i>
      <x v="439"/>
    </i>
    <i>
      <x v="20"/>
    </i>
    <i>
      <x v="936"/>
    </i>
    <i>
      <x v="912"/>
    </i>
    <i>
      <x v="293"/>
    </i>
    <i>
      <x v="350"/>
    </i>
    <i>
      <x v="417"/>
    </i>
    <i>
      <x v="475"/>
    </i>
    <i>
      <x v="258"/>
    </i>
    <i>
      <x v="908"/>
    </i>
    <i>
      <x v="859"/>
    </i>
    <i>
      <x v="336"/>
    </i>
    <i>
      <x v="402"/>
    </i>
    <i>
      <x v="166"/>
    </i>
    <i>
      <x v="103"/>
    </i>
    <i>
      <x v="648"/>
    </i>
    <i>
      <x v="728"/>
    </i>
    <i>
      <x v="297"/>
    </i>
    <i>
      <x v="820"/>
    </i>
    <i>
      <x v="203"/>
    </i>
    <i>
      <x v="71"/>
    </i>
    <i>
      <x v="732"/>
    </i>
    <i>
      <x v="81"/>
    </i>
    <i>
      <x v="916"/>
    </i>
    <i>
      <x v="937"/>
    </i>
    <i>
      <x v="658"/>
    </i>
    <i>
      <x v="128"/>
    </i>
    <i>
      <x v="57"/>
    </i>
    <i>
      <x v="624"/>
    </i>
    <i>
      <x v="144"/>
    </i>
    <i>
      <x v="428"/>
    </i>
    <i>
      <x v="129"/>
    </i>
    <i>
      <x v="494"/>
    </i>
    <i>
      <x v="568"/>
    </i>
    <i>
      <x v="910"/>
    </i>
    <i>
      <x v="717"/>
    </i>
    <i>
      <x v="836"/>
    </i>
    <i>
      <x v="486"/>
    </i>
    <i>
      <x v="11"/>
    </i>
    <i>
      <x v="45"/>
    </i>
    <i>
      <x v="82"/>
    </i>
    <i>
      <x v="310"/>
    </i>
    <i>
      <x v="459"/>
    </i>
    <i>
      <x v="441"/>
    </i>
    <i>
      <x v="748"/>
    </i>
    <i>
      <x v="6"/>
    </i>
    <i>
      <x v="52"/>
    </i>
    <i>
      <x v="744"/>
    </i>
    <i>
      <x v="875"/>
    </i>
    <i>
      <x v="776"/>
    </i>
    <i>
      <x v="49"/>
    </i>
    <i>
      <x v="136"/>
    </i>
    <i>
      <x v="841"/>
    </i>
    <i>
      <x v="909"/>
    </i>
    <i>
      <x v="839"/>
    </i>
    <i>
      <x v="521"/>
    </i>
    <i>
      <x v="326"/>
    </i>
    <i>
      <x v="330"/>
    </i>
    <i>
      <x v="543"/>
    </i>
    <i>
      <x v="677"/>
    </i>
    <i>
      <x v="220"/>
    </i>
    <i>
      <x v="217"/>
    </i>
    <i>
      <x v="689"/>
    </i>
    <i>
      <x v="411"/>
    </i>
    <i>
      <x v="145"/>
    </i>
    <i>
      <x v="286"/>
    </i>
    <i>
      <x v="898"/>
    </i>
    <i>
      <x v="583"/>
    </i>
    <i>
      <x v="558"/>
    </i>
    <i>
      <x v="685"/>
    </i>
    <i>
      <x v="557"/>
    </i>
    <i>
      <x v="696"/>
    </i>
    <i>
      <x v="499"/>
    </i>
    <i>
      <x v="845"/>
    </i>
    <i>
      <x v="390"/>
    </i>
    <i>
      <x v="919"/>
    </i>
    <i>
      <x v="423"/>
    </i>
    <i>
      <x v="278"/>
    </i>
    <i>
      <x v="152"/>
    </i>
    <i>
      <x v="333"/>
    </i>
    <i>
      <x v="723"/>
    </i>
    <i>
      <x v="807"/>
    </i>
    <i>
      <x v="461"/>
    </i>
    <i>
      <x v="234"/>
    </i>
    <i>
      <x v="269"/>
    </i>
    <i>
      <x v="733"/>
    </i>
    <i>
      <x v="404"/>
    </i>
    <i>
      <x v="263"/>
    </i>
    <i>
      <x v="885"/>
    </i>
    <i>
      <x v="70"/>
    </i>
    <i>
      <x v="684"/>
    </i>
    <i>
      <x v="287"/>
    </i>
    <i>
      <x v="353"/>
    </i>
    <i>
      <x v="32"/>
    </i>
    <i>
      <x v="537"/>
    </i>
    <i>
      <x v="98"/>
    </i>
    <i>
      <x v="772"/>
    </i>
    <i>
      <x v="811"/>
    </i>
    <i>
      <x v="102"/>
    </i>
    <i>
      <x v="119"/>
    </i>
    <i>
      <x v="436"/>
    </i>
    <i>
      <x v="927"/>
    </i>
    <i>
      <x v="471"/>
    </i>
    <i>
      <x v="632"/>
    </i>
    <i>
      <x v="481"/>
    </i>
    <i>
      <x v="113"/>
    </i>
    <i>
      <x v="281"/>
    </i>
    <i>
      <x v="131"/>
    </i>
    <i>
      <x v="227"/>
    </i>
    <i>
      <x v="149"/>
    </i>
    <i>
      <x v="596"/>
    </i>
    <i>
      <x v="510"/>
    </i>
    <i>
      <x v="598"/>
    </i>
    <i>
      <x v="690"/>
    </i>
    <i>
      <x v="173"/>
    </i>
    <i>
      <x v="300"/>
    </i>
    <i>
      <x v="756"/>
    </i>
    <i>
      <x v="654"/>
    </i>
    <i>
      <x v="535"/>
    </i>
    <i>
      <x v="622"/>
    </i>
    <i>
      <x v="619"/>
    </i>
    <i>
      <x v="504"/>
    </i>
    <i>
      <x v="12"/>
    </i>
    <i>
      <x v="395"/>
    </i>
    <i>
      <x v="245"/>
    </i>
    <i>
      <x v="870"/>
    </i>
    <i>
      <x v="265"/>
    </i>
    <i>
      <x v="616"/>
    </i>
    <i>
      <x v="921"/>
    </i>
    <i>
      <x v="913"/>
    </i>
    <i>
      <x v="2"/>
    </i>
    <i>
      <x v="511"/>
    </i>
    <i>
      <x v="418"/>
    </i>
    <i>
      <x v="882"/>
    </i>
    <i>
      <x v="602"/>
    </i>
    <i>
      <x v="115"/>
    </i>
    <i>
      <x v="835"/>
    </i>
    <i>
      <x v="74"/>
    </i>
    <i>
      <x v="394"/>
    </i>
    <i>
      <x v="446"/>
    </i>
    <i>
      <x v="917"/>
    </i>
    <i>
      <x v="803"/>
    </i>
    <i>
      <x v="513"/>
    </i>
    <i>
      <x v="796"/>
    </i>
    <i>
      <x v="80"/>
    </i>
    <i>
      <x v="709"/>
    </i>
    <i>
      <x v="250"/>
    </i>
    <i>
      <x v="793"/>
    </i>
    <i>
      <x v="801"/>
    </i>
    <i>
      <x v="450"/>
    </i>
    <i>
      <x v="816"/>
    </i>
    <i>
      <x v="389"/>
    </i>
    <i>
      <x v="302"/>
    </i>
    <i>
      <x v="184"/>
    </i>
    <i>
      <x v="361"/>
    </i>
    <i>
      <x v="117"/>
    </i>
    <i>
      <x v="235"/>
    </i>
    <i>
      <x v="617"/>
    </i>
    <i>
      <x v="597"/>
    </i>
    <i>
      <x v="590"/>
    </i>
    <i>
      <x v="285"/>
    </i>
    <i>
      <x v="915"/>
    </i>
    <i>
      <x v="670"/>
    </i>
    <i>
      <x v="876"/>
    </i>
    <i>
      <x v="536"/>
    </i>
    <i>
      <x v="290"/>
    </i>
    <i>
      <x v="519"/>
    </i>
    <i>
      <x v="814"/>
    </i>
    <i>
      <x v="429"/>
    </i>
    <i>
      <x v="225"/>
    </i>
    <i>
      <x v="153"/>
    </i>
    <i>
      <x v="10"/>
    </i>
    <i>
      <x v="559"/>
    </i>
    <i>
      <x v="222"/>
    </i>
    <i>
      <x v="707"/>
    </i>
    <i>
      <x v="695"/>
    </i>
    <i>
      <x v="660"/>
    </i>
    <i>
      <x v="562"/>
    </i>
    <i>
      <x v="679"/>
    </i>
    <i>
      <x v="100"/>
    </i>
    <i>
      <x v="296"/>
    </i>
    <i>
      <x v="177"/>
    </i>
    <i>
      <x v="284"/>
    </i>
    <i>
      <x v="872"/>
    </i>
    <i>
      <x v="561"/>
    </i>
    <i>
      <x v="585"/>
    </i>
    <i>
      <x v="922"/>
    </i>
    <i>
      <x v="78"/>
    </i>
    <i>
      <x v="75"/>
    </i>
    <i>
      <x v="708"/>
    </i>
    <i>
      <x v="572"/>
    </i>
    <i>
      <x v="849"/>
    </i>
    <i>
      <x v="833"/>
    </i>
    <i>
      <x v="878"/>
    </i>
    <i>
      <x v="877"/>
    </i>
    <i>
      <x v="904"/>
    </i>
    <i>
      <x v="745"/>
    </i>
    <i>
      <x v="365"/>
    </i>
    <i>
      <x v="865"/>
    </i>
    <i>
      <x v="483"/>
    </i>
    <i>
      <x v="55"/>
    </i>
    <i>
      <x v="37"/>
    </i>
    <i>
      <x v="697"/>
    </i>
    <i>
      <x v="282"/>
    </i>
    <i>
      <x v="21"/>
    </i>
    <i>
      <x v="155"/>
    </i>
    <i>
      <x v="923"/>
    </i>
    <i>
      <x v="438"/>
    </i>
    <i>
      <x v="371"/>
    </i>
    <i>
      <x v="314"/>
    </i>
    <i>
      <x v="191"/>
    </i>
    <i>
      <x v="408"/>
    </i>
    <i>
      <x v="753"/>
    </i>
    <i>
      <x v="377"/>
    </i>
    <i>
      <x v="819"/>
    </i>
    <i>
      <x v="3"/>
    </i>
    <i>
      <x v="607"/>
    </i>
    <i>
      <x v="96"/>
    </i>
    <i>
      <x v="482"/>
    </i>
    <i>
      <x v="69"/>
    </i>
    <i>
      <x v="262"/>
    </i>
    <i>
      <x v="818"/>
    </i>
    <i>
      <x v="560"/>
    </i>
    <i>
      <x v="771"/>
    </i>
    <i>
      <x v="252"/>
    </i>
    <i>
      <x v="39"/>
    </i>
    <i>
      <x v="563"/>
    </i>
    <i>
      <x v="87"/>
    </i>
    <i>
      <x v="551"/>
    </i>
    <i>
      <x v="861"/>
    </i>
    <i>
      <x v="857"/>
    </i>
    <i>
      <x v="930"/>
    </i>
    <i>
      <x v="812"/>
    </i>
    <i>
      <x v="837"/>
    </i>
    <i>
      <x v="905"/>
    </i>
    <i>
      <x v="197"/>
    </i>
    <i>
      <x v="298"/>
    </i>
    <i>
      <x v="902"/>
    </i>
    <i>
      <x v="681"/>
    </i>
    <i>
      <x v="62"/>
    </i>
    <i>
      <x v="547"/>
    </i>
    <i>
      <x v="674"/>
    </i>
    <i>
      <x v="134"/>
    </i>
    <i>
      <x v="539"/>
    </i>
    <i>
      <x v="58"/>
    </i>
    <i>
      <x v="230"/>
    </i>
    <i>
      <x v="317"/>
    </i>
    <i>
      <x v="933"/>
    </i>
    <i>
      <x v="294"/>
    </i>
    <i>
      <x v="422"/>
    </i>
    <i>
      <x v="886"/>
    </i>
    <i>
      <x v="376"/>
    </i>
    <i>
      <x v="760"/>
    </i>
    <i>
      <x v="528"/>
    </i>
    <i>
      <x v="787"/>
    </i>
    <i>
      <x v="896"/>
    </i>
    <i>
      <x v="529"/>
    </i>
    <i>
      <x v="221"/>
    </i>
    <i>
      <x v="190"/>
    </i>
    <i>
      <x v="534"/>
    </i>
    <i>
      <x v="907"/>
    </i>
    <i>
      <x v="246"/>
    </i>
    <i>
      <x v="767"/>
    </i>
    <i>
      <x v="727"/>
    </i>
    <i>
      <x v="372"/>
    </i>
    <i>
      <x v="94"/>
    </i>
    <i>
      <x v="231"/>
    </i>
    <i>
      <x v="900"/>
    </i>
    <i>
      <x v="903"/>
    </i>
    <i>
      <x v="357"/>
    </i>
    <i>
      <x v="347"/>
    </i>
    <i>
      <x v="600"/>
    </i>
    <i>
      <x v="205"/>
    </i>
    <i>
      <x v="216"/>
    </i>
    <i>
      <x v="665"/>
    </i>
    <i>
      <x v="303"/>
    </i>
    <i>
      <x v="105"/>
    </i>
    <i>
      <x v="238"/>
    </i>
    <i>
      <x v="603"/>
    </i>
    <i>
      <x v="570"/>
    </i>
    <i>
      <x v="715"/>
    </i>
    <i>
      <x v="797"/>
    </i>
    <i>
      <x v="768"/>
    </i>
    <i>
      <x v="232"/>
    </i>
    <i>
      <x v="890"/>
    </i>
    <i>
      <x v="800"/>
    </i>
    <i>
      <x v="844"/>
    </i>
    <i>
      <x v="56"/>
    </i>
    <i>
      <x v="322"/>
    </i>
    <i>
      <x v="515"/>
    </i>
    <i>
      <x v="613"/>
    </i>
    <i>
      <x v="398"/>
    </i>
    <i>
      <x v="334"/>
    </i>
    <i>
      <x v="808"/>
    </i>
    <i>
      <x v="33"/>
    </i>
    <i>
      <x v="299"/>
    </i>
    <i>
      <x v="769"/>
    </i>
    <i>
      <x v="546"/>
    </i>
    <i>
      <x v="926"/>
    </i>
    <i>
      <x v="38"/>
    </i>
    <i>
      <x v="786"/>
    </i>
    <i>
      <x v="779"/>
    </i>
    <i>
      <x v="758"/>
    </i>
    <i>
      <x v="259"/>
    </i>
    <i>
      <x v="584"/>
    </i>
    <i>
      <x v="582"/>
    </i>
    <i>
      <x v="272"/>
    </i>
    <i>
      <x v="368"/>
    </i>
    <i>
      <x v="751"/>
    </i>
    <i>
      <x v="867"/>
    </i>
    <i>
      <x v="620"/>
    </i>
    <i>
      <x v="829"/>
    </i>
    <i>
      <x v="254"/>
    </i>
    <i>
      <x v="99"/>
    </i>
    <i>
      <x v="827"/>
    </i>
    <i>
      <x v="893"/>
    </i>
    <i>
      <x v="575"/>
    </i>
    <i>
      <x v="76"/>
    </i>
    <i>
      <x v="277"/>
    </i>
    <i>
      <x v="931"/>
    </i>
    <i>
      <x v="888"/>
    </i>
    <i>
      <x v="24"/>
    </i>
    <i>
      <x v="40"/>
    </i>
    <i>
      <x v="891"/>
    </i>
    <i>
      <x v="925"/>
    </i>
    <i>
      <x v="465"/>
    </i>
    <i>
      <x v="470"/>
    </i>
    <i>
      <x v="863"/>
    </i>
    <i>
      <x v="842"/>
    </i>
    <i>
      <x v="77"/>
    </i>
    <i>
      <x v="874"/>
    </i>
    <i>
      <x v="830"/>
    </i>
    <i>
      <x v="739"/>
    </i>
    <i>
      <x v="932"/>
    </i>
    <i>
      <x v="901"/>
    </i>
    <i>
      <x v="273"/>
    </i>
    <i>
      <x v="623"/>
    </i>
    <i>
      <x v="934"/>
    </i>
    <i>
      <x v="469"/>
    </i>
    <i>
      <x v="843"/>
    </i>
    <i>
      <x v="17"/>
    </i>
    <i>
      <x v="213"/>
    </i>
    <i>
      <x v="804"/>
    </i>
    <i>
      <x v="868"/>
    </i>
    <i>
      <x v="311"/>
    </i>
    <i>
      <x v="251"/>
    </i>
    <i>
      <x v="892"/>
    </i>
    <i>
      <x v="187"/>
    </i>
    <i>
      <x v="651"/>
    </i>
    <i>
      <x v="656"/>
    </i>
    <i>
      <x v="196"/>
    </i>
    <i>
      <x v="918"/>
    </i>
    <i>
      <x v="491"/>
    </i>
    <i>
      <x v="492"/>
    </i>
    <i>
      <x v="440"/>
    </i>
    <i>
      <x v="692"/>
    </i>
    <i>
      <x v="442"/>
    </i>
    <i>
      <x v="639"/>
    </i>
    <i>
      <x v="666"/>
    </i>
    <i>
      <x v="424"/>
    </i>
    <i>
      <x v="66"/>
    </i>
    <i>
      <x v="26"/>
    </i>
    <i>
      <x v="856"/>
    </i>
    <i>
      <x v="241"/>
    </i>
    <i>
      <x v="457"/>
    </i>
    <i>
      <x v="498"/>
    </i>
    <i>
      <x v="321"/>
    </i>
    <i>
      <x v="906"/>
    </i>
    <i>
      <x v="425"/>
    </i>
    <i>
      <x v="869"/>
    </i>
    <i>
      <x v="363"/>
    </i>
    <i>
      <x v="47"/>
    </i>
    <i>
      <x v="50"/>
    </i>
    <i>
      <x v="848"/>
    </i>
    <i>
      <x v="8"/>
    </i>
    <i>
      <x v="388"/>
    </i>
    <i>
      <x v="512"/>
    </i>
    <i>
      <x v="880"/>
    </i>
    <i>
      <x v="381"/>
    </i>
    <i>
      <x v="148"/>
    </i>
    <i>
      <x v="567"/>
    </i>
    <i>
      <x v="928"/>
    </i>
    <i>
      <x v="502"/>
    </i>
    <i>
      <x v="385"/>
    </i>
    <i>
      <x v="828"/>
    </i>
    <i>
      <x v="476"/>
    </i>
    <i>
      <x v="329"/>
    </i>
    <i>
      <x v="401"/>
    </i>
    <i>
      <x v="609"/>
    </i>
    <i>
      <x v="416"/>
    </i>
    <i>
      <x v="344"/>
    </i>
    <i>
      <x v="650"/>
    </i>
    <i>
      <x v="569"/>
    </i>
    <i>
      <x v="359"/>
    </i>
    <i>
      <x v="48"/>
    </i>
    <i>
      <x v="4"/>
    </i>
    <i>
      <x v="146"/>
    </i>
    <i>
      <x v="587"/>
    </i>
    <i>
      <x v="403"/>
    </i>
    <i>
      <x v="124"/>
    </i>
    <i>
      <x v="530"/>
    </i>
    <i>
      <x v="267"/>
    </i>
    <i>
      <x v="706"/>
    </i>
    <i>
      <x v="493"/>
    </i>
    <i>
      <x v="130"/>
    </i>
    <i>
      <x v="646"/>
    </i>
    <i>
      <x v="356"/>
    </i>
    <i>
      <x v="763"/>
    </i>
    <i>
      <x v="420"/>
    </i>
    <i>
      <x v="703"/>
    </i>
    <i>
      <x v="527"/>
    </i>
    <i>
      <x v="349"/>
    </i>
    <i>
      <x v="415"/>
    </i>
    <i>
      <x v="667"/>
    </i>
    <i>
      <x v="366"/>
    </i>
    <i>
      <x v="188"/>
    </i>
    <i>
      <x v="730"/>
    </i>
    <i>
      <x v="472"/>
    </i>
    <i>
      <x v="176"/>
    </i>
    <i>
      <x v="576"/>
    </i>
    <i>
      <x v="351"/>
    </i>
    <i>
      <x v="7"/>
    </i>
    <i>
      <x v="419"/>
    </i>
    <i>
      <x v="325"/>
    </i>
    <i>
      <x v="496"/>
    </i>
    <i>
      <x v="448"/>
    </i>
    <i>
      <x v="208"/>
    </i>
    <i>
      <x v="312"/>
    </i>
    <i>
      <x v="308"/>
    </i>
    <i>
      <x v="729"/>
    </i>
    <i>
      <x v="283"/>
    </i>
    <i>
      <x v="533"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 t="grand">
      <x/>
    </i>
  </colItems>
  <pageFields count="3">
    <pageField fld="1" hier="-1"/>
    <pageField fld="2" hier="-1"/>
    <pageField fld="3" hier="-1"/>
  </pageFields>
  <dataFields count="1">
    <dataField name="Sum of Points" fld="8" baseField="7" baseItem="338" numFmtId="3"/>
  </dataFields>
  <formats count="31">
    <format dxfId="1243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242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241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240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239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238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237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236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235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234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233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232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231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230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229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228">
      <pivotArea dataOnly="0" labelOnly="1" outline="0" fieldPosition="0">
        <references count="1">
          <reference field="9" count="1">
            <x v="168"/>
          </reference>
        </references>
      </pivotArea>
    </format>
    <format dxfId="1227">
      <pivotArea dataOnly="0" labelOnly="1" outline="0" fieldPosition="0">
        <references count="1">
          <reference field="9" count="1">
            <x v="378"/>
          </reference>
        </references>
      </pivotArea>
    </format>
    <format dxfId="1226">
      <pivotArea dataOnly="0" labelOnly="1" outline="0" fieldPosition="0">
        <references count="1">
          <reference field="9" count="1">
            <x v="705"/>
          </reference>
        </references>
      </pivotArea>
    </format>
    <format dxfId="1225">
      <pivotArea dataOnly="0" labelOnly="1" outline="0" fieldPosition="0">
        <references count="1">
          <reference field="9" count="1">
            <x v="167"/>
          </reference>
        </references>
      </pivotArea>
    </format>
    <format dxfId="1224">
      <pivotArea dataOnly="0" labelOnly="1" outline="0" fieldPosition="0">
        <references count="1">
          <reference field="9" count="1">
            <x v="268"/>
          </reference>
        </references>
      </pivotArea>
    </format>
    <format dxfId="1223">
      <pivotArea dataOnly="0" labelOnly="1" outline="0" fieldPosition="0">
        <references count="1">
          <reference field="9" count="1">
            <x v="635"/>
          </reference>
        </references>
      </pivotArea>
    </format>
    <format dxfId="1222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221">
      <pivotArea dataOnly="0" labelOnly="1" outline="0" fieldPosition="0">
        <references count="1">
          <reference field="9" count="1">
            <x v="538"/>
          </reference>
        </references>
      </pivotArea>
    </format>
    <format dxfId="1220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219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218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217">
      <pivotArea type="origin" dataOnly="0" labelOnly="1" outline="0" fieldPosition="0"/>
    </format>
    <format dxfId="1216">
      <pivotArea outline="0" fieldPosition="0">
        <references count="2">
          <reference field="0" count="1" selected="0">
            <x v="16"/>
          </reference>
          <reference field="9" count="1" selected="0">
            <x v="635"/>
          </reference>
        </references>
      </pivotArea>
    </format>
    <format dxfId="1215">
      <pivotArea outline="0" fieldPosition="0">
        <references count="2">
          <reference field="0" count="1" selected="0">
            <x v="18"/>
          </reference>
          <reference field="9" count="1" selected="0">
            <x v="746"/>
          </reference>
        </references>
      </pivotArea>
    </format>
    <format dxfId="1214">
      <pivotArea outline="0" fieldPosition="0">
        <references count="2">
          <reference field="0" count="1" selected="0">
            <x v="20"/>
          </reference>
          <reference field="9" count="1" selected="0">
            <x v="635"/>
          </reference>
        </references>
      </pivotArea>
    </format>
    <format dxfId="1213">
      <pivotArea outline="0" fieldPosition="0">
        <references count="2">
          <reference field="0" count="1" selected="0">
            <x v="21"/>
          </reference>
          <reference field="9" count="1" selected="0">
            <x v="746"/>
          </reference>
        </references>
      </pivotArea>
    </format>
  </formats>
  <conditionalFormats count="8">
    <conditionalFormat priority="1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2"/>
            </reference>
            <reference field="9" count="1" selected="0">
              <x v="143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8"/>
            </reference>
            <reference field="9" count="1" selected="0">
              <x v="746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6"/>
            </reference>
            <reference field="9" count="1" selected="0">
              <x v="635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5"/>
            </reference>
            <reference field="9" count="1" selected="0">
              <x v="635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0" count="15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9"/>
            </reference>
            <reference field="9" count="1" selected="0">
              <x v="183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0"/>
            </reference>
            <reference field="9" count="1" selected="0">
              <x v="635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21"/>
            </reference>
            <reference field="9" count="1" selected="0">
              <x v="74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AN6:AO859" firstHeaderRow="2" firstDataRow="2" firstDataCol="1" rowPageCount="4" colPageCount="1"/>
  <pivotFields count="10">
    <pivotField axis="axisPage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1"/>
        <item t="default"/>
      </items>
    </pivotField>
    <pivotField axis="axisPage" compact="0" outline="0" multipleItemSelectionAllowed="1" showAll="0">
      <items count="12">
        <item x="0"/>
        <item x="1"/>
        <item x="6"/>
        <item x="2"/>
        <item m="1" x="10"/>
        <item x="3"/>
        <item x="4"/>
        <item x="5"/>
        <item x="7"/>
        <item x="9"/>
        <item x="8"/>
        <item t="default"/>
      </items>
    </pivotField>
    <pivotField axis="axisPage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852">
    <i>
      <x v="746"/>
    </i>
    <i>
      <x v="635"/>
    </i>
    <i>
      <x v="581"/>
    </i>
    <i>
      <x v="139"/>
    </i>
    <i>
      <x v="573"/>
    </i>
    <i>
      <x v="599"/>
    </i>
    <i>
      <x v="589"/>
    </i>
    <i>
      <x v="378"/>
    </i>
    <i>
      <x v="524"/>
    </i>
    <i>
      <x v="407"/>
    </i>
    <i>
      <x v="42"/>
    </i>
    <i>
      <x v="172"/>
    </i>
    <i>
      <x v="168"/>
    </i>
    <i>
      <x v="183"/>
    </i>
    <i>
      <x v="374"/>
    </i>
    <i>
      <x v="400"/>
    </i>
    <i>
      <x v="169"/>
    </i>
    <i>
      <x v="552"/>
    </i>
    <i>
      <x v="500"/>
    </i>
    <i>
      <x v="289"/>
    </i>
    <i>
      <x v="101"/>
    </i>
    <i>
      <x v="110"/>
    </i>
    <i>
      <x v="714"/>
    </i>
    <i>
      <x v="508"/>
    </i>
    <i>
      <x v="108"/>
    </i>
    <i>
      <x v="133"/>
    </i>
    <i>
      <x v="167"/>
    </i>
    <i>
      <x v="63"/>
    </i>
    <i>
      <x v="462"/>
    </i>
    <i>
      <x v="514"/>
    </i>
    <i>
      <x v="719"/>
    </i>
    <i>
      <x v="604"/>
    </i>
    <i>
      <x v="386"/>
    </i>
    <i>
      <x v="206"/>
    </i>
    <i>
      <x v="647"/>
    </i>
    <i>
      <x v="531"/>
    </i>
    <i>
      <x v="580"/>
    </i>
    <i>
      <x v="268"/>
    </i>
    <i>
      <x v="14"/>
    </i>
    <i>
      <x v="116"/>
    </i>
    <i>
      <x v="855"/>
    </i>
    <i>
      <x v="631"/>
    </i>
    <i>
      <x v="693"/>
    </i>
    <i>
      <x v="705"/>
    </i>
    <i>
      <x v="154"/>
    </i>
    <i>
      <x v="160"/>
    </i>
    <i>
      <x v="676"/>
    </i>
    <i>
      <x v="466"/>
    </i>
    <i>
      <x v="301"/>
    </i>
    <i>
      <x v="65"/>
    </i>
    <i>
      <x v="672"/>
    </i>
    <i>
      <x v="501"/>
    </i>
    <i>
      <x v="369"/>
    </i>
    <i>
      <x v="574"/>
    </i>
    <i>
      <x v="247"/>
    </i>
    <i>
      <x v="785"/>
    </i>
    <i>
      <x v="628"/>
    </i>
    <i>
      <x v="556"/>
    </i>
    <i>
      <x v="518"/>
    </i>
    <i>
      <x v="463"/>
    </i>
    <i>
      <x v="454"/>
    </i>
    <i>
      <x v="5"/>
    </i>
    <i>
      <x v="84"/>
    </i>
    <i>
      <x v="621"/>
    </i>
    <i>
      <x v="340"/>
    </i>
    <i>
      <x v="538"/>
    </i>
    <i>
      <x v="426"/>
    </i>
    <i>
      <x v="27"/>
    </i>
    <i>
      <x v="143"/>
    </i>
    <i>
      <x v="688"/>
    </i>
    <i>
      <x v="545"/>
    </i>
    <i>
      <x v="484"/>
    </i>
    <i>
      <x v="305"/>
    </i>
    <i>
      <x v="367"/>
    </i>
    <i>
      <x v="468"/>
    </i>
    <i>
      <x v="53"/>
    </i>
    <i>
      <x v="678"/>
    </i>
    <i>
      <x v="655"/>
    </i>
    <i>
      <x v="370"/>
    </i>
    <i>
      <x v="473"/>
    </i>
    <i>
      <x v="229"/>
    </i>
    <i>
      <x v="292"/>
    </i>
    <i>
      <x v="335"/>
    </i>
    <i>
      <x v="542"/>
    </i>
    <i>
      <x v="319"/>
    </i>
    <i>
      <x v="157"/>
    </i>
    <i>
      <x v="112"/>
    </i>
    <i>
      <x v="264"/>
    </i>
    <i>
      <x v="60"/>
    </i>
    <i>
      <x v="107"/>
    </i>
    <i>
      <x v="244"/>
    </i>
    <i>
      <x v="759"/>
    </i>
    <i>
      <x v="680"/>
    </i>
    <i>
      <x v="810"/>
    </i>
    <i>
      <x v="362"/>
    </i>
    <i>
      <x v="409"/>
    </i>
    <i>
      <x v="342"/>
    </i>
    <i>
      <x v="477"/>
    </i>
    <i>
      <x v="306"/>
    </i>
    <i>
      <x v="387"/>
    </i>
    <i>
      <x v="307"/>
    </i>
    <i>
      <x v="509"/>
    </i>
    <i>
      <x v="320"/>
    </i>
    <i>
      <x v="291"/>
    </i>
    <i>
      <x v="201"/>
    </i>
    <i>
      <x v="19"/>
    </i>
    <i>
      <x v="601"/>
    </i>
    <i>
      <x v="641"/>
    </i>
    <i>
      <x v="611"/>
    </i>
    <i>
      <x v="571"/>
    </i>
    <i>
      <x v="503"/>
    </i>
    <i>
      <x v="506"/>
    </i>
    <i>
      <x v="495"/>
    </i>
    <i>
      <x v="380"/>
    </i>
    <i>
      <x v="525"/>
    </i>
    <i>
      <x v="443"/>
    </i>
    <i>
      <x v="85"/>
    </i>
    <i>
      <x v="193"/>
    </i>
    <i>
      <x v="122"/>
    </i>
    <i>
      <x v="127"/>
    </i>
    <i>
      <x v="123"/>
    </i>
    <i>
      <x v="671"/>
    </i>
    <i>
      <x v="606"/>
    </i>
    <i>
      <x v="629"/>
    </i>
    <i>
      <x v="691"/>
    </i>
    <i>
      <x v="379"/>
    </i>
    <i>
      <x v="315"/>
    </i>
    <i>
      <x v="313"/>
    </i>
    <i>
      <x v="540"/>
    </i>
    <i>
      <x v="345"/>
    </i>
    <i>
      <x v="392"/>
    </i>
    <i>
      <x v="355"/>
    </i>
    <i>
      <x v="579"/>
    </i>
    <i>
      <x v="337"/>
    </i>
    <i>
      <x v="447"/>
    </i>
    <i>
      <x v="451"/>
    </i>
    <i>
      <x v="444"/>
    </i>
    <i>
      <x v="185"/>
    </i>
    <i>
      <x v="25"/>
    </i>
    <i>
      <x v="240"/>
    </i>
    <i>
      <x v="106"/>
    </i>
    <i>
      <x v="158"/>
    </i>
    <i>
      <x v="35"/>
    </i>
    <i>
      <x v="212"/>
    </i>
    <i>
      <x v="36"/>
    </i>
    <i>
      <x v="73"/>
    </i>
    <i>
      <x v="795"/>
    </i>
    <i>
      <x v="822"/>
    </i>
    <i>
      <x v="821"/>
    </i>
    <i>
      <x v="725"/>
    </i>
    <i>
      <x v="847"/>
    </i>
    <i>
      <x v="627"/>
    </i>
    <i>
      <x v="668"/>
    </i>
    <i>
      <x v="554"/>
    </i>
    <i>
      <x v="383"/>
    </i>
    <i>
      <x v="566"/>
    </i>
    <i>
      <x v="449"/>
    </i>
    <i>
      <x v="532"/>
    </i>
    <i>
      <x v="489"/>
    </i>
    <i>
      <x v="564"/>
    </i>
    <i>
      <x v="328"/>
    </i>
    <i>
      <x v="118"/>
    </i>
    <i>
      <x v="9"/>
    </i>
    <i>
      <x v="223"/>
    </i>
    <i>
      <x v="30"/>
    </i>
    <i>
      <x v="121"/>
    </i>
    <i>
      <x v="79"/>
    </i>
    <i>
      <x v="44"/>
    </i>
    <i>
      <x v="93"/>
    </i>
    <i>
      <x v="682"/>
    </i>
    <i>
      <x v="809"/>
    </i>
    <i>
      <x v="637"/>
    </i>
    <i>
      <x v="643"/>
    </i>
    <i>
      <x v="662"/>
    </i>
    <i>
      <x v="673"/>
    </i>
    <i>
      <x v="553"/>
    </i>
    <i>
      <x v="549"/>
    </i>
    <i>
      <x v="346"/>
    </i>
    <i>
      <x v="364"/>
    </i>
    <i>
      <x v="393"/>
    </i>
    <i>
      <x v="382"/>
    </i>
    <i>
      <x v="586"/>
    </i>
    <i>
      <x v="479"/>
    </i>
    <i>
      <x v="445"/>
    </i>
    <i>
      <x v="399"/>
    </i>
    <i>
      <x v="253"/>
    </i>
    <i>
      <x v="233"/>
    </i>
    <i>
      <x v="59"/>
    </i>
    <i>
      <x v="29"/>
    </i>
    <i>
      <x v="243"/>
    </i>
    <i>
      <x v="67"/>
    </i>
    <i>
      <x v="261"/>
    </i>
    <i>
      <x v="194"/>
    </i>
    <i>
      <x v="274"/>
    </i>
    <i>
      <x v="72"/>
    </i>
    <i>
      <x v="114"/>
    </i>
    <i>
      <x v="204"/>
    </i>
    <i>
      <x v="165"/>
    </i>
    <i>
      <x v="211"/>
    </i>
    <i>
      <x v="255"/>
    </i>
    <i>
      <x v="1"/>
    </i>
    <i>
      <x v="34"/>
    </i>
    <i>
      <x v="215"/>
    </i>
    <i>
      <x v="61"/>
    </i>
    <i>
      <x v="126"/>
    </i>
    <i>
      <x v="159"/>
    </i>
    <i>
      <x v="685"/>
    </i>
    <i>
      <x v="626"/>
    </i>
    <i>
      <x v="783"/>
    </i>
    <i>
      <x v="591"/>
    </i>
    <i>
      <x v="612"/>
    </i>
    <i>
      <x v="663"/>
    </i>
    <i>
      <x v="762"/>
    </i>
    <i>
      <x v="638"/>
    </i>
    <i>
      <x v="788"/>
    </i>
    <i>
      <x v="721"/>
    </i>
    <i>
      <x v="645"/>
    </i>
    <i>
      <x v="640"/>
    </i>
    <i>
      <x v="731"/>
    </i>
    <i>
      <x v="478"/>
    </i>
    <i>
      <x v="523"/>
    </i>
    <i>
      <x v="324"/>
    </i>
    <i>
      <x v="434"/>
    </i>
    <i>
      <x v="485"/>
    </i>
    <i>
      <x v="543"/>
    </i>
    <i>
      <x v="432"/>
    </i>
    <i>
      <x v="338"/>
    </i>
    <i>
      <x v="396"/>
    </i>
    <i>
      <x v="548"/>
    </i>
    <i>
      <x v="565"/>
    </i>
    <i>
      <x v="297"/>
    </i>
    <i>
      <x v="550"/>
    </i>
    <i>
      <x v="517"/>
    </i>
    <i>
      <x v="309"/>
    </i>
    <i>
      <x v="111"/>
    </i>
    <i>
      <x v="257"/>
    </i>
    <i>
      <x v="210"/>
    </i>
    <i>
      <x v="125"/>
    </i>
    <i>
      <x v="280"/>
    </i>
    <i>
      <x v="68"/>
    </i>
    <i>
      <x v="199"/>
    </i>
    <i>
      <x v="147"/>
    </i>
    <i>
      <x v="104"/>
    </i>
    <i>
      <x v="46"/>
    </i>
    <i>
      <x v="275"/>
    </i>
    <i>
      <x v="178"/>
    </i>
    <i>
      <x v="288"/>
    </i>
    <i>
      <x v="180"/>
    </i>
    <i>
      <x v="192"/>
    </i>
    <i>
      <x v="200"/>
    </i>
    <i>
      <x v="914"/>
    </i>
    <i>
      <x v="659"/>
    </i>
    <i>
      <x v="694"/>
    </i>
    <i>
      <x v="664"/>
    </i>
    <i>
      <x v="866"/>
    </i>
    <i>
      <x v="633"/>
    </i>
    <i>
      <x v="675"/>
    </i>
    <i>
      <x v="683"/>
    </i>
    <i>
      <x v="736"/>
    </i>
    <i>
      <x v="686"/>
    </i>
    <i>
      <x v="625"/>
    </i>
    <i>
      <x v="657"/>
    </i>
    <i>
      <x v="752"/>
    </i>
    <i>
      <x v="702"/>
    </i>
    <i>
      <x v="555"/>
    </i>
    <i>
      <x v="583"/>
    </i>
    <i>
      <x v="526"/>
    </i>
    <i>
      <x v="375"/>
    </i>
    <i>
      <x v="577"/>
    </i>
    <i>
      <x v="405"/>
    </i>
    <i>
      <x v="490"/>
    </i>
    <i>
      <x v="439"/>
    </i>
    <i>
      <x v="303"/>
    </i>
    <i>
      <x v="488"/>
    </i>
    <i>
      <x v="430"/>
    </i>
    <i>
      <x v="520"/>
    </i>
    <i>
      <x v="437"/>
    </i>
    <i>
      <x v="343"/>
    </i>
    <i>
      <x v="497"/>
    </i>
    <i>
      <x v="92"/>
    </i>
    <i>
      <x v="10"/>
    </i>
    <i>
      <x v="51"/>
    </i>
    <i>
      <x v="151"/>
    </i>
    <i>
      <x v="209"/>
    </i>
    <i>
      <x v="15"/>
    </i>
    <i>
      <x v="228"/>
    </i>
    <i>
      <x v="120"/>
    </i>
    <i>
      <x v="249"/>
    </i>
    <i>
      <x v="164"/>
    </i>
    <i>
      <x v="279"/>
    </i>
    <i>
      <x v="18"/>
    </i>
    <i>
      <x v="141"/>
    </i>
    <i>
      <x v="83"/>
    </i>
    <i>
      <x v="219"/>
    </i>
    <i>
      <x v="174"/>
    </i>
    <i>
      <x v="239"/>
    </i>
    <i>
      <x v="182"/>
    </i>
    <i>
      <x v="248"/>
    </i>
    <i>
      <x v="195"/>
    </i>
    <i>
      <x v="28"/>
    </i>
    <i>
      <x v="198"/>
    </i>
    <i>
      <x v="132"/>
    </i>
    <i>
      <x v="202"/>
    </i>
    <i>
      <x v="137"/>
    </i>
    <i>
      <x v="831"/>
    </i>
    <i>
      <x v="806"/>
    </i>
    <i>
      <x v="649"/>
    </i>
    <i>
      <x v="622"/>
    </i>
    <i>
      <x v="711"/>
    </i>
    <i>
      <x v="669"/>
    </i>
    <i>
      <x v="883"/>
    </i>
    <i>
      <x v="624"/>
    </i>
    <i>
      <x v="614"/>
    </i>
    <i>
      <x v="605"/>
    </i>
    <i>
      <x v="658"/>
    </i>
    <i>
      <x v="592"/>
    </i>
    <i>
      <x v="817"/>
    </i>
    <i>
      <x v="757"/>
    </i>
    <i>
      <x v="858"/>
    </i>
    <i>
      <x v="594"/>
    </i>
    <i>
      <x v="710"/>
    </i>
    <i>
      <x v="777"/>
    </i>
    <i>
      <x v="615"/>
    </i>
    <i>
      <x v="522"/>
    </i>
    <i>
      <x v="516"/>
    </i>
    <i>
      <x v="336"/>
    </i>
    <i>
      <x v="295"/>
    </i>
    <i>
      <x v="481"/>
    </i>
    <i>
      <x v="358"/>
    </i>
    <i>
      <x v="412"/>
    </i>
    <i>
      <x v="464"/>
    </i>
    <i>
      <x v="411"/>
    </i>
    <i>
      <x v="467"/>
    </i>
    <i>
      <x v="480"/>
    </i>
    <i>
      <x v="323"/>
    </i>
    <i>
      <x v="350"/>
    </i>
    <i>
      <x v="421"/>
    </i>
    <i>
      <x v="397"/>
    </i>
    <i>
      <x v="433"/>
    </i>
    <i>
      <x v="486"/>
    </i>
    <i>
      <x v="331"/>
    </i>
    <i>
      <x v="487"/>
    </i>
    <i>
      <x v="332"/>
    </i>
    <i>
      <x v="327"/>
    </i>
    <i>
      <x v="492"/>
    </i>
    <i>
      <x v="270"/>
    </i>
    <i>
      <x v="16"/>
    </i>
    <i>
      <x v="103"/>
    </i>
    <i>
      <x v="171"/>
    </i>
    <i>
      <x v="86"/>
    </i>
    <i>
      <x v="226"/>
    </i>
    <i>
      <x v="278"/>
    </i>
    <i>
      <x v="55"/>
    </i>
    <i>
      <x v="90"/>
    </i>
    <i>
      <x v="97"/>
    </i>
    <i>
      <x v="64"/>
    </i>
    <i>
      <x v="100"/>
    </i>
    <i>
      <x v="263"/>
    </i>
    <i>
      <x v="33"/>
    </i>
    <i>
      <x v="91"/>
    </i>
    <i>
      <x v="203"/>
    </i>
    <i>
      <x v="163"/>
    </i>
    <i>
      <x v="242"/>
    </i>
    <i>
      <x v="22"/>
    </i>
    <i>
      <x v="43"/>
    </i>
    <i>
      <x v="873"/>
    </i>
    <i>
      <x v="846"/>
    </i>
    <i>
      <x v="911"/>
    </i>
    <i>
      <x v="773"/>
    </i>
    <i>
      <x v="720"/>
    </i>
    <i>
      <x v="718"/>
    </i>
    <i>
      <x v="887"/>
    </i>
    <i>
      <x v="648"/>
    </i>
    <i>
      <x v="936"/>
    </i>
    <i>
      <x v="642"/>
    </i>
    <i>
      <x v="853"/>
    </i>
    <i>
      <x v="630"/>
    </i>
    <i>
      <x v="636"/>
    </i>
    <i>
      <x v="790"/>
    </i>
    <i>
      <x v="728"/>
    </i>
    <i>
      <x v="743"/>
    </i>
    <i>
      <x v="899"/>
    </i>
    <i>
      <x v="801"/>
    </i>
    <i>
      <x v="760"/>
    </i>
    <i>
      <x v="610"/>
    </i>
    <i>
      <x v="840"/>
    </i>
    <i>
      <x v="807"/>
    </i>
    <i>
      <x v="937"/>
    </i>
    <i>
      <x v="749"/>
    </i>
    <i>
      <x v="704"/>
    </i>
    <i>
      <x v="750"/>
    </i>
    <i>
      <x v="862"/>
    </i>
    <i>
      <x v="813"/>
    </i>
    <i>
      <x v="871"/>
    </i>
    <i>
      <x v="815"/>
    </i>
    <i>
      <x v="875"/>
    </i>
    <i>
      <x v="677"/>
    </i>
    <i>
      <x v="884"/>
    </i>
    <i>
      <x v="820"/>
    </i>
    <i>
      <x v="898"/>
    </i>
    <i>
      <x v="634"/>
    </i>
    <i>
      <x v="908"/>
    </i>
    <i>
      <x v="595"/>
    </i>
    <i>
      <x v="912"/>
    </i>
    <i>
      <x v="823"/>
    </i>
    <i>
      <x v="916"/>
    </i>
    <i>
      <x v="754"/>
    </i>
    <i>
      <x v="603"/>
    </i>
    <i>
      <x v="832"/>
    </i>
    <i>
      <x v="755"/>
    </i>
    <i>
      <x v="469"/>
    </i>
    <i>
      <x v="360"/>
    </i>
    <i>
      <x v="475"/>
    </i>
    <i>
      <x v="521"/>
    </i>
    <i>
      <x v="442"/>
    </i>
    <i>
      <x v="428"/>
    </i>
    <i>
      <x v="381"/>
    </i>
    <i>
      <x v="435"/>
    </i>
    <i>
      <x v="440"/>
    </i>
    <i>
      <x v="316"/>
    </i>
    <i>
      <x v="558"/>
    </i>
    <i>
      <x v="352"/>
    </i>
    <i>
      <x v="420"/>
    </i>
    <i>
      <x v="452"/>
    </i>
    <i>
      <x v="339"/>
    </i>
    <i>
      <x v="527"/>
    </i>
    <i>
      <x v="402"/>
    </i>
    <i>
      <x v="453"/>
    </i>
    <i>
      <x v="365"/>
    </i>
    <i>
      <x v="354"/>
    </i>
    <i>
      <x v="300"/>
    </i>
    <i>
      <x v="534"/>
    </i>
    <i>
      <x v="557"/>
    </i>
    <i>
      <x v="388"/>
    </i>
    <i>
      <x v="561"/>
    </i>
    <i>
      <x v="390"/>
    </i>
    <i>
      <x v="505"/>
    </i>
    <i>
      <x v="391"/>
    </i>
    <i>
      <x v="568"/>
    </i>
    <i>
      <x v="455"/>
    </i>
    <i>
      <x v="348"/>
    </i>
    <i>
      <x v="458"/>
    </i>
    <i>
      <x v="576"/>
    </i>
    <i>
      <x v="460"/>
    </i>
    <i>
      <x v="401"/>
    </i>
    <i>
      <x v="423"/>
    </i>
    <i>
      <x v="474"/>
    </i>
    <i>
      <x v="406"/>
    </i>
    <i>
      <x v="476"/>
    </i>
    <i>
      <x v="494"/>
    </i>
    <i>
      <x v="326"/>
    </i>
    <i>
      <x v="441"/>
    </i>
    <i>
      <x v="109"/>
    </i>
    <i>
      <x v="150"/>
    </i>
    <i>
      <x v="13"/>
    </i>
    <i>
      <x v="71"/>
    </i>
    <i>
      <x v="256"/>
    </i>
    <i>
      <x v="213"/>
    </i>
    <i>
      <x v="161"/>
    </i>
    <i>
      <x v="49"/>
    </i>
    <i>
      <x v="41"/>
    </i>
    <i>
      <x v="217"/>
    </i>
    <i>
      <x v="89"/>
    </i>
    <i>
      <x v="218"/>
    </i>
    <i>
      <x v="170"/>
    </i>
    <i>
      <x v="47"/>
    </i>
    <i>
      <x v="271"/>
    </i>
    <i>
      <x v="95"/>
    </i>
    <i>
      <x v="207"/>
    </i>
    <i>
      <x v="224"/>
    </i>
    <i>
      <x v="286"/>
    </i>
    <i>
      <x v="186"/>
    </i>
    <i>
      <x v="57"/>
    </i>
    <i>
      <x v="227"/>
    </i>
    <i>
      <x v="252"/>
    </i>
    <i>
      <x v="189"/>
    </i>
    <i>
      <x v="54"/>
    </i>
    <i>
      <x v="119"/>
    </i>
    <i>
      <x v="128"/>
    </i>
    <i>
      <x v="82"/>
    </i>
    <i>
      <x v="142"/>
    </i>
    <i>
      <x v="237"/>
    </i>
    <i>
      <x v="20"/>
    </i>
    <i>
      <x v="238"/>
    </i>
    <i>
      <x v="11"/>
    </i>
    <i>
      <x v="88"/>
    </i>
    <i>
      <x v="276"/>
    </i>
    <i>
      <x v="166"/>
    </i>
    <i>
      <x v="32"/>
    </i>
    <i>
      <x v="197"/>
    </i>
    <i>
      <x v="283"/>
    </i>
    <i>
      <x v="45"/>
    </i>
    <i>
      <x v="135"/>
    </i>
    <i>
      <x v="31"/>
    </i>
    <i>
      <x v="181"/>
    </i>
    <i>
      <x v="23"/>
    </i>
    <i>
      <x v="156"/>
    </i>
    <i>
      <x v="733"/>
    </i>
    <i>
      <x v="723"/>
    </i>
    <i>
      <x v="667"/>
    </i>
    <i>
      <x v="748"/>
    </i>
    <i>
      <x v="892"/>
    </i>
    <i>
      <x v="600"/>
    </i>
    <i>
      <x v="930"/>
    </i>
    <i>
      <x v="597"/>
    </i>
    <i>
      <x v="865"/>
    </i>
    <i>
      <x v="751"/>
    </i>
    <i>
      <x v="727"/>
    </i>
    <i>
      <x v="679"/>
    </i>
    <i>
      <x v="903"/>
    </i>
    <i>
      <x v="753"/>
    </i>
    <i>
      <x v="919"/>
    </i>
    <i>
      <x v="616"/>
    </i>
    <i>
      <x v="646"/>
    </i>
    <i>
      <x v="590"/>
    </i>
    <i>
      <x v="859"/>
    </i>
    <i>
      <x v="756"/>
    </i>
    <i>
      <x v="869"/>
    </i>
    <i>
      <x v="681"/>
    </i>
    <i>
      <x v="877"/>
    </i>
    <i>
      <x v="758"/>
    </i>
    <i>
      <x v="729"/>
    </i>
    <i>
      <x v="650"/>
    </i>
    <i>
      <x v="596"/>
    </i>
    <i>
      <x v="651"/>
    </i>
    <i>
      <x v="907"/>
    </i>
    <i>
      <x v="684"/>
    </i>
    <i>
      <x v="915"/>
    </i>
    <i>
      <x v="763"/>
    </i>
    <i>
      <x v="925"/>
    </i>
    <i>
      <x v="767"/>
    </i>
    <i>
      <x v="934"/>
    </i>
    <i>
      <x v="768"/>
    </i>
    <i>
      <x v="849"/>
    </i>
    <i>
      <x v="769"/>
    </i>
    <i>
      <x v="857"/>
    </i>
    <i>
      <x v="771"/>
    </i>
    <i>
      <x v="609"/>
    </i>
    <i>
      <x v="772"/>
    </i>
    <i>
      <x v="867"/>
    </i>
    <i>
      <x v="654"/>
    </i>
    <i>
      <x v="722"/>
    </i>
    <i>
      <x v="776"/>
    </i>
    <i>
      <x v="602"/>
    </i>
    <i>
      <x v="632"/>
    </i>
    <i>
      <x v="880"/>
    </i>
    <i>
      <x v="779"/>
    </i>
    <i>
      <x v="885"/>
    </i>
    <i>
      <x v="656"/>
    </i>
    <i>
      <x v="890"/>
    </i>
    <i>
      <x v="689"/>
    </i>
    <i>
      <x v="896"/>
    </i>
    <i>
      <x v="786"/>
    </i>
    <i>
      <x v="901"/>
    </i>
    <i>
      <x v="787"/>
    </i>
    <i>
      <x v="905"/>
    </i>
    <i>
      <x v="690"/>
    </i>
    <i>
      <x v="909"/>
    </i>
    <i>
      <x v="617"/>
    </i>
    <i>
      <x v="913"/>
    </i>
    <i>
      <x v="793"/>
    </i>
    <i>
      <x v="917"/>
    </i>
    <i>
      <x v="692"/>
    </i>
    <i>
      <x v="922"/>
    </i>
    <i>
      <x v="796"/>
    </i>
    <i>
      <x v="927"/>
    </i>
    <i>
      <x v="797"/>
    </i>
    <i>
      <x v="932"/>
    </i>
    <i>
      <x v="800"/>
    </i>
    <i>
      <x v="745"/>
    </i>
    <i>
      <x v="619"/>
    </i>
    <i>
      <x v="848"/>
    </i>
    <i>
      <x v="803"/>
    </i>
    <i>
      <x v="717"/>
    </i>
    <i>
      <x v="804"/>
    </i>
    <i>
      <x v="856"/>
    </i>
    <i>
      <x v="620"/>
    </i>
    <i>
      <x v="639"/>
    </i>
    <i>
      <x v="695"/>
    </i>
    <i>
      <x v="861"/>
    </i>
    <i>
      <x v="808"/>
    </i>
    <i>
      <x v="863"/>
    </i>
    <i>
      <x v="696"/>
    </i>
    <i>
      <x v="670"/>
    </i>
    <i>
      <x v="697"/>
    </i>
    <i>
      <x v="868"/>
    </i>
    <i>
      <x v="811"/>
    </i>
    <i>
      <x v="870"/>
    </i>
    <i>
      <x v="812"/>
    </i>
    <i>
      <x v="872"/>
    </i>
    <i>
      <x v="660"/>
    </i>
    <i>
      <x v="874"/>
    </i>
    <i>
      <x v="814"/>
    </i>
    <i>
      <x v="876"/>
    </i>
    <i>
      <x v="703"/>
    </i>
    <i>
      <x v="878"/>
    </i>
    <i>
      <x v="816"/>
    </i>
    <i>
      <x v="882"/>
    </i>
    <i>
      <x v="607"/>
    </i>
    <i>
      <x v="598"/>
    </i>
    <i>
      <x v="818"/>
    </i>
    <i>
      <x v="886"/>
    </i>
    <i>
      <x v="819"/>
    </i>
    <i>
      <x v="888"/>
    </i>
    <i>
      <x v="608"/>
    </i>
    <i>
      <x v="891"/>
    </i>
    <i>
      <x v="706"/>
    </i>
    <i>
      <x v="893"/>
    </i>
    <i>
      <x v="707"/>
    </i>
    <i>
      <x v="730"/>
    </i>
    <i>
      <x v="708"/>
    </i>
    <i>
      <x v="900"/>
    </i>
    <i>
      <x v="827"/>
    </i>
    <i>
      <x v="902"/>
    </i>
    <i>
      <x v="828"/>
    </i>
    <i>
      <x v="904"/>
    </i>
    <i>
      <x v="829"/>
    </i>
    <i>
      <x v="906"/>
    </i>
    <i>
      <x v="830"/>
    </i>
    <i>
      <x v="732"/>
    </i>
    <i>
      <x v="709"/>
    </i>
    <i>
      <x v="910"/>
    </i>
    <i>
      <x v="623"/>
    </i>
    <i>
      <x v="674"/>
    </i>
    <i>
      <x v="833"/>
    </i>
    <i>
      <x v="739"/>
    </i>
    <i>
      <x v="835"/>
    </i>
    <i>
      <x v="613"/>
    </i>
    <i>
      <x v="836"/>
    </i>
    <i>
      <x v="918"/>
    </i>
    <i>
      <x v="837"/>
    </i>
    <i>
      <x v="921"/>
    </i>
    <i>
      <x v="839"/>
    </i>
    <i>
      <x v="923"/>
    </i>
    <i>
      <x v="665"/>
    </i>
    <i>
      <x v="926"/>
    </i>
    <i>
      <x v="841"/>
    </i>
    <i>
      <x v="928"/>
    </i>
    <i>
      <x v="842"/>
    </i>
    <i>
      <x v="931"/>
    </i>
    <i>
      <x v="843"/>
    </i>
    <i>
      <x v="933"/>
    </i>
    <i>
      <x v="844"/>
    </i>
    <i>
      <x v="744"/>
    </i>
    <i>
      <x v="845"/>
    </i>
    <i>
      <x v="666"/>
    </i>
    <i>
      <x v="715"/>
    </i>
    <i>
      <x v="546"/>
    </i>
    <i>
      <x v="403"/>
    </i>
    <i>
      <x v="562"/>
    </i>
    <i>
      <x v="333"/>
    </i>
    <i>
      <x v="536"/>
    </i>
    <i>
      <x v="482"/>
    </i>
    <i>
      <x v="459"/>
    </i>
    <i>
      <x v="483"/>
    </i>
    <i>
      <x v="570"/>
    </i>
    <i>
      <x v="334"/>
    </i>
    <i>
      <x v="587"/>
    </i>
    <i>
      <x v="415"/>
    </i>
    <i>
      <x v="325"/>
    </i>
    <i>
      <x v="416"/>
    </i>
    <i>
      <x v="311"/>
    </i>
    <i>
      <x v="417"/>
    </i>
    <i>
      <x v="312"/>
    </i>
    <i>
      <x v="418"/>
    </i>
    <i>
      <x v="356"/>
    </i>
    <i>
      <x v="419"/>
    </i>
    <i>
      <x v="471"/>
    </i>
    <i>
      <x v="366"/>
    </i>
    <i>
      <x v="361"/>
    </i>
    <i>
      <x v="491"/>
    </i>
    <i>
      <x v="347"/>
    </i>
    <i>
      <x v="294"/>
    </i>
    <i>
      <x v="448"/>
    </i>
    <i>
      <x v="493"/>
    </i>
    <i>
      <x v="349"/>
    </i>
    <i>
      <x v="422"/>
    </i>
    <i>
      <x v="310"/>
    </i>
    <i>
      <x v="368"/>
    </i>
    <i>
      <x v="457"/>
    </i>
    <i>
      <x v="496"/>
    </i>
    <i>
      <x v="461"/>
    </i>
    <i>
      <x v="424"/>
    </i>
    <i>
      <x v="560"/>
    </i>
    <i>
      <x v="498"/>
    </i>
    <i>
      <x v="465"/>
    </i>
    <i>
      <x v="499"/>
    </i>
    <i>
      <x v="357"/>
    </i>
    <i>
      <x v="425"/>
    </i>
    <i>
      <x v="572"/>
    </i>
    <i>
      <x v="298"/>
    </i>
    <i>
      <x v="472"/>
    </i>
    <i>
      <x v="502"/>
    </i>
    <i>
      <x v="302"/>
    </i>
    <i>
      <x v="317"/>
    </i>
    <i>
      <x v="585"/>
    </i>
    <i>
      <x v="504"/>
    </i>
    <i>
      <x v="363"/>
    </i>
    <i>
      <x v="429"/>
    </i>
    <i>
      <x v="535"/>
    </i>
    <i>
      <x v="371"/>
    </i>
    <i>
      <x v="537"/>
    </i>
    <i>
      <x v="431"/>
    </i>
    <i>
      <x v="539"/>
    </i>
    <i>
      <x v="372"/>
    </i>
    <i>
      <x v="450"/>
    </i>
    <i>
      <x v="510"/>
    </i>
    <i>
      <x v="389"/>
    </i>
    <i>
      <x v="511"/>
    </i>
    <i>
      <x v="547"/>
    </i>
    <i>
      <x v="512"/>
    </i>
    <i>
      <x v="351"/>
    </i>
    <i>
      <x v="513"/>
    </i>
    <i>
      <x v="551"/>
    </i>
    <i>
      <x v="318"/>
    </i>
    <i>
      <x v="353"/>
    </i>
    <i>
      <x v="515"/>
    </i>
    <i>
      <x v="394"/>
    </i>
    <i>
      <x v="299"/>
    </i>
    <i>
      <x v="395"/>
    </i>
    <i>
      <x v="376"/>
    </i>
    <i>
      <x v="559"/>
    </i>
    <i>
      <x v="436"/>
    </i>
    <i>
      <x v="329"/>
    </i>
    <i>
      <x v="519"/>
    </i>
    <i>
      <x v="563"/>
    </i>
    <i>
      <x v="377"/>
    </i>
    <i>
      <x v="398"/>
    </i>
    <i>
      <x v="438"/>
    </i>
    <i>
      <x v="567"/>
    </i>
    <i>
      <x v="293"/>
    </i>
    <i>
      <x v="569"/>
    </i>
    <i>
      <x v="321"/>
    </i>
    <i>
      <x v="330"/>
    </i>
    <i>
      <x v="322"/>
    </i>
    <i>
      <x v="470"/>
    </i>
    <i>
      <x v="344"/>
    </i>
    <i>
      <x v="575"/>
    </i>
    <i>
      <x v="308"/>
    </i>
    <i>
      <x v="359"/>
    </i>
    <i>
      <x v="296"/>
    </i>
    <i>
      <x v="404"/>
    </i>
    <i>
      <x v="528"/>
    </i>
    <i>
      <x v="582"/>
    </i>
    <i>
      <x v="529"/>
    </i>
    <i>
      <x v="584"/>
    </i>
    <i>
      <x v="530"/>
    </i>
    <i>
      <x v="314"/>
    </i>
    <i>
      <x v="385"/>
    </i>
    <i>
      <x v="408"/>
    </i>
    <i>
      <x v="446"/>
    </i>
    <i>
      <x v="533"/>
    </i>
    <i>
      <x v="113"/>
    </i>
    <i>
      <x v="187"/>
    </i>
    <i>
      <x v="272"/>
    </i>
    <i>
      <x v="191"/>
    </i>
    <i>
      <x v="77"/>
    </i>
    <i>
      <x v="62"/>
    </i>
    <i>
      <x v="117"/>
    </i>
    <i>
      <x v="6"/>
    </i>
    <i>
      <x v="184"/>
    </i>
    <i>
      <x v="37"/>
    </i>
    <i>
      <x v="75"/>
    </i>
    <i>
      <x v="7"/>
    </i>
    <i>
      <x v="251"/>
    </i>
    <i>
      <x v="196"/>
    </i>
    <i>
      <x v="259"/>
    </i>
    <i>
      <x v="129"/>
    </i>
    <i>
      <x v="24"/>
    </i>
    <i>
      <x v="130"/>
    </i>
    <i>
      <x v="8"/>
    </i>
    <i>
      <x v="131"/>
    </i>
    <i>
      <x v="284"/>
    </i>
    <i>
      <x v="66"/>
    </i>
    <i>
      <x v="190"/>
    </i>
    <i>
      <x v="52"/>
    </i>
    <i>
      <x v="245"/>
    </i>
    <i>
      <x v="134"/>
    </i>
    <i>
      <x v="4"/>
    </i>
    <i>
      <x v="94"/>
    </i>
    <i>
      <x v="80"/>
    </i>
    <i>
      <x v="136"/>
    </i>
    <i>
      <x v="115"/>
    </i>
    <i>
      <x v="205"/>
    </i>
    <i>
      <x v="262"/>
    </i>
    <i>
      <x v="38"/>
    </i>
    <i>
      <x v="266"/>
    </i>
    <i>
      <x v="138"/>
    </i>
    <i>
      <x v="176"/>
    </i>
    <i>
      <x v="208"/>
    </i>
    <i>
      <x v="58"/>
    </i>
    <i>
      <x v="3"/>
    </i>
    <i>
      <x v="2"/>
    </i>
    <i>
      <x v="96"/>
    </i>
    <i>
      <x v="282"/>
    </i>
    <i>
      <x v="69"/>
    </i>
    <i>
      <x v="87"/>
    </i>
    <i>
      <x v="98"/>
    </i>
    <i>
      <x v="290"/>
    </i>
    <i>
      <x v="144"/>
    </i>
    <i>
      <x v="74"/>
    </i>
    <i>
      <x v="145"/>
    </i>
    <i>
      <x v="76"/>
    </i>
    <i>
      <x v="216"/>
    </i>
    <i>
      <x v="246"/>
    </i>
    <i>
      <x v="146"/>
    </i>
    <i>
      <x v="78"/>
    </i>
    <i>
      <x v="99"/>
    </i>
    <i>
      <x v="250"/>
    </i>
    <i>
      <x v="148"/>
    </i>
    <i>
      <x v="17"/>
    </i>
    <i>
      <x v="220"/>
    </i>
    <i>
      <x v="254"/>
    </i>
    <i>
      <x v="221"/>
    </i>
    <i>
      <x v="81"/>
    </i>
    <i>
      <x v="222"/>
    </i>
    <i>
      <x v="258"/>
    </i>
    <i>
      <x v="149"/>
    </i>
    <i>
      <x v="12"/>
    </i>
    <i>
      <x v="70"/>
    </i>
    <i>
      <x v="173"/>
    </i>
    <i>
      <x v="225"/>
    </i>
    <i>
      <x v="265"/>
    </i>
    <i>
      <x v="39"/>
    </i>
    <i>
      <x v="267"/>
    </i>
    <i>
      <x v="152"/>
    </i>
    <i>
      <x v="269"/>
    </i>
    <i>
      <x v="153"/>
    </i>
    <i>
      <x v="177"/>
    </i>
    <i>
      <x v="102"/>
    </i>
    <i>
      <x v="273"/>
    </i>
    <i>
      <x v="230"/>
    </i>
    <i>
      <x v="48"/>
    </i>
    <i>
      <x v="231"/>
    </i>
    <i>
      <x v="277"/>
    </i>
    <i>
      <x v="232"/>
    </i>
    <i>
      <x v="21"/>
    </i>
    <i>
      <x v="155"/>
    </i>
    <i>
      <x v="281"/>
    </i>
    <i>
      <x v="234"/>
    </i>
    <i>
      <x v="50"/>
    </i>
    <i>
      <x v="235"/>
    </i>
    <i>
      <x v="285"/>
    </i>
    <i>
      <x v="26"/>
    </i>
    <i>
      <x v="287"/>
    </i>
    <i>
      <x v="40"/>
    </i>
    <i>
      <x v="188"/>
    </i>
    <i>
      <x v="56"/>
    </i>
    <i>
      <x v="124"/>
    </i>
    <i>
      <x v="105"/>
    </i>
    <i>
      <x v="241"/>
    </i>
    <i>
      <x v="850"/>
    </i>
  </rowItems>
  <colItems count="1">
    <i/>
  </colItems>
  <pageFields count="4">
    <pageField fld="0" hier="-1"/>
    <pageField fld="1" hier="-1"/>
    <pageField fld="2" hier="-1"/>
    <pageField fld="3" hier="-1"/>
  </pageFields>
  <dataFields count="1">
    <dataField name="Number of Cashes" fld="8" subtotal="count" baseField="9" baseItem="378" numFmtId="3"/>
  </dataFields>
  <formats count="27">
    <format dxfId="1270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269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268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267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266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265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264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263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262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261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260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259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258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257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256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255">
      <pivotArea dataOnly="0" labelOnly="1" outline="0" fieldPosition="0">
        <references count="1">
          <reference field="9" count="1">
            <x v="168"/>
          </reference>
        </references>
      </pivotArea>
    </format>
    <format dxfId="1254">
      <pivotArea dataOnly="0" labelOnly="1" outline="0" fieldPosition="0">
        <references count="1">
          <reference field="9" count="1">
            <x v="378"/>
          </reference>
        </references>
      </pivotArea>
    </format>
    <format dxfId="1253">
      <pivotArea dataOnly="0" labelOnly="1" outline="0" fieldPosition="0">
        <references count="1">
          <reference field="9" count="1">
            <x v="705"/>
          </reference>
        </references>
      </pivotArea>
    </format>
    <format dxfId="1252">
      <pivotArea dataOnly="0" labelOnly="1" outline="0" fieldPosition="0">
        <references count="1">
          <reference field="9" count="1">
            <x v="167"/>
          </reference>
        </references>
      </pivotArea>
    </format>
    <format dxfId="1251">
      <pivotArea dataOnly="0" labelOnly="1" outline="0" fieldPosition="0">
        <references count="1">
          <reference field="9" count="1">
            <x v="268"/>
          </reference>
        </references>
      </pivotArea>
    </format>
    <format dxfId="1250">
      <pivotArea dataOnly="0" labelOnly="1" outline="0" fieldPosition="0">
        <references count="1">
          <reference field="9" count="1">
            <x v="635"/>
          </reference>
        </references>
      </pivotArea>
    </format>
    <format dxfId="1249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248">
      <pivotArea dataOnly="0" labelOnly="1" outline="0" fieldPosition="0">
        <references count="1">
          <reference field="9" count="1">
            <x v="538"/>
          </reference>
        </references>
      </pivotArea>
    </format>
    <format dxfId="1247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246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245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244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8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4" indent="0" compact="0" compactData="0" gridDropZones="1" multipleFieldFilters="0">
  <location ref="B6:AA115" firstHeaderRow="1" firstDataRow="3" firstDataCol="1" rowPageCount="2" colPageCount="1"/>
  <pivotFields count="10">
    <pivotField axis="axisPage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22"/>
        <item x="17"/>
        <item x="18"/>
        <item x="19"/>
        <item x="20"/>
        <item x="21"/>
        <item t="default"/>
      </items>
    </pivotField>
    <pivotField axis="axisCol" compact="0" outline="0" multipleItemSelectionAllowed="1" showAll="0" defaultSubtotal="0">
      <items count="11">
        <item x="0"/>
        <item x="1"/>
        <item x="6"/>
        <item x="2"/>
        <item m="1" x="10"/>
        <item x="3"/>
        <item x="4"/>
        <item x="5"/>
        <item x="7"/>
        <item x="9"/>
        <item x="8"/>
      </items>
    </pivotField>
    <pivotField axis="axisCol" compact="0" outline="0" multipleItemSelectionAllowed="1" showAll="0">
      <items count="176">
        <item x="64"/>
        <item x="48"/>
        <item x="42"/>
        <item x="60"/>
        <item x="0"/>
        <item x="19"/>
        <item x="43"/>
        <item x="71"/>
        <item x="14"/>
        <item x="38"/>
        <item x="49"/>
        <item x="65"/>
        <item x="27"/>
        <item x="34"/>
        <item x="31"/>
        <item x="40"/>
        <item x="1"/>
        <item x="3"/>
        <item x="32"/>
        <item x="56"/>
        <item x="59"/>
        <item x="58"/>
        <item x="68"/>
        <item x="24"/>
        <item x="4"/>
        <item x="47"/>
        <item x="53"/>
        <item x="69"/>
        <item x="61"/>
        <item x="36"/>
        <item x="20"/>
        <item x="44"/>
        <item x="8"/>
        <item x="35"/>
        <item x="2"/>
        <item x="62"/>
        <item x="66"/>
        <item x="70"/>
        <item x="6"/>
        <item x="25"/>
        <item x="29"/>
        <item x="22"/>
        <item x="15"/>
        <item x="18"/>
        <item x="33"/>
        <item x="11"/>
        <item x="21"/>
        <item x="41"/>
        <item x="17"/>
        <item x="7"/>
        <item x="16"/>
        <item x="46"/>
        <item x="51"/>
        <item x="55"/>
        <item x="45"/>
        <item x="30"/>
        <item x="26"/>
        <item x="23"/>
        <item x="67"/>
        <item x="57"/>
        <item x="52"/>
        <item x="28"/>
        <item x="9"/>
        <item x="39"/>
        <item x="12"/>
        <item x="37"/>
        <item x="63"/>
        <item x="10"/>
        <item x="5"/>
        <item x="13"/>
        <item x="50"/>
        <item x="83"/>
        <item x="81"/>
        <item x="82"/>
        <item x="80"/>
        <item x="72"/>
        <item x="78"/>
        <item x="73"/>
        <item x="75"/>
        <item x="79"/>
        <item x="74"/>
        <item x="76"/>
        <item x="77"/>
        <item x="93"/>
        <item x="54"/>
        <item x="89"/>
        <item x="92"/>
        <item x="91"/>
        <item x="90"/>
        <item x="88"/>
        <item x="84"/>
        <item x="87"/>
        <item x="86"/>
        <item x="85"/>
        <item x="104"/>
        <item x="101"/>
        <item x="103"/>
        <item x="102"/>
        <item x="100"/>
        <item x="95"/>
        <item x="94"/>
        <item x="98"/>
        <item x="96"/>
        <item x="99"/>
        <item x="97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  <item t="default"/>
      </items>
    </pivotField>
    <pivotField axis="axisPage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compact="0" outline="0" showAll="0"/>
    <pivotField compact="0" outline="0" showAll="0" sortType="ascending" defaultSubtotal="0"/>
    <pivotField compact="0" outline="0" showAll="0" defaultSubtotal="0"/>
    <pivotField dataField="1" compact="0" outline="0" showAll="0"/>
    <pivotField axis="axisRow" compact="0" outline="0" showAll="0" sortType="descending">
      <items count="940">
        <item m="1" x="926"/>
        <item x="571"/>
        <item x="665"/>
        <item x="102"/>
        <item x="225"/>
        <item x="150"/>
        <item x="407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x="418"/>
        <item x="644"/>
        <item x="246"/>
        <item x="666"/>
        <item x="682"/>
        <item x="384"/>
        <item x="270"/>
        <item x="36"/>
        <item x="691"/>
        <item x="117"/>
        <item x="656"/>
        <item x="557"/>
        <item x="20"/>
        <item x="595"/>
        <item x="409"/>
        <item x="492"/>
        <item x="514"/>
        <item x="291"/>
        <item x="405"/>
        <item x="688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484"/>
        <item x="685"/>
        <item x="29"/>
        <item x="329"/>
        <item x="536"/>
        <item x="677"/>
        <item x="579"/>
        <item x="408"/>
        <item x="554"/>
        <item x="568"/>
        <item x="58"/>
        <item x="113"/>
        <item x="121"/>
        <item x="562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x="7"/>
        <item x="531"/>
        <item x="401"/>
        <item x="148"/>
        <item x="366"/>
        <item x="672"/>
        <item x="482"/>
        <item x="504"/>
        <item x="156"/>
        <item x="134"/>
        <item x="236"/>
        <item x="152"/>
        <item x="93"/>
        <item x="226"/>
        <item x="387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x="111"/>
        <item x="322"/>
        <item x="437"/>
        <item x="266"/>
        <item x="256"/>
        <item x="176"/>
        <item x="542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209"/>
        <item m="1" x="902"/>
        <item x="199"/>
        <item x="341"/>
        <item x="511"/>
        <item m="1" x="896"/>
        <item x="49"/>
        <item x="670"/>
        <item x="431"/>
        <item x="637"/>
        <item x="114"/>
        <item x="555"/>
        <item x="521"/>
        <item x="457"/>
        <item x="76"/>
        <item x="473"/>
        <item x="248"/>
        <item x="410"/>
        <item x="663"/>
        <item x="540"/>
        <item x="59"/>
        <item x="523"/>
        <item x="358"/>
        <item x="667"/>
        <item x="703"/>
        <item x="269"/>
        <item x="86"/>
        <item x="318"/>
        <item x="163"/>
        <item x="88"/>
        <item x="567"/>
        <item x="377"/>
        <item x="438"/>
        <item x="597"/>
        <item x="203"/>
        <item x="495"/>
        <item x="218"/>
        <item x="394"/>
        <item x="170"/>
        <item x="75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116"/>
        <item x="435"/>
        <item x="581"/>
        <item x="586"/>
        <item x="467"/>
        <item x="620"/>
        <item x="74"/>
        <item x="265"/>
        <item x="296"/>
        <item x="222"/>
        <item x="539"/>
        <item x="456"/>
        <item x="564"/>
        <item x="508"/>
        <item x="221"/>
        <item x="538"/>
        <item x="485"/>
        <item x="171"/>
        <item x="272"/>
        <item x="213"/>
        <item x="373"/>
        <item x="299"/>
        <item x="178"/>
        <item x="498"/>
        <item x="422"/>
        <item x="312"/>
        <item x="372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354"/>
        <item x="0"/>
        <item x="689"/>
        <item x="90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622"/>
        <item x="371"/>
        <item x="428"/>
        <item x="413"/>
        <item x="642"/>
        <item x="596"/>
        <item x="210"/>
        <item x="25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x="464"/>
        <item x="574"/>
        <item x="112"/>
        <item x="71"/>
        <item x="313"/>
        <item x="472"/>
        <item x="415"/>
        <item x="612"/>
        <item x="442"/>
        <item x="707"/>
        <item x="197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300"/>
        <item x="640"/>
        <item x="27"/>
        <item x="35"/>
        <item x="344"/>
        <item m="1" x="903"/>
        <item x="460"/>
        <item x="133"/>
        <item x="604"/>
        <item x="173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x="603"/>
        <item x="352"/>
        <item x="399"/>
        <item x="42"/>
        <item x="520"/>
        <item x="145"/>
        <item m="1" x="890"/>
        <item x="706"/>
        <item x="451"/>
        <item m="1" x="862"/>
        <item m="1" x="878"/>
        <item x="168"/>
        <item x="668"/>
        <item x="505"/>
        <item x="253"/>
        <item x="201"/>
        <item x="174"/>
        <item x="590"/>
        <item x="454"/>
        <item x="220"/>
        <item x="382"/>
        <item x="362"/>
        <item x="216"/>
        <item m="1" x="898"/>
        <item x="110"/>
        <item x="664"/>
        <item x="194"/>
        <item x="494"/>
        <item x="470"/>
        <item x="441"/>
        <item x="321"/>
        <item x="629"/>
        <item x="471"/>
        <item x="652"/>
        <item x="479"/>
        <item x="182"/>
        <item x="239"/>
        <item x="447"/>
        <item x="69"/>
        <item x="151"/>
        <item x="500"/>
        <item x="544"/>
        <item x="375"/>
        <item x="298"/>
        <item x="83"/>
        <item x="45"/>
        <item x="395"/>
        <item x="31"/>
        <item x="577"/>
        <item x="332"/>
        <item x="529"/>
        <item x="507"/>
        <item m="1" x="883"/>
        <item x="552"/>
        <item x="440"/>
        <item x="584"/>
        <item x="433"/>
        <item x="671"/>
        <item x="21"/>
        <item x="91"/>
        <item x="67"/>
        <item x="563"/>
        <item x="135"/>
        <item x="350"/>
        <item x="184"/>
        <item x="234"/>
        <item x="606"/>
        <item x="207"/>
        <item x="78"/>
        <item x="674"/>
        <item x="548"/>
        <item x="549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361"/>
        <item x="46"/>
        <item x="192"/>
        <item x="654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115"/>
        <item x="262"/>
        <item x="233"/>
        <item x="92"/>
        <item x="446"/>
        <item x="28"/>
        <item x="95"/>
        <item x="157"/>
        <item x="60"/>
        <item x="424"/>
        <item x="315"/>
        <item x="155"/>
        <item x="127"/>
        <item x="131"/>
        <item x="87"/>
        <item x="85"/>
        <item x="687"/>
        <item x="509"/>
        <item x="241"/>
        <item x="223"/>
        <item x="588"/>
        <item x="43"/>
        <item m="1" x="869"/>
        <item x="349"/>
        <item x="232"/>
        <item m="1" x="938"/>
        <item x="496"/>
        <item x="476"/>
        <item x="517"/>
        <item x="392"/>
        <item x="177"/>
        <item x="657"/>
        <item x="483"/>
        <item x="15"/>
        <item x="132"/>
        <item x="160"/>
        <item x="466"/>
        <item x="334"/>
        <item x="611"/>
        <item x="302"/>
        <item x="301"/>
        <item x="294"/>
        <item x="1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9"/>
        <item x="591"/>
        <item x="81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369"/>
        <item x="304"/>
        <item x="545"/>
        <item x="347"/>
        <item x="189"/>
        <item x="288"/>
        <item x="343"/>
        <item x="681"/>
        <item x="143"/>
        <item x="212"/>
        <item x="139"/>
        <item x="99"/>
        <item x="100"/>
        <item m="1" x="935"/>
        <item x="309"/>
        <item x="66"/>
        <item x="519"/>
        <item x="61"/>
        <item x="286"/>
        <item x="73"/>
        <item x="261"/>
        <item x="368"/>
        <item x="273"/>
        <item x="601"/>
        <item x="481"/>
        <item x="570"/>
        <item x="47"/>
        <item x="534"/>
        <item x="231"/>
        <item x="487"/>
        <item x="4"/>
        <item x="267"/>
        <item x="397"/>
        <item x="190"/>
        <item x="290"/>
        <item x="154"/>
        <item x="144"/>
        <item x="598"/>
        <item x="125"/>
        <item m="1" x="897"/>
        <item x="37"/>
        <item x="463"/>
        <item x="165"/>
        <item x="259"/>
        <item x="501"/>
        <item x="356"/>
        <item x="678"/>
        <item m="1" x="909"/>
        <item m="1" x="915"/>
        <item x="421"/>
        <item x="618"/>
        <item x="146"/>
        <item x="18"/>
        <item x="227"/>
        <item x="462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x="23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104"/>
        <item x="5"/>
        <item x="240"/>
        <item x="311"/>
        <item x="592"/>
        <item x="561"/>
        <item x="698"/>
        <item x="692"/>
        <item m="1" x="906"/>
        <item m="1" x="873"/>
        <item x="17"/>
        <item x="699"/>
        <item m="1" x="880"/>
        <item x="700"/>
        <item x="701"/>
        <item x="330"/>
        <item x="702"/>
        <item x="693"/>
        <item x="694"/>
        <item x="695"/>
        <item m="1" x="872"/>
        <item x="696"/>
        <item m="1" x="893"/>
        <item x="697"/>
        <item x="633"/>
        <item x="181"/>
        <item x="198"/>
        <item x="725"/>
        <item x="723"/>
        <item x="724"/>
        <item m="1" x="855"/>
        <item m="1" x="928"/>
        <item x="721"/>
        <item m="1" x="871"/>
        <item m="1" x="891"/>
        <item x="722"/>
        <item m="1" x="888"/>
        <item m="1" x="868"/>
        <item m="1" x="919"/>
        <item x="709"/>
        <item x="708"/>
        <item x="837"/>
        <item x="389"/>
        <item m="1" x="877"/>
        <item x="849"/>
        <item x="714"/>
        <item x="710"/>
        <item x="711"/>
        <item x="718"/>
        <item x="719"/>
        <item x="712"/>
        <item x="720"/>
        <item x="713"/>
        <item x="715"/>
        <item x="716"/>
        <item x="717"/>
        <item x="735"/>
        <item m="1" x="913"/>
        <item x="432"/>
        <item x="736"/>
        <item m="1" x="925"/>
        <item m="1" x="860"/>
        <item m="1" x="884"/>
        <item x="623"/>
        <item x="624"/>
        <item x="625"/>
        <item m="1" x="904"/>
        <item x="626"/>
        <item x="631"/>
        <item x="632"/>
        <item m="1" x="934"/>
        <item m="1" x="910"/>
        <item x="634"/>
        <item x="635"/>
        <item m="1" x="907"/>
        <item x="638"/>
        <item m="1" x="937"/>
        <item m="1" x="905"/>
        <item m="1" x="887"/>
        <item x="732"/>
        <item m="1" x="922"/>
        <item x="728"/>
        <item x="734"/>
        <item x="733"/>
        <item x="390"/>
        <item m="1" x="917"/>
        <item x="726"/>
        <item m="1" x="858"/>
        <item m="1" x="924"/>
        <item x="727"/>
        <item m="1" x="863"/>
        <item x="731"/>
        <item x="729"/>
        <item x="730"/>
        <item m="1" x="918"/>
        <item m="1" x="879"/>
        <item x="754"/>
        <item x="757"/>
        <item m="1" x="861"/>
        <item x="756"/>
        <item x="755"/>
        <item m="1" x="900"/>
        <item x="752"/>
        <item x="748"/>
        <item x="771"/>
        <item x="751"/>
        <item x="753"/>
        <item x="742"/>
        <item x="743"/>
        <item x="744"/>
        <item x="740"/>
        <item x="737"/>
        <item x="741"/>
        <item x="738"/>
        <item x="739"/>
        <item x="750"/>
        <item x="745"/>
        <item x="480"/>
        <item x="746"/>
        <item x="747"/>
        <item m="1" x="892"/>
        <item m="1" x="936"/>
        <item m="1" x="886"/>
        <item x="749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107">
    <i>
      <x v="143"/>
    </i>
    <i>
      <x v="746"/>
    </i>
    <i>
      <x v="139"/>
    </i>
    <i>
      <x v="573"/>
    </i>
    <i>
      <x v="759"/>
    </i>
    <i>
      <x v="914"/>
    </i>
    <i>
      <x v="400"/>
    </i>
    <i>
      <x v="59"/>
    </i>
    <i>
      <x v="116"/>
    </i>
    <i>
      <x v="289"/>
    </i>
    <i>
      <x v="668"/>
    </i>
    <i>
      <x v="1"/>
    </i>
    <i>
      <x v="581"/>
    </i>
    <i>
      <x v="785"/>
    </i>
    <i>
      <x v="524"/>
    </i>
    <i>
      <x v="501"/>
    </i>
    <i>
      <x v="118"/>
    </i>
    <i>
      <x v="466"/>
    </i>
    <i>
      <x v="518"/>
    </i>
    <i>
      <x v="387"/>
    </i>
    <i>
      <x v="719"/>
    </i>
    <i>
      <x v="635"/>
    </i>
    <i>
      <x v="566"/>
    </i>
    <i>
      <x v="508"/>
    </i>
    <i>
      <x v="589"/>
    </i>
    <i>
      <x v="757"/>
    </i>
    <i>
      <x v="936"/>
    </i>
    <i>
      <x v="193"/>
    </i>
    <i>
      <x v="621"/>
    </i>
    <i>
      <x v="14"/>
    </i>
    <i>
      <x v="574"/>
    </i>
    <i>
      <x v="937"/>
    </i>
    <i>
      <x v="27"/>
    </i>
    <i>
      <x v="374"/>
    </i>
    <i>
      <x v="185"/>
    </i>
    <i>
      <x v="748"/>
    </i>
    <i>
      <x v="172"/>
    </i>
    <i>
      <x v="46"/>
    </i>
    <i>
      <x v="454"/>
    </i>
    <i>
      <x v="919"/>
    </i>
    <i>
      <x v="215"/>
    </i>
    <i>
      <x v="927"/>
    </i>
    <i>
      <x v="629"/>
    </i>
    <i>
      <x v="721"/>
    </i>
    <i>
      <x v="101"/>
    </i>
    <i>
      <x v="921"/>
    </i>
    <i>
      <x v="132"/>
    </i>
    <i>
      <x v="137"/>
    </i>
    <i>
      <x v="514"/>
    </i>
    <i>
      <x v="669"/>
    </i>
    <i>
      <x v="473"/>
    </i>
    <i>
      <x v="922"/>
    </i>
    <i>
      <x v="167"/>
    </i>
    <i>
      <x v="911"/>
    </i>
    <i>
      <x v="745"/>
    </i>
    <i>
      <x v="295"/>
    </i>
    <i>
      <x v="923"/>
    </i>
    <i>
      <x v="777"/>
    </i>
    <i>
      <x v="346"/>
    </i>
    <i>
      <x v="875"/>
    </i>
    <i>
      <x v="506"/>
    </i>
    <i>
      <x v="930"/>
    </i>
    <i>
      <x v="675"/>
    </i>
    <i>
      <x v="9"/>
    </i>
    <i>
      <x v="206"/>
    </i>
    <i>
      <x v="243"/>
    </i>
    <i>
      <x v="933"/>
    </i>
    <i>
      <x v="183"/>
    </i>
    <i>
      <x v="883"/>
    </i>
    <i>
      <x v="63"/>
    </i>
    <i>
      <x v="247"/>
    </i>
    <i>
      <x v="42"/>
    </i>
    <i>
      <x v="908"/>
    </i>
    <i>
      <x v="916"/>
    </i>
    <i>
      <x v="676"/>
    </i>
    <i>
      <x v="211"/>
    </i>
    <i>
      <x v="926"/>
    </i>
    <i>
      <x v="5"/>
    </i>
    <i>
      <x v="862"/>
    </i>
    <i>
      <x v="386"/>
    </i>
    <i>
      <x v="866"/>
    </i>
    <i>
      <x v="647"/>
    </i>
    <i>
      <x v="147"/>
    </i>
    <i>
      <x v="822"/>
    </i>
    <i>
      <x v="931"/>
    </i>
    <i>
      <x v="306"/>
    </i>
    <i>
      <x v="912"/>
    </i>
    <i>
      <x v="925"/>
    </i>
    <i>
      <x v="83"/>
    </i>
    <i>
      <x v="932"/>
    </i>
    <i>
      <x v="364"/>
    </i>
    <i>
      <x v="112"/>
    </i>
    <i>
      <x v="599"/>
    </i>
    <i>
      <x v="396"/>
    </i>
    <i>
      <x v="934"/>
    </i>
    <i>
      <x v="847"/>
    </i>
    <i>
      <x v="244"/>
    </i>
    <i>
      <x v="604"/>
    </i>
    <i>
      <x v="714"/>
    </i>
    <i>
      <x v="500"/>
    </i>
    <i>
      <x v="918"/>
    </i>
    <i>
      <x v="523"/>
    </i>
    <i>
      <x v="383"/>
    </i>
    <i>
      <x v="869"/>
    </i>
    <i>
      <x v="29"/>
    </i>
    <i>
      <x v="928"/>
    </i>
    <i>
      <x v="462"/>
    </i>
  </rowItems>
  <colFields count="2">
    <field x="1"/>
    <field x="2"/>
  </colFields>
  <colItems count="25">
    <i>
      <x/>
      <x v="34"/>
    </i>
    <i r="1">
      <x v="68"/>
    </i>
    <i r="1">
      <x v="166"/>
    </i>
    <i>
      <x v="1"/>
      <x v="68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>
      <x v="2"/>
      <x v="161"/>
    </i>
    <i r="1">
      <x v="162"/>
    </i>
    <i r="1">
      <x v="163"/>
    </i>
    <i r="1">
      <x v="164"/>
    </i>
    <i r="1">
      <x v="165"/>
    </i>
    <i>
      <x v="5"/>
      <x v="18"/>
    </i>
    <i r="1">
      <x v="34"/>
    </i>
    <i r="1">
      <x v="48"/>
    </i>
    <i r="1">
      <x v="105"/>
    </i>
    <i>
      <x v="8"/>
      <x v="18"/>
    </i>
    <i r="1">
      <x v="34"/>
    </i>
    <i r="1">
      <x v="167"/>
    </i>
    <i>
      <x v="10"/>
      <x v="34"/>
    </i>
    <i t="grand">
      <x/>
    </i>
  </colItems>
  <pageFields count="2">
    <pageField fld="3" hier="-1"/>
    <pageField fld="0" item="22" hier="-1"/>
  </pageFields>
  <dataFields count="1">
    <dataField name="Sum of Points" fld="8" baseField="7" baseItem="338" numFmtId="3"/>
  </dataFields>
  <formats count="27">
    <format dxfId="1127">
      <pivotArea dataOnly="0" labelOnly="1" outline="0" fieldPosition="0">
        <references count="1">
          <reference field="9" count="50">
            <x v="5"/>
            <x v="42"/>
            <x v="60"/>
            <x v="63"/>
            <x v="101"/>
            <x v="108"/>
            <x v="110"/>
            <x v="133"/>
            <x v="139"/>
            <x v="160"/>
            <x v="167"/>
            <x v="168"/>
            <x v="169"/>
            <x v="240"/>
            <x v="268"/>
            <x v="289"/>
            <x v="301"/>
            <x v="307"/>
            <x v="337"/>
            <x v="369"/>
            <x v="378"/>
            <x v="386"/>
            <x v="400"/>
            <x v="407"/>
            <x v="409"/>
            <x v="426"/>
            <x v="462"/>
            <x v="463"/>
            <x v="468"/>
            <x v="500"/>
            <x v="508"/>
            <x v="514"/>
            <x v="524"/>
            <x v="531"/>
            <x v="538"/>
            <x v="544"/>
            <x v="545"/>
            <x v="552"/>
            <x v="556"/>
            <x v="580"/>
            <x v="581"/>
            <x v="589"/>
            <x v="599"/>
            <x v="635"/>
            <x v="647"/>
            <x v="672"/>
            <x v="676"/>
            <x v="688"/>
            <x v="693"/>
            <x v="705"/>
          </reference>
        </references>
      </pivotArea>
    </format>
    <format dxfId="1126">
      <pivotArea dataOnly="0" labelOnly="1" outline="0" fieldPosition="0">
        <references count="1">
          <reference field="9" count="50">
            <x v="14"/>
            <x v="27"/>
            <x v="30"/>
            <x v="44"/>
            <x v="53"/>
            <x v="65"/>
            <x v="73"/>
            <x v="114"/>
            <x v="122"/>
            <x v="154"/>
            <x v="158"/>
            <x v="172"/>
            <x v="201"/>
            <x v="206"/>
            <x v="212"/>
            <x v="223"/>
            <x v="229"/>
            <x v="247"/>
            <x v="260"/>
            <x v="319"/>
            <x v="340"/>
            <x v="367"/>
            <x v="370"/>
            <x v="374"/>
            <x v="393"/>
            <x v="434"/>
            <x v="443"/>
            <x v="447"/>
            <x v="454"/>
            <x v="477"/>
            <x v="484"/>
            <x v="489"/>
            <x v="495"/>
            <x v="501"/>
            <x v="507"/>
            <x v="525"/>
            <x v="548"/>
            <x v="571"/>
            <x v="574"/>
            <x v="604"/>
            <x v="611"/>
            <x v="621"/>
            <x v="627"/>
            <x v="629"/>
            <x v="631"/>
            <x v="637"/>
            <x v="641"/>
            <x v="673"/>
            <x v="678"/>
            <x v="691"/>
          </reference>
        </references>
      </pivotArea>
    </format>
    <format dxfId="1125">
      <pivotArea dataOnly="0" labelOnly="1" outline="0" fieldPosition="0">
        <references count="1">
          <reference field="9" count="50">
            <x v="19"/>
            <x v="34"/>
            <x v="35"/>
            <x v="61"/>
            <x v="67"/>
            <x v="72"/>
            <x v="84"/>
            <x v="106"/>
            <x v="112"/>
            <x v="121"/>
            <x v="123"/>
            <x v="126"/>
            <x v="127"/>
            <x v="143"/>
            <x v="151"/>
            <x v="164"/>
            <x v="185"/>
            <x v="199"/>
            <x v="228"/>
            <x v="253"/>
            <x v="255"/>
            <x v="261"/>
            <x v="264"/>
            <x v="291"/>
            <x v="292"/>
            <x v="313"/>
            <x v="320"/>
            <x v="328"/>
            <x v="335"/>
            <x v="355"/>
            <x v="362"/>
            <x v="399"/>
            <x v="451"/>
            <x v="466"/>
            <x v="479"/>
            <x v="506"/>
            <x v="509"/>
            <x v="532"/>
            <x v="540"/>
            <x v="542"/>
            <x v="553"/>
            <x v="564"/>
            <x v="565"/>
            <x v="566"/>
            <x v="573"/>
            <x v="606"/>
            <x v="628"/>
            <x v="640"/>
            <x v="671"/>
            <x v="683"/>
          </reference>
        </references>
      </pivotArea>
    </format>
    <format dxfId="1124">
      <pivotArea dataOnly="0" labelOnly="1" outline="0" fieldPosition="0">
        <references count="1">
          <reference field="9" count="50">
            <x v="15"/>
            <x v="79"/>
            <x v="85"/>
            <x v="91"/>
            <x v="125"/>
            <x v="157"/>
            <x v="171"/>
            <x v="178"/>
            <x v="182"/>
            <x v="192"/>
            <x v="194"/>
            <x v="200"/>
            <x v="204"/>
            <x v="209"/>
            <x v="219"/>
            <x v="239"/>
            <x v="244"/>
            <x v="257"/>
            <x v="280"/>
            <x v="288"/>
            <x v="305"/>
            <x v="315"/>
            <x v="327"/>
            <x v="345"/>
            <x v="375"/>
            <x v="379"/>
            <x v="380"/>
            <x v="383"/>
            <x v="392"/>
            <x v="444"/>
            <x v="467"/>
            <x v="478"/>
            <x v="480"/>
            <x v="516"/>
            <x v="517"/>
            <x v="518"/>
            <x v="522"/>
            <x v="541"/>
            <x v="577"/>
            <x v="579"/>
            <x v="586"/>
            <x v="601"/>
            <x v="614"/>
            <x v="618"/>
            <x v="625"/>
            <x v="655"/>
            <x v="664"/>
            <x v="680"/>
            <x v="682"/>
            <x v="694"/>
          </reference>
        </references>
      </pivotArea>
    </format>
    <format dxfId="1123">
      <pivotArea dataOnly="0" labelOnly="1" outline="0" fieldPosition="0">
        <references count="1">
          <reference field="9" count="50">
            <x v="18"/>
            <x v="46"/>
            <x v="51"/>
            <x v="64"/>
            <x v="90"/>
            <x v="92"/>
            <x v="93"/>
            <x v="107"/>
            <x v="111"/>
            <x v="120"/>
            <x v="132"/>
            <x v="141"/>
            <x v="163"/>
            <x v="174"/>
            <x v="195"/>
            <x v="202"/>
            <x v="210"/>
            <x v="233"/>
            <x v="237"/>
            <x v="274"/>
            <x v="316"/>
            <x v="324"/>
            <x v="342"/>
            <x v="343"/>
            <x v="346"/>
            <x v="387"/>
            <x v="396"/>
            <x v="405"/>
            <x v="412"/>
            <x v="421"/>
            <x v="445"/>
            <x v="449"/>
            <x v="452"/>
            <x v="474"/>
            <x v="485"/>
            <x v="503"/>
            <x v="526"/>
            <x v="554"/>
            <x v="592"/>
            <x v="594"/>
            <x v="605"/>
            <x v="626"/>
            <x v="633"/>
            <x v="638"/>
            <x v="643"/>
            <x v="649"/>
            <x v="653"/>
            <x v="657"/>
            <x v="663"/>
            <x v="702"/>
          </reference>
        </references>
      </pivotArea>
    </format>
    <format dxfId="1122">
      <pivotArea dataOnly="0" labelOnly="1" outline="0" fieldPosition="0">
        <references count="1">
          <reference field="9" count="50">
            <x v="1"/>
            <x v="16"/>
            <x v="22"/>
            <x v="23"/>
            <x v="31"/>
            <x v="41"/>
            <x v="43"/>
            <x v="86"/>
            <x v="88"/>
            <x v="97"/>
            <x v="104"/>
            <x v="109"/>
            <x v="138"/>
            <x v="150"/>
            <x v="156"/>
            <x v="159"/>
            <x v="162"/>
            <x v="193"/>
            <x v="211"/>
            <x v="226"/>
            <x v="248"/>
            <x v="249"/>
            <x v="256"/>
            <x v="276"/>
            <x v="279"/>
            <x v="323"/>
            <x v="338"/>
            <x v="348"/>
            <x v="364"/>
            <x v="397"/>
            <x v="406"/>
            <x v="433"/>
            <x v="453"/>
            <x v="455"/>
            <x v="458"/>
            <x v="464"/>
            <x v="487"/>
            <x v="488"/>
            <x v="497"/>
            <x v="520"/>
            <x v="549"/>
            <x v="555"/>
            <x v="630"/>
            <x v="634"/>
            <x v="636"/>
            <x v="642"/>
            <x v="659"/>
            <x v="668"/>
            <x v="686"/>
            <x v="704"/>
          </reference>
        </references>
      </pivotArea>
    </format>
    <format dxfId="1121">
      <pivotArea dataOnly="0" labelOnly="1" outline="0" fieldPosition="0">
        <references count="1">
          <reference field="9" count="50">
            <x v="9"/>
            <x v="13"/>
            <x v="25"/>
            <x v="28"/>
            <x v="36"/>
            <x v="54"/>
            <x v="68"/>
            <x v="89"/>
            <x v="116"/>
            <x v="118"/>
            <x v="135"/>
            <x v="137"/>
            <x v="142"/>
            <x v="161"/>
            <x v="170"/>
            <x v="180"/>
            <x v="181"/>
            <x v="183"/>
            <x v="186"/>
            <x v="207"/>
            <x v="215"/>
            <x v="218"/>
            <x v="224"/>
            <x v="243"/>
            <x v="266"/>
            <x v="270"/>
            <x v="271"/>
            <x v="275"/>
            <x v="318"/>
            <x v="331"/>
            <x v="339"/>
            <x v="352"/>
            <x v="354"/>
            <x v="358"/>
            <x v="360"/>
            <x v="382"/>
            <x v="410"/>
            <x v="414"/>
            <x v="431"/>
            <x v="435"/>
            <x v="437"/>
            <x v="439"/>
            <x v="473"/>
            <x v="550"/>
            <x v="608"/>
            <x v="610"/>
            <x v="615"/>
            <x v="645"/>
            <x v="662"/>
            <x v="722"/>
          </reference>
        </references>
      </pivotArea>
    </format>
    <format dxfId="1120">
      <pivotArea dataOnly="0" labelOnly="1" outline="0" fieldPosition="0">
        <references count="1">
          <reference field="9" count="50">
            <x v="6"/>
            <x v="11"/>
            <x v="20"/>
            <x v="45"/>
            <x v="49"/>
            <x v="52"/>
            <x v="57"/>
            <x v="71"/>
            <x v="81"/>
            <x v="128"/>
            <x v="129"/>
            <x v="136"/>
            <x v="144"/>
            <x v="145"/>
            <x v="166"/>
            <x v="203"/>
            <x v="217"/>
            <x v="220"/>
            <x v="258"/>
            <x v="286"/>
            <x v="293"/>
            <x v="297"/>
            <x v="304"/>
            <x v="310"/>
            <x v="326"/>
            <x v="330"/>
            <x v="336"/>
            <x v="350"/>
            <x v="417"/>
            <x v="428"/>
            <x v="441"/>
            <x v="459"/>
            <x v="475"/>
            <x v="486"/>
            <x v="494"/>
            <x v="521"/>
            <x v="543"/>
            <x v="557"/>
            <x v="558"/>
            <x v="568"/>
            <x v="583"/>
            <x v="612"/>
            <x v="624"/>
            <x v="648"/>
            <x v="658"/>
            <x v="669"/>
            <x v="677"/>
            <x v="685"/>
            <x v="689"/>
            <x v="717"/>
          </reference>
        </references>
      </pivotArea>
    </format>
    <format dxfId="1119">
      <pivotArea dataOnly="0" labelOnly="1" outline="0" fieldPosition="0">
        <references count="1">
          <reference field="9" count="50">
            <x v="32"/>
            <x v="70"/>
            <x v="98"/>
            <x v="102"/>
            <x v="113"/>
            <x v="119"/>
            <x v="131"/>
            <x v="149"/>
            <x v="152"/>
            <x v="173"/>
            <x v="227"/>
            <x v="234"/>
            <x v="236"/>
            <x v="263"/>
            <x v="269"/>
            <x v="278"/>
            <x v="281"/>
            <x v="287"/>
            <x v="300"/>
            <x v="309"/>
            <x v="333"/>
            <x v="353"/>
            <x v="384"/>
            <x v="390"/>
            <x v="404"/>
            <x v="423"/>
            <x v="432"/>
            <x v="436"/>
            <x v="461"/>
            <x v="471"/>
            <x v="481"/>
            <x v="490"/>
            <x v="499"/>
            <x v="505"/>
            <x v="510"/>
            <x v="535"/>
            <x v="537"/>
            <x v="578"/>
            <x v="596"/>
            <x v="598"/>
            <x v="619"/>
            <x v="622"/>
            <x v="632"/>
            <x v="644"/>
            <x v="654"/>
            <x v="684"/>
            <x v="690"/>
            <x v="696"/>
            <x v="718"/>
            <x v="723"/>
          </reference>
        </references>
      </pivotArea>
    </format>
    <format dxfId="1118">
      <pivotArea dataOnly="0" labelOnly="1" outline="0" fieldPosition="0">
        <references count="1">
          <reference field="9" count="50">
            <x v="2"/>
            <x v="10"/>
            <x v="12"/>
            <x v="29"/>
            <x v="59"/>
            <x v="74"/>
            <x v="80"/>
            <x v="83"/>
            <x v="115"/>
            <x v="117"/>
            <x v="153"/>
            <x v="184"/>
            <x v="222"/>
            <x v="225"/>
            <x v="235"/>
            <x v="242"/>
            <x v="245"/>
            <x v="250"/>
            <x v="265"/>
            <x v="285"/>
            <x v="290"/>
            <x v="302"/>
            <x v="306"/>
            <x v="332"/>
            <x v="361"/>
            <x v="389"/>
            <x v="394"/>
            <x v="395"/>
            <x v="413"/>
            <x v="418"/>
            <x v="429"/>
            <x v="446"/>
            <x v="450"/>
            <x v="460"/>
            <x v="504"/>
            <x v="511"/>
            <x v="513"/>
            <x v="519"/>
            <x v="536"/>
            <x v="559"/>
            <x v="590"/>
            <x v="597"/>
            <x v="602"/>
            <x v="616"/>
            <x v="617"/>
            <x v="670"/>
            <x v="675"/>
            <x v="709"/>
            <x v="714"/>
            <x v="725"/>
          </reference>
        </references>
      </pivotArea>
    </format>
    <format dxfId="1117">
      <pivotArea dataOnly="0" labelOnly="1" outline="0" fieldPosition="0">
        <references count="1">
          <reference field="9" count="50">
            <x v="3"/>
            <x v="21"/>
            <x v="37"/>
            <x v="39"/>
            <x v="55"/>
            <x v="69"/>
            <x v="75"/>
            <x v="78"/>
            <x v="87"/>
            <x v="96"/>
            <x v="100"/>
            <x v="147"/>
            <x v="155"/>
            <x v="165"/>
            <x v="177"/>
            <x v="189"/>
            <x v="191"/>
            <x v="197"/>
            <x v="252"/>
            <x v="262"/>
            <x v="282"/>
            <x v="284"/>
            <x v="295"/>
            <x v="296"/>
            <x v="314"/>
            <x v="371"/>
            <x v="377"/>
            <x v="391"/>
            <x v="408"/>
            <x v="438"/>
            <x v="482"/>
            <x v="483"/>
            <x v="523"/>
            <x v="551"/>
            <x v="560"/>
            <x v="561"/>
            <x v="562"/>
            <x v="563"/>
            <x v="572"/>
            <x v="585"/>
            <x v="595"/>
            <x v="607"/>
            <x v="660"/>
            <x v="679"/>
            <x v="695"/>
            <x v="697"/>
            <x v="701"/>
            <x v="707"/>
            <x v="708"/>
            <x v="710"/>
          </reference>
        </references>
      </pivotArea>
    </format>
    <format dxfId="1116">
      <pivotArea dataOnly="0" labelOnly="1" outline="0" fieldPosition="0">
        <references count="1">
          <reference field="9" count="50">
            <x v="33"/>
            <x v="56"/>
            <x v="58"/>
            <x v="62"/>
            <x v="94"/>
            <x v="105"/>
            <x v="134"/>
            <x v="190"/>
            <x v="198"/>
            <x v="205"/>
            <x v="214"/>
            <x v="216"/>
            <x v="221"/>
            <x v="230"/>
            <x v="231"/>
            <x v="232"/>
            <x v="238"/>
            <x v="246"/>
            <x v="294"/>
            <x v="298"/>
            <x v="299"/>
            <x v="303"/>
            <x v="317"/>
            <x v="322"/>
            <x v="334"/>
            <x v="347"/>
            <x v="357"/>
            <x v="372"/>
            <x v="376"/>
            <x v="398"/>
            <x v="422"/>
            <x v="515"/>
            <x v="528"/>
            <x v="529"/>
            <x v="534"/>
            <x v="539"/>
            <x v="547"/>
            <x v="570"/>
            <x v="600"/>
            <x v="603"/>
            <x v="613"/>
            <x v="652"/>
            <x v="665"/>
            <x v="674"/>
            <x v="681"/>
            <x v="698"/>
            <x v="699"/>
            <x v="715"/>
            <x v="720"/>
            <x v="727"/>
          </reference>
        </references>
      </pivotArea>
    </format>
    <format dxfId="1115">
      <pivotArea dataOnly="0" labelOnly="1" outline="0" fieldPosition="0">
        <references count="1">
          <reference field="9" count="50">
            <x v="17"/>
            <x v="24"/>
            <x v="38"/>
            <x v="40"/>
            <x v="76"/>
            <x v="77"/>
            <x v="82"/>
            <x v="95"/>
            <x v="99"/>
            <x v="103"/>
            <x v="187"/>
            <x v="196"/>
            <x v="213"/>
            <x v="251"/>
            <x v="254"/>
            <x v="259"/>
            <x v="272"/>
            <x v="273"/>
            <x v="277"/>
            <x v="311"/>
            <x v="368"/>
            <x v="402"/>
            <x v="411"/>
            <x v="424"/>
            <x v="430"/>
            <x v="440"/>
            <x v="442"/>
            <x v="465"/>
            <x v="469"/>
            <x v="470"/>
            <x v="491"/>
            <x v="492"/>
            <x v="546"/>
            <x v="575"/>
            <x v="582"/>
            <x v="584"/>
            <x v="591"/>
            <x v="593"/>
            <x v="620"/>
            <x v="623"/>
            <x v="639"/>
            <x v="651"/>
            <x v="656"/>
            <x v="661"/>
            <x v="666"/>
            <x v="692"/>
            <x v="700"/>
            <x v="711"/>
            <x v="721"/>
            <x v="728"/>
          </reference>
        </references>
      </pivotArea>
    </format>
    <format dxfId="1114">
      <pivotArea dataOnly="0" labelOnly="1" outline="0" fieldPosition="0">
        <references count="1">
          <reference field="9" count="50">
            <x v="4"/>
            <x v="8"/>
            <x v="26"/>
            <x v="47"/>
            <x v="48"/>
            <x v="50"/>
            <x v="66"/>
            <x v="124"/>
            <x v="130"/>
            <x v="146"/>
            <x v="148"/>
            <x v="241"/>
            <x v="267"/>
            <x v="321"/>
            <x v="329"/>
            <x v="344"/>
            <x v="349"/>
            <x v="356"/>
            <x v="359"/>
            <x v="363"/>
            <x v="365"/>
            <x v="373"/>
            <x v="381"/>
            <x v="385"/>
            <x v="388"/>
            <x v="401"/>
            <x v="403"/>
            <x v="415"/>
            <x v="416"/>
            <x v="420"/>
            <x v="425"/>
            <x v="456"/>
            <x v="457"/>
            <x v="476"/>
            <x v="493"/>
            <x v="498"/>
            <x v="502"/>
            <x v="512"/>
            <x v="527"/>
            <x v="530"/>
            <x v="567"/>
            <x v="569"/>
            <x v="587"/>
            <x v="609"/>
            <x v="646"/>
            <x v="650"/>
            <x v="667"/>
            <x v="687"/>
            <x v="703"/>
            <x v="706"/>
          </reference>
        </references>
      </pivotArea>
    </format>
    <format dxfId="1113">
      <pivotArea dataOnly="0" labelOnly="1" outline="0" fieldPosition="0">
        <references count="1">
          <reference field="9" count="18">
            <x v="7"/>
            <x v="176"/>
            <x v="179"/>
            <x v="188"/>
            <x v="208"/>
            <x v="283"/>
            <x v="308"/>
            <x v="312"/>
            <x v="325"/>
            <x v="351"/>
            <x v="366"/>
            <x v="419"/>
            <x v="448"/>
            <x v="472"/>
            <x v="496"/>
            <x v="533"/>
            <x v="576"/>
            <x v="729"/>
          </reference>
        </references>
      </pivotArea>
    </format>
    <format dxfId="1112">
      <pivotArea dataOnly="0" labelOnly="1" outline="0" fieldPosition="0">
        <references count="1">
          <reference field="9" count="1">
            <x v="168"/>
          </reference>
        </references>
      </pivotArea>
    </format>
    <format dxfId="1111">
      <pivotArea dataOnly="0" labelOnly="1" outline="0" fieldPosition="0">
        <references count="1">
          <reference field="9" count="1">
            <x v="378"/>
          </reference>
        </references>
      </pivotArea>
    </format>
    <format dxfId="1110">
      <pivotArea dataOnly="0" labelOnly="1" outline="0" fieldPosition="0">
        <references count="1">
          <reference field="9" count="1">
            <x v="705"/>
          </reference>
        </references>
      </pivotArea>
    </format>
    <format dxfId="1109">
      <pivotArea dataOnly="0" labelOnly="1" outline="0" fieldPosition="0">
        <references count="1">
          <reference field="9" count="1">
            <x v="167"/>
          </reference>
        </references>
      </pivotArea>
    </format>
    <format dxfId="1108">
      <pivotArea dataOnly="0" labelOnly="1" outline="0" fieldPosition="0">
        <references count="1">
          <reference field="9" count="1">
            <x v="268"/>
          </reference>
        </references>
      </pivotArea>
    </format>
    <format dxfId="1107">
      <pivotArea dataOnly="0" labelOnly="1" outline="0" fieldPosition="0">
        <references count="1">
          <reference field="9" count="1">
            <x v="635"/>
          </reference>
        </references>
      </pivotArea>
    </format>
    <format dxfId="1106">
      <pivotArea outline="0" collapsedLevelsAreSubtotals="1" fieldPosition="0">
        <references count="1">
          <reference field="9" count="1" selected="0">
            <x v="538"/>
          </reference>
        </references>
      </pivotArea>
    </format>
    <format dxfId="1105">
      <pivotArea dataOnly="0" labelOnly="1" outline="0" fieldPosition="0">
        <references count="1">
          <reference field="9" count="1">
            <x v="538"/>
          </reference>
        </references>
      </pivotArea>
    </format>
    <format dxfId="1104">
      <pivotArea dataOnly="0" labelOnly="1" outline="0" fieldPosition="0">
        <references count="1">
          <reference field="9" count="26">
            <x v="63"/>
            <x v="101"/>
            <x v="110"/>
            <x v="133"/>
            <x v="160"/>
            <x v="167"/>
            <x v="168"/>
            <x v="268"/>
            <x v="301"/>
            <x v="369"/>
            <x v="378"/>
            <x v="463"/>
            <x v="500"/>
            <x v="508"/>
            <x v="514"/>
            <x v="524"/>
            <x v="538"/>
            <x v="544"/>
            <x v="552"/>
            <x v="580"/>
            <x v="581"/>
            <x v="589"/>
            <x v="599"/>
            <x v="635"/>
            <x v="647"/>
            <x v="705"/>
          </reference>
        </references>
      </pivotArea>
    </format>
    <format dxfId="1103">
      <pivotArea outline="0" collapsedLevelsAreSubtotals="1" fieldPosition="0">
        <references count="1">
          <reference field="9" count="11" selected="0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02">
      <pivotArea dataOnly="0" labelOnly="1" outline="0" fieldPosition="0">
        <references count="1">
          <reference field="9" count="11">
            <x v="42"/>
            <x v="108"/>
            <x v="169"/>
            <x v="289"/>
            <x v="400"/>
            <x v="462"/>
            <x v="531"/>
            <x v="538"/>
            <x v="599"/>
            <x v="635"/>
            <x v="676"/>
          </reference>
        </references>
      </pivotArea>
    </format>
    <format dxfId="1101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89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4" indent="0" compact="0" compactData="0" gridDropZones="1" multipleFieldFilters="0">
  <location ref="A3:F18" firstHeaderRow="2" firstDataRow="2" firstDataCol="5" rowPageCount="1" colPageCount="1"/>
  <pivotFields count="10">
    <pivotField axis="axisRow" compact="0" outline="0"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22"/>
        <item x="17"/>
        <item x="18"/>
        <item x="19"/>
        <item x="20"/>
        <item x="21"/>
      </items>
    </pivotField>
    <pivotField axis="axisRow" compact="0" outline="0" showAll="0" defaultSubtotal="0">
      <items count="11">
        <item x="7"/>
        <item x="0"/>
        <item x="1"/>
        <item x="6"/>
        <item x="2"/>
        <item m="1" x="10"/>
        <item x="3"/>
        <item x="4"/>
        <item x="5"/>
        <item x="9"/>
        <item x="8"/>
      </items>
    </pivotField>
    <pivotField axis="axisRow" compact="0" outline="0" showAll="0" defaultSubtotal="0">
      <items count="175">
        <item x="64"/>
        <item x="73"/>
        <item x="84"/>
        <item x="85"/>
        <item x="48"/>
        <item x="42"/>
        <item x="96"/>
        <item x="60"/>
        <item x="0"/>
        <item x="19"/>
        <item x="89"/>
        <item x="43"/>
        <item x="71"/>
        <item x="94"/>
        <item x="80"/>
        <item x="14"/>
        <item x="38"/>
        <item x="74"/>
        <item x="86"/>
        <item x="49"/>
        <item x="65"/>
        <item x="27"/>
        <item x="34"/>
        <item x="31"/>
        <item x="40"/>
        <item x="90"/>
        <item x="100"/>
        <item x="1"/>
        <item x="3"/>
        <item x="32"/>
        <item x="97"/>
        <item x="104"/>
        <item x="83"/>
        <item x="56"/>
        <item x="59"/>
        <item x="58"/>
        <item x="68"/>
        <item x="24"/>
        <item x="4"/>
        <item x="87"/>
        <item x="47"/>
        <item x="53"/>
        <item x="69"/>
        <item x="61"/>
        <item x="36"/>
        <item x="20"/>
        <item x="75"/>
        <item x="44"/>
        <item x="8"/>
        <item x="76"/>
        <item x="101"/>
        <item x="77"/>
        <item x="102"/>
        <item x="35"/>
        <item x="88"/>
        <item x="2"/>
        <item x="78"/>
        <item x="62"/>
        <item x="91"/>
        <item x="66"/>
        <item x="70"/>
        <item x="6"/>
        <item x="25"/>
        <item x="29"/>
        <item x="98"/>
        <item x="22"/>
        <item x="15"/>
        <item x="18"/>
        <item x="33"/>
        <item x="11"/>
        <item x="21"/>
        <item x="41"/>
        <item x="17"/>
        <item x="81"/>
        <item x="72"/>
        <item x="95"/>
        <item x="7"/>
        <item x="16"/>
        <item x="99"/>
        <item x="46"/>
        <item x="51"/>
        <item x="55"/>
        <item x="45"/>
        <item x="30"/>
        <item x="26"/>
        <item x="103"/>
        <item x="23"/>
        <item x="67"/>
        <item x="54"/>
        <item x="92"/>
        <item x="82"/>
        <item x="57"/>
        <item x="52"/>
        <item x="28"/>
        <item x="9"/>
        <item x="39"/>
        <item x="12"/>
        <item x="37"/>
        <item x="63"/>
        <item x="10"/>
        <item x="5"/>
        <item x="13"/>
        <item x="93"/>
        <item x="79"/>
        <item x="50"/>
        <item x="116"/>
        <item x="117"/>
        <item x="114"/>
        <item x="115"/>
        <item x="106"/>
        <item x="105"/>
        <item x="107"/>
        <item x="112"/>
        <item x="111"/>
        <item x="110"/>
        <item x="108"/>
        <item x="113"/>
        <item x="109"/>
        <item x="174"/>
        <item x="125"/>
        <item x="123"/>
        <item x="124"/>
        <item x="119"/>
        <item x="118"/>
        <item x="120"/>
        <item x="122"/>
        <item x="121"/>
        <item x="138"/>
        <item x="134"/>
        <item x="136"/>
        <item x="137"/>
        <item x="135"/>
        <item x="129"/>
        <item x="132"/>
        <item x="130"/>
        <item x="128"/>
        <item x="131"/>
        <item x="126"/>
        <item x="133"/>
        <item x="127"/>
        <item x="147"/>
        <item x="145"/>
        <item x="146"/>
        <item x="141"/>
        <item x="144"/>
        <item x="142"/>
        <item x="143"/>
        <item x="140"/>
        <item x="139"/>
        <item x="159"/>
        <item x="156"/>
        <item x="158"/>
        <item x="157"/>
        <item x="155"/>
        <item x="148"/>
        <item x="152"/>
        <item x="150"/>
        <item x="153"/>
        <item x="151"/>
        <item x="149"/>
        <item x="154"/>
        <item x="162"/>
        <item x="166"/>
        <item x="165"/>
        <item x="164"/>
        <item x="163"/>
        <item x="161"/>
        <item x="160"/>
        <item x="167"/>
        <item x="168"/>
        <item x="169"/>
        <item x="170"/>
        <item x="171"/>
        <item x="172"/>
        <item x="173"/>
      </items>
    </pivotField>
    <pivotField axis="axisRow" compact="0" outline="0" showAll="0" defaultSubtotal="0">
      <items count="15">
        <item x="0"/>
        <item x="10"/>
        <item x="11"/>
        <item x="3"/>
        <item x="8"/>
        <item x="1"/>
        <item x="2"/>
        <item x="6"/>
        <item x="7"/>
        <item x="9"/>
        <item x="4"/>
        <item x="5"/>
        <item x="12"/>
        <item x="14"/>
        <item x="13"/>
      </items>
    </pivotField>
    <pivotField compact="0" outline="0" showAll="0"/>
    <pivotField axis="axisRow" compact="0" outline="0" showAll="0" defaultSubtotal="0">
      <items count="100">
        <item x="0"/>
        <item x="95"/>
        <item x="1"/>
        <item x="2"/>
        <item x="3"/>
        <item x="90"/>
        <item x="4"/>
        <item x="98"/>
        <item x="5"/>
        <item x="97"/>
        <item x="6"/>
        <item x="7"/>
        <item x="8"/>
        <item x="9"/>
        <item x="91"/>
        <item x="10"/>
        <item x="11"/>
        <item x="12"/>
        <item x="13"/>
        <item x="92"/>
        <item x="14"/>
        <item x="96"/>
        <item x="15"/>
        <item x="16"/>
        <item x="17"/>
        <item x="18"/>
        <item x="19"/>
        <item x="9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94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9"/>
      </items>
    </pivotField>
    <pivotField compact="0" outline="0" showAll="0"/>
    <pivotField compact="0" outline="0" showAll="0"/>
    <pivotField dataField="1" compact="0" outline="0" showAll="0"/>
    <pivotField axis="axisPage" compact="0" outline="0" showAll="0">
      <items count="940">
        <item m="1" x="926"/>
        <item x="571"/>
        <item x="665"/>
        <item x="102"/>
        <item x="225"/>
        <item x="150"/>
        <item x="407"/>
        <item x="734"/>
        <item x="80"/>
        <item x="355"/>
        <item x="461"/>
        <item x="48"/>
        <item x="264"/>
        <item x="573"/>
        <item x="403"/>
        <item x="53"/>
        <item x="24"/>
        <item x="662"/>
        <item x="516"/>
        <item x="515"/>
        <item x="320"/>
        <item x="346"/>
        <item m="1" x="861"/>
        <item x="418"/>
        <item x="644"/>
        <item x="246"/>
        <item x="666"/>
        <item x="682"/>
        <item x="725"/>
        <item x="384"/>
        <item x="270"/>
        <item x="36"/>
        <item x="691"/>
        <item x="117"/>
        <item x="656"/>
        <item x="557"/>
        <item m="1" x="893"/>
        <item x="709"/>
        <item x="20"/>
        <item x="595"/>
        <item x="631"/>
        <item x="409"/>
        <item x="492"/>
        <item x="623"/>
        <item x="624"/>
        <item x="625"/>
        <item x="626"/>
        <item x="514"/>
        <item x="291"/>
        <item x="405"/>
        <item x="688"/>
        <item x="720"/>
        <item x="648"/>
        <item x="34"/>
        <item x="647"/>
        <item x="118"/>
        <item x="537"/>
        <item x="323"/>
        <item x="166"/>
        <item x="72"/>
        <item x="128"/>
        <item x="679"/>
        <item x="489"/>
        <item x="398"/>
        <item x="12"/>
        <item x="578"/>
        <item x="179"/>
        <item x="317"/>
        <item x="711"/>
        <item x="52"/>
        <item x="217"/>
        <item x="680"/>
        <item x="263"/>
        <item x="172"/>
        <item x="314"/>
        <item x="414"/>
        <item x="130"/>
        <item x="214"/>
        <item x="381"/>
        <item x="39"/>
        <item x="649"/>
        <item x="243"/>
        <item x="335"/>
        <item x="559"/>
        <item x="429"/>
        <item x="503"/>
        <item x="338"/>
        <item x="439"/>
        <item x="478"/>
        <item x="276"/>
        <item x="599"/>
        <item x="458"/>
        <item x="254"/>
        <item x="684"/>
        <item x="741"/>
        <item x="484"/>
        <item x="685"/>
        <item x="29"/>
        <item x="329"/>
        <item x="536"/>
        <item x="677"/>
        <item x="579"/>
        <item x="408"/>
        <item x="554"/>
        <item x="715"/>
        <item m="1" x="918"/>
        <item x="568"/>
        <item x="58"/>
        <item x="113"/>
        <item x="121"/>
        <item x="562"/>
        <item m="1" x="907"/>
        <item m="1" x="900"/>
        <item x="449"/>
        <item x="279"/>
        <item x="363"/>
        <item x="551"/>
        <item x="224"/>
        <item x="44"/>
        <item x="427"/>
        <item x="614"/>
        <item x="585"/>
        <item x="357"/>
        <item x="491"/>
        <item x="676"/>
        <item x="486"/>
        <item x="336"/>
        <item x="55"/>
        <item m="1" x="863"/>
        <item m="1" x="855"/>
        <item x="710"/>
        <item x="7"/>
        <item x="531"/>
        <item x="401"/>
        <item x="148"/>
        <item x="366"/>
        <item x="672"/>
        <item x="482"/>
        <item x="504"/>
        <item m="1" x="871"/>
        <item x="156"/>
        <item x="134"/>
        <item x="236"/>
        <item x="152"/>
        <item x="93"/>
        <item x="226"/>
        <item x="387"/>
        <item m="1" x="906"/>
        <item x="452"/>
        <item x="337"/>
        <item x="643"/>
        <item x="524"/>
        <item x="616"/>
        <item x="556"/>
        <item x="103"/>
        <item x="282"/>
        <item x="543"/>
        <item x="360"/>
        <item x="305"/>
        <item x="651"/>
        <item x="493"/>
        <item x="140"/>
        <item m="1" x="908"/>
        <item x="97"/>
        <item x="370"/>
        <item x="251"/>
        <item x="345"/>
        <item x="379"/>
        <item x="645"/>
        <item x="593"/>
        <item x="138"/>
        <item m="1" x="884"/>
        <item m="1" x="925"/>
        <item m="1" x="892"/>
        <item x="111"/>
        <item x="322"/>
        <item x="437"/>
        <item x="266"/>
        <item x="256"/>
        <item x="176"/>
        <item x="542"/>
        <item m="1" x="886"/>
        <item x="308"/>
        <item x="575"/>
        <item x="367"/>
        <item x="64"/>
        <item x="13"/>
        <item x="499"/>
        <item m="1" x="865"/>
        <item x="393"/>
        <item x="124"/>
        <item x="617"/>
        <item x="353"/>
        <item x="518"/>
        <item x="51"/>
        <item x="655"/>
        <item x="280"/>
        <item x="244"/>
        <item x="490"/>
        <item x="525"/>
        <item x="198"/>
        <item x="209"/>
        <item m="1" x="902"/>
        <item x="199"/>
        <item x="341"/>
        <item x="511"/>
        <item m="1" x="896"/>
        <item x="49"/>
        <item x="670"/>
        <item x="431"/>
        <item x="755"/>
        <item x="637"/>
        <item x="114"/>
        <item x="555"/>
        <item x="521"/>
        <item x="457"/>
        <item x="76"/>
        <item x="473"/>
        <item x="738"/>
        <item x="248"/>
        <item x="410"/>
        <item x="663"/>
        <item x="540"/>
        <item x="59"/>
        <item x="721"/>
        <item x="523"/>
        <item x="358"/>
        <item x="667"/>
        <item x="703"/>
        <item x="269"/>
        <item x="86"/>
        <item x="318"/>
        <item x="163"/>
        <item x="88"/>
        <item m="1" x="928"/>
        <item x="567"/>
        <item x="377"/>
        <item x="438"/>
        <item x="633"/>
        <item x="597"/>
        <item x="203"/>
        <item x="495"/>
        <item x="218"/>
        <item x="394"/>
        <item x="170"/>
        <item x="75"/>
        <item x="390"/>
        <item m="1" x="933"/>
        <item x="141"/>
        <item x="249"/>
        <item x="186"/>
        <item x="208"/>
        <item x="683"/>
        <item x="621"/>
        <item x="376"/>
        <item x="587"/>
        <item x="546"/>
        <item x="416"/>
        <item x="388"/>
        <item x="149"/>
        <item x="292"/>
        <item x="250"/>
        <item x="162"/>
        <item x="396"/>
        <item x="268"/>
        <item x="566"/>
        <item x="195"/>
        <item x="497"/>
        <item x="310"/>
        <item m="1" x="932"/>
        <item x="365"/>
        <item x="745"/>
        <item x="137"/>
        <item x="448"/>
        <item x="122"/>
        <item x="459"/>
        <item x="200"/>
        <item x="630"/>
        <item x="274"/>
        <item x="560"/>
        <item x="411"/>
        <item x="123"/>
        <item x="6"/>
        <item x="164"/>
        <item x="675"/>
        <item x="289"/>
        <item x="63"/>
        <item x="211"/>
        <item x="619"/>
        <item x="50"/>
        <item x="319"/>
        <item x="175"/>
        <item x="245"/>
        <item x="704"/>
        <item m="1" x="911"/>
        <item x="330"/>
        <item x="116"/>
        <item x="435"/>
        <item x="581"/>
        <item x="586"/>
        <item x="467"/>
        <item x="620"/>
        <item x="74"/>
        <item x="712"/>
        <item x="265"/>
        <item x="296"/>
        <item x="222"/>
        <item x="539"/>
        <item x="456"/>
        <item x="564"/>
        <item x="508"/>
        <item x="221"/>
        <item x="538"/>
        <item m="1" x="934"/>
        <item x="837"/>
        <item x="485"/>
        <item x="171"/>
        <item x="272"/>
        <item m="1" x="936"/>
        <item x="213"/>
        <item x="717"/>
        <item x="373"/>
        <item x="299"/>
        <item x="178"/>
        <item x="498"/>
        <item x="422"/>
        <item x="312"/>
        <item x="372"/>
        <item x="747"/>
        <item x="14"/>
        <item x="533"/>
        <item x="608"/>
        <item x="26"/>
        <item x="532"/>
        <item x="378"/>
        <item x="404"/>
        <item x="690"/>
        <item x="257"/>
        <item x="40"/>
        <item x="419"/>
        <item x="402"/>
        <item x="694"/>
        <item x="750"/>
        <item x="354"/>
        <item x="0"/>
        <item x="689"/>
        <item x="90"/>
        <item x="728"/>
        <item m="1" x="901"/>
        <item x="54"/>
        <item x="488"/>
        <item x="215"/>
        <item x="205"/>
        <item x="613"/>
        <item x="206"/>
        <item x="295"/>
        <item x="204"/>
        <item x="191"/>
        <item x="258"/>
        <item x="19"/>
        <item x="364"/>
        <item x="752"/>
        <item x="622"/>
        <item x="371"/>
        <item x="428"/>
        <item x="413"/>
        <item x="642"/>
        <item x="737"/>
        <item x="596"/>
        <item x="210"/>
        <item x="25"/>
        <item x="695"/>
        <item x="714"/>
        <item x="82"/>
        <item x="185"/>
        <item x="107"/>
        <item x="187"/>
        <item x="359"/>
        <item x="445"/>
        <item x="465"/>
        <item x="77"/>
        <item x="572"/>
        <item x="455"/>
        <item x="271"/>
        <item x="159"/>
        <item x="293"/>
        <item x="328"/>
        <item x="434"/>
        <item x="743"/>
        <item x="430"/>
        <item m="1" x="916"/>
        <item x="535"/>
        <item x="136"/>
        <item x="669"/>
        <item x="600"/>
        <item x="607"/>
        <item x="653"/>
        <item x="526"/>
        <item x="229"/>
        <item x="609"/>
        <item x="79"/>
        <item x="527"/>
        <item x="324"/>
        <item x="406"/>
        <item x="576"/>
        <item m="1" x="868"/>
        <item x="464"/>
        <item x="574"/>
        <item x="112"/>
        <item x="71"/>
        <item x="313"/>
        <item x="472"/>
        <item x="415"/>
        <item m="1" x="891"/>
        <item x="612"/>
        <item x="719"/>
        <item x="442"/>
        <item x="722"/>
        <item x="707"/>
        <item x="197"/>
        <item x="753"/>
        <item x="589"/>
        <item x="477"/>
        <item x="38"/>
        <item x="386"/>
        <item x="277"/>
        <item x="502"/>
        <item m="1" x="894"/>
        <item x="94"/>
        <item x="348"/>
        <item x="120"/>
        <item x="565"/>
        <item x="193"/>
        <item x="748"/>
        <item x="723"/>
        <item x="635"/>
        <item x="300"/>
        <item x="640"/>
        <item x="27"/>
        <item x="35"/>
        <item x="344"/>
        <item m="1" x="903"/>
        <item x="460"/>
        <item x="133"/>
        <item x="604"/>
        <item x="173"/>
        <item m="1" x="860"/>
        <item x="400"/>
        <item x="558"/>
        <item x="541"/>
        <item x="62"/>
        <item x="469"/>
        <item x="326"/>
        <item x="686"/>
        <item x="260"/>
        <item x="646"/>
        <item x="610"/>
        <item x="219"/>
        <item x="89"/>
        <item x="70"/>
        <item x="705"/>
        <item x="615"/>
        <item m="1" x="919"/>
        <item x="603"/>
        <item x="352"/>
        <item x="399"/>
        <item x="42"/>
        <item x="520"/>
        <item x="693"/>
        <item x="145"/>
        <item m="1" x="890"/>
        <item x="706"/>
        <item x="451"/>
        <item m="1" x="862"/>
        <item m="1" x="879"/>
        <item m="1" x="878"/>
        <item x="432"/>
        <item x="771"/>
        <item x="168"/>
        <item x="668"/>
        <item x="505"/>
        <item x="253"/>
        <item x="201"/>
        <item x="174"/>
        <item x="590"/>
        <item x="454"/>
        <item x="220"/>
        <item x="382"/>
        <item x="727"/>
        <item x="362"/>
        <item x="746"/>
        <item x="216"/>
        <item m="1" x="898"/>
        <item x="110"/>
        <item x="726"/>
        <item x="664"/>
        <item x="194"/>
        <item x="494"/>
        <item x="470"/>
        <item x="441"/>
        <item x="708"/>
        <item x="730"/>
        <item x="321"/>
        <item x="629"/>
        <item x="471"/>
        <item x="652"/>
        <item x="716"/>
        <item x="479"/>
        <item x="182"/>
        <item x="239"/>
        <item x="447"/>
        <item x="69"/>
        <item x="151"/>
        <item x="735"/>
        <item x="724"/>
        <item x="500"/>
        <item x="544"/>
        <item x="375"/>
        <item x="298"/>
        <item x="83"/>
        <item x="45"/>
        <item x="395"/>
        <item x="31"/>
        <item x="577"/>
        <item x="332"/>
        <item x="701"/>
        <item x="529"/>
        <item x="507"/>
        <item m="1" x="883"/>
        <item x="552"/>
        <item x="440"/>
        <item x="584"/>
        <item x="729"/>
        <item x="433"/>
        <item x="671"/>
        <item x="21"/>
        <item x="91"/>
        <item x="67"/>
        <item x="563"/>
        <item x="135"/>
        <item x="350"/>
        <item x="184"/>
        <item m="1" x="877"/>
        <item x="234"/>
        <item x="606"/>
        <item x="700"/>
        <item x="207"/>
        <item x="78"/>
        <item x="674"/>
        <item x="548"/>
        <item x="549"/>
        <item m="1" x="873"/>
        <item x="740"/>
        <item x="169"/>
        <item x="98"/>
        <item x="126"/>
        <item x="3"/>
        <item x="147"/>
        <item x="30"/>
        <item x="443"/>
        <item x="284"/>
        <item x="101"/>
        <item x="57"/>
        <item x="230"/>
        <item x="8"/>
        <item x="639"/>
        <item x="2"/>
        <item x="385"/>
        <item x="751"/>
        <item x="699"/>
        <item x="754"/>
        <item x="736"/>
        <item x="361"/>
        <item x="46"/>
        <item x="192"/>
        <item x="654"/>
        <item m="1" x="910"/>
        <item x="275"/>
        <item x="202"/>
        <item x="580"/>
        <item x="553"/>
        <item x="306"/>
        <item x="333"/>
        <item x="142"/>
        <item x="68"/>
        <item x="339"/>
        <item x="374"/>
        <item x="627"/>
        <item x="84"/>
        <item x="17"/>
        <item m="1" x="885"/>
        <item x="106"/>
        <item x="550"/>
        <item x="661"/>
        <item x="547"/>
        <item x="278"/>
        <item x="444"/>
        <item x="1"/>
        <item x="425"/>
        <item x="105"/>
        <item x="158"/>
        <item x="238"/>
        <item x="638"/>
        <item x="115"/>
        <item x="262"/>
        <item x="233"/>
        <item x="92"/>
        <item x="446"/>
        <item x="28"/>
        <item m="1" x="888"/>
        <item x="95"/>
        <item x="157"/>
        <item x="60"/>
        <item x="424"/>
        <item x="315"/>
        <item x="155"/>
        <item x="127"/>
        <item m="1" x="858"/>
        <item x="131"/>
        <item x="87"/>
        <item x="85"/>
        <item x="687"/>
        <item x="509"/>
        <item x="241"/>
        <item x="718"/>
        <item x="634"/>
        <item x="223"/>
        <item x="588"/>
        <item x="43"/>
        <item m="1" x="869"/>
        <item x="349"/>
        <item x="232"/>
        <item m="1" x="938"/>
        <item m="1" x="887"/>
        <item m="1" x="924"/>
        <item x="496"/>
        <item x="476"/>
        <item x="389"/>
        <item x="517"/>
        <item x="392"/>
        <item x="177"/>
        <item x="657"/>
        <item x="483"/>
        <item m="1" x="913"/>
        <item x="15"/>
        <item x="132"/>
        <item x="160"/>
        <item x="466"/>
        <item x="849"/>
        <item x="334"/>
        <item x="611"/>
        <item x="302"/>
        <item x="301"/>
        <item x="294"/>
        <item x="16"/>
        <item x="756"/>
        <item x="510"/>
        <item x="474"/>
        <item x="297"/>
        <item x="23"/>
        <item x="391"/>
        <item x="153"/>
        <item x="453"/>
        <item x="582"/>
        <item x="660"/>
        <item x="512"/>
        <item x="183"/>
        <item x="506"/>
        <item x="417"/>
        <item x="412"/>
        <item x="65"/>
        <item x="475"/>
        <item m="1" x="889"/>
        <item x="129"/>
        <item x="10"/>
        <item x="744"/>
        <item x="9"/>
        <item x="591"/>
        <item x="81"/>
        <item x="733"/>
        <item x="426"/>
        <item x="628"/>
        <item x="569"/>
        <item x="167"/>
        <item m="1" x="899"/>
        <item x="33"/>
        <item x="673"/>
        <item x="450"/>
        <item x="196"/>
        <item m="1" x="927"/>
        <item x="528"/>
        <item x="658"/>
        <item x="331"/>
        <item x="255"/>
        <item x="325"/>
        <item x="22"/>
        <item x="316"/>
        <item x="247"/>
        <item x="242"/>
        <item x="56"/>
        <item x="340"/>
        <item x="181"/>
        <item x="369"/>
        <item x="304"/>
        <item x="702"/>
        <item x="545"/>
        <item x="347"/>
        <item x="189"/>
        <item x="288"/>
        <item x="732"/>
        <item x="343"/>
        <item x="681"/>
        <item x="143"/>
        <item x="212"/>
        <item x="139"/>
        <item x="99"/>
        <item x="100"/>
        <item x="749"/>
        <item m="1" x="935"/>
        <item x="309"/>
        <item x="66"/>
        <item x="519"/>
        <item x="61"/>
        <item x="696"/>
        <item x="286"/>
        <item x="73"/>
        <item x="261"/>
        <item m="1" x="937"/>
        <item x="368"/>
        <item x="742"/>
        <item x="273"/>
        <item x="601"/>
        <item x="692"/>
        <item x="481"/>
        <item x="570"/>
        <item x="47"/>
        <item x="534"/>
        <item x="231"/>
        <item x="487"/>
        <item x="4"/>
        <item x="267"/>
        <item m="1" x="922"/>
        <item x="397"/>
        <item x="190"/>
        <item x="290"/>
        <item m="1" x="872"/>
        <item x="154"/>
        <item x="144"/>
        <item x="598"/>
        <item x="125"/>
        <item m="1" x="897"/>
        <item x="37"/>
        <item x="463"/>
        <item x="165"/>
        <item x="259"/>
        <item x="698"/>
        <item x="501"/>
        <item m="1" x="880"/>
        <item x="356"/>
        <item x="713"/>
        <item x="678"/>
        <item x="632"/>
        <item m="1" x="909"/>
        <item m="1" x="915"/>
        <item x="480"/>
        <item x="421"/>
        <item x="618"/>
        <item x="146"/>
        <item x="18"/>
        <item x="227"/>
        <item x="739"/>
        <item x="462"/>
        <item m="1" x="917"/>
        <item x="423"/>
        <item m="1" x="923"/>
        <item x="11"/>
        <item x="650"/>
        <item x="420"/>
        <item x="342"/>
        <item x="383"/>
        <item x="237"/>
        <item x="436"/>
        <item x="602"/>
        <item x="583"/>
        <item x="161"/>
        <item x="188"/>
        <item x="468"/>
        <item x="659"/>
        <item x="380"/>
        <item x="530"/>
        <item x="285"/>
        <item x="109"/>
        <item x="351"/>
        <item x="96"/>
        <item x="119"/>
        <item x="180"/>
        <item x="283"/>
        <item x="307"/>
        <item x="41"/>
        <item x="281"/>
        <item m="1" x="882"/>
        <item m="1" x="904"/>
        <item x="235"/>
        <item m="1" x="905"/>
        <item x="108"/>
        <item x="605"/>
        <item x="252"/>
        <item x="287"/>
        <item x="32"/>
        <item x="522"/>
        <item x="327"/>
        <item x="513"/>
        <item x="641"/>
        <item m="1" x="875"/>
        <item m="1" x="874"/>
        <item m="1" x="870"/>
        <item m="1" x="912"/>
        <item x="303"/>
        <item x="228"/>
        <item x="731"/>
        <item x="104"/>
        <item x="5"/>
        <item x="697"/>
        <item x="240"/>
        <item x="311"/>
        <item x="592"/>
        <item x="561"/>
        <item x="757"/>
        <item x="777"/>
        <item x="775"/>
        <item x="776"/>
        <item x="594"/>
        <item x="772"/>
        <item x="773"/>
        <item m="1" x="931"/>
        <item x="774"/>
        <item x="764"/>
        <item x="765"/>
        <item m="1" x="867"/>
        <item x="758"/>
        <item x="759"/>
        <item x="761"/>
        <item x="762"/>
        <item x="763"/>
        <item x="760"/>
        <item x="769"/>
        <item x="766"/>
        <item x="770"/>
        <item x="767"/>
        <item x="768"/>
        <item x="851"/>
        <item m="1" x="866"/>
        <item m="1" x="921"/>
        <item x="785"/>
        <item m="1" x="864"/>
        <item x="636"/>
        <item x="784"/>
        <item x="783"/>
        <item x="779"/>
        <item x="780"/>
        <item m="1" x="914"/>
        <item x="782"/>
        <item x="781"/>
        <item x="778"/>
        <item m="1" x="881"/>
        <item x="798"/>
        <item x="797"/>
        <item x="796"/>
        <item x="789"/>
        <item x="845"/>
        <item x="790"/>
        <item x="786"/>
        <item x="787"/>
        <item x="788"/>
        <item x="791"/>
        <item x="792"/>
        <item x="793"/>
        <item x="795"/>
        <item x="794"/>
        <item m="1" x="856"/>
        <item x="810"/>
        <item m="1" x="930"/>
        <item x="809"/>
        <item x="807"/>
        <item x="808"/>
        <item x="799"/>
        <item x="800"/>
        <item x="801"/>
        <item x="802"/>
        <item m="1" x="876"/>
        <item x="803"/>
        <item x="805"/>
        <item x="806"/>
        <item x="804"/>
        <item m="1" x="920"/>
        <item m="1" x="929"/>
        <item x="831"/>
        <item m="1" x="895"/>
        <item x="830"/>
        <item x="828"/>
        <item x="829"/>
        <item x="814"/>
        <item x="811"/>
        <item x="812"/>
        <item x="813"/>
        <item x="820"/>
        <item x="821"/>
        <item x="816"/>
        <item x="817"/>
        <item x="815"/>
        <item x="822"/>
        <item x="823"/>
        <item x="824"/>
        <item x="818"/>
        <item x="819"/>
        <item x="826"/>
        <item x="827"/>
        <item x="825"/>
        <item x="843"/>
        <item x="842"/>
        <item m="1" x="854"/>
        <item x="844"/>
        <item x="841"/>
        <item x="839"/>
        <item m="1" x="859"/>
        <item x="840"/>
        <item x="838"/>
        <item x="836"/>
        <item x="835"/>
        <item m="1" x="857"/>
        <item x="833"/>
        <item x="834"/>
        <item x="832"/>
        <item x="846"/>
        <item x="847"/>
        <item m="1" x="853"/>
        <item x="848"/>
        <item x="850"/>
        <item m="1" x="852"/>
        <item t="default"/>
      </items>
    </pivotField>
  </pivotFields>
  <rowFields count="5">
    <field x="0"/>
    <field x="1"/>
    <field x="2"/>
    <field x="3"/>
    <field x="5"/>
  </rowFields>
  <rowItems count="14">
    <i>
      <x v="1"/>
      <x v="2"/>
      <x v="55"/>
      <x v="6"/>
      <x v="3"/>
    </i>
    <i>
      <x v="5"/>
      <x v="2"/>
      <x v="53"/>
      <x v="5"/>
      <x v="4"/>
    </i>
    <i>
      <x v="8"/>
      <x v="2"/>
      <x v="100"/>
      <x v="5"/>
      <x v="8"/>
    </i>
    <i>
      <x v="12"/>
      <x v="2"/>
      <x v="100"/>
      <x v="5"/>
      <x v="11"/>
    </i>
    <i>
      <x v="13"/>
      <x v="2"/>
      <x v="100"/>
      <x v="5"/>
      <x v="8"/>
    </i>
    <i>
      <x v="15"/>
      <x v="2"/>
      <x v="100"/>
      <x v="5"/>
      <x v="17"/>
    </i>
    <i>
      <x v="16"/>
      <x v="2"/>
      <x v="117"/>
      <x v="6"/>
      <x v="2"/>
    </i>
    <i>
      <x v="22"/>
      <x v="2"/>
      <x v="170"/>
      <x v="6"/>
      <x/>
    </i>
    <i r="2">
      <x v="171"/>
      <x v="5"/>
      <x v="2"/>
    </i>
    <i r="1">
      <x v="3"/>
      <x v="162"/>
      <x v="3"/>
      <x v="4"/>
    </i>
    <i r="2">
      <x v="165"/>
      <x v="5"/>
      <x v="2"/>
    </i>
    <i r="1">
      <x v="6"/>
      <x v="29"/>
      <x v="5"/>
      <x v="6"/>
    </i>
    <i r="2">
      <x v="55"/>
      <x v="6"/>
      <x v="3"/>
    </i>
    <i r="1">
      <x v="10"/>
      <x v="55"/>
      <x v="6"/>
      <x v="8"/>
    </i>
  </rowItems>
  <colItems count="1">
    <i/>
  </colItems>
  <pageFields count="1">
    <pageField fld="9" item="165" hier="-1"/>
  </pageFields>
  <dataFields count="1">
    <dataField name="Sum of Points" fld="8" baseField="5" baseItem="2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48"/>
  <sheetViews>
    <sheetView zoomScale="75" zoomScaleNormal="75" workbookViewId="0">
      <pane ySplit="2" topLeftCell="A3" activePane="bottomLeft" state="frozen"/>
      <selection pane="bottomLeft" activeCell="A15" sqref="A15"/>
    </sheetView>
  </sheetViews>
  <sheetFormatPr defaultRowHeight="15" x14ac:dyDescent="0.35"/>
  <cols>
    <col min="1" max="1" width="11.25" bestFit="1" customWidth="1"/>
    <col min="2" max="2" width="8.625" bestFit="1" customWidth="1"/>
    <col min="4" max="4" width="12.4375" bestFit="1" customWidth="1"/>
    <col min="5" max="5" width="14.1875" bestFit="1" customWidth="1"/>
    <col min="7" max="7" width="14.1875" bestFit="1" customWidth="1"/>
    <col min="8" max="8" width="11" bestFit="1" customWidth="1"/>
    <col min="10" max="10" width="14.1875" bestFit="1" customWidth="1"/>
    <col min="11" max="11" width="10.1875" bestFit="1" customWidth="1"/>
    <col min="13" max="13" width="63.375" customWidth="1"/>
    <col min="15" max="15" width="11.375" bestFit="1" customWidth="1"/>
    <col min="16" max="16" width="8" bestFit="1" customWidth="1"/>
    <col min="18" max="18" width="12.1875" bestFit="1" customWidth="1"/>
    <col min="19" max="19" width="8.375" bestFit="1" customWidth="1"/>
    <col min="20" max="20" width="9.75" customWidth="1"/>
    <col min="21" max="21" width="12.1875" bestFit="1" customWidth="1"/>
    <col min="22" max="22" width="8.4375" bestFit="1" customWidth="1"/>
    <col min="24" max="24" width="10.375" bestFit="1" customWidth="1"/>
    <col min="25" max="25" width="8.4375" bestFit="1" customWidth="1"/>
  </cols>
  <sheetData>
    <row r="1" spans="1:25" ht="15.45" x14ac:dyDescent="0.4">
      <c r="A1" s="24" t="s">
        <v>1711</v>
      </c>
      <c r="B1" s="24"/>
      <c r="D1" s="24" t="s">
        <v>1819</v>
      </c>
      <c r="E1" s="24"/>
      <c r="G1" s="24" t="s">
        <v>1879</v>
      </c>
      <c r="H1" s="24"/>
      <c r="J1" s="24" t="s">
        <v>2038</v>
      </c>
      <c r="K1" s="24"/>
      <c r="M1" s="3" t="s">
        <v>2039</v>
      </c>
      <c r="O1" s="24" t="s">
        <v>2125</v>
      </c>
      <c r="P1" s="24"/>
      <c r="R1" s="24" t="s">
        <v>2170</v>
      </c>
      <c r="S1" s="24"/>
      <c r="U1" s="24" t="s">
        <v>2246</v>
      </c>
      <c r="V1" s="24"/>
      <c r="X1" s="24" t="s">
        <v>2263</v>
      </c>
      <c r="Y1" s="24"/>
    </row>
    <row r="2" spans="1:25" ht="15.45" x14ac:dyDescent="0.4">
      <c r="A2" s="3" t="s">
        <v>4</v>
      </c>
      <c r="B2" s="3" t="s">
        <v>5</v>
      </c>
      <c r="D2" s="3" t="s">
        <v>4</v>
      </c>
      <c r="E2" s="3" t="s">
        <v>5</v>
      </c>
      <c r="G2" s="3" t="s">
        <v>4</v>
      </c>
      <c r="H2" s="3" t="s">
        <v>5</v>
      </c>
      <c r="J2" s="3" t="s">
        <v>4</v>
      </c>
      <c r="K2" s="3" t="s">
        <v>5</v>
      </c>
      <c r="M2" s="3"/>
      <c r="O2" s="3" t="s">
        <v>4</v>
      </c>
      <c r="P2" s="3" t="s">
        <v>5</v>
      </c>
      <c r="R2" s="3" t="s">
        <v>4</v>
      </c>
      <c r="S2" s="3" t="s">
        <v>5</v>
      </c>
      <c r="U2" s="3" t="s">
        <v>4</v>
      </c>
      <c r="V2" s="3" t="s">
        <v>5</v>
      </c>
      <c r="X2" s="3" t="s">
        <v>4</v>
      </c>
      <c r="Y2" s="3" t="s">
        <v>5</v>
      </c>
    </row>
    <row r="3" spans="1:25" x14ac:dyDescent="0.35">
      <c r="A3" t="s">
        <v>1712</v>
      </c>
      <c r="B3" t="s">
        <v>356</v>
      </c>
      <c r="D3" t="s">
        <v>64</v>
      </c>
      <c r="E3" t="s">
        <v>1712</v>
      </c>
      <c r="G3" t="s">
        <v>1880</v>
      </c>
      <c r="H3" t="s">
        <v>1921</v>
      </c>
      <c r="J3" t="s">
        <v>1713</v>
      </c>
      <c r="K3" t="s">
        <v>159</v>
      </c>
      <c r="M3" t="s">
        <v>2040</v>
      </c>
      <c r="O3" t="s">
        <v>131</v>
      </c>
      <c r="P3" t="s">
        <v>421</v>
      </c>
      <c r="R3" t="s">
        <v>131</v>
      </c>
      <c r="S3" t="s">
        <v>2172</v>
      </c>
      <c r="U3" t="s">
        <v>131</v>
      </c>
      <c r="V3" t="s">
        <v>421</v>
      </c>
      <c r="X3" t="s">
        <v>764</v>
      </c>
      <c r="Y3" t="s">
        <v>901</v>
      </c>
    </row>
    <row r="4" spans="1:25" x14ac:dyDescent="0.35">
      <c r="A4" t="s">
        <v>1713</v>
      </c>
      <c r="B4" t="s">
        <v>159</v>
      </c>
      <c r="D4" t="s">
        <v>16</v>
      </c>
      <c r="E4" t="s">
        <v>1820</v>
      </c>
      <c r="G4" t="s">
        <v>764</v>
      </c>
      <c r="H4" t="s">
        <v>901</v>
      </c>
      <c r="J4" t="s">
        <v>1880</v>
      </c>
      <c r="K4" t="s">
        <v>1921</v>
      </c>
      <c r="M4" t="s">
        <v>2041</v>
      </c>
      <c r="O4" t="s">
        <v>2126</v>
      </c>
      <c r="P4" t="s">
        <v>119</v>
      </c>
      <c r="R4" t="s">
        <v>2173</v>
      </c>
      <c r="S4" t="s">
        <v>2174</v>
      </c>
      <c r="U4" t="s">
        <v>2126</v>
      </c>
      <c r="V4" t="s">
        <v>119</v>
      </c>
      <c r="X4" t="s">
        <v>1227</v>
      </c>
      <c r="Y4" t="s">
        <v>153</v>
      </c>
    </row>
    <row r="5" spans="1:25" x14ac:dyDescent="0.35">
      <c r="A5" t="s">
        <v>525</v>
      </c>
      <c r="B5" t="s">
        <v>89</v>
      </c>
      <c r="D5" t="s">
        <v>159</v>
      </c>
      <c r="E5" t="s">
        <v>1713</v>
      </c>
      <c r="G5" t="s">
        <v>31</v>
      </c>
      <c r="H5" t="s">
        <v>32</v>
      </c>
      <c r="J5" t="s">
        <v>764</v>
      </c>
      <c r="K5" t="s">
        <v>901</v>
      </c>
      <c r="M5" t="s">
        <v>2042</v>
      </c>
      <c r="O5" t="s">
        <v>645</v>
      </c>
      <c r="P5" t="s">
        <v>644</v>
      </c>
      <c r="R5" t="s">
        <v>2173</v>
      </c>
      <c r="S5" t="s">
        <v>2175</v>
      </c>
      <c r="U5" t="s">
        <v>958</v>
      </c>
      <c r="V5" t="s">
        <v>122</v>
      </c>
      <c r="X5" t="s">
        <v>638</v>
      </c>
      <c r="Y5" t="s">
        <v>2264</v>
      </c>
    </row>
    <row r="6" spans="1:25" x14ac:dyDescent="0.35">
      <c r="A6" t="s">
        <v>31</v>
      </c>
      <c r="B6" t="s">
        <v>16</v>
      </c>
      <c r="D6" t="s">
        <v>89</v>
      </c>
      <c r="E6" t="s">
        <v>525</v>
      </c>
      <c r="G6" t="s">
        <v>31</v>
      </c>
      <c r="H6" t="s">
        <v>16</v>
      </c>
      <c r="J6" t="s">
        <v>1714</v>
      </c>
      <c r="K6" t="s">
        <v>2004</v>
      </c>
      <c r="M6" t="s">
        <v>2043</v>
      </c>
      <c r="O6" t="s">
        <v>967</v>
      </c>
      <c r="P6" t="s">
        <v>946</v>
      </c>
      <c r="R6" t="s">
        <v>2126</v>
      </c>
      <c r="S6" t="s">
        <v>2176</v>
      </c>
      <c r="U6" t="s">
        <v>638</v>
      </c>
      <c r="V6" t="s">
        <v>218</v>
      </c>
      <c r="X6" t="s">
        <v>638</v>
      </c>
      <c r="Y6" t="s">
        <v>218</v>
      </c>
    </row>
    <row r="7" spans="1:25" x14ac:dyDescent="0.35">
      <c r="A7" t="s">
        <v>1714</v>
      </c>
      <c r="B7" t="s">
        <v>1715</v>
      </c>
      <c r="D7" t="s">
        <v>16</v>
      </c>
      <c r="E7" t="s">
        <v>31</v>
      </c>
      <c r="G7" t="s">
        <v>231</v>
      </c>
      <c r="H7" t="s">
        <v>232</v>
      </c>
      <c r="J7" t="s">
        <v>1972</v>
      </c>
      <c r="K7" t="s">
        <v>2005</v>
      </c>
      <c r="M7" t="s">
        <v>2044</v>
      </c>
      <c r="O7" t="s">
        <v>958</v>
      </c>
      <c r="P7" t="s">
        <v>122</v>
      </c>
      <c r="R7" t="s">
        <v>645</v>
      </c>
      <c r="S7" t="s">
        <v>2177</v>
      </c>
      <c r="U7" t="s">
        <v>2247</v>
      </c>
      <c r="V7" t="s">
        <v>119</v>
      </c>
      <c r="X7" t="s">
        <v>672</v>
      </c>
      <c r="Y7" t="s">
        <v>673</v>
      </c>
    </row>
    <row r="8" spans="1:25" x14ac:dyDescent="0.35">
      <c r="A8" t="s">
        <v>1716</v>
      </c>
      <c r="B8" t="s">
        <v>1093</v>
      </c>
      <c r="D8" t="s">
        <v>232</v>
      </c>
      <c r="E8" t="s">
        <v>231</v>
      </c>
      <c r="G8" t="s">
        <v>231</v>
      </c>
      <c r="H8" t="s">
        <v>1826</v>
      </c>
      <c r="J8" t="s">
        <v>231</v>
      </c>
      <c r="K8" t="s">
        <v>232</v>
      </c>
      <c r="M8" t="s">
        <v>2045</v>
      </c>
      <c r="O8" t="s">
        <v>2127</v>
      </c>
      <c r="P8" t="s">
        <v>1269</v>
      </c>
      <c r="R8" t="s">
        <v>2128</v>
      </c>
      <c r="S8" t="s">
        <v>2178</v>
      </c>
      <c r="U8" t="s">
        <v>2128</v>
      </c>
      <c r="V8" t="s">
        <v>89</v>
      </c>
      <c r="X8" t="s">
        <v>2265</v>
      </c>
      <c r="Y8" t="s">
        <v>1141</v>
      </c>
    </row>
    <row r="9" spans="1:25" x14ac:dyDescent="0.35">
      <c r="A9" t="s">
        <v>231</v>
      </c>
      <c r="B9" t="s">
        <v>232</v>
      </c>
      <c r="D9" t="s">
        <v>899</v>
      </c>
      <c r="E9" t="s">
        <v>898</v>
      </c>
      <c r="G9" t="s">
        <v>645</v>
      </c>
      <c r="H9" t="s">
        <v>644</v>
      </c>
      <c r="J9" t="s">
        <v>231</v>
      </c>
      <c r="K9" t="s">
        <v>2006</v>
      </c>
      <c r="M9" t="s">
        <v>2046</v>
      </c>
      <c r="O9" t="s">
        <v>653</v>
      </c>
      <c r="P9" t="s">
        <v>920</v>
      </c>
      <c r="R9" t="s">
        <v>70</v>
      </c>
      <c r="S9" t="s">
        <v>2179</v>
      </c>
      <c r="U9" t="s">
        <v>70</v>
      </c>
      <c r="V9" t="s">
        <v>71</v>
      </c>
      <c r="X9" t="s">
        <v>70</v>
      </c>
      <c r="Y9" t="s">
        <v>71</v>
      </c>
    </row>
    <row r="10" spans="1:25" x14ac:dyDescent="0.35">
      <c r="A10" t="s">
        <v>898</v>
      </c>
      <c r="B10" t="s">
        <v>899</v>
      </c>
      <c r="D10" t="s">
        <v>1821</v>
      </c>
      <c r="E10" t="s">
        <v>1822</v>
      </c>
      <c r="G10" t="s">
        <v>898</v>
      </c>
      <c r="H10" t="s">
        <v>899</v>
      </c>
      <c r="J10" t="s">
        <v>898</v>
      </c>
      <c r="K10" t="s">
        <v>899</v>
      </c>
      <c r="M10" t="s">
        <v>2047</v>
      </c>
      <c r="O10" t="s">
        <v>2128</v>
      </c>
      <c r="P10" t="s">
        <v>89</v>
      </c>
      <c r="R10" t="s">
        <v>310</v>
      </c>
      <c r="S10" t="s">
        <v>2180</v>
      </c>
      <c r="U10" t="s">
        <v>310</v>
      </c>
      <c r="V10" t="s">
        <v>119</v>
      </c>
      <c r="X10" t="s">
        <v>310</v>
      </c>
      <c r="Y10" t="s">
        <v>415</v>
      </c>
    </row>
    <row r="11" spans="1:25" x14ac:dyDescent="0.35">
      <c r="A11" t="s">
        <v>226</v>
      </c>
      <c r="B11" t="s">
        <v>227</v>
      </c>
      <c r="D11" t="s">
        <v>665</v>
      </c>
      <c r="E11" t="s">
        <v>1823</v>
      </c>
      <c r="G11" t="s">
        <v>1822</v>
      </c>
      <c r="H11" t="s">
        <v>1821</v>
      </c>
      <c r="J11" t="s">
        <v>1973</v>
      </c>
      <c r="K11" t="s">
        <v>2007</v>
      </c>
      <c r="M11" t="s">
        <v>2048</v>
      </c>
      <c r="O11" t="s">
        <v>70</v>
      </c>
      <c r="P11" t="s">
        <v>71</v>
      </c>
      <c r="R11" t="s">
        <v>731</v>
      </c>
      <c r="S11" t="s">
        <v>2181</v>
      </c>
      <c r="U11" t="s">
        <v>731</v>
      </c>
      <c r="V11" t="s">
        <v>384</v>
      </c>
      <c r="X11" t="s">
        <v>731</v>
      </c>
      <c r="Y11" t="s">
        <v>384</v>
      </c>
    </row>
    <row r="12" spans="1:25" x14ac:dyDescent="0.35">
      <c r="A12" t="s">
        <v>1717</v>
      </c>
      <c r="B12" t="s">
        <v>421</v>
      </c>
      <c r="D12" t="s">
        <v>227</v>
      </c>
      <c r="E12" t="s">
        <v>226</v>
      </c>
      <c r="G12" t="s">
        <v>1881</v>
      </c>
      <c r="H12" t="s">
        <v>384</v>
      </c>
      <c r="J12" t="s">
        <v>1718</v>
      </c>
      <c r="K12" t="s">
        <v>139</v>
      </c>
      <c r="M12" t="s">
        <v>2049</v>
      </c>
      <c r="O12" t="s">
        <v>310</v>
      </c>
      <c r="P12" t="s">
        <v>415</v>
      </c>
      <c r="R12" t="s">
        <v>2182</v>
      </c>
      <c r="S12" t="s">
        <v>2183</v>
      </c>
      <c r="U12" t="s">
        <v>839</v>
      </c>
      <c r="V12" t="s">
        <v>271</v>
      </c>
      <c r="X12" t="s">
        <v>731</v>
      </c>
      <c r="Y12" t="s">
        <v>732</v>
      </c>
    </row>
    <row r="13" spans="1:25" x14ac:dyDescent="0.35">
      <c r="A13" t="s">
        <v>1718</v>
      </c>
      <c r="B13" t="s">
        <v>139</v>
      </c>
      <c r="D13" t="s">
        <v>524</v>
      </c>
      <c r="E13" t="s">
        <v>1719</v>
      </c>
      <c r="G13" t="s">
        <v>226</v>
      </c>
      <c r="H13" t="s">
        <v>227</v>
      </c>
      <c r="J13" t="s">
        <v>1227</v>
      </c>
      <c r="K13" t="s">
        <v>153</v>
      </c>
      <c r="M13" t="s">
        <v>2050</v>
      </c>
      <c r="O13" t="s">
        <v>731</v>
      </c>
      <c r="P13" t="s">
        <v>384</v>
      </c>
      <c r="R13" t="s">
        <v>1978</v>
      </c>
      <c r="S13" t="s">
        <v>2184</v>
      </c>
      <c r="U13" t="s">
        <v>35</v>
      </c>
      <c r="V13" t="s">
        <v>36</v>
      </c>
      <c r="X13" t="s">
        <v>984</v>
      </c>
      <c r="Y13" t="s">
        <v>119</v>
      </c>
    </row>
    <row r="14" spans="1:25" x14ac:dyDescent="0.35">
      <c r="A14" t="s">
        <v>1719</v>
      </c>
      <c r="B14" t="s">
        <v>524</v>
      </c>
      <c r="D14" t="s">
        <v>153</v>
      </c>
      <c r="E14" t="s">
        <v>1519</v>
      </c>
      <c r="G14" t="s">
        <v>1719</v>
      </c>
      <c r="H14" t="s">
        <v>524</v>
      </c>
      <c r="J14" t="s">
        <v>1719</v>
      </c>
      <c r="K14" t="s">
        <v>524</v>
      </c>
      <c r="M14" t="s">
        <v>2051</v>
      </c>
      <c r="O14" t="s">
        <v>2129</v>
      </c>
      <c r="P14" t="s">
        <v>353</v>
      </c>
      <c r="R14" t="s">
        <v>35</v>
      </c>
      <c r="S14" t="s">
        <v>2185</v>
      </c>
      <c r="U14" t="s">
        <v>64</v>
      </c>
      <c r="V14" t="s">
        <v>65</v>
      </c>
      <c r="X14" t="s">
        <v>839</v>
      </c>
      <c r="Y14" t="s">
        <v>271</v>
      </c>
    </row>
    <row r="15" spans="1:25" x14ac:dyDescent="0.35">
      <c r="A15" t="s">
        <v>1720</v>
      </c>
      <c r="B15" t="s">
        <v>11</v>
      </c>
      <c r="D15" t="s">
        <v>324</v>
      </c>
      <c r="E15" t="s">
        <v>958</v>
      </c>
      <c r="G15" t="s">
        <v>1882</v>
      </c>
      <c r="H15" t="s">
        <v>1922</v>
      </c>
      <c r="J15" t="s">
        <v>1974</v>
      </c>
      <c r="K15" t="s">
        <v>11</v>
      </c>
      <c r="M15" t="s">
        <v>2052</v>
      </c>
      <c r="O15" t="s">
        <v>1978</v>
      </c>
      <c r="P15" t="s">
        <v>81</v>
      </c>
      <c r="R15" t="s">
        <v>64</v>
      </c>
      <c r="S15" t="s">
        <v>2186</v>
      </c>
      <c r="U15" t="s">
        <v>2248</v>
      </c>
      <c r="V15" t="s">
        <v>136</v>
      </c>
      <c r="X15" t="s">
        <v>64</v>
      </c>
      <c r="Y15" t="s">
        <v>65</v>
      </c>
    </row>
    <row r="16" spans="1:25" x14ac:dyDescent="0.35">
      <c r="A16" t="s">
        <v>1721</v>
      </c>
      <c r="B16" t="s">
        <v>1722</v>
      </c>
      <c r="D16" t="s">
        <v>1824</v>
      </c>
      <c r="E16" t="s">
        <v>1825</v>
      </c>
      <c r="G16" t="s">
        <v>1519</v>
      </c>
      <c r="H16" t="s">
        <v>153</v>
      </c>
      <c r="J16" t="s">
        <v>1974</v>
      </c>
      <c r="K16" t="s">
        <v>1050</v>
      </c>
      <c r="M16" t="s">
        <v>2053</v>
      </c>
      <c r="O16" t="s">
        <v>2130</v>
      </c>
      <c r="P16" t="s">
        <v>139</v>
      </c>
      <c r="R16" t="s">
        <v>2132</v>
      </c>
      <c r="S16" t="s">
        <v>2187</v>
      </c>
      <c r="U16" t="s">
        <v>2188</v>
      </c>
      <c r="V16" t="s">
        <v>44</v>
      </c>
      <c r="X16" t="s">
        <v>2266</v>
      </c>
      <c r="Y16" t="s">
        <v>136</v>
      </c>
    </row>
    <row r="17" spans="1:25" x14ac:dyDescent="0.35">
      <c r="A17" t="s">
        <v>1519</v>
      </c>
      <c r="B17" t="s">
        <v>153</v>
      </c>
      <c r="D17" t="s">
        <v>221</v>
      </c>
      <c r="E17" t="s">
        <v>1723</v>
      </c>
      <c r="G17" t="s">
        <v>974</v>
      </c>
      <c r="H17" t="s">
        <v>353</v>
      </c>
      <c r="J17" t="s">
        <v>1519</v>
      </c>
      <c r="K17" t="s">
        <v>153</v>
      </c>
      <c r="M17" t="s">
        <v>2054</v>
      </c>
      <c r="O17" t="s">
        <v>2131</v>
      </c>
      <c r="P17" t="s">
        <v>634</v>
      </c>
      <c r="R17" t="s">
        <v>2188</v>
      </c>
      <c r="S17" t="s">
        <v>2186</v>
      </c>
      <c r="U17" t="s">
        <v>2188</v>
      </c>
      <c r="V17" t="s">
        <v>65</v>
      </c>
      <c r="X17" t="s">
        <v>2188</v>
      </c>
      <c r="Y17" t="s">
        <v>65</v>
      </c>
    </row>
    <row r="18" spans="1:25" x14ac:dyDescent="0.35">
      <c r="A18" t="s">
        <v>958</v>
      </c>
      <c r="B18" t="s">
        <v>324</v>
      </c>
      <c r="D18" t="s">
        <v>353</v>
      </c>
      <c r="E18" t="s">
        <v>974</v>
      </c>
      <c r="G18" t="s">
        <v>1724</v>
      </c>
      <c r="H18" t="s">
        <v>65</v>
      </c>
      <c r="J18" t="s">
        <v>1109</v>
      </c>
      <c r="K18" t="s">
        <v>528</v>
      </c>
      <c r="M18" t="s">
        <v>2055</v>
      </c>
      <c r="O18" t="s">
        <v>2131</v>
      </c>
      <c r="P18" t="s">
        <v>429</v>
      </c>
      <c r="R18" t="s">
        <v>2133</v>
      </c>
      <c r="S18" t="s">
        <v>2189</v>
      </c>
      <c r="U18" t="s">
        <v>945</v>
      </c>
      <c r="V18" t="s">
        <v>946</v>
      </c>
      <c r="X18" t="s">
        <v>642</v>
      </c>
      <c r="Y18" t="s">
        <v>136</v>
      </c>
    </row>
    <row r="19" spans="1:25" x14ac:dyDescent="0.35">
      <c r="A19" t="s">
        <v>1723</v>
      </c>
      <c r="B19" t="s">
        <v>221</v>
      </c>
      <c r="D19" t="s">
        <v>52</v>
      </c>
      <c r="E19" t="s">
        <v>1724</v>
      </c>
      <c r="G19" t="s">
        <v>653</v>
      </c>
      <c r="H19" t="s">
        <v>1011</v>
      </c>
      <c r="J19" t="s">
        <v>1975</v>
      </c>
      <c r="K19" t="s">
        <v>131</v>
      </c>
      <c r="M19" t="s">
        <v>2056</v>
      </c>
      <c r="O19" t="s">
        <v>1311</v>
      </c>
      <c r="P19" t="s">
        <v>16</v>
      </c>
      <c r="R19" t="s">
        <v>945</v>
      </c>
      <c r="S19" t="s">
        <v>2190</v>
      </c>
      <c r="U19" t="s">
        <v>1021</v>
      </c>
      <c r="V19" t="s">
        <v>1022</v>
      </c>
      <c r="X19" t="s">
        <v>945</v>
      </c>
      <c r="Y19" t="s">
        <v>946</v>
      </c>
    </row>
    <row r="20" spans="1:25" x14ac:dyDescent="0.35">
      <c r="A20" t="s">
        <v>1724</v>
      </c>
      <c r="B20" t="s">
        <v>65</v>
      </c>
      <c r="D20" t="s">
        <v>269</v>
      </c>
      <c r="E20" t="s">
        <v>1725</v>
      </c>
      <c r="G20" t="s">
        <v>653</v>
      </c>
      <c r="H20" t="s">
        <v>190</v>
      </c>
      <c r="J20" t="s">
        <v>974</v>
      </c>
      <c r="K20" t="s">
        <v>353</v>
      </c>
      <c r="M20" t="s">
        <v>2057</v>
      </c>
      <c r="O20" t="s">
        <v>64</v>
      </c>
      <c r="P20" t="s">
        <v>65</v>
      </c>
      <c r="R20" t="s">
        <v>2191</v>
      </c>
      <c r="S20" t="s">
        <v>2192</v>
      </c>
      <c r="U20" t="s">
        <v>1293</v>
      </c>
      <c r="V20" t="s">
        <v>58</v>
      </c>
      <c r="X20" t="s">
        <v>100</v>
      </c>
      <c r="Y20" t="s">
        <v>52</v>
      </c>
    </row>
    <row r="21" spans="1:25" x14ac:dyDescent="0.35">
      <c r="A21" t="s">
        <v>1725</v>
      </c>
      <c r="B21" t="s">
        <v>269</v>
      </c>
      <c r="D21" t="s">
        <v>58</v>
      </c>
      <c r="E21" t="s">
        <v>601</v>
      </c>
      <c r="G21" t="s">
        <v>653</v>
      </c>
      <c r="H21" t="s">
        <v>1923</v>
      </c>
      <c r="J21" t="s">
        <v>974</v>
      </c>
      <c r="K21" t="s">
        <v>2008</v>
      </c>
      <c r="M21" t="s">
        <v>2058</v>
      </c>
      <c r="O21" t="s">
        <v>2132</v>
      </c>
      <c r="P21" t="s">
        <v>271</v>
      </c>
      <c r="R21" t="s">
        <v>1293</v>
      </c>
      <c r="S21" t="s">
        <v>2193</v>
      </c>
      <c r="U21" t="s">
        <v>1285</v>
      </c>
      <c r="V21" t="s">
        <v>1286</v>
      </c>
      <c r="X21" t="s">
        <v>1021</v>
      </c>
      <c r="Y21" t="s">
        <v>1022</v>
      </c>
    </row>
    <row r="22" spans="1:25" x14ac:dyDescent="0.35">
      <c r="A22" t="s">
        <v>601</v>
      </c>
      <c r="B22" t="s">
        <v>58</v>
      </c>
      <c r="D22" t="s">
        <v>1826</v>
      </c>
      <c r="E22" t="s">
        <v>1827</v>
      </c>
      <c r="G22" t="s">
        <v>601</v>
      </c>
      <c r="H22" t="s">
        <v>58</v>
      </c>
      <c r="J22" t="s">
        <v>1724</v>
      </c>
      <c r="K22" t="s">
        <v>65</v>
      </c>
      <c r="M22" t="s">
        <v>2059</v>
      </c>
      <c r="O22" t="s">
        <v>2133</v>
      </c>
      <c r="P22" t="s">
        <v>703</v>
      </c>
      <c r="R22" t="s">
        <v>2134</v>
      </c>
      <c r="S22" t="s">
        <v>2194</v>
      </c>
      <c r="U22" t="s">
        <v>2135</v>
      </c>
      <c r="V22" t="s">
        <v>20</v>
      </c>
      <c r="X22" t="s">
        <v>2191</v>
      </c>
      <c r="Y22" t="s">
        <v>79</v>
      </c>
    </row>
    <row r="23" spans="1:25" x14ac:dyDescent="0.35">
      <c r="A23" t="s">
        <v>672</v>
      </c>
      <c r="B23" t="s">
        <v>480</v>
      </c>
      <c r="D23" t="s">
        <v>673</v>
      </c>
      <c r="E23" t="s">
        <v>672</v>
      </c>
      <c r="G23" t="s">
        <v>672</v>
      </c>
      <c r="H23" t="s">
        <v>673</v>
      </c>
      <c r="J23" t="s">
        <v>653</v>
      </c>
      <c r="K23" t="s">
        <v>190</v>
      </c>
      <c r="M23" t="s">
        <v>2060</v>
      </c>
      <c r="O23" t="s">
        <v>945</v>
      </c>
      <c r="P23" t="s">
        <v>946</v>
      </c>
      <c r="R23" t="s">
        <v>2135</v>
      </c>
      <c r="S23" t="s">
        <v>2195</v>
      </c>
      <c r="U23" t="s">
        <v>111</v>
      </c>
      <c r="V23" t="s">
        <v>196</v>
      </c>
      <c r="X23" t="s">
        <v>1285</v>
      </c>
      <c r="Y23" t="s">
        <v>1286</v>
      </c>
    </row>
    <row r="24" spans="1:25" x14ac:dyDescent="0.35">
      <c r="A24" t="s">
        <v>1182</v>
      </c>
      <c r="B24" t="s">
        <v>71</v>
      </c>
      <c r="D24" t="s">
        <v>71</v>
      </c>
      <c r="E24" t="s">
        <v>70</v>
      </c>
      <c r="G24" t="s">
        <v>1182</v>
      </c>
      <c r="H24" t="s">
        <v>71</v>
      </c>
      <c r="J24" t="s">
        <v>601</v>
      </c>
      <c r="K24" t="s">
        <v>58</v>
      </c>
      <c r="M24" t="s">
        <v>2061</v>
      </c>
      <c r="O24" t="s">
        <v>2134</v>
      </c>
      <c r="P24" t="s">
        <v>1093</v>
      </c>
      <c r="R24" t="s">
        <v>981</v>
      </c>
      <c r="S24" t="s">
        <v>2196</v>
      </c>
      <c r="U24" t="s">
        <v>991</v>
      </c>
      <c r="V24" t="s">
        <v>64</v>
      </c>
      <c r="X24" t="s">
        <v>2135</v>
      </c>
      <c r="Y24" t="s">
        <v>20</v>
      </c>
    </row>
    <row r="25" spans="1:25" x14ac:dyDescent="0.35">
      <c r="A25" t="s">
        <v>70</v>
      </c>
      <c r="B25" t="s">
        <v>71</v>
      </c>
      <c r="D25" t="s">
        <v>119</v>
      </c>
      <c r="E25" t="s">
        <v>310</v>
      </c>
      <c r="G25" t="s">
        <v>70</v>
      </c>
      <c r="H25" t="s">
        <v>71</v>
      </c>
      <c r="J25" t="s">
        <v>1976</v>
      </c>
      <c r="K25" t="s">
        <v>16</v>
      </c>
      <c r="M25" t="s">
        <v>2062</v>
      </c>
      <c r="O25" t="s">
        <v>2135</v>
      </c>
      <c r="P25" t="s">
        <v>20</v>
      </c>
      <c r="R25" t="s">
        <v>2197</v>
      </c>
      <c r="S25" t="s">
        <v>2198</v>
      </c>
      <c r="U25" t="s">
        <v>981</v>
      </c>
      <c r="V25" t="s">
        <v>982</v>
      </c>
      <c r="X25" t="s">
        <v>991</v>
      </c>
      <c r="Y25" t="s">
        <v>64</v>
      </c>
    </row>
    <row r="26" spans="1:25" x14ac:dyDescent="0.35">
      <c r="A26" t="s">
        <v>310</v>
      </c>
      <c r="B26" t="s">
        <v>119</v>
      </c>
      <c r="D26" t="s">
        <v>1828</v>
      </c>
      <c r="E26" t="s">
        <v>1829</v>
      </c>
      <c r="G26" t="s">
        <v>310</v>
      </c>
      <c r="H26" t="s">
        <v>119</v>
      </c>
      <c r="J26" t="s">
        <v>1977</v>
      </c>
      <c r="K26" t="s">
        <v>73</v>
      </c>
      <c r="M26" t="s">
        <v>2063</v>
      </c>
      <c r="O26" t="s">
        <v>2136</v>
      </c>
      <c r="P26" t="s">
        <v>388</v>
      </c>
      <c r="R26" t="s">
        <v>2197</v>
      </c>
      <c r="S26" t="s">
        <v>2199</v>
      </c>
      <c r="U26" t="s">
        <v>86</v>
      </c>
      <c r="V26" t="s">
        <v>65</v>
      </c>
      <c r="X26" t="s">
        <v>981</v>
      </c>
      <c r="Y26" t="s">
        <v>982</v>
      </c>
    </row>
    <row r="27" spans="1:25" x14ac:dyDescent="0.35">
      <c r="A27" t="s">
        <v>731</v>
      </c>
      <c r="B27" t="s">
        <v>384</v>
      </c>
      <c r="D27" t="s">
        <v>492</v>
      </c>
      <c r="E27" t="s">
        <v>220</v>
      </c>
      <c r="G27" t="s">
        <v>1883</v>
      </c>
      <c r="H27" t="s">
        <v>1924</v>
      </c>
      <c r="J27" t="s">
        <v>672</v>
      </c>
      <c r="K27" t="s">
        <v>673</v>
      </c>
      <c r="M27" t="s">
        <v>2064</v>
      </c>
      <c r="O27" t="s">
        <v>981</v>
      </c>
      <c r="P27" t="s">
        <v>982</v>
      </c>
      <c r="R27" t="s">
        <v>545</v>
      </c>
      <c r="S27" t="s">
        <v>2200</v>
      </c>
      <c r="U27" t="s">
        <v>545</v>
      </c>
      <c r="V27" t="s">
        <v>425</v>
      </c>
      <c r="X27" t="s">
        <v>357</v>
      </c>
      <c r="Y27" t="s">
        <v>463</v>
      </c>
    </row>
    <row r="28" spans="1:25" x14ac:dyDescent="0.35">
      <c r="A28" t="s">
        <v>1726</v>
      </c>
      <c r="B28" t="s">
        <v>44</v>
      </c>
      <c r="D28" t="s">
        <v>218</v>
      </c>
      <c r="E28" t="s">
        <v>1727</v>
      </c>
      <c r="G28" t="s">
        <v>1071</v>
      </c>
      <c r="H28" t="s">
        <v>353</v>
      </c>
      <c r="J28" t="s">
        <v>1182</v>
      </c>
      <c r="K28" t="s">
        <v>71</v>
      </c>
      <c r="M28" t="s">
        <v>2065</v>
      </c>
      <c r="O28" t="s">
        <v>2137</v>
      </c>
      <c r="P28" t="s">
        <v>44</v>
      </c>
      <c r="R28" t="s">
        <v>237</v>
      </c>
      <c r="S28" t="s">
        <v>2201</v>
      </c>
      <c r="U28" t="s">
        <v>357</v>
      </c>
      <c r="V28" t="s">
        <v>463</v>
      </c>
      <c r="X28" t="s">
        <v>237</v>
      </c>
      <c r="Y28" t="s">
        <v>13</v>
      </c>
    </row>
    <row r="29" spans="1:25" x14ac:dyDescent="0.35">
      <c r="A29" t="s">
        <v>1727</v>
      </c>
      <c r="B29" t="s">
        <v>44</v>
      </c>
      <c r="D29" t="s">
        <v>381</v>
      </c>
      <c r="E29" t="s">
        <v>380</v>
      </c>
      <c r="G29" t="s">
        <v>1071</v>
      </c>
      <c r="H29" t="s">
        <v>1925</v>
      </c>
      <c r="J29" t="s">
        <v>70</v>
      </c>
      <c r="K29" t="s">
        <v>71</v>
      </c>
      <c r="M29" t="s">
        <v>2066</v>
      </c>
      <c r="O29" t="s">
        <v>86</v>
      </c>
      <c r="P29" t="s">
        <v>87</v>
      </c>
      <c r="R29" t="s">
        <v>739</v>
      </c>
      <c r="S29" t="s">
        <v>2202</v>
      </c>
      <c r="U29" t="s">
        <v>237</v>
      </c>
      <c r="V29" t="s">
        <v>13</v>
      </c>
      <c r="X29" t="s">
        <v>366</v>
      </c>
      <c r="Y29" t="s">
        <v>61</v>
      </c>
    </row>
    <row r="30" spans="1:25" x14ac:dyDescent="0.35">
      <c r="A30" t="s">
        <v>380</v>
      </c>
      <c r="B30" t="s">
        <v>381</v>
      </c>
      <c r="D30" t="s">
        <v>207</v>
      </c>
      <c r="E30" t="s">
        <v>206</v>
      </c>
      <c r="G30" t="s">
        <v>1884</v>
      </c>
      <c r="H30" t="s">
        <v>1926</v>
      </c>
      <c r="J30" t="s">
        <v>310</v>
      </c>
      <c r="K30" t="s">
        <v>119</v>
      </c>
      <c r="M30" t="s">
        <v>2067</v>
      </c>
      <c r="O30" t="s">
        <v>237</v>
      </c>
      <c r="P30" t="s">
        <v>13</v>
      </c>
      <c r="R30" t="s">
        <v>1090</v>
      </c>
      <c r="S30" t="s">
        <v>2201</v>
      </c>
      <c r="U30" t="s">
        <v>366</v>
      </c>
      <c r="V30" t="s">
        <v>61</v>
      </c>
      <c r="X30" t="s">
        <v>739</v>
      </c>
      <c r="Y30" t="s">
        <v>740</v>
      </c>
    </row>
    <row r="31" spans="1:25" x14ac:dyDescent="0.35">
      <c r="A31" t="s">
        <v>206</v>
      </c>
      <c r="B31" t="s">
        <v>207</v>
      </c>
      <c r="D31" t="s">
        <v>1728</v>
      </c>
      <c r="E31" t="s">
        <v>580</v>
      </c>
      <c r="G31" t="s">
        <v>1885</v>
      </c>
      <c r="H31" t="s">
        <v>489</v>
      </c>
      <c r="J31" t="s">
        <v>762</v>
      </c>
      <c r="K31" t="s">
        <v>65</v>
      </c>
      <c r="M31" t="s">
        <v>2068</v>
      </c>
      <c r="O31" t="s">
        <v>1838</v>
      </c>
      <c r="P31" t="s">
        <v>22</v>
      </c>
      <c r="R31" t="s">
        <v>439</v>
      </c>
      <c r="S31" t="s">
        <v>2203</v>
      </c>
      <c r="U31" t="s">
        <v>1083</v>
      </c>
      <c r="V31" t="s">
        <v>927</v>
      </c>
      <c r="X31" t="s">
        <v>1090</v>
      </c>
      <c r="Y31" t="s">
        <v>421</v>
      </c>
    </row>
    <row r="32" spans="1:25" x14ac:dyDescent="0.35">
      <c r="A32" t="s">
        <v>580</v>
      </c>
      <c r="B32" t="s">
        <v>1728</v>
      </c>
      <c r="D32" t="s">
        <v>28</v>
      </c>
      <c r="E32" t="s">
        <v>1729</v>
      </c>
      <c r="G32" t="s">
        <v>1885</v>
      </c>
      <c r="H32" t="s">
        <v>136</v>
      </c>
      <c r="J32" t="s">
        <v>1071</v>
      </c>
      <c r="K32" t="s">
        <v>353</v>
      </c>
      <c r="M32" t="s">
        <v>2069</v>
      </c>
      <c r="O32" t="s">
        <v>1090</v>
      </c>
      <c r="P32" t="s">
        <v>13</v>
      </c>
      <c r="R32" t="s">
        <v>2138</v>
      </c>
      <c r="S32" t="s">
        <v>2178</v>
      </c>
      <c r="U32" t="s">
        <v>739</v>
      </c>
      <c r="V32" t="s">
        <v>740</v>
      </c>
      <c r="X32" t="s">
        <v>1090</v>
      </c>
      <c r="Y32" t="s">
        <v>13</v>
      </c>
    </row>
    <row r="33" spans="1:25" x14ac:dyDescent="0.35">
      <c r="A33" t="s">
        <v>1729</v>
      </c>
      <c r="B33" t="s">
        <v>28</v>
      </c>
      <c r="D33" t="s">
        <v>282</v>
      </c>
      <c r="E33" t="s">
        <v>281</v>
      </c>
      <c r="G33" t="s">
        <v>1886</v>
      </c>
      <c r="H33" t="s">
        <v>1927</v>
      </c>
      <c r="J33" t="s">
        <v>1885</v>
      </c>
      <c r="K33" t="s">
        <v>2009</v>
      </c>
      <c r="M33" t="s">
        <v>2070</v>
      </c>
      <c r="O33" t="s">
        <v>439</v>
      </c>
      <c r="P33" t="s">
        <v>136</v>
      </c>
      <c r="R33" t="s">
        <v>789</v>
      </c>
      <c r="S33" t="s">
        <v>2204</v>
      </c>
      <c r="U33" t="s">
        <v>439</v>
      </c>
      <c r="V33" t="s">
        <v>136</v>
      </c>
      <c r="X33" t="s">
        <v>439</v>
      </c>
      <c r="Y33" t="s">
        <v>136</v>
      </c>
    </row>
    <row r="34" spans="1:25" x14ac:dyDescent="0.35">
      <c r="A34" t="s">
        <v>1730</v>
      </c>
      <c r="B34" t="s">
        <v>1731</v>
      </c>
      <c r="D34" t="s">
        <v>1830</v>
      </c>
      <c r="E34" t="s">
        <v>1831</v>
      </c>
      <c r="G34" t="s">
        <v>220</v>
      </c>
      <c r="H34" t="s">
        <v>1928</v>
      </c>
      <c r="J34" t="s">
        <v>1885</v>
      </c>
      <c r="K34" t="s">
        <v>489</v>
      </c>
      <c r="M34" t="s">
        <v>2071</v>
      </c>
      <c r="O34" t="s">
        <v>1757</v>
      </c>
      <c r="P34" t="s">
        <v>28</v>
      </c>
      <c r="R34" t="s">
        <v>23</v>
      </c>
      <c r="S34" t="s">
        <v>2205</v>
      </c>
      <c r="U34" t="s">
        <v>1191</v>
      </c>
      <c r="V34" t="s">
        <v>11</v>
      </c>
      <c r="X34" t="s">
        <v>2138</v>
      </c>
      <c r="Y34" t="s">
        <v>89</v>
      </c>
    </row>
    <row r="35" spans="1:25" x14ac:dyDescent="0.35">
      <c r="A35" t="s">
        <v>1311</v>
      </c>
      <c r="B35" t="s">
        <v>16</v>
      </c>
      <c r="D35" t="s">
        <v>128</v>
      </c>
      <c r="E35" t="s">
        <v>1053</v>
      </c>
      <c r="G35" t="s">
        <v>1727</v>
      </c>
      <c r="H35" t="s">
        <v>218</v>
      </c>
      <c r="J35" t="s">
        <v>220</v>
      </c>
      <c r="K35" t="s">
        <v>421</v>
      </c>
      <c r="M35" t="s">
        <v>2072</v>
      </c>
      <c r="O35" t="s">
        <v>1757</v>
      </c>
      <c r="P35" t="s">
        <v>1073</v>
      </c>
      <c r="R35" t="s">
        <v>664</v>
      </c>
      <c r="S35" t="s">
        <v>2206</v>
      </c>
      <c r="U35" t="s">
        <v>789</v>
      </c>
      <c r="V35" t="s">
        <v>77</v>
      </c>
      <c r="X35" t="s">
        <v>789</v>
      </c>
      <c r="Y35" t="s">
        <v>77</v>
      </c>
    </row>
    <row r="36" spans="1:25" x14ac:dyDescent="0.35">
      <c r="A36" t="s">
        <v>35</v>
      </c>
      <c r="B36" t="s">
        <v>36</v>
      </c>
      <c r="D36" t="s">
        <v>1832</v>
      </c>
      <c r="E36" t="s">
        <v>35</v>
      </c>
      <c r="G36" t="s">
        <v>380</v>
      </c>
      <c r="H36" t="s">
        <v>381</v>
      </c>
      <c r="J36" t="s">
        <v>839</v>
      </c>
      <c r="K36" t="s">
        <v>271</v>
      </c>
      <c r="M36" t="s">
        <v>2073</v>
      </c>
      <c r="O36" t="s">
        <v>1425</v>
      </c>
      <c r="P36" t="s">
        <v>388</v>
      </c>
      <c r="R36" t="s">
        <v>420</v>
      </c>
      <c r="S36" t="s">
        <v>2206</v>
      </c>
      <c r="U36" t="s">
        <v>23</v>
      </c>
      <c r="V36" t="s">
        <v>13</v>
      </c>
      <c r="X36" t="s">
        <v>1069</v>
      </c>
      <c r="Y36" t="s">
        <v>16</v>
      </c>
    </row>
    <row r="37" spans="1:25" x14ac:dyDescent="0.35">
      <c r="A37" t="s">
        <v>64</v>
      </c>
      <c r="B37" t="s">
        <v>153</v>
      </c>
      <c r="D37" t="s">
        <v>65</v>
      </c>
      <c r="E37" t="s">
        <v>64</v>
      </c>
      <c r="G37" t="s">
        <v>206</v>
      </c>
      <c r="H37" t="s">
        <v>207</v>
      </c>
      <c r="J37" t="s">
        <v>1727</v>
      </c>
      <c r="K37" t="s">
        <v>218</v>
      </c>
      <c r="M37" t="s">
        <v>2074</v>
      </c>
      <c r="O37" t="s">
        <v>2138</v>
      </c>
      <c r="P37" t="s">
        <v>89</v>
      </c>
      <c r="R37" t="s">
        <v>2207</v>
      </c>
      <c r="S37" t="s">
        <v>2193</v>
      </c>
      <c r="U37" t="s">
        <v>2249</v>
      </c>
      <c r="V37" t="s">
        <v>2260</v>
      </c>
      <c r="X37" t="s">
        <v>664</v>
      </c>
      <c r="Y37" t="s">
        <v>665</v>
      </c>
    </row>
    <row r="38" spans="1:25" x14ac:dyDescent="0.35">
      <c r="A38" t="s">
        <v>1732</v>
      </c>
      <c r="B38" t="s">
        <v>16</v>
      </c>
      <c r="D38" t="s">
        <v>136</v>
      </c>
      <c r="E38" t="s">
        <v>1301</v>
      </c>
      <c r="G38" t="s">
        <v>1887</v>
      </c>
      <c r="H38" t="s">
        <v>1929</v>
      </c>
      <c r="J38" t="s">
        <v>380</v>
      </c>
      <c r="K38" t="s">
        <v>381</v>
      </c>
      <c r="M38" t="s">
        <v>2075</v>
      </c>
      <c r="O38" t="s">
        <v>1894</v>
      </c>
      <c r="P38" t="s">
        <v>58</v>
      </c>
      <c r="R38" t="s">
        <v>553</v>
      </c>
      <c r="S38" t="s">
        <v>2208</v>
      </c>
      <c r="U38" t="s">
        <v>2250</v>
      </c>
      <c r="V38" t="s">
        <v>131</v>
      </c>
      <c r="X38" t="s">
        <v>2251</v>
      </c>
      <c r="Y38" t="s">
        <v>44</v>
      </c>
    </row>
    <row r="39" spans="1:25" x14ac:dyDescent="0.35">
      <c r="A39" t="s">
        <v>1732</v>
      </c>
      <c r="B39" t="s">
        <v>1733</v>
      </c>
      <c r="D39" t="s">
        <v>16</v>
      </c>
      <c r="E39" t="s">
        <v>1732</v>
      </c>
      <c r="G39" t="s">
        <v>580</v>
      </c>
      <c r="H39" t="s">
        <v>1728</v>
      </c>
      <c r="J39" t="s">
        <v>206</v>
      </c>
      <c r="K39" t="s">
        <v>207</v>
      </c>
      <c r="M39" t="s">
        <v>2076</v>
      </c>
      <c r="O39" t="s">
        <v>1191</v>
      </c>
      <c r="P39" t="s">
        <v>11</v>
      </c>
      <c r="R39" t="s">
        <v>2209</v>
      </c>
      <c r="S39" t="s">
        <v>2210</v>
      </c>
      <c r="U39" t="s">
        <v>2251</v>
      </c>
      <c r="V39" t="s">
        <v>44</v>
      </c>
      <c r="X39" t="s">
        <v>553</v>
      </c>
      <c r="Y39" t="s">
        <v>410</v>
      </c>
    </row>
    <row r="40" spans="1:25" x14ac:dyDescent="0.35">
      <c r="A40" t="s">
        <v>1734</v>
      </c>
      <c r="B40" t="s">
        <v>939</v>
      </c>
      <c r="D40" t="s">
        <v>1733</v>
      </c>
      <c r="E40" t="s">
        <v>1732</v>
      </c>
      <c r="G40" t="s">
        <v>1729</v>
      </c>
      <c r="H40" t="s">
        <v>28</v>
      </c>
      <c r="J40" t="s">
        <v>580</v>
      </c>
      <c r="K40" t="s">
        <v>1728</v>
      </c>
      <c r="M40" t="s">
        <v>2077</v>
      </c>
      <c r="O40" t="s">
        <v>789</v>
      </c>
      <c r="P40" t="s">
        <v>77</v>
      </c>
      <c r="R40" t="s">
        <v>43</v>
      </c>
      <c r="S40" t="s">
        <v>2211</v>
      </c>
      <c r="U40" t="s">
        <v>553</v>
      </c>
      <c r="V40" t="s">
        <v>410</v>
      </c>
      <c r="X40" t="s">
        <v>1404</v>
      </c>
      <c r="Y40" t="s">
        <v>768</v>
      </c>
    </row>
    <row r="41" spans="1:25" x14ac:dyDescent="0.35">
      <c r="A41" t="s">
        <v>1735</v>
      </c>
      <c r="B41" t="s">
        <v>218</v>
      </c>
      <c r="D41" t="s">
        <v>28</v>
      </c>
      <c r="E41" t="s">
        <v>1833</v>
      </c>
      <c r="G41" t="s">
        <v>281</v>
      </c>
      <c r="H41" t="s">
        <v>327</v>
      </c>
      <c r="J41" t="s">
        <v>1729</v>
      </c>
      <c r="K41" t="s">
        <v>28</v>
      </c>
      <c r="M41" t="s">
        <v>2078</v>
      </c>
      <c r="O41" t="s">
        <v>664</v>
      </c>
      <c r="P41" t="s">
        <v>665</v>
      </c>
      <c r="R41" t="s">
        <v>43</v>
      </c>
      <c r="S41" t="s">
        <v>2212</v>
      </c>
      <c r="U41" t="s">
        <v>2209</v>
      </c>
      <c r="V41" t="s">
        <v>1264</v>
      </c>
      <c r="X41" t="s">
        <v>2209</v>
      </c>
      <c r="Y41" t="s">
        <v>1264</v>
      </c>
    </row>
    <row r="42" spans="1:25" x14ac:dyDescent="0.35">
      <c r="A42" t="s">
        <v>1736</v>
      </c>
      <c r="B42" t="s">
        <v>799</v>
      </c>
      <c r="D42" t="s">
        <v>463</v>
      </c>
      <c r="E42" t="s">
        <v>1834</v>
      </c>
      <c r="G42" t="s">
        <v>281</v>
      </c>
      <c r="H42" t="s">
        <v>282</v>
      </c>
      <c r="J42" t="s">
        <v>281</v>
      </c>
      <c r="K42" t="s">
        <v>282</v>
      </c>
      <c r="M42" t="s">
        <v>2079</v>
      </c>
      <c r="O42" t="s">
        <v>2139</v>
      </c>
      <c r="P42" t="s">
        <v>384</v>
      </c>
      <c r="R42" t="s">
        <v>414</v>
      </c>
      <c r="S42" t="s">
        <v>2213</v>
      </c>
      <c r="U42" t="s">
        <v>43</v>
      </c>
      <c r="V42" t="s">
        <v>848</v>
      </c>
      <c r="X42" t="s">
        <v>43</v>
      </c>
      <c r="Y42" t="s">
        <v>218</v>
      </c>
    </row>
    <row r="43" spans="1:25" x14ac:dyDescent="0.35">
      <c r="A43" t="s">
        <v>1737</v>
      </c>
      <c r="B43" t="s">
        <v>521</v>
      </c>
      <c r="D43" t="s">
        <v>665</v>
      </c>
      <c r="E43" t="s">
        <v>1106</v>
      </c>
      <c r="G43" t="s">
        <v>1888</v>
      </c>
      <c r="H43" t="s">
        <v>1930</v>
      </c>
      <c r="J43" t="s">
        <v>1978</v>
      </c>
      <c r="K43" t="s">
        <v>2010</v>
      </c>
      <c r="M43" t="s">
        <v>2080</v>
      </c>
      <c r="O43" t="s">
        <v>2140</v>
      </c>
      <c r="P43" t="s">
        <v>2141</v>
      </c>
      <c r="R43" t="s">
        <v>1772</v>
      </c>
      <c r="S43" t="s">
        <v>2214</v>
      </c>
      <c r="U43" t="s">
        <v>414</v>
      </c>
      <c r="V43" t="s">
        <v>413</v>
      </c>
      <c r="X43" t="s">
        <v>19</v>
      </c>
      <c r="Y43" t="s">
        <v>20</v>
      </c>
    </row>
    <row r="44" spans="1:25" x14ac:dyDescent="0.35">
      <c r="A44" t="s">
        <v>1738</v>
      </c>
      <c r="B44" t="s">
        <v>665</v>
      </c>
      <c r="D44" t="s">
        <v>521</v>
      </c>
      <c r="E44" t="s">
        <v>1737</v>
      </c>
      <c r="G44" t="s">
        <v>1053</v>
      </c>
      <c r="H44" t="s">
        <v>128</v>
      </c>
      <c r="J44" t="s">
        <v>1053</v>
      </c>
      <c r="K44" t="s">
        <v>2011</v>
      </c>
      <c r="M44" t="s">
        <v>2081</v>
      </c>
      <c r="O44" t="s">
        <v>553</v>
      </c>
      <c r="P44" t="s">
        <v>410</v>
      </c>
      <c r="R44" t="s">
        <v>128</v>
      </c>
      <c r="S44" t="s">
        <v>2215</v>
      </c>
      <c r="U44" t="s">
        <v>1772</v>
      </c>
      <c r="V44" t="s">
        <v>122</v>
      </c>
      <c r="X44" t="s">
        <v>414</v>
      </c>
      <c r="Y44" t="s">
        <v>413</v>
      </c>
    </row>
    <row r="45" spans="1:25" x14ac:dyDescent="0.35">
      <c r="A45" t="s">
        <v>1739</v>
      </c>
      <c r="B45" t="s">
        <v>665</v>
      </c>
      <c r="D45" t="s">
        <v>119</v>
      </c>
      <c r="E45" t="s">
        <v>1835</v>
      </c>
      <c r="G45" t="s">
        <v>35</v>
      </c>
      <c r="H45" t="s">
        <v>1931</v>
      </c>
      <c r="J45" t="s">
        <v>1311</v>
      </c>
      <c r="K45" t="s">
        <v>16</v>
      </c>
      <c r="M45" t="s">
        <v>2082</v>
      </c>
      <c r="O45" t="s">
        <v>2142</v>
      </c>
      <c r="P45" t="s">
        <v>384</v>
      </c>
      <c r="R45" t="s">
        <v>251</v>
      </c>
      <c r="S45" t="s">
        <v>2216</v>
      </c>
      <c r="U45" t="s">
        <v>128</v>
      </c>
      <c r="V45" t="s">
        <v>443</v>
      </c>
      <c r="X45" t="s">
        <v>414</v>
      </c>
      <c r="Y45" t="s">
        <v>1022</v>
      </c>
    </row>
    <row r="46" spans="1:25" x14ac:dyDescent="0.35">
      <c r="A46" t="s">
        <v>268</v>
      </c>
      <c r="B46" t="s">
        <v>269</v>
      </c>
      <c r="D46" t="s">
        <v>269</v>
      </c>
      <c r="E46" t="s">
        <v>268</v>
      </c>
      <c r="G46" t="s">
        <v>35</v>
      </c>
      <c r="H46" t="s">
        <v>36</v>
      </c>
      <c r="J46" t="s">
        <v>1311</v>
      </c>
      <c r="K46" t="s">
        <v>1733</v>
      </c>
      <c r="M46" t="s">
        <v>2083</v>
      </c>
      <c r="O46" t="s">
        <v>2143</v>
      </c>
      <c r="P46" t="s">
        <v>205</v>
      </c>
      <c r="R46" t="s">
        <v>2217</v>
      </c>
      <c r="S46" t="s">
        <v>2218</v>
      </c>
      <c r="U46" t="s">
        <v>2252</v>
      </c>
      <c r="V46" t="s">
        <v>760</v>
      </c>
      <c r="X46" t="s">
        <v>128</v>
      </c>
      <c r="Y46" t="s">
        <v>443</v>
      </c>
    </row>
    <row r="47" spans="1:25" x14ac:dyDescent="0.35">
      <c r="A47" t="s">
        <v>1234</v>
      </c>
      <c r="B47" t="s">
        <v>890</v>
      </c>
      <c r="D47" t="s">
        <v>58</v>
      </c>
      <c r="E47" t="s">
        <v>1293</v>
      </c>
      <c r="G47" t="s">
        <v>64</v>
      </c>
      <c r="H47" t="s">
        <v>65</v>
      </c>
      <c r="J47" t="s">
        <v>35</v>
      </c>
      <c r="K47" t="s">
        <v>36</v>
      </c>
      <c r="M47" t="s">
        <v>2084</v>
      </c>
      <c r="O47" t="s">
        <v>43</v>
      </c>
      <c r="P47" t="s">
        <v>218</v>
      </c>
      <c r="R47" t="s">
        <v>2147</v>
      </c>
      <c r="S47" t="s">
        <v>2219</v>
      </c>
      <c r="U47" t="s">
        <v>1279</v>
      </c>
      <c r="V47" t="s">
        <v>429</v>
      </c>
      <c r="X47" t="s">
        <v>2267</v>
      </c>
      <c r="Y47" t="s">
        <v>2268</v>
      </c>
    </row>
    <row r="48" spans="1:25" x14ac:dyDescent="0.35">
      <c r="A48" t="s">
        <v>1740</v>
      </c>
      <c r="B48" t="s">
        <v>89</v>
      </c>
      <c r="D48" t="s">
        <v>25</v>
      </c>
      <c r="E48" t="s">
        <v>50</v>
      </c>
      <c r="G48" t="s">
        <v>1301</v>
      </c>
      <c r="H48" t="s">
        <v>136</v>
      </c>
      <c r="J48" t="s">
        <v>35</v>
      </c>
      <c r="K48" t="s">
        <v>1931</v>
      </c>
      <c r="M48" t="s">
        <v>2085</v>
      </c>
      <c r="O48" t="s">
        <v>2144</v>
      </c>
      <c r="P48" t="s">
        <v>1970</v>
      </c>
      <c r="R48" t="s">
        <v>2220</v>
      </c>
      <c r="S48" t="s">
        <v>2221</v>
      </c>
      <c r="U48" t="s">
        <v>1279</v>
      </c>
      <c r="V48" t="s">
        <v>61</v>
      </c>
      <c r="X48" t="s">
        <v>251</v>
      </c>
      <c r="Y48" t="s">
        <v>2269</v>
      </c>
    </row>
    <row r="49" spans="1:25" x14ac:dyDescent="0.35">
      <c r="A49" t="s">
        <v>1741</v>
      </c>
      <c r="B49" t="s">
        <v>1742</v>
      </c>
      <c r="D49" t="s">
        <v>1836</v>
      </c>
      <c r="E49" t="s">
        <v>1234</v>
      </c>
      <c r="G49" t="s">
        <v>100</v>
      </c>
      <c r="H49" t="s">
        <v>52</v>
      </c>
      <c r="J49" t="s">
        <v>64</v>
      </c>
      <c r="K49" t="s">
        <v>153</v>
      </c>
      <c r="M49" t="s">
        <v>2086</v>
      </c>
      <c r="O49" t="s">
        <v>414</v>
      </c>
      <c r="P49" t="s">
        <v>1022</v>
      </c>
      <c r="R49" t="s">
        <v>1279</v>
      </c>
      <c r="S49" t="s">
        <v>2222</v>
      </c>
      <c r="U49" t="s">
        <v>799</v>
      </c>
      <c r="V49" t="s">
        <v>2261</v>
      </c>
      <c r="X49" t="s">
        <v>2270</v>
      </c>
      <c r="Y49" t="s">
        <v>200</v>
      </c>
    </row>
    <row r="50" spans="1:25" x14ac:dyDescent="0.35">
      <c r="A50" t="s">
        <v>1743</v>
      </c>
      <c r="B50" t="s">
        <v>117</v>
      </c>
      <c r="D50" t="s">
        <v>117</v>
      </c>
      <c r="E50" t="s">
        <v>1743</v>
      </c>
      <c r="G50" t="s">
        <v>1317</v>
      </c>
      <c r="H50" t="s">
        <v>1932</v>
      </c>
      <c r="J50" t="s">
        <v>1301</v>
      </c>
      <c r="K50" t="s">
        <v>136</v>
      </c>
      <c r="M50" t="s">
        <v>2087</v>
      </c>
      <c r="O50" t="s">
        <v>414</v>
      </c>
      <c r="P50" t="s">
        <v>413</v>
      </c>
      <c r="R50" t="s">
        <v>1279</v>
      </c>
      <c r="S50" t="s">
        <v>2223</v>
      </c>
      <c r="U50" t="s">
        <v>799</v>
      </c>
      <c r="V50" t="s">
        <v>13</v>
      </c>
      <c r="X50" t="s">
        <v>759</v>
      </c>
      <c r="Y50" t="s">
        <v>760</v>
      </c>
    </row>
    <row r="51" spans="1:25" x14ac:dyDescent="0.35">
      <c r="A51" t="s">
        <v>1744</v>
      </c>
      <c r="B51" t="s">
        <v>1745</v>
      </c>
      <c r="D51" t="s">
        <v>1745</v>
      </c>
      <c r="E51" t="s">
        <v>1744</v>
      </c>
      <c r="G51" t="s">
        <v>1889</v>
      </c>
      <c r="H51" t="s">
        <v>28</v>
      </c>
      <c r="J51" t="s">
        <v>100</v>
      </c>
      <c r="K51" t="s">
        <v>65</v>
      </c>
      <c r="M51" t="s">
        <v>2088</v>
      </c>
      <c r="O51" t="s">
        <v>2145</v>
      </c>
      <c r="P51" t="s">
        <v>438</v>
      </c>
      <c r="R51" t="s">
        <v>2224</v>
      </c>
      <c r="S51" t="s">
        <v>2221</v>
      </c>
      <c r="U51" t="s">
        <v>442</v>
      </c>
      <c r="V51" t="s">
        <v>429</v>
      </c>
      <c r="X51" t="s">
        <v>1279</v>
      </c>
      <c r="Y51" t="s">
        <v>61</v>
      </c>
    </row>
    <row r="52" spans="1:25" x14ac:dyDescent="0.35">
      <c r="A52" t="s">
        <v>1445</v>
      </c>
      <c r="B52" t="s">
        <v>1746</v>
      </c>
      <c r="D52" t="s">
        <v>1746</v>
      </c>
      <c r="E52" t="s">
        <v>1445</v>
      </c>
      <c r="G52" t="s">
        <v>268</v>
      </c>
      <c r="H52" t="s">
        <v>269</v>
      </c>
      <c r="J52" t="s">
        <v>1979</v>
      </c>
      <c r="K52" t="s">
        <v>2012</v>
      </c>
      <c r="M52" t="s">
        <v>2089</v>
      </c>
      <c r="O52" t="s">
        <v>128</v>
      </c>
      <c r="P52" t="s">
        <v>443</v>
      </c>
      <c r="R52" t="s">
        <v>2149</v>
      </c>
      <c r="S52" t="s">
        <v>2201</v>
      </c>
      <c r="U52" t="s">
        <v>866</v>
      </c>
      <c r="V52" t="s">
        <v>142</v>
      </c>
      <c r="X52" t="s">
        <v>1279</v>
      </c>
      <c r="Y52" t="s">
        <v>429</v>
      </c>
    </row>
    <row r="53" spans="1:25" x14ac:dyDescent="0.35">
      <c r="A53" t="s">
        <v>1747</v>
      </c>
      <c r="B53" t="s">
        <v>58</v>
      </c>
      <c r="D53" t="s">
        <v>58</v>
      </c>
      <c r="E53" t="s">
        <v>1747</v>
      </c>
      <c r="G53" t="s">
        <v>1021</v>
      </c>
      <c r="H53" t="s">
        <v>1022</v>
      </c>
      <c r="J53" t="s">
        <v>827</v>
      </c>
      <c r="K53" t="s">
        <v>58</v>
      </c>
      <c r="M53" t="s">
        <v>2090</v>
      </c>
      <c r="O53" t="s">
        <v>251</v>
      </c>
      <c r="P53" t="s">
        <v>252</v>
      </c>
      <c r="R53" t="s">
        <v>394</v>
      </c>
      <c r="S53" t="s">
        <v>2225</v>
      </c>
      <c r="U53" t="s">
        <v>866</v>
      </c>
      <c r="V53" t="s">
        <v>421</v>
      </c>
      <c r="X53" t="s">
        <v>442</v>
      </c>
      <c r="Y53" t="s">
        <v>429</v>
      </c>
    </row>
    <row r="54" spans="1:25" x14ac:dyDescent="0.35">
      <c r="A54" t="s">
        <v>1748</v>
      </c>
      <c r="B54" t="s">
        <v>1749</v>
      </c>
      <c r="D54" t="s">
        <v>67</v>
      </c>
      <c r="E54" t="s">
        <v>1837</v>
      </c>
      <c r="G54" t="s">
        <v>50</v>
      </c>
      <c r="H54" t="s">
        <v>25</v>
      </c>
      <c r="J54" t="s">
        <v>1980</v>
      </c>
      <c r="K54" t="s">
        <v>2013</v>
      </c>
      <c r="M54" t="s">
        <v>2091</v>
      </c>
      <c r="O54" t="s">
        <v>2146</v>
      </c>
      <c r="P54" t="s">
        <v>1229</v>
      </c>
      <c r="R54" t="s">
        <v>2226</v>
      </c>
      <c r="S54" t="s">
        <v>2193</v>
      </c>
      <c r="U54" t="s">
        <v>2253</v>
      </c>
      <c r="V54" t="s">
        <v>991</v>
      </c>
      <c r="X54" t="s">
        <v>866</v>
      </c>
      <c r="Y54" t="s">
        <v>142</v>
      </c>
    </row>
    <row r="55" spans="1:25" x14ac:dyDescent="0.35">
      <c r="A55" t="s">
        <v>981</v>
      </c>
      <c r="B55" t="s">
        <v>982</v>
      </c>
      <c r="D55" t="s">
        <v>159</v>
      </c>
      <c r="E55" t="s">
        <v>1206</v>
      </c>
      <c r="G55" t="s">
        <v>1234</v>
      </c>
      <c r="H55" t="s">
        <v>1836</v>
      </c>
      <c r="J55" t="s">
        <v>1317</v>
      </c>
      <c r="K55" t="s">
        <v>2014</v>
      </c>
      <c r="M55" t="s">
        <v>2092</v>
      </c>
      <c r="O55" t="s">
        <v>1853</v>
      </c>
      <c r="P55" t="s">
        <v>782</v>
      </c>
      <c r="R55" t="s">
        <v>2227</v>
      </c>
      <c r="S55" t="s">
        <v>2228</v>
      </c>
      <c r="U55" t="s">
        <v>2254</v>
      </c>
      <c r="V55" t="s">
        <v>65</v>
      </c>
      <c r="X55" t="s">
        <v>866</v>
      </c>
      <c r="Y55" t="s">
        <v>492</v>
      </c>
    </row>
    <row r="56" spans="1:25" x14ac:dyDescent="0.35">
      <c r="A56" t="s">
        <v>1750</v>
      </c>
      <c r="B56" t="s">
        <v>38</v>
      </c>
      <c r="D56" t="s">
        <v>492</v>
      </c>
      <c r="E56" t="s">
        <v>86</v>
      </c>
      <c r="G56" t="s">
        <v>1744</v>
      </c>
      <c r="H56" t="s">
        <v>1745</v>
      </c>
      <c r="J56" t="s">
        <v>1981</v>
      </c>
      <c r="K56" t="s">
        <v>480</v>
      </c>
      <c r="M56" t="s">
        <v>2093</v>
      </c>
      <c r="O56" t="s">
        <v>2147</v>
      </c>
      <c r="P56" t="s">
        <v>2148</v>
      </c>
      <c r="R56" t="s">
        <v>2171</v>
      </c>
      <c r="U56" t="s">
        <v>475</v>
      </c>
      <c r="V56" t="s">
        <v>388</v>
      </c>
      <c r="X56" t="s">
        <v>857</v>
      </c>
      <c r="Y56" t="s">
        <v>117</v>
      </c>
    </row>
    <row r="57" spans="1:25" x14ac:dyDescent="0.35">
      <c r="A57" t="s">
        <v>86</v>
      </c>
      <c r="B57" t="s">
        <v>87</v>
      </c>
      <c r="D57" t="s">
        <v>425</v>
      </c>
      <c r="E57" t="s">
        <v>545</v>
      </c>
      <c r="G57" t="s">
        <v>1445</v>
      </c>
      <c r="H57" t="s">
        <v>1746</v>
      </c>
      <c r="J57" t="s">
        <v>268</v>
      </c>
      <c r="K57" t="s">
        <v>269</v>
      </c>
      <c r="M57" t="s">
        <v>2094</v>
      </c>
      <c r="O57" t="s">
        <v>1781</v>
      </c>
      <c r="P57" t="s">
        <v>528</v>
      </c>
      <c r="R57" t="s">
        <v>2152</v>
      </c>
      <c r="S57" t="s">
        <v>2225</v>
      </c>
      <c r="U57" t="s">
        <v>857</v>
      </c>
      <c r="V57" t="s">
        <v>117</v>
      </c>
      <c r="X57" t="s">
        <v>1076</v>
      </c>
      <c r="Y57" t="s">
        <v>139</v>
      </c>
    </row>
    <row r="58" spans="1:25" x14ac:dyDescent="0.35">
      <c r="A58" t="s">
        <v>1751</v>
      </c>
      <c r="B58" t="s">
        <v>353</v>
      </c>
      <c r="D58" t="s">
        <v>1753</v>
      </c>
      <c r="E58" t="s">
        <v>1752</v>
      </c>
      <c r="G58" t="s">
        <v>1206</v>
      </c>
      <c r="H58" t="s">
        <v>159</v>
      </c>
      <c r="J58" t="s">
        <v>1021</v>
      </c>
      <c r="K58" t="s">
        <v>1022</v>
      </c>
      <c r="M58" t="s">
        <v>2095</v>
      </c>
      <c r="O58" t="s">
        <v>2149</v>
      </c>
      <c r="P58" t="s">
        <v>13</v>
      </c>
      <c r="R58" t="s">
        <v>857</v>
      </c>
      <c r="S58" t="s">
        <v>2201</v>
      </c>
      <c r="U58" t="s">
        <v>1076</v>
      </c>
      <c r="V58" t="s">
        <v>139</v>
      </c>
      <c r="X58" t="s">
        <v>820</v>
      </c>
      <c r="Y58" t="s">
        <v>471</v>
      </c>
    </row>
    <row r="59" spans="1:25" x14ac:dyDescent="0.35">
      <c r="A59" t="s">
        <v>237</v>
      </c>
      <c r="B59" t="s">
        <v>13</v>
      </c>
      <c r="D59" t="s">
        <v>61</v>
      </c>
      <c r="E59" t="s">
        <v>1754</v>
      </c>
      <c r="G59" t="s">
        <v>86</v>
      </c>
      <c r="H59" t="s">
        <v>87</v>
      </c>
      <c r="J59" t="s">
        <v>1235</v>
      </c>
      <c r="K59" t="s">
        <v>131</v>
      </c>
      <c r="M59" t="s">
        <v>2096</v>
      </c>
      <c r="O59" t="s">
        <v>14</v>
      </c>
      <c r="P59" t="s">
        <v>11</v>
      </c>
      <c r="R59" t="s">
        <v>1076</v>
      </c>
      <c r="S59" t="s">
        <v>2229</v>
      </c>
      <c r="U59" t="s">
        <v>820</v>
      </c>
      <c r="V59" t="s">
        <v>471</v>
      </c>
      <c r="X59" t="s">
        <v>1308</v>
      </c>
      <c r="Y59" t="s">
        <v>1309</v>
      </c>
    </row>
    <row r="60" spans="1:25" x14ac:dyDescent="0.35">
      <c r="A60" t="s">
        <v>1752</v>
      </c>
      <c r="B60" t="s">
        <v>1753</v>
      </c>
      <c r="D60" t="s">
        <v>300</v>
      </c>
      <c r="E60" t="s">
        <v>299</v>
      </c>
      <c r="G60" t="s">
        <v>545</v>
      </c>
      <c r="H60" t="s">
        <v>425</v>
      </c>
      <c r="J60" t="s">
        <v>678</v>
      </c>
      <c r="K60" t="s">
        <v>136</v>
      </c>
      <c r="M60" t="s">
        <v>2097</v>
      </c>
      <c r="O60" t="s">
        <v>1278</v>
      </c>
      <c r="P60" t="s">
        <v>16</v>
      </c>
      <c r="R60" t="s">
        <v>820</v>
      </c>
      <c r="S60" t="s">
        <v>2230</v>
      </c>
      <c r="U60" t="s">
        <v>820</v>
      </c>
      <c r="V60" t="s">
        <v>2262</v>
      </c>
      <c r="X60" t="s">
        <v>1078</v>
      </c>
      <c r="Y60" t="s">
        <v>471</v>
      </c>
    </row>
    <row r="61" spans="1:25" x14ac:dyDescent="0.35">
      <c r="A61" t="s">
        <v>1379</v>
      </c>
      <c r="B61" t="s">
        <v>159</v>
      </c>
      <c r="D61" t="s">
        <v>463</v>
      </c>
      <c r="E61" t="s">
        <v>1838</v>
      </c>
      <c r="G61" t="s">
        <v>237</v>
      </c>
      <c r="H61" t="s">
        <v>13</v>
      </c>
      <c r="J61" t="s">
        <v>50</v>
      </c>
      <c r="K61" t="s">
        <v>25</v>
      </c>
      <c r="M61" t="s">
        <v>2098</v>
      </c>
      <c r="O61" t="s">
        <v>394</v>
      </c>
      <c r="P61" t="s">
        <v>131</v>
      </c>
      <c r="R61" t="s">
        <v>2153</v>
      </c>
      <c r="S61" t="s">
        <v>2231</v>
      </c>
      <c r="U61" t="s">
        <v>2255</v>
      </c>
      <c r="V61" t="s">
        <v>207</v>
      </c>
      <c r="X61" t="s">
        <v>1244</v>
      </c>
      <c r="Y61" t="s">
        <v>324</v>
      </c>
    </row>
    <row r="62" spans="1:25" x14ac:dyDescent="0.35">
      <c r="A62" t="s">
        <v>1754</v>
      </c>
      <c r="B62" t="s">
        <v>61</v>
      </c>
      <c r="D62" t="s">
        <v>534</v>
      </c>
      <c r="E62" t="s">
        <v>533</v>
      </c>
      <c r="G62" t="s">
        <v>1890</v>
      </c>
      <c r="H62" t="s">
        <v>1933</v>
      </c>
      <c r="J62" t="s">
        <v>1234</v>
      </c>
      <c r="K62" t="s">
        <v>890</v>
      </c>
      <c r="M62" t="s">
        <v>2099</v>
      </c>
      <c r="O62" t="s">
        <v>2150</v>
      </c>
      <c r="P62" t="s">
        <v>269</v>
      </c>
      <c r="R62" t="s">
        <v>890</v>
      </c>
      <c r="S62" t="s">
        <v>2184</v>
      </c>
      <c r="U62" t="s">
        <v>2256</v>
      </c>
      <c r="V62" t="s">
        <v>425</v>
      </c>
      <c r="X62" t="s">
        <v>1080</v>
      </c>
      <c r="Y62" t="s">
        <v>25</v>
      </c>
    </row>
    <row r="63" spans="1:25" x14ac:dyDescent="0.35">
      <c r="A63" t="s">
        <v>299</v>
      </c>
      <c r="B63" t="s">
        <v>300</v>
      </c>
      <c r="D63" t="s">
        <v>218</v>
      </c>
      <c r="E63" t="s">
        <v>428</v>
      </c>
      <c r="G63" t="s">
        <v>1754</v>
      </c>
      <c r="H63" t="s">
        <v>61</v>
      </c>
      <c r="J63" t="s">
        <v>1743</v>
      </c>
      <c r="K63" t="s">
        <v>117</v>
      </c>
      <c r="M63" t="s">
        <v>2100</v>
      </c>
      <c r="O63" t="s">
        <v>2151</v>
      </c>
      <c r="P63" t="s">
        <v>28</v>
      </c>
      <c r="R63" t="s">
        <v>890</v>
      </c>
      <c r="S63" t="s">
        <v>2212</v>
      </c>
      <c r="U63" t="s">
        <v>860</v>
      </c>
      <c r="V63" t="s">
        <v>861</v>
      </c>
      <c r="X63" t="s">
        <v>363</v>
      </c>
      <c r="Y63" t="s">
        <v>364</v>
      </c>
    </row>
    <row r="64" spans="1:25" x14ac:dyDescent="0.35">
      <c r="A64" t="s">
        <v>533</v>
      </c>
      <c r="B64" t="s">
        <v>534</v>
      </c>
      <c r="D64" t="s">
        <v>1756</v>
      </c>
      <c r="E64" t="s">
        <v>428</v>
      </c>
      <c r="G64" t="s">
        <v>366</v>
      </c>
      <c r="H64" t="s">
        <v>61</v>
      </c>
      <c r="J64" t="s">
        <v>1744</v>
      </c>
      <c r="K64" t="s">
        <v>205</v>
      </c>
      <c r="M64" t="s">
        <v>2101</v>
      </c>
      <c r="O64" t="s">
        <v>2152</v>
      </c>
      <c r="P64" t="s">
        <v>131</v>
      </c>
      <c r="R64" t="s">
        <v>2232</v>
      </c>
      <c r="S64" t="s">
        <v>2233</v>
      </c>
      <c r="U64" t="s">
        <v>890</v>
      </c>
      <c r="V64" t="s">
        <v>81</v>
      </c>
      <c r="X64" t="s">
        <v>1363</v>
      </c>
      <c r="Y64" t="s">
        <v>1364</v>
      </c>
    </row>
    <row r="65" spans="1:25" x14ac:dyDescent="0.35">
      <c r="A65" t="s">
        <v>533</v>
      </c>
      <c r="B65" t="s">
        <v>1755</v>
      </c>
      <c r="D65" t="s">
        <v>136</v>
      </c>
      <c r="E65" t="s">
        <v>960</v>
      </c>
      <c r="G65" t="s">
        <v>299</v>
      </c>
      <c r="H65" t="s">
        <v>300</v>
      </c>
      <c r="J65" t="s">
        <v>1982</v>
      </c>
      <c r="K65" t="s">
        <v>2015</v>
      </c>
      <c r="M65" t="s">
        <v>2102</v>
      </c>
      <c r="O65" t="s">
        <v>531</v>
      </c>
      <c r="P65" t="s">
        <v>271</v>
      </c>
      <c r="R65" t="s">
        <v>1078</v>
      </c>
      <c r="S65" t="s">
        <v>2230</v>
      </c>
      <c r="U65" t="s">
        <v>1078</v>
      </c>
      <c r="V65" t="s">
        <v>471</v>
      </c>
      <c r="X65" t="s">
        <v>118</v>
      </c>
      <c r="Y65" t="s">
        <v>415</v>
      </c>
    </row>
    <row r="66" spans="1:25" x14ac:dyDescent="0.35">
      <c r="A66" t="s">
        <v>1090</v>
      </c>
      <c r="B66" t="s">
        <v>421</v>
      </c>
      <c r="D66" t="s">
        <v>471</v>
      </c>
      <c r="E66" t="s">
        <v>1839</v>
      </c>
      <c r="G66" t="s">
        <v>533</v>
      </c>
      <c r="H66" t="s">
        <v>534</v>
      </c>
      <c r="J66" t="s">
        <v>1445</v>
      </c>
      <c r="K66" t="s">
        <v>1746</v>
      </c>
      <c r="M66" t="s">
        <v>2103</v>
      </c>
      <c r="O66" t="s">
        <v>857</v>
      </c>
      <c r="P66" t="s">
        <v>117</v>
      </c>
      <c r="R66" t="s">
        <v>363</v>
      </c>
      <c r="S66" t="s">
        <v>2234</v>
      </c>
      <c r="U66" t="s">
        <v>1080</v>
      </c>
      <c r="V66" t="s">
        <v>1797</v>
      </c>
      <c r="X66" t="s">
        <v>2236</v>
      </c>
      <c r="Y66" t="s">
        <v>848</v>
      </c>
    </row>
    <row r="67" spans="1:25" x14ac:dyDescent="0.35">
      <c r="A67" t="s">
        <v>428</v>
      </c>
      <c r="B67" t="s">
        <v>218</v>
      </c>
      <c r="D67" t="s">
        <v>471</v>
      </c>
      <c r="E67" t="s">
        <v>1784</v>
      </c>
      <c r="G67" t="s">
        <v>739</v>
      </c>
      <c r="H67" t="s">
        <v>740</v>
      </c>
      <c r="J67" t="s">
        <v>1206</v>
      </c>
      <c r="K67" t="s">
        <v>159</v>
      </c>
      <c r="M67" t="s">
        <v>2104</v>
      </c>
      <c r="O67" t="s">
        <v>820</v>
      </c>
      <c r="P67" t="s">
        <v>471</v>
      </c>
      <c r="R67" t="s">
        <v>1363</v>
      </c>
      <c r="S67" t="s">
        <v>2235</v>
      </c>
      <c r="U67" t="s">
        <v>2257</v>
      </c>
      <c r="V67" t="s">
        <v>65</v>
      </c>
      <c r="X67" t="s">
        <v>2161</v>
      </c>
      <c r="Y67" t="s">
        <v>1465</v>
      </c>
    </row>
    <row r="68" spans="1:25" x14ac:dyDescent="0.35">
      <c r="A68" t="s">
        <v>428</v>
      </c>
      <c r="B68" t="s">
        <v>1756</v>
      </c>
      <c r="D68" t="s">
        <v>28</v>
      </c>
      <c r="E68" t="s">
        <v>1757</v>
      </c>
      <c r="G68" t="s">
        <v>428</v>
      </c>
      <c r="H68" t="s">
        <v>218</v>
      </c>
      <c r="J68" t="s">
        <v>86</v>
      </c>
      <c r="K68" t="s">
        <v>87</v>
      </c>
      <c r="M68" t="s">
        <v>2105</v>
      </c>
      <c r="O68" t="s">
        <v>2153</v>
      </c>
      <c r="P68" t="s">
        <v>2154</v>
      </c>
      <c r="R68" t="s">
        <v>285</v>
      </c>
      <c r="S68" t="s">
        <v>2176</v>
      </c>
      <c r="U68" t="s">
        <v>363</v>
      </c>
      <c r="V68" t="s">
        <v>364</v>
      </c>
      <c r="X68" t="s">
        <v>1533</v>
      </c>
      <c r="Y68" t="s">
        <v>71</v>
      </c>
    </row>
    <row r="69" spans="1:25" x14ac:dyDescent="0.35">
      <c r="A69" t="s">
        <v>960</v>
      </c>
      <c r="B69" t="s">
        <v>136</v>
      </c>
      <c r="D69" t="s">
        <v>1073</v>
      </c>
      <c r="E69" t="s">
        <v>1757</v>
      </c>
      <c r="G69" t="s">
        <v>428</v>
      </c>
      <c r="H69" t="s">
        <v>1756</v>
      </c>
      <c r="J69" t="s">
        <v>545</v>
      </c>
      <c r="K69" t="s">
        <v>425</v>
      </c>
      <c r="M69" t="s">
        <v>2106</v>
      </c>
      <c r="O69" t="s">
        <v>2155</v>
      </c>
      <c r="P69" t="s">
        <v>153</v>
      </c>
      <c r="R69" t="s">
        <v>118</v>
      </c>
      <c r="S69" t="s">
        <v>2176</v>
      </c>
      <c r="U69" t="s">
        <v>118</v>
      </c>
      <c r="V69" t="s">
        <v>119</v>
      </c>
      <c r="X69" t="s">
        <v>352</v>
      </c>
      <c r="Y69" t="s">
        <v>353</v>
      </c>
    </row>
    <row r="70" spans="1:25" x14ac:dyDescent="0.35">
      <c r="A70" t="s">
        <v>1757</v>
      </c>
      <c r="B70" t="s">
        <v>28</v>
      </c>
      <c r="D70" t="s">
        <v>1840</v>
      </c>
      <c r="E70" t="s">
        <v>1841</v>
      </c>
      <c r="G70" t="s">
        <v>1891</v>
      </c>
      <c r="H70" t="s">
        <v>232</v>
      </c>
      <c r="J70" t="s">
        <v>237</v>
      </c>
      <c r="K70" t="s">
        <v>13</v>
      </c>
      <c r="M70" t="s">
        <v>2107</v>
      </c>
      <c r="O70" t="s">
        <v>168</v>
      </c>
      <c r="P70" t="s">
        <v>136</v>
      </c>
      <c r="R70" t="s">
        <v>2236</v>
      </c>
      <c r="S70" t="s">
        <v>2211</v>
      </c>
      <c r="U70" t="s">
        <v>118</v>
      </c>
      <c r="V70" t="s">
        <v>2173</v>
      </c>
      <c r="X70" t="s">
        <v>1189</v>
      </c>
      <c r="Y70" t="s">
        <v>799</v>
      </c>
    </row>
    <row r="71" spans="1:25" x14ac:dyDescent="0.35">
      <c r="A71" t="s">
        <v>1758</v>
      </c>
      <c r="B71" t="s">
        <v>413</v>
      </c>
      <c r="D71" t="s">
        <v>1842</v>
      </c>
      <c r="E71" t="s">
        <v>1513</v>
      </c>
      <c r="G71" t="s">
        <v>1891</v>
      </c>
      <c r="H71" t="s">
        <v>1533</v>
      </c>
      <c r="J71" t="s">
        <v>1983</v>
      </c>
      <c r="K71" t="s">
        <v>1926</v>
      </c>
      <c r="M71" t="s">
        <v>2108</v>
      </c>
      <c r="O71" t="s">
        <v>2156</v>
      </c>
      <c r="P71" t="s">
        <v>665</v>
      </c>
      <c r="R71" t="s">
        <v>1189</v>
      </c>
      <c r="S71" t="s">
        <v>2237</v>
      </c>
      <c r="U71" t="s">
        <v>2236</v>
      </c>
      <c r="V71" t="s">
        <v>848</v>
      </c>
      <c r="X71" t="s">
        <v>130</v>
      </c>
      <c r="Y71" t="s">
        <v>131</v>
      </c>
    </row>
    <row r="72" spans="1:25" x14ac:dyDescent="0.35">
      <c r="A72" t="s">
        <v>1425</v>
      </c>
      <c r="B72" t="s">
        <v>388</v>
      </c>
      <c r="D72" t="s">
        <v>388</v>
      </c>
      <c r="E72" t="s">
        <v>1425</v>
      </c>
      <c r="G72" t="s">
        <v>903</v>
      </c>
      <c r="H72" t="s">
        <v>71</v>
      </c>
      <c r="J72" t="s">
        <v>1984</v>
      </c>
      <c r="K72" t="s">
        <v>205</v>
      </c>
      <c r="M72" t="s">
        <v>2109</v>
      </c>
      <c r="O72" t="s">
        <v>363</v>
      </c>
      <c r="P72" t="s">
        <v>364</v>
      </c>
      <c r="R72" t="s">
        <v>595</v>
      </c>
      <c r="S72" t="s">
        <v>2231</v>
      </c>
      <c r="U72" t="s">
        <v>1533</v>
      </c>
      <c r="V72" t="s">
        <v>71</v>
      </c>
      <c r="X72" t="s">
        <v>2163</v>
      </c>
      <c r="Y72" t="s">
        <v>16</v>
      </c>
    </row>
    <row r="73" spans="1:25" x14ac:dyDescent="0.35">
      <c r="A73" t="s">
        <v>1759</v>
      </c>
      <c r="B73" t="s">
        <v>13</v>
      </c>
      <c r="D73" t="s">
        <v>16</v>
      </c>
      <c r="E73" t="s">
        <v>94</v>
      </c>
      <c r="G73" t="s">
        <v>960</v>
      </c>
      <c r="H73" t="s">
        <v>136</v>
      </c>
      <c r="J73" t="s">
        <v>1754</v>
      </c>
      <c r="K73" t="s">
        <v>61</v>
      </c>
      <c r="M73" t="s">
        <v>2110</v>
      </c>
      <c r="O73" t="s">
        <v>551</v>
      </c>
      <c r="P73" t="s">
        <v>552</v>
      </c>
      <c r="R73" t="s">
        <v>130</v>
      </c>
      <c r="S73" t="s">
        <v>2225</v>
      </c>
      <c r="U73" t="s">
        <v>377</v>
      </c>
      <c r="V73" t="s">
        <v>119</v>
      </c>
      <c r="X73" t="s">
        <v>2001</v>
      </c>
      <c r="Y73" t="s">
        <v>218</v>
      </c>
    </row>
    <row r="74" spans="1:25" x14ac:dyDescent="0.35">
      <c r="A74" t="s">
        <v>543</v>
      </c>
      <c r="B74" t="s">
        <v>67</v>
      </c>
      <c r="D74" t="s">
        <v>1510</v>
      </c>
      <c r="E74" t="s">
        <v>1509</v>
      </c>
      <c r="G74" t="s">
        <v>1892</v>
      </c>
      <c r="H74" t="s">
        <v>1934</v>
      </c>
      <c r="J74" t="s">
        <v>366</v>
      </c>
      <c r="K74" t="s">
        <v>530</v>
      </c>
      <c r="M74" t="s">
        <v>2111</v>
      </c>
      <c r="O74" t="s">
        <v>2157</v>
      </c>
      <c r="P74" t="s">
        <v>2158</v>
      </c>
      <c r="R74" t="s">
        <v>2163</v>
      </c>
      <c r="S74" t="s">
        <v>2238</v>
      </c>
      <c r="U74" t="s">
        <v>1189</v>
      </c>
      <c r="V74" t="s">
        <v>799</v>
      </c>
      <c r="X74" t="s">
        <v>195</v>
      </c>
      <c r="Y74" t="s">
        <v>196</v>
      </c>
    </row>
    <row r="75" spans="1:25" x14ac:dyDescent="0.35">
      <c r="A75" t="s">
        <v>1509</v>
      </c>
      <c r="B75" t="s">
        <v>1510</v>
      </c>
      <c r="D75" t="s">
        <v>11</v>
      </c>
      <c r="E75" t="s">
        <v>1191</v>
      </c>
      <c r="G75" t="s">
        <v>1757</v>
      </c>
      <c r="H75" t="s">
        <v>1073</v>
      </c>
      <c r="J75" t="s">
        <v>299</v>
      </c>
      <c r="K75" t="s">
        <v>300</v>
      </c>
      <c r="M75" t="s">
        <v>2112</v>
      </c>
      <c r="O75" t="s">
        <v>285</v>
      </c>
      <c r="P75" t="s">
        <v>119</v>
      </c>
      <c r="R75" t="s">
        <v>195</v>
      </c>
      <c r="S75" t="s">
        <v>2238</v>
      </c>
      <c r="U75" t="s">
        <v>2163</v>
      </c>
      <c r="V75" t="s">
        <v>16</v>
      </c>
      <c r="X75" t="s">
        <v>1371</v>
      </c>
      <c r="Y75" t="s">
        <v>665</v>
      </c>
    </row>
    <row r="76" spans="1:25" x14ac:dyDescent="0.35">
      <c r="A76" t="s">
        <v>1191</v>
      </c>
      <c r="B76" t="s">
        <v>11</v>
      </c>
      <c r="D76" t="s">
        <v>77</v>
      </c>
      <c r="E76" t="s">
        <v>789</v>
      </c>
      <c r="G76" t="s">
        <v>1893</v>
      </c>
      <c r="H76" t="s">
        <v>1935</v>
      </c>
      <c r="J76" t="s">
        <v>299</v>
      </c>
      <c r="K76" t="s">
        <v>1957</v>
      </c>
      <c r="M76" t="s">
        <v>2113</v>
      </c>
      <c r="O76" t="s">
        <v>118</v>
      </c>
      <c r="P76" t="s">
        <v>415</v>
      </c>
      <c r="R76" t="s">
        <v>656</v>
      </c>
      <c r="S76" t="s">
        <v>2184</v>
      </c>
      <c r="U76" t="s">
        <v>195</v>
      </c>
      <c r="V76" t="s">
        <v>196</v>
      </c>
      <c r="X76" t="s">
        <v>950</v>
      </c>
      <c r="Y76" t="s">
        <v>142</v>
      </c>
    </row>
    <row r="77" spans="1:25" x14ac:dyDescent="0.35">
      <c r="A77" t="s">
        <v>789</v>
      </c>
      <c r="B77" t="s">
        <v>77</v>
      </c>
      <c r="D77" t="s">
        <v>196</v>
      </c>
      <c r="E77" t="s">
        <v>1762</v>
      </c>
      <c r="G77" t="s">
        <v>1425</v>
      </c>
      <c r="H77" t="s">
        <v>388</v>
      </c>
      <c r="J77" t="s">
        <v>1985</v>
      </c>
      <c r="K77" t="s">
        <v>1267</v>
      </c>
      <c r="M77" t="s">
        <v>2114</v>
      </c>
      <c r="O77" t="s">
        <v>2159</v>
      </c>
      <c r="P77" t="s">
        <v>421</v>
      </c>
      <c r="R77" t="s">
        <v>2239</v>
      </c>
      <c r="S77" t="s">
        <v>2240</v>
      </c>
      <c r="U77" t="s">
        <v>656</v>
      </c>
      <c r="V77" t="s">
        <v>81</v>
      </c>
      <c r="X77" t="s">
        <v>1406</v>
      </c>
      <c r="Y77" t="s">
        <v>1267</v>
      </c>
    </row>
    <row r="78" spans="1:25" x14ac:dyDescent="0.35">
      <c r="A78" t="s">
        <v>1760</v>
      </c>
      <c r="B78" t="s">
        <v>1761</v>
      </c>
      <c r="D78" t="s">
        <v>808</v>
      </c>
      <c r="E78" t="s">
        <v>406</v>
      </c>
      <c r="G78" t="s">
        <v>543</v>
      </c>
      <c r="H78" t="s">
        <v>665</v>
      </c>
      <c r="J78" t="s">
        <v>533</v>
      </c>
      <c r="K78" t="s">
        <v>2016</v>
      </c>
      <c r="M78" t="s">
        <v>2115</v>
      </c>
      <c r="O78" t="s">
        <v>465</v>
      </c>
      <c r="P78" t="s">
        <v>11</v>
      </c>
      <c r="R78" t="s">
        <v>950</v>
      </c>
      <c r="S78" t="s">
        <v>2241</v>
      </c>
      <c r="U78" t="s">
        <v>1275</v>
      </c>
      <c r="V78" t="s">
        <v>218</v>
      </c>
      <c r="X78" t="s">
        <v>494</v>
      </c>
      <c r="Y78" t="s">
        <v>64</v>
      </c>
    </row>
    <row r="79" spans="1:25" x14ac:dyDescent="0.35">
      <c r="A79" t="s">
        <v>1762</v>
      </c>
      <c r="B79" t="s">
        <v>196</v>
      </c>
      <c r="D79" t="s">
        <v>282</v>
      </c>
      <c r="E79" t="s">
        <v>1843</v>
      </c>
      <c r="G79" t="s">
        <v>1509</v>
      </c>
      <c r="H79" t="s">
        <v>1510</v>
      </c>
      <c r="J79" t="s">
        <v>533</v>
      </c>
      <c r="K79" t="s">
        <v>1755</v>
      </c>
      <c r="M79" t="s">
        <v>2116</v>
      </c>
      <c r="O79" t="s">
        <v>2160</v>
      </c>
      <c r="P79" t="s">
        <v>391</v>
      </c>
      <c r="R79" t="s">
        <v>621</v>
      </c>
      <c r="S79" t="s">
        <v>2198</v>
      </c>
      <c r="U79" t="s">
        <v>1371</v>
      </c>
      <c r="V79" t="s">
        <v>665</v>
      </c>
      <c r="X79" t="s">
        <v>870</v>
      </c>
      <c r="Y79" t="s">
        <v>528</v>
      </c>
    </row>
    <row r="80" spans="1:25" x14ac:dyDescent="0.35">
      <c r="A80" t="s">
        <v>406</v>
      </c>
      <c r="B80" t="s">
        <v>808</v>
      </c>
      <c r="D80" t="s">
        <v>122</v>
      </c>
      <c r="E80" t="s">
        <v>265</v>
      </c>
      <c r="G80" t="s">
        <v>1894</v>
      </c>
      <c r="H80" t="s">
        <v>1309</v>
      </c>
      <c r="J80" t="s">
        <v>739</v>
      </c>
      <c r="K80" t="s">
        <v>740</v>
      </c>
      <c r="M80" t="s">
        <v>2117</v>
      </c>
      <c r="O80" t="s">
        <v>2161</v>
      </c>
      <c r="P80" t="s">
        <v>2162</v>
      </c>
      <c r="R80" t="s">
        <v>1406</v>
      </c>
      <c r="S80" t="s">
        <v>2242</v>
      </c>
      <c r="U80" t="s">
        <v>950</v>
      </c>
      <c r="V80" t="s">
        <v>142</v>
      </c>
      <c r="X80" t="s">
        <v>1223</v>
      </c>
      <c r="Y80" t="s">
        <v>65</v>
      </c>
    </row>
    <row r="81" spans="1:22" x14ac:dyDescent="0.35">
      <c r="A81" t="s">
        <v>1763</v>
      </c>
      <c r="B81" t="s">
        <v>1764</v>
      </c>
      <c r="D81" t="s">
        <v>1171</v>
      </c>
      <c r="E81" t="s">
        <v>1170</v>
      </c>
      <c r="G81" t="s">
        <v>1895</v>
      </c>
      <c r="H81" t="s">
        <v>1936</v>
      </c>
      <c r="J81" t="s">
        <v>428</v>
      </c>
      <c r="K81" t="s">
        <v>218</v>
      </c>
      <c r="M81" t="s">
        <v>1074</v>
      </c>
      <c r="O81" t="s">
        <v>821</v>
      </c>
      <c r="P81" t="s">
        <v>65</v>
      </c>
      <c r="R81" t="s">
        <v>883</v>
      </c>
      <c r="S81" t="s">
        <v>2243</v>
      </c>
      <c r="U81" t="s">
        <v>621</v>
      </c>
      <c r="V81" t="s">
        <v>16</v>
      </c>
    </row>
    <row r="82" spans="1:22" x14ac:dyDescent="0.35">
      <c r="A82" t="s">
        <v>265</v>
      </c>
      <c r="B82" t="s">
        <v>122</v>
      </c>
      <c r="D82" t="s">
        <v>218</v>
      </c>
      <c r="E82" t="s">
        <v>976</v>
      </c>
      <c r="G82" t="s">
        <v>789</v>
      </c>
      <c r="H82" t="s">
        <v>77</v>
      </c>
      <c r="J82" t="s">
        <v>428</v>
      </c>
      <c r="K82" t="s">
        <v>1756</v>
      </c>
      <c r="M82" t="s">
        <v>2118</v>
      </c>
      <c r="O82" t="s">
        <v>1257</v>
      </c>
      <c r="P82" t="s">
        <v>13</v>
      </c>
      <c r="R82" t="s">
        <v>2165</v>
      </c>
      <c r="S82" t="s">
        <v>2203</v>
      </c>
      <c r="U82" t="s">
        <v>1406</v>
      </c>
      <c r="V82" t="s">
        <v>1267</v>
      </c>
    </row>
    <row r="83" spans="1:22" x14ac:dyDescent="0.35">
      <c r="A83" t="s">
        <v>265</v>
      </c>
      <c r="B83" t="s">
        <v>16</v>
      </c>
      <c r="D83" t="s">
        <v>665</v>
      </c>
      <c r="E83" t="s">
        <v>664</v>
      </c>
      <c r="G83" t="s">
        <v>1762</v>
      </c>
      <c r="H83" t="s">
        <v>16</v>
      </c>
      <c r="J83" t="s">
        <v>903</v>
      </c>
      <c r="K83" t="s">
        <v>71</v>
      </c>
      <c r="M83" t="s">
        <v>2119</v>
      </c>
      <c r="O83" t="s">
        <v>130</v>
      </c>
      <c r="P83" t="s">
        <v>131</v>
      </c>
      <c r="R83" t="s">
        <v>2166</v>
      </c>
      <c r="S83" t="s">
        <v>2186</v>
      </c>
      <c r="U83" t="s">
        <v>745</v>
      </c>
      <c r="V83" t="s">
        <v>746</v>
      </c>
    </row>
    <row r="84" spans="1:22" x14ac:dyDescent="0.35">
      <c r="A84" t="s">
        <v>1170</v>
      </c>
      <c r="B84" t="s">
        <v>1171</v>
      </c>
      <c r="D84" t="s">
        <v>73</v>
      </c>
      <c r="E84" t="s">
        <v>72</v>
      </c>
      <c r="G84" t="s">
        <v>406</v>
      </c>
      <c r="H84" t="s">
        <v>808</v>
      </c>
      <c r="J84" t="s">
        <v>960</v>
      </c>
      <c r="K84" t="s">
        <v>136</v>
      </c>
      <c r="M84" t="s">
        <v>2120</v>
      </c>
      <c r="O84" t="s">
        <v>2163</v>
      </c>
      <c r="P84" t="s">
        <v>196</v>
      </c>
      <c r="R84" t="s">
        <v>618</v>
      </c>
      <c r="S84" t="s">
        <v>2244</v>
      </c>
      <c r="U84" t="s">
        <v>2258</v>
      </c>
      <c r="V84" t="s">
        <v>884</v>
      </c>
    </row>
    <row r="85" spans="1:22" x14ac:dyDescent="0.35">
      <c r="A85" t="s">
        <v>976</v>
      </c>
      <c r="B85" t="s">
        <v>218</v>
      </c>
      <c r="D85" t="s">
        <v>353</v>
      </c>
      <c r="E85" t="s">
        <v>1765</v>
      </c>
      <c r="G85" t="s">
        <v>265</v>
      </c>
      <c r="H85" t="s">
        <v>122</v>
      </c>
      <c r="J85" t="s">
        <v>1757</v>
      </c>
      <c r="K85" t="s">
        <v>28</v>
      </c>
      <c r="M85" t="s">
        <v>2121</v>
      </c>
      <c r="O85" t="s">
        <v>195</v>
      </c>
      <c r="P85" t="s">
        <v>196</v>
      </c>
      <c r="R85" t="s">
        <v>870</v>
      </c>
      <c r="S85" t="s">
        <v>2245</v>
      </c>
      <c r="U85" t="s">
        <v>2259</v>
      </c>
      <c r="V85" t="s">
        <v>119</v>
      </c>
    </row>
    <row r="86" spans="1:22" x14ac:dyDescent="0.35">
      <c r="A86" t="s">
        <v>72</v>
      </c>
      <c r="B86" t="s">
        <v>73</v>
      </c>
      <c r="D86" t="s">
        <v>1844</v>
      </c>
      <c r="E86" t="s">
        <v>1845</v>
      </c>
      <c r="G86" t="s">
        <v>23</v>
      </c>
      <c r="H86" t="s">
        <v>1937</v>
      </c>
      <c r="J86" t="s">
        <v>1893</v>
      </c>
      <c r="K86" t="s">
        <v>1935</v>
      </c>
      <c r="M86" t="s">
        <v>2122</v>
      </c>
      <c r="O86" t="s">
        <v>656</v>
      </c>
      <c r="P86" t="s">
        <v>81</v>
      </c>
      <c r="U86" t="s">
        <v>494</v>
      </c>
      <c r="V86" t="s">
        <v>64</v>
      </c>
    </row>
    <row r="87" spans="1:22" x14ac:dyDescent="0.35">
      <c r="A87" t="s">
        <v>1765</v>
      </c>
      <c r="B87" t="s">
        <v>353</v>
      </c>
      <c r="D87" t="s">
        <v>65</v>
      </c>
      <c r="E87" t="s">
        <v>420</v>
      </c>
      <c r="G87" t="s">
        <v>23</v>
      </c>
      <c r="H87" t="s">
        <v>117</v>
      </c>
      <c r="J87" t="s">
        <v>1758</v>
      </c>
      <c r="K87" t="s">
        <v>413</v>
      </c>
      <c r="M87" t="s">
        <v>2123</v>
      </c>
      <c r="O87" t="s">
        <v>1275</v>
      </c>
      <c r="P87" t="s">
        <v>44</v>
      </c>
      <c r="U87" t="s">
        <v>870</v>
      </c>
      <c r="V87" t="s">
        <v>528</v>
      </c>
    </row>
    <row r="88" spans="1:22" x14ac:dyDescent="0.35">
      <c r="A88" t="s">
        <v>420</v>
      </c>
      <c r="B88" t="s">
        <v>65</v>
      </c>
      <c r="D88" t="s">
        <v>927</v>
      </c>
      <c r="E88" t="s">
        <v>880</v>
      </c>
      <c r="G88" t="s">
        <v>1170</v>
      </c>
      <c r="H88" t="s">
        <v>1171</v>
      </c>
      <c r="J88" t="s">
        <v>1425</v>
      </c>
      <c r="K88" t="s">
        <v>388</v>
      </c>
      <c r="M88" t="s">
        <v>2124</v>
      </c>
      <c r="O88" t="s">
        <v>1126</v>
      </c>
      <c r="P88" t="s">
        <v>480</v>
      </c>
    </row>
    <row r="89" spans="1:22" x14ac:dyDescent="0.35">
      <c r="A89" t="s">
        <v>1766</v>
      </c>
      <c r="B89" t="s">
        <v>218</v>
      </c>
      <c r="D89" t="s">
        <v>1846</v>
      </c>
      <c r="E89" t="s">
        <v>880</v>
      </c>
      <c r="G89" t="s">
        <v>976</v>
      </c>
      <c r="H89" t="s">
        <v>218</v>
      </c>
      <c r="J89" t="s">
        <v>1986</v>
      </c>
      <c r="K89" t="s">
        <v>1826</v>
      </c>
      <c r="O89" t="s">
        <v>2164</v>
      </c>
      <c r="P89" t="s">
        <v>406</v>
      </c>
    </row>
    <row r="90" spans="1:22" x14ac:dyDescent="0.35">
      <c r="A90" t="s">
        <v>880</v>
      </c>
      <c r="B90" t="s">
        <v>927</v>
      </c>
      <c r="D90" t="s">
        <v>128</v>
      </c>
      <c r="E90" t="s">
        <v>461</v>
      </c>
      <c r="G90" t="s">
        <v>664</v>
      </c>
      <c r="H90" t="s">
        <v>665</v>
      </c>
      <c r="J90" t="s">
        <v>94</v>
      </c>
      <c r="K90" t="s">
        <v>16</v>
      </c>
      <c r="O90" t="s">
        <v>950</v>
      </c>
      <c r="P90" t="s">
        <v>142</v>
      </c>
    </row>
    <row r="91" spans="1:22" x14ac:dyDescent="0.35">
      <c r="A91" t="s">
        <v>461</v>
      </c>
      <c r="B91" t="s">
        <v>128</v>
      </c>
      <c r="D91" t="s">
        <v>1847</v>
      </c>
      <c r="E91" t="s">
        <v>604</v>
      </c>
      <c r="G91" t="s">
        <v>72</v>
      </c>
      <c r="H91" t="s">
        <v>73</v>
      </c>
      <c r="J91" t="s">
        <v>1987</v>
      </c>
      <c r="K91" t="s">
        <v>1267</v>
      </c>
      <c r="O91" t="s">
        <v>1316</v>
      </c>
      <c r="P91" t="s">
        <v>421</v>
      </c>
    </row>
    <row r="92" spans="1:22" x14ac:dyDescent="0.35">
      <c r="A92" t="s">
        <v>461</v>
      </c>
      <c r="B92" t="s">
        <v>1521</v>
      </c>
      <c r="D92" t="s">
        <v>1112</v>
      </c>
      <c r="E92" t="s">
        <v>1111</v>
      </c>
      <c r="G92" t="s">
        <v>1765</v>
      </c>
      <c r="H92" t="s">
        <v>353</v>
      </c>
      <c r="J92" t="s">
        <v>1988</v>
      </c>
      <c r="K92" t="s">
        <v>2017</v>
      </c>
      <c r="O92" t="s">
        <v>2165</v>
      </c>
      <c r="P92" t="s">
        <v>136</v>
      </c>
    </row>
    <row r="93" spans="1:22" x14ac:dyDescent="0.35">
      <c r="A93" t="s">
        <v>604</v>
      </c>
      <c r="B93" t="s">
        <v>89</v>
      </c>
      <c r="D93" t="s">
        <v>480</v>
      </c>
      <c r="E93" t="s">
        <v>1848</v>
      </c>
      <c r="G93" t="s">
        <v>420</v>
      </c>
      <c r="H93" t="s">
        <v>1938</v>
      </c>
      <c r="J93" t="s">
        <v>543</v>
      </c>
      <c r="K93" t="s">
        <v>67</v>
      </c>
      <c r="O93" t="s">
        <v>2166</v>
      </c>
      <c r="P93" t="s">
        <v>153</v>
      </c>
    </row>
    <row r="94" spans="1:22" x14ac:dyDescent="0.35">
      <c r="A94" t="s">
        <v>332</v>
      </c>
      <c r="B94" t="s">
        <v>451</v>
      </c>
      <c r="D94" t="s">
        <v>451</v>
      </c>
      <c r="E94" t="s">
        <v>332</v>
      </c>
      <c r="G94" t="s">
        <v>420</v>
      </c>
      <c r="H94" t="s">
        <v>65</v>
      </c>
      <c r="J94" t="s">
        <v>1509</v>
      </c>
      <c r="K94" t="s">
        <v>1510</v>
      </c>
      <c r="O94" t="s">
        <v>405</v>
      </c>
      <c r="P94" t="s">
        <v>404</v>
      </c>
    </row>
    <row r="95" spans="1:22" x14ac:dyDescent="0.35">
      <c r="A95" t="s">
        <v>1767</v>
      </c>
      <c r="B95" t="s">
        <v>598</v>
      </c>
      <c r="D95" t="s">
        <v>159</v>
      </c>
      <c r="E95" t="s">
        <v>1849</v>
      </c>
      <c r="G95" t="s">
        <v>187</v>
      </c>
      <c r="H95" t="s">
        <v>330</v>
      </c>
      <c r="J95" t="s">
        <v>1894</v>
      </c>
      <c r="K95" t="s">
        <v>2018</v>
      </c>
      <c r="O95" t="s">
        <v>2167</v>
      </c>
      <c r="P95" t="s">
        <v>2168</v>
      </c>
    </row>
    <row r="96" spans="1:22" x14ac:dyDescent="0.35">
      <c r="A96" t="s">
        <v>414</v>
      </c>
      <c r="B96" t="s">
        <v>413</v>
      </c>
      <c r="D96" t="s">
        <v>79</v>
      </c>
      <c r="E96" t="s">
        <v>78</v>
      </c>
      <c r="G96" t="s">
        <v>880</v>
      </c>
      <c r="H96" t="s">
        <v>927</v>
      </c>
      <c r="J96" t="s">
        <v>789</v>
      </c>
      <c r="K96" t="s">
        <v>77</v>
      </c>
      <c r="O96" t="s">
        <v>870</v>
      </c>
      <c r="P96" t="s">
        <v>528</v>
      </c>
    </row>
    <row r="97" spans="1:16" x14ac:dyDescent="0.35">
      <c r="A97" t="s">
        <v>1768</v>
      </c>
      <c r="B97" t="s">
        <v>782</v>
      </c>
      <c r="D97" t="s">
        <v>413</v>
      </c>
      <c r="E97" t="s">
        <v>414</v>
      </c>
      <c r="G97" t="s">
        <v>461</v>
      </c>
      <c r="H97" t="s">
        <v>128</v>
      </c>
      <c r="J97" t="s">
        <v>1762</v>
      </c>
      <c r="K97" t="s">
        <v>196</v>
      </c>
      <c r="O97" t="s">
        <v>2169</v>
      </c>
      <c r="P97" t="s">
        <v>65</v>
      </c>
    </row>
    <row r="98" spans="1:16" x14ac:dyDescent="0.35">
      <c r="A98" t="s">
        <v>597</v>
      </c>
      <c r="B98" t="s">
        <v>598</v>
      </c>
      <c r="D98" t="s">
        <v>782</v>
      </c>
      <c r="E98" t="s">
        <v>1768</v>
      </c>
      <c r="G98" t="s">
        <v>604</v>
      </c>
      <c r="H98" t="s">
        <v>89</v>
      </c>
      <c r="J98" t="s">
        <v>1762</v>
      </c>
      <c r="K98" t="s">
        <v>1927</v>
      </c>
    </row>
    <row r="99" spans="1:16" x14ac:dyDescent="0.35">
      <c r="A99" t="s">
        <v>88</v>
      </c>
      <c r="B99" t="s">
        <v>89</v>
      </c>
      <c r="D99" t="s">
        <v>598</v>
      </c>
      <c r="E99" t="s">
        <v>597</v>
      </c>
      <c r="G99" t="s">
        <v>1111</v>
      </c>
      <c r="H99" t="s">
        <v>1112</v>
      </c>
      <c r="J99" t="s">
        <v>406</v>
      </c>
      <c r="K99" t="s">
        <v>808</v>
      </c>
    </row>
    <row r="100" spans="1:16" x14ac:dyDescent="0.35">
      <c r="A100" t="s">
        <v>1769</v>
      </c>
      <c r="B100" t="s">
        <v>136</v>
      </c>
      <c r="D100" t="s">
        <v>89</v>
      </c>
      <c r="E100" t="s">
        <v>88</v>
      </c>
      <c r="G100" t="s">
        <v>332</v>
      </c>
      <c r="H100" t="s">
        <v>451</v>
      </c>
      <c r="J100" t="s">
        <v>1069</v>
      </c>
      <c r="K100" t="s">
        <v>16</v>
      </c>
    </row>
    <row r="101" spans="1:16" x14ac:dyDescent="0.35">
      <c r="A101" t="s">
        <v>1770</v>
      </c>
      <c r="B101" t="s">
        <v>16</v>
      </c>
      <c r="D101" t="s">
        <v>153</v>
      </c>
      <c r="E101" t="s">
        <v>74</v>
      </c>
      <c r="G101" t="s">
        <v>479</v>
      </c>
      <c r="H101" t="s">
        <v>480</v>
      </c>
      <c r="J101" t="s">
        <v>265</v>
      </c>
      <c r="K101" t="s">
        <v>122</v>
      </c>
    </row>
    <row r="102" spans="1:16" x14ac:dyDescent="0.35">
      <c r="A102" t="s">
        <v>74</v>
      </c>
      <c r="B102" t="s">
        <v>153</v>
      </c>
      <c r="D102" t="s">
        <v>38</v>
      </c>
      <c r="E102" t="s">
        <v>1771</v>
      </c>
      <c r="G102" t="s">
        <v>78</v>
      </c>
      <c r="H102" t="s">
        <v>79</v>
      </c>
      <c r="J102" t="s">
        <v>23</v>
      </c>
      <c r="K102" t="s">
        <v>117</v>
      </c>
    </row>
    <row r="103" spans="1:16" x14ac:dyDescent="0.35">
      <c r="A103" t="s">
        <v>1771</v>
      </c>
      <c r="B103" t="s">
        <v>38</v>
      </c>
      <c r="D103" t="s">
        <v>122</v>
      </c>
      <c r="E103" t="s">
        <v>1772</v>
      </c>
      <c r="G103" t="s">
        <v>19</v>
      </c>
      <c r="H103" t="s">
        <v>20</v>
      </c>
      <c r="J103" t="s">
        <v>1170</v>
      </c>
      <c r="K103" t="s">
        <v>1171</v>
      </c>
    </row>
    <row r="104" spans="1:16" x14ac:dyDescent="0.35">
      <c r="A104" t="s">
        <v>1772</v>
      </c>
      <c r="B104" t="s">
        <v>122</v>
      </c>
      <c r="D104" t="s">
        <v>16</v>
      </c>
      <c r="E104" t="s">
        <v>277</v>
      </c>
      <c r="G104" t="s">
        <v>414</v>
      </c>
      <c r="H104" t="s">
        <v>413</v>
      </c>
      <c r="J104" t="s">
        <v>976</v>
      </c>
      <c r="K104" t="s">
        <v>218</v>
      </c>
    </row>
    <row r="105" spans="1:16" x14ac:dyDescent="0.35">
      <c r="A105" t="s">
        <v>128</v>
      </c>
      <c r="B105" t="s">
        <v>443</v>
      </c>
      <c r="D105" t="s">
        <v>1850</v>
      </c>
      <c r="E105" t="s">
        <v>1851</v>
      </c>
      <c r="G105" t="s">
        <v>414</v>
      </c>
      <c r="H105" t="s">
        <v>1939</v>
      </c>
      <c r="J105" t="s">
        <v>664</v>
      </c>
      <c r="K105" t="s">
        <v>665</v>
      </c>
    </row>
    <row r="106" spans="1:16" x14ac:dyDescent="0.35">
      <c r="A106" t="s">
        <v>251</v>
      </c>
      <c r="B106" t="s">
        <v>252</v>
      </c>
      <c r="D106" t="s">
        <v>443</v>
      </c>
      <c r="E106" t="s">
        <v>128</v>
      </c>
      <c r="G106" t="s">
        <v>597</v>
      </c>
      <c r="H106" t="s">
        <v>1940</v>
      </c>
      <c r="J106" t="s">
        <v>72</v>
      </c>
      <c r="K106" t="s">
        <v>73</v>
      </c>
    </row>
    <row r="107" spans="1:16" x14ac:dyDescent="0.35">
      <c r="A107" t="s">
        <v>1773</v>
      </c>
      <c r="B107" t="s">
        <v>1774</v>
      </c>
      <c r="D107" t="s">
        <v>252</v>
      </c>
      <c r="E107" t="s">
        <v>251</v>
      </c>
      <c r="G107" t="s">
        <v>88</v>
      </c>
      <c r="H107" t="s">
        <v>89</v>
      </c>
      <c r="J107" t="s">
        <v>1765</v>
      </c>
      <c r="K107" t="s">
        <v>353</v>
      </c>
    </row>
    <row r="108" spans="1:16" x14ac:dyDescent="0.35">
      <c r="A108" t="s">
        <v>1775</v>
      </c>
      <c r="B108" t="s">
        <v>1355</v>
      </c>
      <c r="D108" t="s">
        <v>187</v>
      </c>
      <c r="E108" t="s">
        <v>211</v>
      </c>
      <c r="G108" t="s">
        <v>1896</v>
      </c>
      <c r="H108" t="s">
        <v>463</v>
      </c>
      <c r="J108" t="s">
        <v>420</v>
      </c>
      <c r="K108" t="s">
        <v>65</v>
      </c>
    </row>
    <row r="109" spans="1:16" x14ac:dyDescent="0.35">
      <c r="A109" t="s">
        <v>1775</v>
      </c>
      <c r="B109" t="s">
        <v>1355</v>
      </c>
      <c r="D109" t="s">
        <v>1852</v>
      </c>
      <c r="E109" t="s">
        <v>211</v>
      </c>
      <c r="G109" t="s">
        <v>1769</v>
      </c>
      <c r="H109" t="s">
        <v>136</v>
      </c>
      <c r="J109" t="s">
        <v>420</v>
      </c>
      <c r="K109" t="s">
        <v>1938</v>
      </c>
    </row>
    <row r="110" spans="1:16" x14ac:dyDescent="0.35">
      <c r="A110" t="s">
        <v>1505</v>
      </c>
      <c r="B110" t="s">
        <v>52</v>
      </c>
      <c r="D110" t="s">
        <v>782</v>
      </c>
      <c r="E110" t="s">
        <v>1853</v>
      </c>
      <c r="G110" t="s">
        <v>74</v>
      </c>
      <c r="H110" t="s">
        <v>153</v>
      </c>
      <c r="J110" t="s">
        <v>1989</v>
      </c>
      <c r="K110" t="s">
        <v>384</v>
      </c>
    </row>
    <row r="111" spans="1:16" x14ac:dyDescent="0.35">
      <c r="A111" t="s">
        <v>1776</v>
      </c>
      <c r="B111" t="s">
        <v>1777</v>
      </c>
      <c r="D111" t="s">
        <v>1854</v>
      </c>
      <c r="E111" t="s">
        <v>1855</v>
      </c>
      <c r="G111" t="s">
        <v>1772</v>
      </c>
      <c r="H111" t="s">
        <v>122</v>
      </c>
      <c r="J111" t="s">
        <v>1208</v>
      </c>
      <c r="K111" t="s">
        <v>353</v>
      </c>
    </row>
    <row r="112" spans="1:16" x14ac:dyDescent="0.35">
      <c r="A112" t="s">
        <v>1415</v>
      </c>
      <c r="B112" t="s">
        <v>16</v>
      </c>
      <c r="D112" t="s">
        <v>52</v>
      </c>
      <c r="E112" t="s">
        <v>1505</v>
      </c>
      <c r="G112" t="s">
        <v>277</v>
      </c>
      <c r="H112" t="s">
        <v>16</v>
      </c>
      <c r="J112" t="s">
        <v>136</v>
      </c>
      <c r="K112" t="s">
        <v>1301</v>
      </c>
    </row>
    <row r="113" spans="1:11" x14ac:dyDescent="0.35">
      <c r="A113" t="s">
        <v>799</v>
      </c>
      <c r="B113" t="s">
        <v>1778</v>
      </c>
      <c r="D113" t="s">
        <v>1777</v>
      </c>
      <c r="E113" t="s">
        <v>1776</v>
      </c>
      <c r="G113" t="s">
        <v>277</v>
      </c>
      <c r="H113" t="s">
        <v>843</v>
      </c>
      <c r="J113" t="s">
        <v>461</v>
      </c>
      <c r="K113" t="s">
        <v>1521</v>
      </c>
    </row>
    <row r="114" spans="1:11" x14ac:dyDescent="0.35">
      <c r="A114" t="s">
        <v>306</v>
      </c>
      <c r="B114" t="s">
        <v>480</v>
      </c>
      <c r="D114" t="s">
        <v>1856</v>
      </c>
      <c r="E114" t="s">
        <v>799</v>
      </c>
      <c r="G114" t="s">
        <v>1897</v>
      </c>
      <c r="H114" t="s">
        <v>251</v>
      </c>
      <c r="J114" t="s">
        <v>1111</v>
      </c>
      <c r="K114" t="s">
        <v>1112</v>
      </c>
    </row>
    <row r="115" spans="1:11" x14ac:dyDescent="0.35">
      <c r="A115" t="s">
        <v>537</v>
      </c>
      <c r="B115" t="s">
        <v>538</v>
      </c>
      <c r="D115" t="s">
        <v>1857</v>
      </c>
      <c r="E115" t="s">
        <v>306</v>
      </c>
      <c r="G115" t="s">
        <v>128</v>
      </c>
      <c r="H115" t="s">
        <v>1941</v>
      </c>
      <c r="J115" t="s">
        <v>332</v>
      </c>
      <c r="K115" t="s">
        <v>451</v>
      </c>
    </row>
    <row r="116" spans="1:11" x14ac:dyDescent="0.35">
      <c r="A116" t="s">
        <v>1779</v>
      </c>
      <c r="B116" t="s">
        <v>799</v>
      </c>
      <c r="D116" t="s">
        <v>429</v>
      </c>
      <c r="E116" t="s">
        <v>1858</v>
      </c>
      <c r="G116" t="s">
        <v>1898</v>
      </c>
      <c r="H116" t="s">
        <v>1942</v>
      </c>
      <c r="J116" t="s">
        <v>1404</v>
      </c>
      <c r="K116" t="s">
        <v>768</v>
      </c>
    </row>
    <row r="117" spans="1:11" x14ac:dyDescent="0.35">
      <c r="A117" t="s">
        <v>273</v>
      </c>
      <c r="B117" t="s">
        <v>218</v>
      </c>
      <c r="D117" t="s">
        <v>665</v>
      </c>
      <c r="E117" t="s">
        <v>1859</v>
      </c>
      <c r="G117" t="s">
        <v>251</v>
      </c>
      <c r="H117" t="s">
        <v>1943</v>
      </c>
      <c r="J117" t="s">
        <v>711</v>
      </c>
      <c r="K117" t="s">
        <v>85</v>
      </c>
    </row>
    <row r="118" spans="1:11" x14ac:dyDescent="0.35">
      <c r="A118" t="s">
        <v>1780</v>
      </c>
      <c r="B118" t="s">
        <v>136</v>
      </c>
      <c r="D118" t="s">
        <v>1860</v>
      </c>
      <c r="E118" t="s">
        <v>537</v>
      </c>
      <c r="G118" t="s">
        <v>1899</v>
      </c>
      <c r="H118" t="s">
        <v>1944</v>
      </c>
      <c r="J118" t="s">
        <v>1990</v>
      </c>
      <c r="K118" t="s">
        <v>421</v>
      </c>
    </row>
    <row r="119" spans="1:11" x14ac:dyDescent="0.35">
      <c r="A119" t="s">
        <v>1781</v>
      </c>
      <c r="B119" t="s">
        <v>528</v>
      </c>
      <c r="D119" t="s">
        <v>799</v>
      </c>
      <c r="E119" t="s">
        <v>1779</v>
      </c>
      <c r="G119" t="s">
        <v>1410</v>
      </c>
      <c r="H119" t="s">
        <v>1945</v>
      </c>
      <c r="J119" t="s">
        <v>78</v>
      </c>
      <c r="K119" t="s">
        <v>79</v>
      </c>
    </row>
    <row r="120" spans="1:11" x14ac:dyDescent="0.35">
      <c r="A120" t="s">
        <v>14</v>
      </c>
      <c r="B120" t="s">
        <v>11</v>
      </c>
      <c r="D120" t="s">
        <v>218</v>
      </c>
      <c r="E120" t="s">
        <v>273</v>
      </c>
      <c r="G120" t="s">
        <v>1855</v>
      </c>
      <c r="H120" t="s">
        <v>1854</v>
      </c>
      <c r="J120" t="s">
        <v>19</v>
      </c>
      <c r="K120" t="s">
        <v>20</v>
      </c>
    </row>
    <row r="121" spans="1:11" x14ac:dyDescent="0.35">
      <c r="A121" t="s">
        <v>1782</v>
      </c>
      <c r="B121" t="s">
        <v>528</v>
      </c>
      <c r="D121" t="s">
        <v>136</v>
      </c>
      <c r="E121" t="s">
        <v>1780</v>
      </c>
      <c r="G121" t="s">
        <v>1900</v>
      </c>
      <c r="H121" t="s">
        <v>1946</v>
      </c>
      <c r="J121" t="s">
        <v>414</v>
      </c>
      <c r="K121" t="s">
        <v>2019</v>
      </c>
    </row>
    <row r="122" spans="1:11" x14ac:dyDescent="0.35">
      <c r="A122" t="s">
        <v>1174</v>
      </c>
      <c r="B122" t="s">
        <v>196</v>
      </c>
      <c r="D122" t="s">
        <v>528</v>
      </c>
      <c r="E122" t="s">
        <v>1781</v>
      </c>
      <c r="G122" t="s">
        <v>1505</v>
      </c>
      <c r="H122" t="s">
        <v>52</v>
      </c>
      <c r="J122" t="s">
        <v>414</v>
      </c>
      <c r="K122" t="s">
        <v>1939</v>
      </c>
    </row>
    <row r="123" spans="1:11" x14ac:dyDescent="0.35">
      <c r="A123" t="s">
        <v>1783</v>
      </c>
      <c r="B123" t="s">
        <v>136</v>
      </c>
      <c r="D123" t="s">
        <v>11</v>
      </c>
      <c r="E123" t="s">
        <v>14</v>
      </c>
      <c r="G123" t="s">
        <v>1776</v>
      </c>
      <c r="H123" t="s">
        <v>1777</v>
      </c>
      <c r="J123" t="s">
        <v>1768</v>
      </c>
      <c r="K123" t="s">
        <v>782</v>
      </c>
    </row>
    <row r="124" spans="1:11" x14ac:dyDescent="0.35">
      <c r="A124" t="s">
        <v>1784</v>
      </c>
      <c r="B124" t="s">
        <v>384</v>
      </c>
      <c r="D124" t="s">
        <v>528</v>
      </c>
      <c r="E124" t="s">
        <v>1782</v>
      </c>
      <c r="G124" t="s">
        <v>1901</v>
      </c>
      <c r="H124" t="s">
        <v>1856</v>
      </c>
      <c r="J124" t="s">
        <v>597</v>
      </c>
      <c r="K124" t="s">
        <v>598</v>
      </c>
    </row>
    <row r="125" spans="1:11" x14ac:dyDescent="0.35">
      <c r="A125" t="s">
        <v>1785</v>
      </c>
      <c r="B125" t="s">
        <v>136</v>
      </c>
      <c r="D125" t="s">
        <v>196</v>
      </c>
      <c r="E125" t="s">
        <v>1174</v>
      </c>
      <c r="G125" t="s">
        <v>306</v>
      </c>
      <c r="H125" t="s">
        <v>480</v>
      </c>
      <c r="J125" t="s">
        <v>88</v>
      </c>
      <c r="K125" t="s">
        <v>89</v>
      </c>
    </row>
    <row r="126" spans="1:11" x14ac:dyDescent="0.35">
      <c r="A126" t="s">
        <v>1786</v>
      </c>
      <c r="B126" t="s">
        <v>1787</v>
      </c>
      <c r="D126" t="s">
        <v>200</v>
      </c>
      <c r="E126" t="s">
        <v>1861</v>
      </c>
      <c r="G126" t="s">
        <v>442</v>
      </c>
      <c r="H126" t="s">
        <v>429</v>
      </c>
      <c r="J126" t="s">
        <v>187</v>
      </c>
      <c r="K126" t="s">
        <v>330</v>
      </c>
    </row>
    <row r="127" spans="1:11" x14ac:dyDescent="0.35">
      <c r="A127" t="s">
        <v>1786</v>
      </c>
      <c r="B127" t="s">
        <v>81</v>
      </c>
      <c r="D127" t="s">
        <v>136</v>
      </c>
      <c r="E127" t="s">
        <v>1783</v>
      </c>
      <c r="G127" t="s">
        <v>866</v>
      </c>
      <c r="H127" t="s">
        <v>142</v>
      </c>
      <c r="J127" t="s">
        <v>1896</v>
      </c>
      <c r="K127" t="s">
        <v>463</v>
      </c>
    </row>
    <row r="128" spans="1:11" x14ac:dyDescent="0.35">
      <c r="A128" t="s">
        <v>1788</v>
      </c>
      <c r="B128" t="s">
        <v>1789</v>
      </c>
      <c r="D128" t="s">
        <v>920</v>
      </c>
      <c r="E128" t="s">
        <v>1784</v>
      </c>
      <c r="G128" t="s">
        <v>537</v>
      </c>
      <c r="H128" t="s">
        <v>1860</v>
      </c>
      <c r="J128" t="s">
        <v>1769</v>
      </c>
      <c r="K128" t="s">
        <v>136</v>
      </c>
    </row>
    <row r="129" spans="1:11" x14ac:dyDescent="0.35">
      <c r="A129" t="s">
        <v>906</v>
      </c>
      <c r="B129" t="s">
        <v>44</v>
      </c>
      <c r="D129" t="s">
        <v>128</v>
      </c>
      <c r="E129" t="s">
        <v>1862</v>
      </c>
      <c r="G129" t="s">
        <v>1779</v>
      </c>
      <c r="H129" t="s">
        <v>799</v>
      </c>
      <c r="J129" t="s">
        <v>135</v>
      </c>
      <c r="K129" t="s">
        <v>1136</v>
      </c>
    </row>
    <row r="130" spans="1:11" x14ac:dyDescent="0.35">
      <c r="A130" t="s">
        <v>709</v>
      </c>
      <c r="B130" t="s">
        <v>13</v>
      </c>
      <c r="D130" t="s">
        <v>1863</v>
      </c>
      <c r="E130" t="s">
        <v>1864</v>
      </c>
      <c r="G130" t="s">
        <v>273</v>
      </c>
      <c r="H130" t="s">
        <v>218</v>
      </c>
      <c r="J130" t="s">
        <v>1769</v>
      </c>
      <c r="K130" t="s">
        <v>1959</v>
      </c>
    </row>
    <row r="131" spans="1:11" x14ac:dyDescent="0.35">
      <c r="A131" t="s">
        <v>390</v>
      </c>
      <c r="B131" t="s">
        <v>391</v>
      </c>
      <c r="D131" t="s">
        <v>271</v>
      </c>
      <c r="E131" t="s">
        <v>531</v>
      </c>
      <c r="G131" t="s">
        <v>1902</v>
      </c>
      <c r="H131" t="s">
        <v>1947</v>
      </c>
      <c r="J131" t="s">
        <v>1769</v>
      </c>
      <c r="K131" t="s">
        <v>1073</v>
      </c>
    </row>
    <row r="132" spans="1:11" x14ac:dyDescent="0.35">
      <c r="A132" t="s">
        <v>1790</v>
      </c>
      <c r="B132" t="s">
        <v>410</v>
      </c>
      <c r="D132" t="s">
        <v>308</v>
      </c>
      <c r="E132" t="s">
        <v>307</v>
      </c>
      <c r="G132" t="s">
        <v>1780</v>
      </c>
      <c r="H132" t="s">
        <v>136</v>
      </c>
      <c r="J132" t="s">
        <v>74</v>
      </c>
      <c r="K132" t="s">
        <v>153</v>
      </c>
    </row>
    <row r="133" spans="1:11" x14ac:dyDescent="0.35">
      <c r="A133" t="s">
        <v>313</v>
      </c>
      <c r="B133" t="s">
        <v>314</v>
      </c>
      <c r="D133" t="s">
        <v>1789</v>
      </c>
      <c r="E133" t="s">
        <v>1788</v>
      </c>
      <c r="G133" t="s">
        <v>1903</v>
      </c>
      <c r="H133" t="s">
        <v>44</v>
      </c>
      <c r="J133" t="s">
        <v>1771</v>
      </c>
      <c r="K133" t="s">
        <v>2020</v>
      </c>
    </row>
    <row r="134" spans="1:11" x14ac:dyDescent="0.35">
      <c r="A134" t="s">
        <v>1791</v>
      </c>
      <c r="B134" t="s">
        <v>139</v>
      </c>
      <c r="D134" t="s">
        <v>44</v>
      </c>
      <c r="E134" t="s">
        <v>906</v>
      </c>
      <c r="G134" t="s">
        <v>1781</v>
      </c>
      <c r="H134" t="s">
        <v>528</v>
      </c>
      <c r="J134" t="s">
        <v>1772</v>
      </c>
      <c r="K134" t="s">
        <v>122</v>
      </c>
    </row>
    <row r="135" spans="1:11" x14ac:dyDescent="0.35">
      <c r="A135" t="s">
        <v>1100</v>
      </c>
      <c r="B135" t="s">
        <v>11</v>
      </c>
      <c r="D135" t="s">
        <v>13</v>
      </c>
      <c r="E135" t="s">
        <v>709</v>
      </c>
      <c r="G135" t="s">
        <v>1904</v>
      </c>
      <c r="H135" t="s">
        <v>1269</v>
      </c>
      <c r="J135" t="s">
        <v>277</v>
      </c>
      <c r="K135" t="s">
        <v>16</v>
      </c>
    </row>
    <row r="136" spans="1:11" x14ac:dyDescent="0.35">
      <c r="A136" t="s">
        <v>1792</v>
      </c>
      <c r="B136" t="s">
        <v>1793</v>
      </c>
      <c r="D136" t="s">
        <v>1865</v>
      </c>
      <c r="E136" t="s">
        <v>1866</v>
      </c>
      <c r="G136" t="s">
        <v>1905</v>
      </c>
      <c r="H136" t="s">
        <v>1948</v>
      </c>
      <c r="J136" t="s">
        <v>277</v>
      </c>
      <c r="K136" t="s">
        <v>843</v>
      </c>
    </row>
    <row r="137" spans="1:11" x14ac:dyDescent="0.35">
      <c r="A137" t="s">
        <v>304</v>
      </c>
      <c r="B137" t="s">
        <v>1003</v>
      </c>
      <c r="D137" t="s">
        <v>846</v>
      </c>
      <c r="E137" t="s">
        <v>890</v>
      </c>
      <c r="G137" t="s">
        <v>14</v>
      </c>
      <c r="H137" t="s">
        <v>1949</v>
      </c>
      <c r="J137" t="s">
        <v>128</v>
      </c>
      <c r="K137" t="s">
        <v>1941</v>
      </c>
    </row>
    <row r="138" spans="1:11" x14ac:dyDescent="0.35">
      <c r="A138" t="s">
        <v>304</v>
      </c>
      <c r="B138" t="s">
        <v>65</v>
      </c>
      <c r="D138" t="s">
        <v>492</v>
      </c>
      <c r="E138" t="s">
        <v>890</v>
      </c>
      <c r="G138" t="s">
        <v>14</v>
      </c>
      <c r="H138" t="s">
        <v>11</v>
      </c>
      <c r="J138" t="s">
        <v>1410</v>
      </c>
      <c r="K138" t="s">
        <v>1945</v>
      </c>
    </row>
    <row r="139" spans="1:11" x14ac:dyDescent="0.35">
      <c r="A139" t="s">
        <v>1794</v>
      </c>
      <c r="B139" t="s">
        <v>58</v>
      </c>
      <c r="D139" t="s">
        <v>11</v>
      </c>
      <c r="E139" t="s">
        <v>715</v>
      </c>
      <c r="G139" t="s">
        <v>1174</v>
      </c>
      <c r="H139" t="s">
        <v>196</v>
      </c>
      <c r="J139" t="s">
        <v>1991</v>
      </c>
      <c r="K139" t="s">
        <v>2021</v>
      </c>
    </row>
    <row r="140" spans="1:11" x14ac:dyDescent="0.35">
      <c r="A140" t="s">
        <v>1795</v>
      </c>
      <c r="B140" t="s">
        <v>77</v>
      </c>
      <c r="D140" t="s">
        <v>314</v>
      </c>
      <c r="E140" t="s">
        <v>313</v>
      </c>
      <c r="G140" t="s">
        <v>394</v>
      </c>
      <c r="H140" t="s">
        <v>1085</v>
      </c>
      <c r="J140" t="s">
        <v>1853</v>
      </c>
      <c r="K140" t="s">
        <v>782</v>
      </c>
    </row>
    <row r="141" spans="1:11" x14ac:dyDescent="0.35">
      <c r="A141" t="s">
        <v>1796</v>
      </c>
      <c r="B141" t="s">
        <v>1005</v>
      </c>
      <c r="D141" t="s">
        <v>11</v>
      </c>
      <c r="E141" t="s">
        <v>1100</v>
      </c>
      <c r="G141" t="s">
        <v>1504</v>
      </c>
      <c r="H141" t="s">
        <v>85</v>
      </c>
      <c r="J141" t="s">
        <v>1853</v>
      </c>
      <c r="K141" t="s">
        <v>2022</v>
      </c>
    </row>
    <row r="142" spans="1:11" x14ac:dyDescent="0.35">
      <c r="A142" t="s">
        <v>248</v>
      </c>
      <c r="B142" t="s">
        <v>1797</v>
      </c>
      <c r="D142" t="s">
        <v>1003</v>
      </c>
      <c r="E142" t="s">
        <v>304</v>
      </c>
      <c r="G142" t="s">
        <v>1861</v>
      </c>
      <c r="H142" t="s">
        <v>200</v>
      </c>
      <c r="J142" t="s">
        <v>1855</v>
      </c>
      <c r="K142" t="s">
        <v>1854</v>
      </c>
    </row>
    <row r="143" spans="1:11" x14ac:dyDescent="0.35">
      <c r="A143" t="s">
        <v>1798</v>
      </c>
      <c r="B143" t="s">
        <v>79</v>
      </c>
      <c r="D143" t="s">
        <v>65</v>
      </c>
      <c r="E143" t="s">
        <v>304</v>
      </c>
      <c r="G143" t="s">
        <v>1906</v>
      </c>
      <c r="H143" t="s">
        <v>1950</v>
      </c>
      <c r="J143" t="s">
        <v>1505</v>
      </c>
      <c r="K143" t="s">
        <v>52</v>
      </c>
    </row>
    <row r="144" spans="1:11" x14ac:dyDescent="0.35">
      <c r="A144" t="s">
        <v>1799</v>
      </c>
      <c r="B144" t="s">
        <v>200</v>
      </c>
      <c r="D144" t="s">
        <v>644</v>
      </c>
      <c r="E144" t="s">
        <v>1867</v>
      </c>
      <c r="G144" t="s">
        <v>1785</v>
      </c>
      <c r="H144" t="s">
        <v>136</v>
      </c>
      <c r="J144" t="s">
        <v>1776</v>
      </c>
      <c r="K144" t="s">
        <v>1777</v>
      </c>
    </row>
    <row r="145" spans="1:11" x14ac:dyDescent="0.35">
      <c r="A145" t="s">
        <v>841</v>
      </c>
      <c r="B145" t="s">
        <v>139</v>
      </c>
      <c r="D145" t="s">
        <v>249</v>
      </c>
      <c r="E145" t="s">
        <v>248</v>
      </c>
      <c r="G145" t="s">
        <v>1786</v>
      </c>
      <c r="H145" t="s">
        <v>1951</v>
      </c>
      <c r="J145" t="s">
        <v>799</v>
      </c>
      <c r="K145" t="s">
        <v>2023</v>
      </c>
    </row>
    <row r="146" spans="1:11" x14ac:dyDescent="0.35">
      <c r="A146" t="s">
        <v>1078</v>
      </c>
      <c r="B146" t="s">
        <v>471</v>
      </c>
      <c r="D146" t="s">
        <v>79</v>
      </c>
      <c r="E146" t="s">
        <v>1798</v>
      </c>
      <c r="G146" t="s">
        <v>475</v>
      </c>
      <c r="H146" t="s">
        <v>388</v>
      </c>
      <c r="J146" t="s">
        <v>306</v>
      </c>
      <c r="K146" t="s">
        <v>480</v>
      </c>
    </row>
    <row r="147" spans="1:11" x14ac:dyDescent="0.35">
      <c r="A147" t="s">
        <v>526</v>
      </c>
      <c r="B147" t="s">
        <v>136</v>
      </c>
      <c r="D147" t="s">
        <v>139</v>
      </c>
      <c r="E147" t="s">
        <v>841</v>
      </c>
      <c r="G147" t="s">
        <v>1907</v>
      </c>
      <c r="H147" t="s">
        <v>1952</v>
      </c>
      <c r="J147" t="s">
        <v>442</v>
      </c>
      <c r="K147" t="s">
        <v>429</v>
      </c>
    </row>
    <row r="148" spans="1:11" x14ac:dyDescent="0.35">
      <c r="A148" t="s">
        <v>1103</v>
      </c>
      <c r="B148" t="s">
        <v>136</v>
      </c>
      <c r="D148" t="s">
        <v>89</v>
      </c>
      <c r="E148" t="s">
        <v>1868</v>
      </c>
      <c r="G148" t="s">
        <v>818</v>
      </c>
      <c r="H148" t="s">
        <v>1953</v>
      </c>
      <c r="J148" t="s">
        <v>1859</v>
      </c>
      <c r="K148" t="s">
        <v>67</v>
      </c>
    </row>
    <row r="149" spans="1:11" x14ac:dyDescent="0.35">
      <c r="A149" t="s">
        <v>1800</v>
      </c>
      <c r="B149" t="s">
        <v>130</v>
      </c>
      <c r="D149" t="s">
        <v>136</v>
      </c>
      <c r="E149" t="s">
        <v>526</v>
      </c>
      <c r="G149" t="s">
        <v>1908</v>
      </c>
      <c r="H149" t="s">
        <v>1954</v>
      </c>
      <c r="J149" t="s">
        <v>866</v>
      </c>
      <c r="K149" t="s">
        <v>142</v>
      </c>
    </row>
    <row r="150" spans="1:11" x14ac:dyDescent="0.35">
      <c r="A150" t="s">
        <v>1801</v>
      </c>
      <c r="B150" t="s">
        <v>404</v>
      </c>
      <c r="D150" t="s">
        <v>1869</v>
      </c>
      <c r="E150" t="s">
        <v>1103</v>
      </c>
      <c r="G150" t="s">
        <v>1909</v>
      </c>
      <c r="H150" t="s">
        <v>384</v>
      </c>
      <c r="J150" t="s">
        <v>537</v>
      </c>
      <c r="K150" t="s">
        <v>1860</v>
      </c>
    </row>
    <row r="151" spans="1:11" x14ac:dyDescent="0.35">
      <c r="A151" t="s">
        <v>302</v>
      </c>
      <c r="B151" t="s">
        <v>81</v>
      </c>
      <c r="D151" t="s">
        <v>130</v>
      </c>
      <c r="E151" t="s">
        <v>1800</v>
      </c>
      <c r="G151" t="s">
        <v>1788</v>
      </c>
      <c r="H151" t="s">
        <v>1789</v>
      </c>
      <c r="J151" t="s">
        <v>1779</v>
      </c>
      <c r="K151" t="s">
        <v>799</v>
      </c>
    </row>
    <row r="152" spans="1:11" x14ac:dyDescent="0.35">
      <c r="A152" t="s">
        <v>1080</v>
      </c>
      <c r="B152" t="s">
        <v>25</v>
      </c>
      <c r="D152" t="s">
        <v>406</v>
      </c>
      <c r="E152" t="s">
        <v>1870</v>
      </c>
      <c r="G152" t="s">
        <v>906</v>
      </c>
      <c r="H152" t="s">
        <v>44</v>
      </c>
      <c r="J152" t="s">
        <v>1992</v>
      </c>
      <c r="K152" t="s">
        <v>38</v>
      </c>
    </row>
    <row r="153" spans="1:11" x14ac:dyDescent="0.35">
      <c r="A153" t="s">
        <v>25</v>
      </c>
      <c r="B153" t="s">
        <v>65</v>
      </c>
      <c r="D153" t="s">
        <v>196</v>
      </c>
      <c r="E153" t="s">
        <v>1801</v>
      </c>
      <c r="G153" t="s">
        <v>709</v>
      </c>
      <c r="H153" t="s">
        <v>1955</v>
      </c>
      <c r="J153" t="s">
        <v>273</v>
      </c>
      <c r="K153" t="s">
        <v>218</v>
      </c>
    </row>
    <row r="154" spans="1:11" x14ac:dyDescent="0.35">
      <c r="A154" t="s">
        <v>1082</v>
      </c>
      <c r="B154" t="s">
        <v>44</v>
      </c>
      <c r="D154" t="s">
        <v>81</v>
      </c>
      <c r="E154" t="s">
        <v>302</v>
      </c>
      <c r="G154" t="s">
        <v>709</v>
      </c>
      <c r="H154" t="s">
        <v>13</v>
      </c>
      <c r="J154" t="s">
        <v>965</v>
      </c>
      <c r="K154" t="s">
        <v>218</v>
      </c>
    </row>
    <row r="155" spans="1:11" x14ac:dyDescent="0.35">
      <c r="A155" t="s">
        <v>363</v>
      </c>
      <c r="B155" t="s">
        <v>364</v>
      </c>
      <c r="D155" t="s">
        <v>25</v>
      </c>
      <c r="E155" t="s">
        <v>1080</v>
      </c>
      <c r="G155" t="s">
        <v>1910</v>
      </c>
      <c r="H155" t="s">
        <v>1956</v>
      </c>
      <c r="J155" t="s">
        <v>999</v>
      </c>
      <c r="K155" t="s">
        <v>815</v>
      </c>
    </row>
    <row r="156" spans="1:11" x14ac:dyDescent="0.35">
      <c r="A156" t="s">
        <v>1363</v>
      </c>
      <c r="B156" t="s">
        <v>1364</v>
      </c>
      <c r="D156" t="s">
        <v>1871</v>
      </c>
      <c r="E156" t="s">
        <v>1872</v>
      </c>
      <c r="G156" t="s">
        <v>890</v>
      </c>
      <c r="H156" t="s">
        <v>81</v>
      </c>
      <c r="J156" t="s">
        <v>318</v>
      </c>
      <c r="K156" t="s">
        <v>44</v>
      </c>
    </row>
    <row r="157" spans="1:11" x14ac:dyDescent="0.35">
      <c r="A157" t="s">
        <v>1802</v>
      </c>
      <c r="B157" t="s">
        <v>1803</v>
      </c>
      <c r="D157" t="s">
        <v>44</v>
      </c>
      <c r="E157" t="s">
        <v>1082</v>
      </c>
      <c r="G157" t="s">
        <v>715</v>
      </c>
      <c r="H157" t="s">
        <v>11</v>
      </c>
      <c r="J157" t="s">
        <v>14</v>
      </c>
      <c r="K157" t="s">
        <v>11</v>
      </c>
    </row>
    <row r="158" spans="1:11" x14ac:dyDescent="0.35">
      <c r="A158" t="s">
        <v>1804</v>
      </c>
      <c r="B158" t="s">
        <v>196</v>
      </c>
      <c r="D158" t="s">
        <v>364</v>
      </c>
      <c r="E158" t="s">
        <v>363</v>
      </c>
      <c r="G158" t="s">
        <v>313</v>
      </c>
      <c r="H158" t="s">
        <v>314</v>
      </c>
      <c r="J158" t="s">
        <v>14</v>
      </c>
      <c r="K158" t="s">
        <v>1949</v>
      </c>
    </row>
    <row r="159" spans="1:11" x14ac:dyDescent="0.35">
      <c r="A159" t="s">
        <v>135</v>
      </c>
      <c r="B159" t="s">
        <v>1136</v>
      </c>
      <c r="D159" t="s">
        <v>119</v>
      </c>
      <c r="E159" t="s">
        <v>285</v>
      </c>
      <c r="G159" t="s">
        <v>1100</v>
      </c>
      <c r="H159" t="s">
        <v>11</v>
      </c>
      <c r="J159" t="s">
        <v>1174</v>
      </c>
      <c r="K159" t="s">
        <v>196</v>
      </c>
    </row>
    <row r="160" spans="1:11" x14ac:dyDescent="0.35">
      <c r="A160" t="s">
        <v>285</v>
      </c>
      <c r="B160" t="s">
        <v>119</v>
      </c>
      <c r="D160" t="s">
        <v>119</v>
      </c>
      <c r="E160" t="s">
        <v>118</v>
      </c>
      <c r="G160" t="s">
        <v>304</v>
      </c>
      <c r="H160" t="s">
        <v>1003</v>
      </c>
      <c r="J160" t="s">
        <v>394</v>
      </c>
      <c r="K160" t="s">
        <v>1085</v>
      </c>
    </row>
    <row r="161" spans="1:11" x14ac:dyDescent="0.35">
      <c r="A161" t="s">
        <v>118</v>
      </c>
      <c r="B161" t="s">
        <v>119</v>
      </c>
      <c r="D161" t="s">
        <v>920</v>
      </c>
      <c r="E161" t="s">
        <v>1240</v>
      </c>
      <c r="G161" t="s">
        <v>304</v>
      </c>
      <c r="H161" t="s">
        <v>65</v>
      </c>
      <c r="J161" t="s">
        <v>1504</v>
      </c>
      <c r="K161" t="s">
        <v>85</v>
      </c>
    </row>
    <row r="162" spans="1:11" x14ac:dyDescent="0.35">
      <c r="A162" t="s">
        <v>1805</v>
      </c>
      <c r="B162" t="s">
        <v>52</v>
      </c>
      <c r="D162" t="s">
        <v>13</v>
      </c>
      <c r="E162" t="s">
        <v>1002</v>
      </c>
      <c r="G162" t="s">
        <v>1867</v>
      </c>
      <c r="H162" t="s">
        <v>644</v>
      </c>
      <c r="J162" t="s">
        <v>1861</v>
      </c>
      <c r="K162" t="s">
        <v>200</v>
      </c>
    </row>
    <row r="163" spans="1:11" x14ac:dyDescent="0.35">
      <c r="A163" t="s">
        <v>1240</v>
      </c>
      <c r="B163" t="s">
        <v>920</v>
      </c>
      <c r="D163" t="s">
        <v>1218</v>
      </c>
      <c r="E163" t="s">
        <v>1873</v>
      </c>
      <c r="G163" t="s">
        <v>248</v>
      </c>
      <c r="H163" t="s">
        <v>249</v>
      </c>
      <c r="J163" t="s">
        <v>1906</v>
      </c>
      <c r="K163" t="s">
        <v>2024</v>
      </c>
    </row>
    <row r="164" spans="1:11" x14ac:dyDescent="0.35">
      <c r="A164" t="s">
        <v>1002</v>
      </c>
      <c r="B164" t="s">
        <v>13</v>
      </c>
      <c r="D164" t="s">
        <v>65</v>
      </c>
      <c r="E164" t="s">
        <v>821</v>
      </c>
      <c r="G164" t="s">
        <v>841</v>
      </c>
      <c r="H164" t="s">
        <v>139</v>
      </c>
      <c r="J164" t="s">
        <v>1785</v>
      </c>
      <c r="K164" t="s">
        <v>136</v>
      </c>
    </row>
    <row r="165" spans="1:11" x14ac:dyDescent="0.35">
      <c r="A165" t="s">
        <v>821</v>
      </c>
      <c r="B165" t="s">
        <v>153</v>
      </c>
      <c r="D165" t="s">
        <v>11</v>
      </c>
      <c r="E165" t="s">
        <v>527</v>
      </c>
      <c r="G165" t="s">
        <v>526</v>
      </c>
      <c r="H165" t="s">
        <v>1957</v>
      </c>
      <c r="J165" t="s">
        <v>1785</v>
      </c>
      <c r="K165" t="s">
        <v>492</v>
      </c>
    </row>
    <row r="166" spans="1:11" x14ac:dyDescent="0.35">
      <c r="A166" t="s">
        <v>719</v>
      </c>
      <c r="B166" t="s">
        <v>410</v>
      </c>
      <c r="D166" t="s">
        <v>737</v>
      </c>
      <c r="E166" t="s">
        <v>719</v>
      </c>
      <c r="G166" t="s">
        <v>526</v>
      </c>
      <c r="H166" t="s">
        <v>136</v>
      </c>
      <c r="J166" t="s">
        <v>1785</v>
      </c>
      <c r="K166" t="s">
        <v>2025</v>
      </c>
    </row>
    <row r="167" spans="1:11" x14ac:dyDescent="0.35">
      <c r="A167" t="s">
        <v>595</v>
      </c>
      <c r="B167" t="s">
        <v>28</v>
      </c>
      <c r="D167" t="s">
        <v>28</v>
      </c>
      <c r="E167" t="s">
        <v>595</v>
      </c>
      <c r="G167" t="s">
        <v>1103</v>
      </c>
      <c r="H167" t="s">
        <v>1958</v>
      </c>
      <c r="J167" t="s">
        <v>1786</v>
      </c>
      <c r="K167" t="s">
        <v>2026</v>
      </c>
    </row>
    <row r="168" spans="1:11" x14ac:dyDescent="0.35">
      <c r="A168" t="s">
        <v>90</v>
      </c>
      <c r="B168" t="s">
        <v>22</v>
      </c>
      <c r="D168" t="s">
        <v>22</v>
      </c>
      <c r="E168" t="s">
        <v>90</v>
      </c>
      <c r="G168" t="s">
        <v>1103</v>
      </c>
      <c r="H168" t="s">
        <v>1869</v>
      </c>
      <c r="J168" t="s">
        <v>475</v>
      </c>
      <c r="K168" t="s">
        <v>388</v>
      </c>
    </row>
    <row r="169" spans="1:11" x14ac:dyDescent="0.35">
      <c r="A169" t="s">
        <v>1806</v>
      </c>
      <c r="B169" t="s">
        <v>920</v>
      </c>
      <c r="D169" t="s">
        <v>485</v>
      </c>
      <c r="E169" t="s">
        <v>484</v>
      </c>
      <c r="G169" t="s">
        <v>1800</v>
      </c>
      <c r="H169" t="s">
        <v>130</v>
      </c>
      <c r="J169" t="s">
        <v>818</v>
      </c>
      <c r="K169" t="s">
        <v>1953</v>
      </c>
    </row>
    <row r="170" spans="1:11" x14ac:dyDescent="0.35">
      <c r="A170" t="s">
        <v>484</v>
      </c>
      <c r="B170" t="s">
        <v>485</v>
      </c>
      <c r="D170" t="s">
        <v>16</v>
      </c>
      <c r="E170" t="s">
        <v>195</v>
      </c>
      <c r="G170" t="s">
        <v>302</v>
      </c>
      <c r="H170" t="s">
        <v>846</v>
      </c>
      <c r="J170" t="s">
        <v>307</v>
      </c>
      <c r="K170" t="s">
        <v>308</v>
      </c>
    </row>
    <row r="171" spans="1:11" x14ac:dyDescent="0.35">
      <c r="A171" t="s">
        <v>1807</v>
      </c>
      <c r="B171" t="s">
        <v>11</v>
      </c>
      <c r="D171" t="s">
        <v>20</v>
      </c>
      <c r="E171" t="s">
        <v>629</v>
      </c>
      <c r="G171" t="s">
        <v>1239</v>
      </c>
      <c r="H171" t="s">
        <v>196</v>
      </c>
      <c r="J171" t="s">
        <v>1909</v>
      </c>
      <c r="K171" t="s">
        <v>384</v>
      </c>
    </row>
    <row r="172" spans="1:11" x14ac:dyDescent="0.35">
      <c r="A172" t="s">
        <v>195</v>
      </c>
      <c r="B172" t="s">
        <v>16</v>
      </c>
      <c r="D172" t="s">
        <v>630</v>
      </c>
      <c r="E172" t="s">
        <v>629</v>
      </c>
      <c r="G172" t="s">
        <v>1911</v>
      </c>
      <c r="H172" t="s">
        <v>1959</v>
      </c>
      <c r="J172" t="s">
        <v>1993</v>
      </c>
      <c r="K172" t="s">
        <v>1005</v>
      </c>
    </row>
    <row r="173" spans="1:11" x14ac:dyDescent="0.35">
      <c r="A173" t="s">
        <v>1808</v>
      </c>
      <c r="B173" t="s">
        <v>1073</v>
      </c>
      <c r="D173" t="s">
        <v>562</v>
      </c>
      <c r="E173" t="s">
        <v>1874</v>
      </c>
      <c r="G173" t="s">
        <v>1912</v>
      </c>
      <c r="H173" t="s">
        <v>1960</v>
      </c>
      <c r="J173" t="s">
        <v>1788</v>
      </c>
      <c r="K173" t="s">
        <v>1789</v>
      </c>
    </row>
    <row r="174" spans="1:11" x14ac:dyDescent="0.35">
      <c r="A174" t="s">
        <v>721</v>
      </c>
      <c r="B174" t="s">
        <v>196</v>
      </c>
      <c r="D174" t="s">
        <v>81</v>
      </c>
      <c r="E174" t="s">
        <v>1875</v>
      </c>
      <c r="G174" t="s">
        <v>1872</v>
      </c>
      <c r="H174" t="s">
        <v>1871</v>
      </c>
      <c r="J174" t="s">
        <v>906</v>
      </c>
      <c r="K174" t="s">
        <v>44</v>
      </c>
    </row>
    <row r="175" spans="1:11" x14ac:dyDescent="0.35">
      <c r="A175" t="s">
        <v>629</v>
      </c>
      <c r="B175" t="s">
        <v>20</v>
      </c>
      <c r="D175" t="s">
        <v>16</v>
      </c>
      <c r="E175" t="s">
        <v>621</v>
      </c>
      <c r="G175" t="s">
        <v>1913</v>
      </c>
      <c r="H175" t="s">
        <v>1171</v>
      </c>
      <c r="J175" t="s">
        <v>709</v>
      </c>
      <c r="K175" t="s">
        <v>13</v>
      </c>
    </row>
    <row r="176" spans="1:11" x14ac:dyDescent="0.35">
      <c r="A176" t="s">
        <v>629</v>
      </c>
      <c r="B176" t="s">
        <v>630</v>
      </c>
      <c r="D176" t="s">
        <v>1876</v>
      </c>
      <c r="E176" t="s">
        <v>1811</v>
      </c>
      <c r="G176" t="s">
        <v>1914</v>
      </c>
      <c r="H176" t="s">
        <v>16</v>
      </c>
      <c r="J176" t="s">
        <v>709</v>
      </c>
      <c r="K176" t="s">
        <v>1955</v>
      </c>
    </row>
    <row r="177" spans="1:11" x14ac:dyDescent="0.35">
      <c r="A177" t="s">
        <v>1809</v>
      </c>
      <c r="B177" t="s">
        <v>1810</v>
      </c>
      <c r="D177" t="s">
        <v>139</v>
      </c>
      <c r="E177" t="s">
        <v>593</v>
      </c>
      <c r="G177" t="s">
        <v>1082</v>
      </c>
      <c r="H177" t="s">
        <v>44</v>
      </c>
      <c r="J177" t="s">
        <v>390</v>
      </c>
      <c r="K177" t="s">
        <v>779</v>
      </c>
    </row>
    <row r="178" spans="1:11" x14ac:dyDescent="0.35">
      <c r="A178" t="s">
        <v>636</v>
      </c>
      <c r="B178" t="s">
        <v>71</v>
      </c>
      <c r="D178" t="s">
        <v>1267</v>
      </c>
      <c r="E178" t="s">
        <v>1406</v>
      </c>
      <c r="G178" t="s">
        <v>1915</v>
      </c>
      <c r="H178" t="s">
        <v>1961</v>
      </c>
      <c r="J178" t="s">
        <v>217</v>
      </c>
      <c r="K178" t="s">
        <v>218</v>
      </c>
    </row>
    <row r="179" spans="1:11" x14ac:dyDescent="0.35">
      <c r="A179" t="s">
        <v>621</v>
      </c>
      <c r="B179" t="s">
        <v>16</v>
      </c>
      <c r="D179" t="s">
        <v>884</v>
      </c>
      <c r="E179" t="s">
        <v>883</v>
      </c>
      <c r="G179" t="s">
        <v>850</v>
      </c>
      <c r="H179" t="s">
        <v>16</v>
      </c>
      <c r="J179" t="s">
        <v>890</v>
      </c>
      <c r="K179" t="s">
        <v>846</v>
      </c>
    </row>
    <row r="180" spans="1:11" x14ac:dyDescent="0.35">
      <c r="A180" t="s">
        <v>1811</v>
      </c>
      <c r="B180" t="s">
        <v>946</v>
      </c>
      <c r="D180" t="s">
        <v>65</v>
      </c>
      <c r="E180" t="s">
        <v>1877</v>
      </c>
      <c r="G180" t="s">
        <v>285</v>
      </c>
      <c r="H180" t="s">
        <v>119</v>
      </c>
      <c r="J180" t="s">
        <v>715</v>
      </c>
      <c r="K180" t="s">
        <v>11</v>
      </c>
    </row>
    <row r="181" spans="1:11" x14ac:dyDescent="0.35">
      <c r="A181" t="s">
        <v>593</v>
      </c>
      <c r="B181" t="s">
        <v>139</v>
      </c>
      <c r="D181" t="s">
        <v>65</v>
      </c>
      <c r="E181" t="s">
        <v>216</v>
      </c>
      <c r="G181" t="s">
        <v>1916</v>
      </c>
      <c r="H181" t="s">
        <v>1840</v>
      </c>
      <c r="J181" t="s">
        <v>313</v>
      </c>
      <c r="K181" t="s">
        <v>314</v>
      </c>
    </row>
    <row r="182" spans="1:11" x14ac:dyDescent="0.35">
      <c r="A182" t="s">
        <v>1316</v>
      </c>
      <c r="B182" t="s">
        <v>421</v>
      </c>
      <c r="D182" t="s">
        <v>101</v>
      </c>
      <c r="E182" t="s">
        <v>1418</v>
      </c>
      <c r="G182" t="s">
        <v>1240</v>
      </c>
      <c r="H182" t="s">
        <v>920</v>
      </c>
      <c r="J182" t="s">
        <v>1100</v>
      </c>
      <c r="K182" t="s">
        <v>11</v>
      </c>
    </row>
    <row r="183" spans="1:11" x14ac:dyDescent="0.35">
      <c r="A183" t="s">
        <v>1812</v>
      </c>
      <c r="B183" t="s">
        <v>799</v>
      </c>
      <c r="D183" t="s">
        <v>404</v>
      </c>
      <c r="E183" t="s">
        <v>405</v>
      </c>
      <c r="G183" t="s">
        <v>1002</v>
      </c>
      <c r="H183" t="s">
        <v>1962</v>
      </c>
      <c r="J183" t="s">
        <v>304</v>
      </c>
      <c r="K183" t="s">
        <v>2027</v>
      </c>
    </row>
    <row r="184" spans="1:11" x14ac:dyDescent="0.35">
      <c r="A184" t="s">
        <v>1813</v>
      </c>
      <c r="B184" t="s">
        <v>122</v>
      </c>
      <c r="D184" t="s">
        <v>1093</v>
      </c>
      <c r="E184" t="s">
        <v>1092</v>
      </c>
      <c r="G184" t="s">
        <v>1002</v>
      </c>
      <c r="H184" t="s">
        <v>13</v>
      </c>
      <c r="J184" t="s">
        <v>304</v>
      </c>
      <c r="K184" t="s">
        <v>65</v>
      </c>
    </row>
    <row r="185" spans="1:11" x14ac:dyDescent="0.35">
      <c r="A185" t="s">
        <v>216</v>
      </c>
      <c r="B185" t="s">
        <v>65</v>
      </c>
      <c r="D185" t="s">
        <v>480</v>
      </c>
      <c r="E185" t="s">
        <v>1092</v>
      </c>
      <c r="G185" t="s">
        <v>821</v>
      </c>
      <c r="H185" t="s">
        <v>153</v>
      </c>
      <c r="J185" t="s">
        <v>1867</v>
      </c>
      <c r="K185" t="s">
        <v>644</v>
      </c>
    </row>
    <row r="186" spans="1:11" x14ac:dyDescent="0.35">
      <c r="A186" t="s">
        <v>1418</v>
      </c>
      <c r="B186" t="s">
        <v>101</v>
      </c>
      <c r="D186" t="s">
        <v>388</v>
      </c>
      <c r="E186" t="s">
        <v>618</v>
      </c>
      <c r="G186" t="s">
        <v>377</v>
      </c>
      <c r="H186" t="s">
        <v>119</v>
      </c>
      <c r="J186" t="s">
        <v>1308</v>
      </c>
      <c r="K186" t="s">
        <v>1309</v>
      </c>
    </row>
    <row r="187" spans="1:11" x14ac:dyDescent="0.35">
      <c r="A187" t="s">
        <v>405</v>
      </c>
      <c r="B187" t="s">
        <v>404</v>
      </c>
      <c r="D187" t="s">
        <v>11</v>
      </c>
      <c r="E187" t="s">
        <v>183</v>
      </c>
      <c r="G187" t="s">
        <v>527</v>
      </c>
      <c r="H187" t="s">
        <v>11</v>
      </c>
      <c r="J187" t="s">
        <v>248</v>
      </c>
      <c r="K187" t="s">
        <v>249</v>
      </c>
    </row>
    <row r="188" spans="1:11" x14ac:dyDescent="0.35">
      <c r="A188" t="s">
        <v>1092</v>
      </c>
      <c r="B188" t="s">
        <v>1093</v>
      </c>
      <c r="D188" t="s">
        <v>159</v>
      </c>
      <c r="E188" t="s">
        <v>1816</v>
      </c>
      <c r="G188" t="s">
        <v>1917</v>
      </c>
      <c r="H188" t="s">
        <v>1963</v>
      </c>
      <c r="J188" t="s">
        <v>1994</v>
      </c>
      <c r="K188" t="s">
        <v>2028</v>
      </c>
    </row>
    <row r="189" spans="1:11" x14ac:dyDescent="0.35">
      <c r="A189" t="s">
        <v>1814</v>
      </c>
      <c r="B189" t="s">
        <v>13</v>
      </c>
      <c r="D189" t="s">
        <v>471</v>
      </c>
      <c r="E189" t="s">
        <v>1816</v>
      </c>
      <c r="G189" t="s">
        <v>719</v>
      </c>
      <c r="H189" t="s">
        <v>737</v>
      </c>
      <c r="J189" t="s">
        <v>323</v>
      </c>
      <c r="K189" t="s">
        <v>324</v>
      </c>
    </row>
    <row r="190" spans="1:11" x14ac:dyDescent="0.35">
      <c r="A190" t="s">
        <v>618</v>
      </c>
      <c r="B190" t="s">
        <v>521</v>
      </c>
      <c r="D190" t="s">
        <v>528</v>
      </c>
      <c r="E190" t="s">
        <v>870</v>
      </c>
      <c r="G190" t="s">
        <v>595</v>
      </c>
      <c r="H190" t="s">
        <v>28</v>
      </c>
      <c r="J190" t="s">
        <v>841</v>
      </c>
      <c r="K190" t="s">
        <v>139</v>
      </c>
    </row>
    <row r="191" spans="1:11" x14ac:dyDescent="0.35">
      <c r="A191" t="s">
        <v>1815</v>
      </c>
      <c r="B191" t="s">
        <v>218</v>
      </c>
      <c r="D191" t="s">
        <v>384</v>
      </c>
      <c r="E191" t="s">
        <v>831</v>
      </c>
      <c r="G191" t="s">
        <v>90</v>
      </c>
      <c r="H191" t="s">
        <v>22</v>
      </c>
      <c r="J191" t="s">
        <v>526</v>
      </c>
      <c r="K191" t="s">
        <v>136</v>
      </c>
    </row>
    <row r="192" spans="1:11" x14ac:dyDescent="0.35">
      <c r="A192" t="s">
        <v>1816</v>
      </c>
      <c r="B192" t="s">
        <v>159</v>
      </c>
      <c r="D192" t="s">
        <v>510</v>
      </c>
      <c r="E192" t="s">
        <v>1817</v>
      </c>
      <c r="G192" t="s">
        <v>1918</v>
      </c>
      <c r="H192" t="s">
        <v>1964</v>
      </c>
      <c r="J192" t="s">
        <v>1103</v>
      </c>
      <c r="K192" t="s">
        <v>1869</v>
      </c>
    </row>
    <row r="193" spans="1:11" x14ac:dyDescent="0.35">
      <c r="A193" t="s">
        <v>1816</v>
      </c>
      <c r="B193" t="s">
        <v>471</v>
      </c>
      <c r="D193" t="s">
        <v>218</v>
      </c>
      <c r="E193" t="s">
        <v>1818</v>
      </c>
      <c r="G193" t="s">
        <v>484</v>
      </c>
      <c r="H193" t="s">
        <v>485</v>
      </c>
      <c r="J193" t="s">
        <v>302</v>
      </c>
      <c r="K193" t="s">
        <v>81</v>
      </c>
    </row>
    <row r="194" spans="1:11" x14ac:dyDescent="0.35">
      <c r="A194" t="s">
        <v>831</v>
      </c>
      <c r="B194" t="s">
        <v>920</v>
      </c>
      <c r="D194" t="s">
        <v>136</v>
      </c>
      <c r="E194" t="s">
        <v>1878</v>
      </c>
      <c r="G194" t="s">
        <v>195</v>
      </c>
      <c r="H194" t="s">
        <v>16</v>
      </c>
      <c r="J194" t="s">
        <v>1995</v>
      </c>
      <c r="K194" t="s">
        <v>2029</v>
      </c>
    </row>
    <row r="195" spans="1:11" x14ac:dyDescent="0.35">
      <c r="A195" t="s">
        <v>1817</v>
      </c>
      <c r="B195" t="s">
        <v>510</v>
      </c>
      <c r="G195" t="s">
        <v>629</v>
      </c>
      <c r="H195" t="s">
        <v>20</v>
      </c>
      <c r="J195" t="s">
        <v>1996</v>
      </c>
      <c r="K195" t="s">
        <v>2030</v>
      </c>
    </row>
    <row r="196" spans="1:11" x14ac:dyDescent="0.35">
      <c r="A196" t="s">
        <v>1818</v>
      </c>
      <c r="B196" t="s">
        <v>218</v>
      </c>
      <c r="G196" t="s">
        <v>629</v>
      </c>
      <c r="H196" t="s">
        <v>1965</v>
      </c>
      <c r="J196" t="s">
        <v>1997</v>
      </c>
      <c r="K196" t="s">
        <v>2031</v>
      </c>
    </row>
    <row r="197" spans="1:11" x14ac:dyDescent="0.35">
      <c r="G197" t="s">
        <v>1874</v>
      </c>
      <c r="H197" t="s">
        <v>562</v>
      </c>
      <c r="J197" t="s">
        <v>1998</v>
      </c>
      <c r="K197" t="s">
        <v>2032</v>
      </c>
    </row>
    <row r="198" spans="1:11" x14ac:dyDescent="0.35">
      <c r="G198" t="s">
        <v>1809</v>
      </c>
      <c r="H198" t="s">
        <v>1966</v>
      </c>
      <c r="J198" t="s">
        <v>1239</v>
      </c>
      <c r="K198" t="s">
        <v>196</v>
      </c>
    </row>
    <row r="199" spans="1:11" x14ac:dyDescent="0.35">
      <c r="G199" t="s">
        <v>1919</v>
      </c>
      <c r="H199" t="s">
        <v>451</v>
      </c>
      <c r="J199" t="s">
        <v>1911</v>
      </c>
      <c r="K199" t="s">
        <v>1959</v>
      </c>
    </row>
    <row r="200" spans="1:11" x14ac:dyDescent="0.35">
      <c r="G200" t="s">
        <v>1235</v>
      </c>
      <c r="H200" t="s">
        <v>131</v>
      </c>
      <c r="J200" t="s">
        <v>1080</v>
      </c>
      <c r="K200" t="s">
        <v>25</v>
      </c>
    </row>
    <row r="201" spans="1:11" x14ac:dyDescent="0.35">
      <c r="G201" t="s">
        <v>1875</v>
      </c>
      <c r="H201" t="s">
        <v>1951</v>
      </c>
      <c r="J201" t="s">
        <v>1913</v>
      </c>
      <c r="K201" t="s">
        <v>1171</v>
      </c>
    </row>
    <row r="202" spans="1:11" x14ac:dyDescent="0.35">
      <c r="G202" t="s">
        <v>963</v>
      </c>
      <c r="H202" t="s">
        <v>964</v>
      </c>
      <c r="J202" t="s">
        <v>1082</v>
      </c>
      <c r="K202" t="s">
        <v>44</v>
      </c>
    </row>
    <row r="203" spans="1:11" x14ac:dyDescent="0.35">
      <c r="G203" t="s">
        <v>621</v>
      </c>
      <c r="H203" t="s">
        <v>1967</v>
      </c>
      <c r="J203" t="s">
        <v>1915</v>
      </c>
      <c r="K203" t="s">
        <v>1961</v>
      </c>
    </row>
    <row r="204" spans="1:11" x14ac:dyDescent="0.35">
      <c r="G204" t="s">
        <v>621</v>
      </c>
      <c r="H204" t="s">
        <v>16</v>
      </c>
      <c r="J204" t="s">
        <v>1363</v>
      </c>
      <c r="K204" t="s">
        <v>1364</v>
      </c>
    </row>
    <row r="205" spans="1:11" x14ac:dyDescent="0.35">
      <c r="G205" t="s">
        <v>1811</v>
      </c>
      <c r="H205" t="s">
        <v>946</v>
      </c>
      <c r="J205" t="s">
        <v>850</v>
      </c>
      <c r="K205" t="s">
        <v>16</v>
      </c>
    </row>
    <row r="206" spans="1:11" x14ac:dyDescent="0.35">
      <c r="G206" t="s">
        <v>1316</v>
      </c>
      <c r="H206" t="s">
        <v>1968</v>
      </c>
      <c r="J206" t="s">
        <v>285</v>
      </c>
      <c r="K206" t="s">
        <v>119</v>
      </c>
    </row>
    <row r="207" spans="1:11" x14ac:dyDescent="0.35">
      <c r="G207" t="s">
        <v>681</v>
      </c>
      <c r="H207" t="s">
        <v>13</v>
      </c>
      <c r="J207" t="s">
        <v>1999</v>
      </c>
      <c r="K207" t="s">
        <v>384</v>
      </c>
    </row>
    <row r="208" spans="1:11" x14ac:dyDescent="0.35">
      <c r="G208" t="s">
        <v>883</v>
      </c>
      <c r="H208" t="s">
        <v>884</v>
      </c>
      <c r="J208" t="s">
        <v>1999</v>
      </c>
      <c r="K208" t="s">
        <v>2033</v>
      </c>
    </row>
    <row r="209" spans="7:11" x14ac:dyDescent="0.35">
      <c r="G209" t="s">
        <v>1812</v>
      </c>
      <c r="H209" t="s">
        <v>799</v>
      </c>
      <c r="J209" t="s">
        <v>2000</v>
      </c>
      <c r="K209" t="s">
        <v>2034</v>
      </c>
    </row>
    <row r="210" spans="7:11" x14ac:dyDescent="0.35">
      <c r="G210" t="s">
        <v>216</v>
      </c>
      <c r="H210" t="s">
        <v>65</v>
      </c>
      <c r="J210" t="s">
        <v>1240</v>
      </c>
      <c r="K210" t="s">
        <v>920</v>
      </c>
    </row>
    <row r="211" spans="7:11" x14ac:dyDescent="0.35">
      <c r="G211" t="s">
        <v>1418</v>
      </c>
      <c r="H211" t="s">
        <v>101</v>
      </c>
      <c r="J211" t="s">
        <v>1002</v>
      </c>
      <c r="K211" t="s">
        <v>13</v>
      </c>
    </row>
    <row r="212" spans="7:11" x14ac:dyDescent="0.35">
      <c r="G212" t="s">
        <v>1418</v>
      </c>
      <c r="H212" t="s">
        <v>1969</v>
      </c>
      <c r="J212" t="s">
        <v>1002</v>
      </c>
      <c r="K212" t="s">
        <v>2035</v>
      </c>
    </row>
    <row r="213" spans="7:11" x14ac:dyDescent="0.35">
      <c r="G213" t="s">
        <v>405</v>
      </c>
      <c r="H213" t="s">
        <v>404</v>
      </c>
      <c r="J213" t="s">
        <v>377</v>
      </c>
      <c r="K213" t="s">
        <v>119</v>
      </c>
    </row>
    <row r="214" spans="7:11" x14ac:dyDescent="0.35">
      <c r="G214" t="s">
        <v>1092</v>
      </c>
      <c r="H214" t="s">
        <v>1093</v>
      </c>
      <c r="J214" t="s">
        <v>527</v>
      </c>
      <c r="K214" t="s">
        <v>11</v>
      </c>
    </row>
    <row r="215" spans="7:11" x14ac:dyDescent="0.35">
      <c r="G215" t="s">
        <v>1814</v>
      </c>
      <c r="H215" t="s">
        <v>13</v>
      </c>
      <c r="J215" t="s">
        <v>1917</v>
      </c>
      <c r="K215" t="s">
        <v>2036</v>
      </c>
    </row>
    <row r="216" spans="7:11" x14ac:dyDescent="0.35">
      <c r="G216" t="s">
        <v>618</v>
      </c>
      <c r="H216" t="s">
        <v>388</v>
      </c>
      <c r="J216" t="s">
        <v>719</v>
      </c>
      <c r="K216" t="s">
        <v>410</v>
      </c>
    </row>
    <row r="217" spans="7:11" x14ac:dyDescent="0.35">
      <c r="G217" t="s">
        <v>183</v>
      </c>
      <c r="H217" t="s">
        <v>11</v>
      </c>
      <c r="J217" t="s">
        <v>595</v>
      </c>
      <c r="K217" t="s">
        <v>28</v>
      </c>
    </row>
    <row r="218" spans="7:11" x14ac:dyDescent="0.35">
      <c r="G218" t="s">
        <v>1816</v>
      </c>
      <c r="H218" t="s">
        <v>159</v>
      </c>
      <c r="J218" t="s">
        <v>90</v>
      </c>
      <c r="K218" t="s">
        <v>22</v>
      </c>
    </row>
    <row r="219" spans="7:11" x14ac:dyDescent="0.35">
      <c r="G219" t="s">
        <v>831</v>
      </c>
      <c r="H219" t="s">
        <v>384</v>
      </c>
      <c r="J219" t="s">
        <v>2001</v>
      </c>
      <c r="K219" t="s">
        <v>218</v>
      </c>
    </row>
    <row r="220" spans="7:11" x14ac:dyDescent="0.35">
      <c r="G220" t="s">
        <v>1212</v>
      </c>
      <c r="H220" t="s">
        <v>1970</v>
      </c>
      <c r="J220" t="s">
        <v>484</v>
      </c>
      <c r="K220" t="s">
        <v>485</v>
      </c>
    </row>
    <row r="221" spans="7:11" x14ac:dyDescent="0.35">
      <c r="G221" t="s">
        <v>1920</v>
      </c>
      <c r="H221" t="s">
        <v>1971</v>
      </c>
      <c r="J221" t="s">
        <v>195</v>
      </c>
      <c r="K221" t="s">
        <v>16</v>
      </c>
    </row>
    <row r="222" spans="7:11" x14ac:dyDescent="0.35">
      <c r="G222" t="s">
        <v>1423</v>
      </c>
      <c r="H222" t="s">
        <v>562</v>
      </c>
      <c r="J222" t="s">
        <v>629</v>
      </c>
      <c r="K222" t="s">
        <v>20</v>
      </c>
    </row>
    <row r="223" spans="7:11" x14ac:dyDescent="0.35">
      <c r="G223" t="s">
        <v>1818</v>
      </c>
      <c r="H223" t="s">
        <v>218</v>
      </c>
      <c r="J223" t="s">
        <v>629</v>
      </c>
      <c r="K223" t="s">
        <v>630</v>
      </c>
    </row>
    <row r="224" spans="7:11" x14ac:dyDescent="0.35">
      <c r="J224" t="s">
        <v>1874</v>
      </c>
      <c r="K224" t="s">
        <v>89</v>
      </c>
    </row>
    <row r="225" spans="10:11" x14ac:dyDescent="0.35">
      <c r="J225" t="s">
        <v>1809</v>
      </c>
      <c r="K225" t="s">
        <v>1810</v>
      </c>
    </row>
    <row r="226" spans="10:11" x14ac:dyDescent="0.35">
      <c r="J226" t="s">
        <v>636</v>
      </c>
      <c r="K226" t="s">
        <v>71</v>
      </c>
    </row>
    <row r="227" spans="10:11" x14ac:dyDescent="0.35">
      <c r="J227" t="s">
        <v>2002</v>
      </c>
      <c r="K227" t="s">
        <v>1943</v>
      </c>
    </row>
    <row r="228" spans="10:11" x14ac:dyDescent="0.35">
      <c r="J228" t="s">
        <v>963</v>
      </c>
      <c r="K228" t="s">
        <v>964</v>
      </c>
    </row>
    <row r="229" spans="10:11" x14ac:dyDescent="0.35">
      <c r="J229" t="s">
        <v>621</v>
      </c>
      <c r="K229" t="s">
        <v>16</v>
      </c>
    </row>
    <row r="230" spans="10:11" x14ac:dyDescent="0.35">
      <c r="J230" t="s">
        <v>621</v>
      </c>
      <c r="K230" t="s">
        <v>1967</v>
      </c>
    </row>
    <row r="231" spans="10:11" x14ac:dyDescent="0.35">
      <c r="J231" t="s">
        <v>1811</v>
      </c>
      <c r="K231" t="s">
        <v>946</v>
      </c>
    </row>
    <row r="232" spans="10:11" x14ac:dyDescent="0.35">
      <c r="J232" t="s">
        <v>593</v>
      </c>
      <c r="K232" t="s">
        <v>139</v>
      </c>
    </row>
    <row r="233" spans="10:11" x14ac:dyDescent="0.35">
      <c r="J233" t="s">
        <v>2003</v>
      </c>
      <c r="K233" t="s">
        <v>2037</v>
      </c>
    </row>
    <row r="234" spans="10:11" x14ac:dyDescent="0.35">
      <c r="J234" t="s">
        <v>1812</v>
      </c>
      <c r="K234" t="s">
        <v>799</v>
      </c>
    </row>
    <row r="235" spans="10:11" x14ac:dyDescent="0.35">
      <c r="J235" t="s">
        <v>216</v>
      </c>
      <c r="K235" t="s">
        <v>65</v>
      </c>
    </row>
    <row r="236" spans="10:11" x14ac:dyDescent="0.35">
      <c r="J236" t="s">
        <v>1418</v>
      </c>
      <c r="K236" t="s">
        <v>101</v>
      </c>
    </row>
    <row r="237" spans="10:11" x14ac:dyDescent="0.35">
      <c r="J237" t="s">
        <v>405</v>
      </c>
      <c r="K237" t="s">
        <v>404</v>
      </c>
    </row>
    <row r="238" spans="10:11" x14ac:dyDescent="0.35">
      <c r="J238" t="s">
        <v>1092</v>
      </c>
      <c r="K238" t="s">
        <v>1093</v>
      </c>
    </row>
    <row r="239" spans="10:11" x14ac:dyDescent="0.35">
      <c r="J239" t="s">
        <v>1814</v>
      </c>
      <c r="K239" t="s">
        <v>13</v>
      </c>
    </row>
    <row r="240" spans="10:11" x14ac:dyDescent="0.35">
      <c r="J240" t="s">
        <v>618</v>
      </c>
      <c r="K240" t="s">
        <v>388</v>
      </c>
    </row>
    <row r="241" spans="10:11" x14ac:dyDescent="0.35">
      <c r="J241" t="s">
        <v>183</v>
      </c>
      <c r="K241" t="s">
        <v>11</v>
      </c>
    </row>
    <row r="242" spans="10:11" x14ac:dyDescent="0.35">
      <c r="J242" t="s">
        <v>1815</v>
      </c>
      <c r="K242" t="s">
        <v>218</v>
      </c>
    </row>
    <row r="243" spans="10:11" x14ac:dyDescent="0.35">
      <c r="J243" t="s">
        <v>1020</v>
      </c>
      <c r="K243" t="s">
        <v>67</v>
      </c>
    </row>
    <row r="244" spans="10:11" x14ac:dyDescent="0.35">
      <c r="J244" t="s">
        <v>1816</v>
      </c>
      <c r="K244" t="s">
        <v>159</v>
      </c>
    </row>
    <row r="245" spans="10:11" x14ac:dyDescent="0.35">
      <c r="J245" t="s">
        <v>1816</v>
      </c>
      <c r="K245" t="s">
        <v>471</v>
      </c>
    </row>
    <row r="246" spans="10:11" x14ac:dyDescent="0.35">
      <c r="J246" t="s">
        <v>831</v>
      </c>
      <c r="K246" t="s">
        <v>920</v>
      </c>
    </row>
    <row r="247" spans="10:11" x14ac:dyDescent="0.35">
      <c r="J247" t="s">
        <v>1423</v>
      </c>
      <c r="K247" t="s">
        <v>89</v>
      </c>
    </row>
    <row r="248" spans="10:11" x14ac:dyDescent="0.35">
      <c r="J248" t="s">
        <v>1818</v>
      </c>
      <c r="K248" t="s">
        <v>218</v>
      </c>
    </row>
  </sheetData>
  <mergeCells count="8">
    <mergeCell ref="U1:V1"/>
    <mergeCell ref="X1:Y1"/>
    <mergeCell ref="A1:B1"/>
    <mergeCell ref="D1:E1"/>
    <mergeCell ref="G1:H1"/>
    <mergeCell ref="J1:K1"/>
    <mergeCell ref="O1:P1"/>
    <mergeCell ref="R1:S1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D2D6-9435-49C7-A7DE-13837E9AA589}">
  <dimension ref="A1:C847"/>
  <sheetViews>
    <sheetView topLeftCell="A33" zoomScale="75" zoomScaleNormal="75" workbookViewId="0">
      <selection activeCell="C63" sqref="C63"/>
    </sheetView>
  </sheetViews>
  <sheetFormatPr defaultRowHeight="15" x14ac:dyDescent="0.35"/>
  <cols>
    <col min="1" max="1" width="15.9375" bestFit="1" customWidth="1"/>
    <col min="2" max="2" width="11" bestFit="1" customWidth="1"/>
    <col min="3" max="3" width="22.8125" bestFit="1" customWidth="1"/>
  </cols>
  <sheetData>
    <row r="1" spans="1:3" ht="15.45" x14ac:dyDescent="0.4">
      <c r="A1" s="3" t="s">
        <v>4</v>
      </c>
      <c r="B1" s="3" t="s">
        <v>5</v>
      </c>
      <c r="C1" s="3" t="s">
        <v>7</v>
      </c>
    </row>
    <row r="2" spans="1:3" x14ac:dyDescent="0.35">
      <c r="A2" t="s">
        <v>1030</v>
      </c>
      <c r="B2" t="s">
        <v>848</v>
      </c>
      <c r="C2" t="s">
        <v>1031</v>
      </c>
    </row>
    <row r="3" spans="1:3" x14ac:dyDescent="0.35">
      <c r="A3" t="s">
        <v>1060</v>
      </c>
      <c r="B3" t="s">
        <v>13</v>
      </c>
      <c r="C3" t="s">
        <v>1587</v>
      </c>
    </row>
    <row r="4" spans="1:3" x14ac:dyDescent="0.35">
      <c r="A4" t="s">
        <v>1060</v>
      </c>
      <c r="B4" t="s">
        <v>1962</v>
      </c>
      <c r="C4" t="s">
        <v>2315</v>
      </c>
    </row>
    <row r="5" spans="1:3" x14ac:dyDescent="0.35">
      <c r="A5" t="s">
        <v>232</v>
      </c>
      <c r="B5" t="s">
        <v>919</v>
      </c>
      <c r="C5" t="s">
        <v>1653</v>
      </c>
    </row>
    <row r="6" spans="1:3" x14ac:dyDescent="0.35">
      <c r="A6" t="s">
        <v>80</v>
      </c>
      <c r="B6" t="s">
        <v>1382</v>
      </c>
      <c r="C6" t="s">
        <v>1383</v>
      </c>
    </row>
    <row r="7" spans="1:3" x14ac:dyDescent="0.35">
      <c r="A7" t="s">
        <v>80</v>
      </c>
      <c r="B7" t="s">
        <v>156</v>
      </c>
      <c r="C7" t="s">
        <v>157</v>
      </c>
    </row>
    <row r="8" spans="1:3" x14ac:dyDescent="0.35">
      <c r="A8" t="s">
        <v>80</v>
      </c>
      <c r="B8" t="s">
        <v>82</v>
      </c>
      <c r="C8" t="s">
        <v>914</v>
      </c>
    </row>
    <row r="9" spans="1:3" x14ac:dyDescent="0.35">
      <c r="A9" t="s">
        <v>80</v>
      </c>
      <c r="B9" t="s">
        <v>81</v>
      </c>
      <c r="C9" t="s">
        <v>1669</v>
      </c>
    </row>
    <row r="10" spans="1:3" x14ac:dyDescent="0.35">
      <c r="A10" t="s">
        <v>80</v>
      </c>
      <c r="B10" t="s">
        <v>846</v>
      </c>
      <c r="C10" t="s">
        <v>2680</v>
      </c>
    </row>
    <row r="11" spans="1:3" x14ac:dyDescent="0.35">
      <c r="A11" t="s">
        <v>2413</v>
      </c>
      <c r="B11" t="s">
        <v>136</v>
      </c>
      <c r="C11" s="10" t="s">
        <v>2414</v>
      </c>
    </row>
    <row r="12" spans="1:3" x14ac:dyDescent="0.35">
      <c r="A12" t="s">
        <v>498</v>
      </c>
      <c r="B12" t="s">
        <v>28</v>
      </c>
      <c r="C12" t="s">
        <v>499</v>
      </c>
    </row>
    <row r="13" spans="1:3" x14ac:dyDescent="0.35">
      <c r="A13" t="s">
        <v>1045</v>
      </c>
      <c r="B13" t="s">
        <v>16</v>
      </c>
      <c r="C13" t="s">
        <v>1046</v>
      </c>
    </row>
    <row r="14" spans="1:3" x14ac:dyDescent="0.35">
      <c r="A14" t="s">
        <v>2173</v>
      </c>
      <c r="B14" t="s">
        <v>1112</v>
      </c>
      <c r="C14" t="s">
        <v>2591</v>
      </c>
    </row>
    <row r="15" spans="1:3" x14ac:dyDescent="0.35">
      <c r="A15" t="s">
        <v>1329</v>
      </c>
      <c r="B15" t="s">
        <v>67</v>
      </c>
      <c r="C15" t="s">
        <v>1664</v>
      </c>
    </row>
    <row r="16" spans="1:3" x14ac:dyDescent="0.35">
      <c r="A16" t="s">
        <v>773</v>
      </c>
      <c r="B16" t="s">
        <v>413</v>
      </c>
      <c r="C16" t="s">
        <v>1671</v>
      </c>
    </row>
    <row r="17" spans="1:3" x14ac:dyDescent="0.35">
      <c r="A17" t="s">
        <v>773</v>
      </c>
      <c r="B17" t="s">
        <v>665</v>
      </c>
      <c r="C17" t="s">
        <v>2580</v>
      </c>
    </row>
    <row r="18" spans="1:3" x14ac:dyDescent="0.35">
      <c r="A18" t="s">
        <v>2669</v>
      </c>
      <c r="B18" t="s">
        <v>384</v>
      </c>
      <c r="C18" t="s">
        <v>2681</v>
      </c>
    </row>
    <row r="19" spans="1:3" x14ac:dyDescent="0.35">
      <c r="A19" t="s">
        <v>525</v>
      </c>
      <c r="B19" t="s">
        <v>58</v>
      </c>
      <c r="C19" t="s">
        <v>1589</v>
      </c>
    </row>
    <row r="20" spans="1:3" x14ac:dyDescent="0.35">
      <c r="A20" t="s">
        <v>525</v>
      </c>
      <c r="B20" t="s">
        <v>136</v>
      </c>
      <c r="C20" t="s">
        <v>1601</v>
      </c>
    </row>
    <row r="21" spans="1:3" x14ac:dyDescent="0.35">
      <c r="A21" t="s">
        <v>525</v>
      </c>
      <c r="B21" t="s">
        <v>327</v>
      </c>
      <c r="C21" t="s">
        <v>2316</v>
      </c>
    </row>
    <row r="22" spans="1:3" x14ac:dyDescent="0.35">
      <c r="A22" t="s">
        <v>525</v>
      </c>
      <c r="B22" t="s">
        <v>2320</v>
      </c>
      <c r="C22" t="s">
        <v>2321</v>
      </c>
    </row>
    <row r="23" spans="1:3" x14ac:dyDescent="0.35">
      <c r="A23" t="s">
        <v>627</v>
      </c>
      <c r="B23" t="s">
        <v>391</v>
      </c>
      <c r="C23" t="s">
        <v>628</v>
      </c>
    </row>
    <row r="24" spans="1:3" x14ac:dyDescent="0.35">
      <c r="A24" t="s">
        <v>2671</v>
      </c>
      <c r="B24" t="s">
        <v>108</v>
      </c>
      <c r="C24" t="s">
        <v>2684</v>
      </c>
    </row>
    <row r="25" spans="1:3" x14ac:dyDescent="0.35">
      <c r="A25" t="s">
        <v>791</v>
      </c>
      <c r="B25" t="s">
        <v>463</v>
      </c>
      <c r="C25" t="s">
        <v>792</v>
      </c>
    </row>
    <row r="26" spans="1:3" x14ac:dyDescent="0.35">
      <c r="A26" t="s">
        <v>707</v>
      </c>
      <c r="B26" t="s">
        <v>480</v>
      </c>
      <c r="C26" t="s">
        <v>708</v>
      </c>
    </row>
    <row r="27" spans="1:3" x14ac:dyDescent="0.35">
      <c r="A27" t="s">
        <v>764</v>
      </c>
      <c r="B27" t="s">
        <v>901</v>
      </c>
      <c r="C27" t="s">
        <v>902</v>
      </c>
    </row>
    <row r="28" spans="1:3" x14ac:dyDescent="0.35">
      <c r="A28" t="s">
        <v>764</v>
      </c>
      <c r="B28" t="s">
        <v>765</v>
      </c>
      <c r="C28" t="s">
        <v>766</v>
      </c>
    </row>
    <row r="29" spans="1:3" x14ac:dyDescent="0.35">
      <c r="A29" t="s">
        <v>173</v>
      </c>
      <c r="B29" t="s">
        <v>117</v>
      </c>
      <c r="C29" t="s">
        <v>652</v>
      </c>
    </row>
    <row r="30" spans="1:3" x14ac:dyDescent="0.35">
      <c r="A30" t="s">
        <v>29</v>
      </c>
      <c r="B30" t="s">
        <v>30</v>
      </c>
      <c r="C30" t="s">
        <v>155</v>
      </c>
    </row>
    <row r="31" spans="1:3" x14ac:dyDescent="0.35">
      <c r="A31" t="s">
        <v>31</v>
      </c>
      <c r="B31" t="s">
        <v>32</v>
      </c>
      <c r="C31" t="s">
        <v>1417</v>
      </c>
    </row>
    <row r="32" spans="1:3" x14ac:dyDescent="0.35">
      <c r="A32" t="s">
        <v>31</v>
      </c>
      <c r="B32" t="s">
        <v>16</v>
      </c>
      <c r="C32" t="s">
        <v>1542</v>
      </c>
    </row>
    <row r="33" spans="1:3" x14ac:dyDescent="0.35">
      <c r="A33" t="s">
        <v>1102</v>
      </c>
      <c r="B33" t="s">
        <v>521</v>
      </c>
      <c r="C33" t="s">
        <v>1618</v>
      </c>
    </row>
    <row r="34" spans="1:3" x14ac:dyDescent="0.35">
      <c r="A34" t="s">
        <v>1714</v>
      </c>
      <c r="B34" t="s">
        <v>2004</v>
      </c>
      <c r="C34" t="s">
        <v>2511</v>
      </c>
    </row>
    <row r="35" spans="1:3" x14ac:dyDescent="0.35">
      <c r="A35" t="s">
        <v>1159</v>
      </c>
      <c r="B35" t="s">
        <v>136</v>
      </c>
      <c r="C35" t="s">
        <v>1160</v>
      </c>
    </row>
    <row r="36" spans="1:3" x14ac:dyDescent="0.35">
      <c r="A36" t="s">
        <v>2454</v>
      </c>
      <c r="B36" t="s">
        <v>782</v>
      </c>
      <c r="C36" t="s">
        <v>2493</v>
      </c>
    </row>
    <row r="37" spans="1:3" x14ac:dyDescent="0.35">
      <c r="A37" t="s">
        <v>231</v>
      </c>
      <c r="B37" t="s">
        <v>232</v>
      </c>
      <c r="C37" t="s">
        <v>233</v>
      </c>
    </row>
    <row r="38" spans="1:3" x14ac:dyDescent="0.35">
      <c r="A38" t="s">
        <v>645</v>
      </c>
      <c r="B38" t="s">
        <v>644</v>
      </c>
      <c r="C38" t="s">
        <v>834</v>
      </c>
    </row>
    <row r="39" spans="1:3" x14ac:dyDescent="0.35">
      <c r="A39" t="s">
        <v>898</v>
      </c>
      <c r="B39" t="s">
        <v>899</v>
      </c>
      <c r="C39" t="s">
        <v>900</v>
      </c>
    </row>
    <row r="40" spans="1:3" x14ac:dyDescent="0.35">
      <c r="A40" t="s">
        <v>1228</v>
      </c>
      <c r="B40" t="s">
        <v>1229</v>
      </c>
      <c r="C40" t="s">
        <v>1638</v>
      </c>
    </row>
    <row r="41" spans="1:3" x14ac:dyDescent="0.35">
      <c r="A41" t="s">
        <v>1143</v>
      </c>
      <c r="B41" t="s">
        <v>848</v>
      </c>
      <c r="C41" t="s">
        <v>1652</v>
      </c>
    </row>
    <row r="42" spans="1:3" x14ac:dyDescent="0.35">
      <c r="A42" t="s">
        <v>1004</v>
      </c>
      <c r="B42" t="s">
        <v>1005</v>
      </c>
      <c r="C42" t="s">
        <v>1670</v>
      </c>
    </row>
    <row r="43" spans="1:3" x14ac:dyDescent="0.35">
      <c r="A43" t="s">
        <v>1140</v>
      </c>
      <c r="B43" t="s">
        <v>1141</v>
      </c>
      <c r="C43" t="s">
        <v>1142</v>
      </c>
    </row>
    <row r="44" spans="1:3" x14ac:dyDescent="0.35">
      <c r="A44" t="s">
        <v>804</v>
      </c>
      <c r="B44" t="s">
        <v>644</v>
      </c>
      <c r="C44" t="s">
        <v>805</v>
      </c>
    </row>
    <row r="45" spans="1:3" x14ac:dyDescent="0.35">
      <c r="A45" t="s">
        <v>804</v>
      </c>
      <c r="B45" t="s">
        <v>22</v>
      </c>
      <c r="C45" t="s">
        <v>1348</v>
      </c>
    </row>
    <row r="46" spans="1:3" x14ac:dyDescent="0.35">
      <c r="A46" t="s">
        <v>121</v>
      </c>
      <c r="B46" t="s">
        <v>122</v>
      </c>
      <c r="C46" t="s">
        <v>123</v>
      </c>
    </row>
    <row r="47" spans="1:3" x14ac:dyDescent="0.35">
      <c r="A47" t="s">
        <v>699</v>
      </c>
      <c r="B47" t="s">
        <v>65</v>
      </c>
      <c r="C47" t="s">
        <v>1577</v>
      </c>
    </row>
    <row r="48" spans="1:3" x14ac:dyDescent="0.35">
      <c r="A48" t="s">
        <v>555</v>
      </c>
      <c r="B48" t="s">
        <v>556</v>
      </c>
      <c r="C48" t="s">
        <v>651</v>
      </c>
    </row>
    <row r="49" spans="1:3" x14ac:dyDescent="0.35">
      <c r="A49" t="s">
        <v>1061</v>
      </c>
      <c r="B49" t="s">
        <v>1062</v>
      </c>
      <c r="C49" t="s">
        <v>1610</v>
      </c>
    </row>
    <row r="50" spans="1:3" x14ac:dyDescent="0.35">
      <c r="A50" t="s">
        <v>39</v>
      </c>
      <c r="B50" t="s">
        <v>920</v>
      </c>
      <c r="C50" t="s">
        <v>1662</v>
      </c>
    </row>
    <row r="51" spans="1:3" x14ac:dyDescent="0.35">
      <c r="A51" t="s">
        <v>39</v>
      </c>
      <c r="B51" t="s">
        <v>40</v>
      </c>
      <c r="C51" t="s">
        <v>146</v>
      </c>
    </row>
    <row r="52" spans="1:3" x14ac:dyDescent="0.35">
      <c r="A52" t="s">
        <v>684</v>
      </c>
      <c r="B52" t="s">
        <v>521</v>
      </c>
      <c r="C52" t="s">
        <v>685</v>
      </c>
    </row>
    <row r="53" spans="1:3" x14ac:dyDescent="0.35">
      <c r="A53" t="s">
        <v>226</v>
      </c>
      <c r="B53" t="s">
        <v>227</v>
      </c>
      <c r="C53" t="s">
        <v>228</v>
      </c>
    </row>
    <row r="54" spans="1:3" x14ac:dyDescent="0.35">
      <c r="A54" t="s">
        <v>1194</v>
      </c>
      <c r="B54" t="s">
        <v>1195</v>
      </c>
      <c r="C54" t="s">
        <v>1326</v>
      </c>
    </row>
    <row r="55" spans="1:3" x14ac:dyDescent="0.35">
      <c r="A55" t="s">
        <v>2368</v>
      </c>
      <c r="B55" t="s">
        <v>98</v>
      </c>
      <c r="C55" t="s">
        <v>2380</v>
      </c>
    </row>
    <row r="56" spans="1:3" x14ac:dyDescent="0.35">
      <c r="A56" t="s">
        <v>2395</v>
      </c>
      <c r="B56" t="s">
        <v>151</v>
      </c>
      <c r="C56" s="10" t="s">
        <v>2396</v>
      </c>
    </row>
    <row r="57" spans="1:3" x14ac:dyDescent="0.35">
      <c r="A57" t="s">
        <v>161</v>
      </c>
      <c r="B57" t="s">
        <v>200</v>
      </c>
      <c r="C57" t="s">
        <v>201</v>
      </c>
    </row>
    <row r="58" spans="1:3" x14ac:dyDescent="0.35">
      <c r="A58" t="s">
        <v>161</v>
      </c>
      <c r="B58" t="s">
        <v>162</v>
      </c>
      <c r="C58" t="s">
        <v>163</v>
      </c>
    </row>
    <row r="59" spans="1:3" x14ac:dyDescent="0.35">
      <c r="A59" t="s">
        <v>161</v>
      </c>
      <c r="B59" t="s">
        <v>44</v>
      </c>
      <c r="C59" t="s">
        <v>1351</v>
      </c>
    </row>
    <row r="60" spans="1:3" x14ac:dyDescent="0.35">
      <c r="A60" t="s">
        <v>457</v>
      </c>
      <c r="B60" t="s">
        <v>384</v>
      </c>
      <c r="C60" t="s">
        <v>458</v>
      </c>
    </row>
    <row r="61" spans="1:3" x14ac:dyDescent="0.35">
      <c r="A61" t="s">
        <v>658</v>
      </c>
      <c r="B61" t="s">
        <v>330</v>
      </c>
      <c r="C61" t="s">
        <v>1617</v>
      </c>
    </row>
    <row r="62" spans="1:3" x14ac:dyDescent="0.35">
      <c r="A62" t="s">
        <v>864</v>
      </c>
      <c r="B62" t="s">
        <v>52</v>
      </c>
      <c r="C62" t="s">
        <v>1705</v>
      </c>
    </row>
    <row r="63" spans="1:3" x14ac:dyDescent="0.35">
      <c r="A63" t="s">
        <v>2458</v>
      </c>
      <c r="B63" t="s">
        <v>384</v>
      </c>
      <c r="C63" t="s">
        <v>2459</v>
      </c>
    </row>
    <row r="64" spans="1:3" x14ac:dyDescent="0.35">
      <c r="A64" t="s">
        <v>1227</v>
      </c>
      <c r="B64" t="s">
        <v>153</v>
      </c>
      <c r="C64" t="s">
        <v>1378</v>
      </c>
    </row>
    <row r="65" spans="1:3" x14ac:dyDescent="0.35">
      <c r="A65" t="s">
        <v>1719</v>
      </c>
      <c r="B65" t="s">
        <v>524</v>
      </c>
      <c r="C65" t="s">
        <v>2538</v>
      </c>
    </row>
    <row r="66" spans="1:3" x14ac:dyDescent="0.35">
      <c r="A66" t="s">
        <v>2388</v>
      </c>
      <c r="B66" t="s">
        <v>665</v>
      </c>
      <c r="C66" s="10" t="s">
        <v>2389</v>
      </c>
    </row>
    <row r="67" spans="1:3" x14ac:dyDescent="0.35">
      <c r="A67" t="s">
        <v>452</v>
      </c>
      <c r="B67" t="s">
        <v>334</v>
      </c>
      <c r="C67" t="s">
        <v>453</v>
      </c>
    </row>
    <row r="68" spans="1:3" x14ac:dyDescent="0.35">
      <c r="A68" t="s">
        <v>2460</v>
      </c>
      <c r="B68" t="s">
        <v>187</v>
      </c>
      <c r="C68" t="s">
        <v>2461</v>
      </c>
    </row>
    <row r="69" spans="1:3" x14ac:dyDescent="0.35">
      <c r="A69" t="s">
        <v>967</v>
      </c>
      <c r="B69" t="s">
        <v>131</v>
      </c>
      <c r="C69" t="s">
        <v>1566</v>
      </c>
    </row>
    <row r="70" spans="1:3" x14ac:dyDescent="0.35">
      <c r="A70" t="s">
        <v>12</v>
      </c>
      <c r="B70" t="s">
        <v>13</v>
      </c>
      <c r="C70" t="s">
        <v>339</v>
      </c>
    </row>
    <row r="71" spans="1:3" x14ac:dyDescent="0.35">
      <c r="A71" t="s">
        <v>697</v>
      </c>
      <c r="B71" t="s">
        <v>200</v>
      </c>
      <c r="C71" t="s">
        <v>698</v>
      </c>
    </row>
    <row r="72" spans="1:3" x14ac:dyDescent="0.35">
      <c r="A72" t="s">
        <v>482</v>
      </c>
      <c r="B72" t="s">
        <v>410</v>
      </c>
      <c r="C72" t="s">
        <v>1563</v>
      </c>
    </row>
    <row r="73" spans="1:3" x14ac:dyDescent="0.35">
      <c r="A73" t="s">
        <v>2463</v>
      </c>
      <c r="B73" t="s">
        <v>1073</v>
      </c>
      <c r="C73" t="s">
        <v>2464</v>
      </c>
    </row>
    <row r="74" spans="1:3" x14ac:dyDescent="0.35">
      <c r="A74" t="s">
        <v>1214</v>
      </c>
      <c r="B74" t="s">
        <v>65</v>
      </c>
      <c r="C74" t="s">
        <v>1347</v>
      </c>
    </row>
    <row r="75" spans="1:3" x14ac:dyDescent="0.35">
      <c r="A75" t="s">
        <v>1519</v>
      </c>
      <c r="B75" t="s">
        <v>153</v>
      </c>
      <c r="C75" t="s">
        <v>1527</v>
      </c>
    </row>
    <row r="76" spans="1:3" x14ac:dyDescent="0.35">
      <c r="A76" t="s">
        <v>1270</v>
      </c>
      <c r="B76" t="s">
        <v>1271</v>
      </c>
      <c r="C76" t="s">
        <v>1272</v>
      </c>
    </row>
    <row r="77" spans="1:3" x14ac:dyDescent="0.35">
      <c r="A77" t="s">
        <v>958</v>
      </c>
      <c r="B77" t="s">
        <v>122</v>
      </c>
      <c r="C77" t="s">
        <v>959</v>
      </c>
    </row>
    <row r="78" spans="1:3" x14ac:dyDescent="0.35">
      <c r="A78" t="s">
        <v>459</v>
      </c>
      <c r="B78" t="s">
        <v>136</v>
      </c>
      <c r="C78" t="s">
        <v>460</v>
      </c>
    </row>
    <row r="79" spans="1:3" x14ac:dyDescent="0.35">
      <c r="A79" t="s">
        <v>813</v>
      </c>
      <c r="B79" t="s">
        <v>665</v>
      </c>
      <c r="C79" t="s">
        <v>1594</v>
      </c>
    </row>
    <row r="80" spans="1:3" x14ac:dyDescent="0.35">
      <c r="A80" t="s">
        <v>1109</v>
      </c>
      <c r="B80" t="s">
        <v>528</v>
      </c>
      <c r="C80" t="s">
        <v>1110</v>
      </c>
    </row>
    <row r="81" spans="1:3" x14ac:dyDescent="0.35">
      <c r="A81" t="s">
        <v>1167</v>
      </c>
      <c r="B81" t="s">
        <v>1168</v>
      </c>
      <c r="C81" t="s">
        <v>1579</v>
      </c>
    </row>
    <row r="82" spans="1:3" x14ac:dyDescent="0.35">
      <c r="A82" t="s">
        <v>638</v>
      </c>
      <c r="B82" t="s">
        <v>218</v>
      </c>
      <c r="C82" t="s">
        <v>639</v>
      </c>
    </row>
    <row r="83" spans="1:3" x14ac:dyDescent="0.35">
      <c r="A83" t="s">
        <v>686</v>
      </c>
      <c r="B83" t="s">
        <v>687</v>
      </c>
      <c r="C83" t="s">
        <v>688</v>
      </c>
    </row>
    <row r="84" spans="1:3" x14ac:dyDescent="0.35">
      <c r="A84" t="s">
        <v>1210</v>
      </c>
      <c r="B84" t="s">
        <v>1011</v>
      </c>
      <c r="C84" t="s">
        <v>1672</v>
      </c>
    </row>
    <row r="85" spans="1:3" x14ac:dyDescent="0.35">
      <c r="A85" t="s">
        <v>1210</v>
      </c>
      <c r="B85" t="s">
        <v>353</v>
      </c>
      <c r="C85" t="s">
        <v>1478</v>
      </c>
    </row>
    <row r="86" spans="1:3" x14ac:dyDescent="0.35">
      <c r="A86" t="s">
        <v>519</v>
      </c>
      <c r="B86" t="s">
        <v>520</v>
      </c>
      <c r="C86" t="s">
        <v>1559</v>
      </c>
    </row>
    <row r="87" spans="1:3" x14ac:dyDescent="0.35">
      <c r="A87" t="s">
        <v>974</v>
      </c>
      <c r="B87" t="s">
        <v>353</v>
      </c>
      <c r="C87" t="s">
        <v>975</v>
      </c>
    </row>
    <row r="88" spans="1:3" x14ac:dyDescent="0.35">
      <c r="A88" t="s">
        <v>974</v>
      </c>
      <c r="B88" t="s">
        <v>2008</v>
      </c>
      <c r="C88" t="s">
        <v>2437</v>
      </c>
    </row>
    <row r="89" spans="1:3" x14ac:dyDescent="0.35">
      <c r="A89" t="s">
        <v>1395</v>
      </c>
      <c r="B89" t="s">
        <v>782</v>
      </c>
      <c r="C89" t="s">
        <v>1396</v>
      </c>
    </row>
    <row r="90" spans="1:3" x14ac:dyDescent="0.35">
      <c r="A90" t="s">
        <v>1201</v>
      </c>
      <c r="B90" t="s">
        <v>153</v>
      </c>
      <c r="C90" t="s">
        <v>1499</v>
      </c>
    </row>
    <row r="91" spans="1:3" x14ac:dyDescent="0.35">
      <c r="A91" t="s">
        <v>21</v>
      </c>
      <c r="B91" t="s">
        <v>463</v>
      </c>
      <c r="C91" t="s">
        <v>2349</v>
      </c>
    </row>
    <row r="92" spans="1:3" x14ac:dyDescent="0.35">
      <c r="A92" t="s">
        <v>750</v>
      </c>
      <c r="B92" t="s">
        <v>218</v>
      </c>
      <c r="C92" t="s">
        <v>751</v>
      </c>
    </row>
    <row r="93" spans="1:3" x14ac:dyDescent="0.35">
      <c r="A93" t="s">
        <v>2514</v>
      </c>
      <c r="B93" t="s">
        <v>218</v>
      </c>
      <c r="C93" t="s">
        <v>2515</v>
      </c>
    </row>
    <row r="94" spans="1:3" x14ac:dyDescent="0.35">
      <c r="A94" t="s">
        <v>1263</v>
      </c>
      <c r="B94" t="s">
        <v>1264</v>
      </c>
      <c r="C94" t="s">
        <v>1265</v>
      </c>
    </row>
    <row r="95" spans="1:3" x14ac:dyDescent="0.35">
      <c r="A95" t="s">
        <v>769</v>
      </c>
      <c r="B95" t="s">
        <v>463</v>
      </c>
      <c r="C95" t="s">
        <v>1663</v>
      </c>
    </row>
    <row r="96" spans="1:3" x14ac:dyDescent="0.35">
      <c r="A96" t="s">
        <v>609</v>
      </c>
      <c r="B96" t="s">
        <v>610</v>
      </c>
      <c r="C96" t="s">
        <v>611</v>
      </c>
    </row>
    <row r="97" spans="1:3" x14ac:dyDescent="0.35">
      <c r="A97" t="s">
        <v>810</v>
      </c>
      <c r="B97" t="s">
        <v>463</v>
      </c>
      <c r="C97" t="s">
        <v>1536</v>
      </c>
    </row>
    <row r="98" spans="1:3" x14ac:dyDescent="0.35">
      <c r="A98" t="s">
        <v>653</v>
      </c>
      <c r="B98" t="s">
        <v>654</v>
      </c>
      <c r="C98" t="s">
        <v>655</v>
      </c>
    </row>
    <row r="99" spans="1:3" x14ac:dyDescent="0.35">
      <c r="A99" t="s">
        <v>653</v>
      </c>
      <c r="B99" t="s">
        <v>2386</v>
      </c>
      <c r="C99" s="10" t="s">
        <v>2387</v>
      </c>
    </row>
    <row r="100" spans="1:3" x14ac:dyDescent="0.35">
      <c r="A100" t="s">
        <v>588</v>
      </c>
      <c r="B100" t="s">
        <v>353</v>
      </c>
      <c r="C100" t="s">
        <v>589</v>
      </c>
    </row>
    <row r="101" spans="1:3" x14ac:dyDescent="0.35">
      <c r="A101" t="s">
        <v>333</v>
      </c>
      <c r="B101" t="s">
        <v>334</v>
      </c>
      <c r="C101" t="s">
        <v>335</v>
      </c>
    </row>
    <row r="102" spans="1:3" x14ac:dyDescent="0.35">
      <c r="A102" t="s">
        <v>996</v>
      </c>
      <c r="B102" t="s">
        <v>232</v>
      </c>
      <c r="C102" t="s">
        <v>1632</v>
      </c>
    </row>
    <row r="103" spans="1:3" x14ac:dyDescent="0.35">
      <c r="A103" t="s">
        <v>601</v>
      </c>
      <c r="B103" t="s">
        <v>58</v>
      </c>
      <c r="C103" t="s">
        <v>602</v>
      </c>
    </row>
    <row r="104" spans="1:3" x14ac:dyDescent="0.35">
      <c r="A104" t="s">
        <v>431</v>
      </c>
      <c r="B104" t="s">
        <v>44</v>
      </c>
      <c r="C104" t="s">
        <v>432</v>
      </c>
    </row>
    <row r="105" spans="1:3" x14ac:dyDescent="0.35">
      <c r="A105" t="s">
        <v>672</v>
      </c>
      <c r="B105" t="s">
        <v>673</v>
      </c>
      <c r="C105" t="s">
        <v>674</v>
      </c>
    </row>
    <row r="106" spans="1:3" x14ac:dyDescent="0.35">
      <c r="A106" t="s">
        <v>1182</v>
      </c>
      <c r="B106" t="s">
        <v>71</v>
      </c>
      <c r="C106" t="s">
        <v>1183</v>
      </c>
    </row>
    <row r="107" spans="1:3" x14ac:dyDescent="0.35">
      <c r="A107" t="s">
        <v>1330</v>
      </c>
      <c r="B107" t="s">
        <v>1331</v>
      </c>
      <c r="C107" t="s">
        <v>1332</v>
      </c>
    </row>
    <row r="108" spans="1:3" x14ac:dyDescent="0.35">
      <c r="A108" t="s">
        <v>70</v>
      </c>
      <c r="B108" t="s">
        <v>71</v>
      </c>
      <c r="C108" t="s">
        <v>518</v>
      </c>
    </row>
    <row r="109" spans="1:3" x14ac:dyDescent="0.35">
      <c r="A109" t="s">
        <v>310</v>
      </c>
      <c r="B109" t="s">
        <v>119</v>
      </c>
      <c r="C109" t="s">
        <v>311</v>
      </c>
    </row>
    <row r="110" spans="1:3" x14ac:dyDescent="0.35">
      <c r="A110" t="s">
        <v>1518</v>
      </c>
      <c r="B110" t="s">
        <v>136</v>
      </c>
      <c r="C110" t="s">
        <v>1525</v>
      </c>
    </row>
    <row r="111" spans="1:3" x14ac:dyDescent="0.35">
      <c r="A111" t="s">
        <v>731</v>
      </c>
      <c r="B111" t="s">
        <v>384</v>
      </c>
      <c r="C111" t="s">
        <v>892</v>
      </c>
    </row>
    <row r="112" spans="1:3" x14ac:dyDescent="0.35">
      <c r="A112" t="s">
        <v>731</v>
      </c>
      <c r="B112" t="s">
        <v>732</v>
      </c>
      <c r="C112" t="s">
        <v>733</v>
      </c>
    </row>
    <row r="113" spans="1:3" x14ac:dyDescent="0.35">
      <c r="A113" t="s">
        <v>784</v>
      </c>
      <c r="B113" t="s">
        <v>665</v>
      </c>
      <c r="C113" t="s">
        <v>785</v>
      </c>
    </row>
    <row r="114" spans="1:3" x14ac:dyDescent="0.35">
      <c r="A114" t="s">
        <v>784</v>
      </c>
      <c r="B114" t="s">
        <v>136</v>
      </c>
      <c r="C114" t="s">
        <v>2296</v>
      </c>
    </row>
    <row r="115" spans="1:3" x14ac:dyDescent="0.35">
      <c r="A115" t="s">
        <v>1055</v>
      </c>
      <c r="B115" t="s">
        <v>421</v>
      </c>
      <c r="C115" t="s">
        <v>1567</v>
      </c>
    </row>
    <row r="116" spans="1:3" x14ac:dyDescent="0.35">
      <c r="A116" t="s">
        <v>2545</v>
      </c>
      <c r="B116" t="s">
        <v>71</v>
      </c>
      <c r="C116" t="s">
        <v>2546</v>
      </c>
    </row>
    <row r="117" spans="1:3" x14ac:dyDescent="0.35">
      <c r="A117" t="s">
        <v>984</v>
      </c>
      <c r="B117" t="s">
        <v>119</v>
      </c>
      <c r="C117" t="s">
        <v>985</v>
      </c>
    </row>
    <row r="118" spans="1:3" x14ac:dyDescent="0.35">
      <c r="A118" t="s">
        <v>2365</v>
      </c>
      <c r="B118" t="s">
        <v>2366</v>
      </c>
      <c r="C118" t="s">
        <v>2372</v>
      </c>
    </row>
    <row r="119" spans="1:3" x14ac:dyDescent="0.35">
      <c r="A119" t="s">
        <v>762</v>
      </c>
      <c r="B119" t="s">
        <v>153</v>
      </c>
      <c r="C119" t="s">
        <v>763</v>
      </c>
    </row>
    <row r="120" spans="1:3" x14ac:dyDescent="0.35">
      <c r="A120" t="s">
        <v>174</v>
      </c>
      <c r="B120" t="s">
        <v>175</v>
      </c>
      <c r="C120" t="s">
        <v>176</v>
      </c>
    </row>
    <row r="121" spans="1:3" x14ac:dyDescent="0.35">
      <c r="A121" t="s">
        <v>1148</v>
      </c>
      <c r="B121" t="s">
        <v>28</v>
      </c>
      <c r="C121" t="s">
        <v>1667</v>
      </c>
    </row>
    <row r="122" spans="1:3" x14ac:dyDescent="0.35">
      <c r="A122" t="s">
        <v>1071</v>
      </c>
      <c r="B122" t="s">
        <v>353</v>
      </c>
      <c r="C122" t="s">
        <v>1072</v>
      </c>
    </row>
    <row r="123" spans="1:3" x14ac:dyDescent="0.35">
      <c r="A123" t="s">
        <v>340</v>
      </c>
      <c r="B123" t="s">
        <v>665</v>
      </c>
      <c r="C123" t="s">
        <v>749</v>
      </c>
    </row>
    <row r="124" spans="1:3" x14ac:dyDescent="0.35">
      <c r="A124" t="s">
        <v>340</v>
      </c>
      <c r="B124" t="s">
        <v>341</v>
      </c>
      <c r="C124" t="s">
        <v>342</v>
      </c>
    </row>
    <row r="125" spans="1:3" x14ac:dyDescent="0.35">
      <c r="A125" t="s">
        <v>496</v>
      </c>
      <c r="B125" t="s">
        <v>218</v>
      </c>
      <c r="C125" t="s">
        <v>497</v>
      </c>
    </row>
    <row r="126" spans="1:3" x14ac:dyDescent="0.35">
      <c r="A126" t="s">
        <v>926</v>
      </c>
      <c r="B126" t="s">
        <v>927</v>
      </c>
      <c r="C126" t="s">
        <v>928</v>
      </c>
    </row>
    <row r="127" spans="1:3" x14ac:dyDescent="0.35">
      <c r="A127" t="s">
        <v>10</v>
      </c>
      <c r="B127" t="s">
        <v>11</v>
      </c>
      <c r="C127" t="s">
        <v>154</v>
      </c>
    </row>
    <row r="128" spans="1:3" x14ac:dyDescent="0.35">
      <c r="A128" t="s">
        <v>910</v>
      </c>
      <c r="B128" t="s">
        <v>911</v>
      </c>
      <c r="C128" t="s">
        <v>912</v>
      </c>
    </row>
    <row r="129" spans="1:3" x14ac:dyDescent="0.35">
      <c r="A129" t="s">
        <v>947</v>
      </c>
      <c r="B129" t="s">
        <v>948</v>
      </c>
      <c r="C129" t="s">
        <v>949</v>
      </c>
    </row>
    <row r="130" spans="1:3" x14ac:dyDescent="0.35">
      <c r="A130" t="s">
        <v>947</v>
      </c>
      <c r="B130" t="s">
        <v>16</v>
      </c>
      <c r="C130" t="s">
        <v>2455</v>
      </c>
    </row>
    <row r="131" spans="1:3" x14ac:dyDescent="0.35">
      <c r="A131" t="s">
        <v>2401</v>
      </c>
      <c r="B131" t="s">
        <v>2017</v>
      </c>
      <c r="C131" s="10" t="s">
        <v>2402</v>
      </c>
    </row>
    <row r="132" spans="1:3" x14ac:dyDescent="0.35">
      <c r="A132" t="s">
        <v>2278</v>
      </c>
      <c r="B132" t="s">
        <v>324</v>
      </c>
      <c r="C132" t="s">
        <v>2288</v>
      </c>
    </row>
    <row r="133" spans="1:3" x14ac:dyDescent="0.35">
      <c r="A133" t="s">
        <v>388</v>
      </c>
      <c r="B133" t="s">
        <v>200</v>
      </c>
      <c r="C133" t="s">
        <v>1243</v>
      </c>
    </row>
    <row r="134" spans="1:3" x14ac:dyDescent="0.35">
      <c r="A134" t="s">
        <v>1138</v>
      </c>
      <c r="B134" t="s">
        <v>71</v>
      </c>
      <c r="C134" t="s">
        <v>1139</v>
      </c>
    </row>
    <row r="135" spans="1:3" x14ac:dyDescent="0.35">
      <c r="A135" t="s">
        <v>220</v>
      </c>
      <c r="B135" t="s">
        <v>421</v>
      </c>
      <c r="C135" t="s">
        <v>997</v>
      </c>
    </row>
    <row r="136" spans="1:3" x14ac:dyDescent="0.35">
      <c r="A136" t="s">
        <v>220</v>
      </c>
      <c r="B136" t="s">
        <v>221</v>
      </c>
      <c r="C136" t="s">
        <v>222</v>
      </c>
    </row>
    <row r="137" spans="1:3" x14ac:dyDescent="0.35">
      <c r="A137" t="s">
        <v>1288</v>
      </c>
      <c r="B137" t="s">
        <v>1289</v>
      </c>
      <c r="C137" t="s">
        <v>1290</v>
      </c>
    </row>
    <row r="138" spans="1:3" x14ac:dyDescent="0.35">
      <c r="A138" t="s">
        <v>878</v>
      </c>
      <c r="B138" t="s">
        <v>136</v>
      </c>
      <c r="C138" t="s">
        <v>879</v>
      </c>
    </row>
    <row r="139" spans="1:3" x14ac:dyDescent="0.35">
      <c r="A139" t="s">
        <v>839</v>
      </c>
      <c r="B139" t="s">
        <v>271</v>
      </c>
      <c r="C139" t="s">
        <v>840</v>
      </c>
    </row>
    <row r="140" spans="1:3" x14ac:dyDescent="0.35">
      <c r="A140" t="s">
        <v>1354</v>
      </c>
      <c r="B140" t="s">
        <v>1355</v>
      </c>
      <c r="C140" t="s">
        <v>1356</v>
      </c>
    </row>
    <row r="141" spans="1:3" x14ac:dyDescent="0.35">
      <c r="A141" t="s">
        <v>1727</v>
      </c>
      <c r="B141" t="s">
        <v>218</v>
      </c>
      <c r="C141" t="s">
        <v>2376</v>
      </c>
    </row>
    <row r="142" spans="1:3" x14ac:dyDescent="0.35">
      <c r="A142" t="s">
        <v>380</v>
      </c>
      <c r="B142" t="s">
        <v>381</v>
      </c>
      <c r="C142" t="s">
        <v>382</v>
      </c>
    </row>
    <row r="143" spans="1:3" x14ac:dyDescent="0.35">
      <c r="A143" t="s">
        <v>206</v>
      </c>
      <c r="B143" t="s">
        <v>207</v>
      </c>
      <c r="C143" t="s">
        <v>208</v>
      </c>
    </row>
    <row r="144" spans="1:3" x14ac:dyDescent="0.35">
      <c r="A144" t="s">
        <v>2586</v>
      </c>
      <c r="B144" t="s">
        <v>1073</v>
      </c>
      <c r="C144" t="s">
        <v>2587</v>
      </c>
    </row>
    <row r="145" spans="1:3" x14ac:dyDescent="0.35">
      <c r="A145" t="s">
        <v>53</v>
      </c>
      <c r="B145" t="s">
        <v>54</v>
      </c>
      <c r="C145" t="s">
        <v>373</v>
      </c>
    </row>
    <row r="146" spans="1:3" x14ac:dyDescent="0.35">
      <c r="A146" t="s">
        <v>824</v>
      </c>
      <c r="B146" t="s">
        <v>65</v>
      </c>
      <c r="C146" t="s">
        <v>1556</v>
      </c>
    </row>
    <row r="147" spans="1:3" x14ac:dyDescent="0.35">
      <c r="A147" t="s">
        <v>436</v>
      </c>
      <c r="B147" t="s">
        <v>16</v>
      </c>
      <c r="C147" t="s">
        <v>560</v>
      </c>
    </row>
    <row r="148" spans="1:3" x14ac:dyDescent="0.35">
      <c r="A148" t="s">
        <v>436</v>
      </c>
      <c r="B148" t="s">
        <v>2569</v>
      </c>
      <c r="C148" t="s">
        <v>2570</v>
      </c>
    </row>
    <row r="149" spans="1:3" x14ac:dyDescent="0.35">
      <c r="A149" t="s">
        <v>580</v>
      </c>
      <c r="B149" t="s">
        <v>662</v>
      </c>
      <c r="C149" t="s">
        <v>1399</v>
      </c>
    </row>
    <row r="150" spans="1:3" x14ac:dyDescent="0.35">
      <c r="A150" t="s">
        <v>580</v>
      </c>
      <c r="B150" t="s">
        <v>153</v>
      </c>
      <c r="C150" t="s">
        <v>581</v>
      </c>
    </row>
    <row r="151" spans="1:3" x14ac:dyDescent="0.35">
      <c r="A151" t="s">
        <v>1048</v>
      </c>
      <c r="B151" t="s">
        <v>1049</v>
      </c>
      <c r="C151" t="s">
        <v>1592</v>
      </c>
    </row>
    <row r="152" spans="1:3" x14ac:dyDescent="0.35">
      <c r="A152" t="s">
        <v>164</v>
      </c>
      <c r="B152" t="s">
        <v>165</v>
      </c>
      <c r="C152" t="s">
        <v>1661</v>
      </c>
    </row>
    <row r="153" spans="1:3" x14ac:dyDescent="0.35">
      <c r="A153" t="s">
        <v>281</v>
      </c>
      <c r="B153" t="s">
        <v>282</v>
      </c>
      <c r="C153" t="s">
        <v>283</v>
      </c>
    </row>
    <row r="154" spans="1:3" x14ac:dyDescent="0.35">
      <c r="A154" t="s">
        <v>1042</v>
      </c>
      <c r="B154" t="s">
        <v>38</v>
      </c>
      <c r="C154" t="s">
        <v>1043</v>
      </c>
    </row>
    <row r="155" spans="1:3" x14ac:dyDescent="0.35">
      <c r="A155" t="s">
        <v>972</v>
      </c>
      <c r="B155" t="s">
        <v>81</v>
      </c>
      <c r="C155" t="s">
        <v>973</v>
      </c>
    </row>
    <row r="156" spans="1:3" x14ac:dyDescent="0.35">
      <c r="A156" t="s">
        <v>558</v>
      </c>
      <c r="B156" t="s">
        <v>79</v>
      </c>
      <c r="C156" t="s">
        <v>559</v>
      </c>
    </row>
    <row r="157" spans="1:3" x14ac:dyDescent="0.35">
      <c r="A157" t="s">
        <v>876</v>
      </c>
      <c r="B157" t="s">
        <v>480</v>
      </c>
      <c r="C157" t="s">
        <v>877</v>
      </c>
    </row>
    <row r="158" spans="1:3" x14ac:dyDescent="0.35">
      <c r="A158" t="s">
        <v>1446</v>
      </c>
      <c r="B158" t="s">
        <v>1447</v>
      </c>
      <c r="C158" t="s">
        <v>1659</v>
      </c>
    </row>
    <row r="159" spans="1:3" x14ac:dyDescent="0.35">
      <c r="A159" t="s">
        <v>795</v>
      </c>
      <c r="B159" t="s">
        <v>159</v>
      </c>
      <c r="C159" t="s">
        <v>796</v>
      </c>
    </row>
    <row r="160" spans="1:3" x14ac:dyDescent="0.35">
      <c r="A160" t="s">
        <v>1512</v>
      </c>
      <c r="B160" t="s">
        <v>44</v>
      </c>
      <c r="C160" t="s">
        <v>1565</v>
      </c>
    </row>
    <row r="161" spans="1:3" x14ac:dyDescent="0.35">
      <c r="A161" t="s">
        <v>1123</v>
      </c>
      <c r="B161" t="s">
        <v>1124</v>
      </c>
      <c r="C161" t="s">
        <v>1125</v>
      </c>
    </row>
    <row r="162" spans="1:3" x14ac:dyDescent="0.35">
      <c r="A162" t="s">
        <v>1129</v>
      </c>
      <c r="B162" t="s">
        <v>492</v>
      </c>
      <c r="C162" t="s">
        <v>1130</v>
      </c>
    </row>
    <row r="163" spans="1:3" x14ac:dyDescent="0.35">
      <c r="A163" t="s">
        <v>1978</v>
      </c>
      <c r="B163" t="s">
        <v>2489</v>
      </c>
      <c r="C163" s="11" t="s">
        <v>2490</v>
      </c>
    </row>
    <row r="164" spans="1:3" x14ac:dyDescent="0.35">
      <c r="A164" t="s">
        <v>1413</v>
      </c>
      <c r="B164" t="s">
        <v>425</v>
      </c>
      <c r="C164" t="s">
        <v>1414</v>
      </c>
    </row>
    <row r="165" spans="1:3" x14ac:dyDescent="0.35">
      <c r="A165" t="s">
        <v>1032</v>
      </c>
      <c r="B165" t="s">
        <v>1033</v>
      </c>
      <c r="C165" t="s">
        <v>1034</v>
      </c>
    </row>
    <row r="166" spans="1:3" x14ac:dyDescent="0.35">
      <c r="A166" t="s">
        <v>336</v>
      </c>
      <c r="B166" t="s">
        <v>337</v>
      </c>
      <c r="C166" t="s">
        <v>338</v>
      </c>
    </row>
    <row r="167" spans="1:3" x14ac:dyDescent="0.35">
      <c r="A167" t="s">
        <v>1053</v>
      </c>
      <c r="B167" t="s">
        <v>128</v>
      </c>
      <c r="C167" t="s">
        <v>1054</v>
      </c>
    </row>
    <row r="168" spans="1:3" x14ac:dyDescent="0.35">
      <c r="A168" t="s">
        <v>1311</v>
      </c>
      <c r="B168" t="s">
        <v>16</v>
      </c>
      <c r="C168" t="s">
        <v>1312</v>
      </c>
    </row>
    <row r="169" spans="1:3" x14ac:dyDescent="0.35">
      <c r="A169" t="s">
        <v>2588</v>
      </c>
      <c r="B169" t="s">
        <v>2589</v>
      </c>
      <c r="C169" t="s">
        <v>2590</v>
      </c>
    </row>
    <row r="170" spans="1:3" x14ac:dyDescent="0.35">
      <c r="A170" t="s">
        <v>939</v>
      </c>
      <c r="B170" t="s">
        <v>98</v>
      </c>
      <c r="C170" t="s">
        <v>940</v>
      </c>
    </row>
    <row r="171" spans="1:3" x14ac:dyDescent="0.35">
      <c r="A171" t="s">
        <v>449</v>
      </c>
      <c r="B171" t="s">
        <v>450</v>
      </c>
      <c r="C171" t="s">
        <v>1699</v>
      </c>
    </row>
    <row r="172" spans="1:3" x14ac:dyDescent="0.35">
      <c r="A172" t="s">
        <v>472</v>
      </c>
      <c r="B172" t="s">
        <v>473</v>
      </c>
      <c r="C172" t="s">
        <v>474</v>
      </c>
    </row>
    <row r="173" spans="1:3" x14ac:dyDescent="0.35">
      <c r="A173" t="s">
        <v>35</v>
      </c>
      <c r="B173" t="s">
        <v>36</v>
      </c>
      <c r="C173" t="s">
        <v>229</v>
      </c>
    </row>
    <row r="174" spans="1:3" x14ac:dyDescent="0.35">
      <c r="A174" t="s">
        <v>1438</v>
      </c>
      <c r="B174" t="s">
        <v>982</v>
      </c>
      <c r="C174" t="s">
        <v>1484</v>
      </c>
    </row>
    <row r="175" spans="1:3" x14ac:dyDescent="0.35">
      <c r="A175" t="s">
        <v>64</v>
      </c>
      <c r="B175" t="s">
        <v>65</v>
      </c>
      <c r="C175" t="s">
        <v>427</v>
      </c>
    </row>
    <row r="176" spans="1:3" x14ac:dyDescent="0.35">
      <c r="A176" t="s">
        <v>424</v>
      </c>
      <c r="B176" t="s">
        <v>425</v>
      </c>
      <c r="C176" t="s">
        <v>426</v>
      </c>
    </row>
    <row r="177" spans="1:3" x14ac:dyDescent="0.35">
      <c r="A177" t="s">
        <v>16</v>
      </c>
      <c r="B177" t="s">
        <v>59</v>
      </c>
      <c r="C177" t="s">
        <v>476</v>
      </c>
    </row>
    <row r="178" spans="1:3" x14ac:dyDescent="0.35">
      <c r="A178" t="s">
        <v>2317</v>
      </c>
      <c r="B178" t="s">
        <v>799</v>
      </c>
      <c r="C178" t="s">
        <v>2318</v>
      </c>
    </row>
    <row r="179" spans="1:3" x14ac:dyDescent="0.35">
      <c r="A179" t="s">
        <v>1301</v>
      </c>
      <c r="B179" t="s">
        <v>136</v>
      </c>
      <c r="C179" t="s">
        <v>1302</v>
      </c>
    </row>
    <row r="180" spans="1:3" x14ac:dyDescent="0.35">
      <c r="A180" t="s">
        <v>1301</v>
      </c>
      <c r="B180" t="s">
        <v>44</v>
      </c>
      <c r="C180" t="s">
        <v>1322</v>
      </c>
    </row>
    <row r="181" spans="1:3" x14ac:dyDescent="0.35">
      <c r="A181" t="s">
        <v>1301</v>
      </c>
      <c r="B181" t="s">
        <v>384</v>
      </c>
      <c r="C181" t="s">
        <v>2685</v>
      </c>
    </row>
    <row r="182" spans="1:3" x14ac:dyDescent="0.35">
      <c r="A182" t="s">
        <v>1175</v>
      </c>
      <c r="B182" t="s">
        <v>65</v>
      </c>
      <c r="C182" t="s">
        <v>1176</v>
      </c>
    </row>
    <row r="183" spans="1:3" x14ac:dyDescent="0.35">
      <c r="A183" t="s">
        <v>1397</v>
      </c>
      <c r="B183" t="s">
        <v>44</v>
      </c>
      <c r="C183" t="s">
        <v>1398</v>
      </c>
    </row>
    <row r="184" spans="1:3" x14ac:dyDescent="0.35">
      <c r="A184" t="s">
        <v>1133</v>
      </c>
      <c r="B184" t="s">
        <v>779</v>
      </c>
      <c r="C184" t="s">
        <v>1134</v>
      </c>
    </row>
    <row r="185" spans="1:3" x14ac:dyDescent="0.35">
      <c r="A185" t="s">
        <v>383</v>
      </c>
      <c r="B185" t="s">
        <v>384</v>
      </c>
      <c r="C185" t="s">
        <v>385</v>
      </c>
    </row>
    <row r="186" spans="1:3" x14ac:dyDescent="0.35">
      <c r="A186" t="s">
        <v>956</v>
      </c>
      <c r="B186" t="s">
        <v>13</v>
      </c>
      <c r="C186" t="s">
        <v>957</v>
      </c>
    </row>
    <row r="187" spans="1:3" x14ac:dyDescent="0.35">
      <c r="A187" t="s">
        <v>756</v>
      </c>
      <c r="B187" t="s">
        <v>757</v>
      </c>
      <c r="C187" t="s">
        <v>758</v>
      </c>
    </row>
    <row r="188" spans="1:3" x14ac:dyDescent="0.35">
      <c r="A188" t="s">
        <v>642</v>
      </c>
      <c r="B188" t="s">
        <v>136</v>
      </c>
      <c r="C188" t="s">
        <v>643</v>
      </c>
    </row>
    <row r="189" spans="1:3" x14ac:dyDescent="0.35">
      <c r="A189" t="s">
        <v>166</v>
      </c>
      <c r="B189" t="s">
        <v>167</v>
      </c>
      <c r="C189" t="s">
        <v>1692</v>
      </c>
    </row>
    <row r="190" spans="1:3" x14ac:dyDescent="0.35">
      <c r="A190" t="s">
        <v>603</v>
      </c>
      <c r="B190" t="s">
        <v>604</v>
      </c>
      <c r="C190" t="s">
        <v>1522</v>
      </c>
    </row>
    <row r="191" spans="1:3" x14ac:dyDescent="0.35">
      <c r="A191" t="s">
        <v>1017</v>
      </c>
      <c r="B191" t="s">
        <v>1018</v>
      </c>
      <c r="C191" t="s">
        <v>2341</v>
      </c>
    </row>
    <row r="192" spans="1:3" x14ac:dyDescent="0.35">
      <c r="A192" t="s">
        <v>1150</v>
      </c>
      <c r="B192" t="s">
        <v>136</v>
      </c>
      <c r="C192" t="s">
        <v>1691</v>
      </c>
    </row>
    <row r="193" spans="1:3" x14ac:dyDescent="0.35">
      <c r="A193" t="s">
        <v>2408</v>
      </c>
      <c r="B193" t="s">
        <v>25</v>
      </c>
      <c r="C193" s="10" t="s">
        <v>2409</v>
      </c>
    </row>
    <row r="194" spans="1:3" x14ac:dyDescent="0.35">
      <c r="A194" t="s">
        <v>945</v>
      </c>
      <c r="B194" t="s">
        <v>946</v>
      </c>
      <c r="C194" t="s">
        <v>2343</v>
      </c>
    </row>
    <row r="195" spans="1:3" x14ac:dyDescent="0.35">
      <c r="A195" t="s">
        <v>989</v>
      </c>
      <c r="B195" t="s">
        <v>215</v>
      </c>
      <c r="C195" t="s">
        <v>990</v>
      </c>
    </row>
    <row r="196" spans="1:3" x14ac:dyDescent="0.35">
      <c r="A196" t="s">
        <v>2613</v>
      </c>
      <c r="B196" t="s">
        <v>2614</v>
      </c>
      <c r="C196" t="s">
        <v>2615</v>
      </c>
    </row>
    <row r="197" spans="1:3" x14ac:dyDescent="0.35">
      <c r="A197" t="s">
        <v>48</v>
      </c>
      <c r="B197" t="s">
        <v>49</v>
      </c>
      <c r="C197" t="s">
        <v>372</v>
      </c>
    </row>
    <row r="198" spans="1:3" x14ac:dyDescent="0.35">
      <c r="A198" t="s">
        <v>781</v>
      </c>
      <c r="B198" t="s">
        <v>782</v>
      </c>
      <c r="C198" t="s">
        <v>783</v>
      </c>
    </row>
    <row r="199" spans="1:3" x14ac:dyDescent="0.35">
      <c r="A199" t="s">
        <v>417</v>
      </c>
      <c r="B199" t="s">
        <v>416</v>
      </c>
      <c r="C199" t="s">
        <v>1487</v>
      </c>
    </row>
    <row r="200" spans="1:3" x14ac:dyDescent="0.35">
      <c r="A200" t="s">
        <v>1376</v>
      </c>
      <c r="B200" t="s">
        <v>119</v>
      </c>
      <c r="C200" t="s">
        <v>1377</v>
      </c>
    </row>
    <row r="201" spans="1:3" x14ac:dyDescent="0.35">
      <c r="A201" t="s">
        <v>1217</v>
      </c>
      <c r="B201" t="s">
        <v>1218</v>
      </c>
      <c r="C201" t="s">
        <v>1323</v>
      </c>
    </row>
    <row r="202" spans="1:3" x14ac:dyDescent="0.35">
      <c r="A202" t="s">
        <v>100</v>
      </c>
      <c r="B202" t="s">
        <v>52</v>
      </c>
      <c r="C202" t="s">
        <v>230</v>
      </c>
    </row>
    <row r="203" spans="1:3" x14ac:dyDescent="0.35">
      <c r="A203" t="s">
        <v>935</v>
      </c>
      <c r="B203" t="s">
        <v>480</v>
      </c>
      <c r="C203" t="s">
        <v>2607</v>
      </c>
    </row>
    <row r="204" spans="1:3" x14ac:dyDescent="0.35">
      <c r="A204" t="s">
        <v>2440</v>
      </c>
      <c r="B204" t="s">
        <v>2441</v>
      </c>
      <c r="C204" t="s">
        <v>2442</v>
      </c>
    </row>
    <row r="205" spans="1:3" x14ac:dyDescent="0.35">
      <c r="A205" t="s">
        <v>433</v>
      </c>
      <c r="B205" t="s">
        <v>434</v>
      </c>
      <c r="C205" t="s">
        <v>435</v>
      </c>
    </row>
    <row r="206" spans="1:3" x14ac:dyDescent="0.35">
      <c r="A206" t="s">
        <v>827</v>
      </c>
      <c r="B206" t="s">
        <v>52</v>
      </c>
      <c r="C206" t="s">
        <v>828</v>
      </c>
    </row>
    <row r="207" spans="1:3" x14ac:dyDescent="0.35">
      <c r="A207" t="s">
        <v>1317</v>
      </c>
      <c r="B207" t="s">
        <v>1318</v>
      </c>
      <c r="C207" t="s">
        <v>1591</v>
      </c>
    </row>
    <row r="208" spans="1:3" x14ac:dyDescent="0.35">
      <c r="A208" t="s">
        <v>885</v>
      </c>
      <c r="B208" t="s">
        <v>136</v>
      </c>
      <c r="C208" t="s">
        <v>886</v>
      </c>
    </row>
    <row r="209" spans="1:3" x14ac:dyDescent="0.35">
      <c r="A209" t="s">
        <v>124</v>
      </c>
      <c r="B209" t="s">
        <v>125</v>
      </c>
      <c r="C209" t="s">
        <v>126</v>
      </c>
    </row>
    <row r="210" spans="1:3" x14ac:dyDescent="0.35">
      <c r="A210" t="s">
        <v>801</v>
      </c>
      <c r="B210" t="s">
        <v>200</v>
      </c>
      <c r="C210" t="s">
        <v>802</v>
      </c>
    </row>
    <row r="211" spans="1:3" x14ac:dyDescent="0.35">
      <c r="A211" t="s">
        <v>1161</v>
      </c>
      <c r="B211" t="s">
        <v>1162</v>
      </c>
      <c r="C211" t="s">
        <v>1163</v>
      </c>
    </row>
    <row r="212" spans="1:3" x14ac:dyDescent="0.35">
      <c r="A212" t="s">
        <v>1064</v>
      </c>
      <c r="B212" t="s">
        <v>139</v>
      </c>
      <c r="C212" t="s">
        <v>1608</v>
      </c>
    </row>
    <row r="213" spans="1:3" x14ac:dyDescent="0.35">
      <c r="A213" t="s">
        <v>268</v>
      </c>
      <c r="B213" t="s">
        <v>269</v>
      </c>
      <c r="C213" t="s">
        <v>270</v>
      </c>
    </row>
    <row r="214" spans="1:3" x14ac:dyDescent="0.35">
      <c r="A214" t="s">
        <v>1021</v>
      </c>
      <c r="B214" t="s">
        <v>1022</v>
      </c>
      <c r="C214" t="s">
        <v>1023</v>
      </c>
    </row>
    <row r="215" spans="1:3" x14ac:dyDescent="0.35">
      <c r="A215" t="s">
        <v>291</v>
      </c>
      <c r="B215" t="s">
        <v>11</v>
      </c>
      <c r="C215" t="s">
        <v>1580</v>
      </c>
    </row>
    <row r="216" spans="1:3" x14ac:dyDescent="0.35">
      <c r="A216" t="s">
        <v>2644</v>
      </c>
      <c r="B216" t="s">
        <v>1003</v>
      </c>
      <c r="C216" t="s">
        <v>2645</v>
      </c>
    </row>
    <row r="217" spans="1:3" x14ac:dyDescent="0.35">
      <c r="A217" t="s">
        <v>678</v>
      </c>
      <c r="B217" t="s">
        <v>136</v>
      </c>
      <c r="C217" t="s">
        <v>679</v>
      </c>
    </row>
    <row r="218" spans="1:3" x14ac:dyDescent="0.35">
      <c r="A218" t="s">
        <v>234</v>
      </c>
      <c r="B218" t="s">
        <v>235</v>
      </c>
      <c r="C218" t="s">
        <v>236</v>
      </c>
    </row>
    <row r="219" spans="1:3" x14ac:dyDescent="0.35">
      <c r="A219" t="s">
        <v>1293</v>
      </c>
      <c r="B219" t="s">
        <v>58</v>
      </c>
      <c r="C219" t="s">
        <v>1294</v>
      </c>
    </row>
    <row r="220" spans="1:3" x14ac:dyDescent="0.35">
      <c r="A220" t="s">
        <v>1222</v>
      </c>
      <c r="B220" t="s">
        <v>136</v>
      </c>
      <c r="C220" t="s">
        <v>1488</v>
      </c>
    </row>
    <row r="221" spans="1:3" x14ac:dyDescent="0.35">
      <c r="A221" t="s">
        <v>623</v>
      </c>
      <c r="B221" t="s">
        <v>65</v>
      </c>
      <c r="C221" t="s">
        <v>624</v>
      </c>
    </row>
    <row r="222" spans="1:3" x14ac:dyDescent="0.35">
      <c r="A222" t="s">
        <v>689</v>
      </c>
      <c r="B222" t="s">
        <v>61</v>
      </c>
      <c r="C222" t="s">
        <v>690</v>
      </c>
    </row>
    <row r="223" spans="1:3" x14ac:dyDescent="0.35">
      <c r="A223" t="s">
        <v>614</v>
      </c>
      <c r="B223" t="s">
        <v>136</v>
      </c>
      <c r="C223" t="s">
        <v>615</v>
      </c>
    </row>
    <row r="224" spans="1:3" x14ac:dyDescent="0.35">
      <c r="A224" t="s">
        <v>50</v>
      </c>
      <c r="B224" t="s">
        <v>25</v>
      </c>
      <c r="C224" t="s">
        <v>917</v>
      </c>
    </row>
    <row r="225" spans="1:3" x14ac:dyDescent="0.35">
      <c r="A225" t="s">
        <v>50</v>
      </c>
      <c r="B225" t="s">
        <v>64</v>
      </c>
      <c r="C225" t="s">
        <v>2577</v>
      </c>
    </row>
    <row r="226" spans="1:3" x14ac:dyDescent="0.35">
      <c r="A226" t="s">
        <v>1285</v>
      </c>
      <c r="B226" t="s">
        <v>1286</v>
      </c>
      <c r="C226" t="s">
        <v>1287</v>
      </c>
    </row>
    <row r="227" spans="1:3" x14ac:dyDescent="0.35">
      <c r="A227" t="s">
        <v>1131</v>
      </c>
      <c r="B227" t="s">
        <v>404</v>
      </c>
      <c r="C227" t="s">
        <v>1132</v>
      </c>
    </row>
    <row r="228" spans="1:3" x14ac:dyDescent="0.35">
      <c r="A228" t="s">
        <v>1252</v>
      </c>
      <c r="B228" t="s">
        <v>1253</v>
      </c>
      <c r="C228" t="s">
        <v>1709</v>
      </c>
    </row>
    <row r="229" spans="1:3" x14ac:dyDescent="0.35">
      <c r="A229" t="s">
        <v>1337</v>
      </c>
      <c r="B229" t="s">
        <v>1338</v>
      </c>
      <c r="C229" t="s">
        <v>1339</v>
      </c>
    </row>
    <row r="230" spans="1:3" x14ac:dyDescent="0.35">
      <c r="A230" t="s">
        <v>1520</v>
      </c>
      <c r="B230" t="s">
        <v>1521</v>
      </c>
      <c r="C230" t="s">
        <v>1530</v>
      </c>
    </row>
    <row r="231" spans="1:3" x14ac:dyDescent="0.35">
      <c r="A231" t="s">
        <v>1234</v>
      </c>
      <c r="B231" t="s">
        <v>890</v>
      </c>
      <c r="C231" t="s">
        <v>1409</v>
      </c>
    </row>
    <row r="232" spans="1:3" x14ac:dyDescent="0.35">
      <c r="A232" t="s">
        <v>111</v>
      </c>
      <c r="B232" t="s">
        <v>16</v>
      </c>
      <c r="C232" t="s">
        <v>112</v>
      </c>
    </row>
    <row r="233" spans="1:3" x14ac:dyDescent="0.35">
      <c r="A233" t="s">
        <v>103</v>
      </c>
      <c r="B233" t="s">
        <v>104</v>
      </c>
      <c r="C233" t="s">
        <v>386</v>
      </c>
    </row>
    <row r="234" spans="1:3" x14ac:dyDescent="0.35">
      <c r="A234" t="s">
        <v>1437</v>
      </c>
      <c r="B234" t="s">
        <v>44</v>
      </c>
      <c r="C234" t="s">
        <v>1624</v>
      </c>
    </row>
    <row r="235" spans="1:3" x14ac:dyDescent="0.35">
      <c r="A235" t="s">
        <v>1296</v>
      </c>
      <c r="B235" t="s">
        <v>190</v>
      </c>
      <c r="C235" t="s">
        <v>1297</v>
      </c>
    </row>
    <row r="236" spans="1:3" x14ac:dyDescent="0.35">
      <c r="A236" t="s">
        <v>1010</v>
      </c>
      <c r="B236" t="s">
        <v>1011</v>
      </c>
      <c r="C236" t="s">
        <v>1012</v>
      </c>
    </row>
    <row r="237" spans="1:3" x14ac:dyDescent="0.35">
      <c r="A237" t="s">
        <v>1177</v>
      </c>
      <c r="B237" t="s">
        <v>717</v>
      </c>
      <c r="C237" t="s">
        <v>1178</v>
      </c>
    </row>
    <row r="238" spans="1:3" x14ac:dyDescent="0.35">
      <c r="A238" t="s">
        <v>771</v>
      </c>
      <c r="B238" t="s">
        <v>267</v>
      </c>
      <c r="C238" t="s">
        <v>1647</v>
      </c>
    </row>
    <row r="239" spans="1:3" x14ac:dyDescent="0.35">
      <c r="A239" t="s">
        <v>1445</v>
      </c>
      <c r="B239" t="s">
        <v>1746</v>
      </c>
      <c r="C239" t="s">
        <v>2345</v>
      </c>
    </row>
    <row r="240" spans="1:3" x14ac:dyDescent="0.35">
      <c r="A240" t="s">
        <v>1445</v>
      </c>
      <c r="B240" t="s">
        <v>1011</v>
      </c>
      <c r="C240" t="s">
        <v>1468</v>
      </c>
    </row>
    <row r="241" spans="1:3" x14ac:dyDescent="0.35">
      <c r="A241" t="s">
        <v>260</v>
      </c>
      <c r="B241" t="s">
        <v>20</v>
      </c>
      <c r="C241" t="s">
        <v>261</v>
      </c>
    </row>
    <row r="242" spans="1:3" x14ac:dyDescent="0.35">
      <c r="A242" t="s">
        <v>437</v>
      </c>
      <c r="B242" t="s">
        <v>438</v>
      </c>
      <c r="C242" t="s">
        <v>1683</v>
      </c>
    </row>
    <row r="243" spans="1:3" x14ac:dyDescent="0.35">
      <c r="A243" t="s">
        <v>991</v>
      </c>
      <c r="B243" t="s">
        <v>64</v>
      </c>
      <c r="C243" t="s">
        <v>1629</v>
      </c>
    </row>
    <row r="244" spans="1:3" x14ac:dyDescent="0.35">
      <c r="A244" t="s">
        <v>981</v>
      </c>
      <c r="B244" t="s">
        <v>982</v>
      </c>
      <c r="C244" t="s">
        <v>983</v>
      </c>
    </row>
    <row r="245" spans="1:3" x14ac:dyDescent="0.35">
      <c r="A245" t="s">
        <v>55</v>
      </c>
      <c r="B245" t="s">
        <v>56</v>
      </c>
      <c r="C245" t="s">
        <v>262</v>
      </c>
    </row>
    <row r="246" spans="1:3" x14ac:dyDescent="0.35">
      <c r="A246" t="s">
        <v>710</v>
      </c>
      <c r="B246" t="s">
        <v>11</v>
      </c>
      <c r="C246" t="s">
        <v>1584</v>
      </c>
    </row>
    <row r="247" spans="1:3" x14ac:dyDescent="0.35">
      <c r="A247" t="s">
        <v>1458</v>
      </c>
      <c r="B247" t="s">
        <v>67</v>
      </c>
      <c r="C247" t="s">
        <v>1583</v>
      </c>
    </row>
    <row r="248" spans="1:3" x14ac:dyDescent="0.35">
      <c r="A248" t="s">
        <v>1384</v>
      </c>
      <c r="B248" t="s">
        <v>1385</v>
      </c>
      <c r="C248" t="s">
        <v>1386</v>
      </c>
    </row>
    <row r="249" spans="1:3" x14ac:dyDescent="0.35">
      <c r="A249" t="s">
        <v>807</v>
      </c>
      <c r="B249" t="s">
        <v>808</v>
      </c>
      <c r="C249" t="s">
        <v>1562</v>
      </c>
    </row>
    <row r="250" spans="1:3" x14ac:dyDescent="0.35">
      <c r="A250" t="s">
        <v>874</v>
      </c>
      <c r="B250" t="s">
        <v>136</v>
      </c>
      <c r="C250" t="s">
        <v>875</v>
      </c>
    </row>
    <row r="251" spans="1:3" x14ac:dyDescent="0.35">
      <c r="A251" t="s">
        <v>1206</v>
      </c>
      <c r="B251" t="s">
        <v>159</v>
      </c>
      <c r="C251" t="s">
        <v>1469</v>
      </c>
    </row>
    <row r="252" spans="1:3" x14ac:dyDescent="0.35">
      <c r="A252" t="s">
        <v>86</v>
      </c>
      <c r="B252" t="s">
        <v>87</v>
      </c>
      <c r="C252" t="s">
        <v>134</v>
      </c>
    </row>
    <row r="253" spans="1:3" x14ac:dyDescent="0.35">
      <c r="A253" t="s">
        <v>86</v>
      </c>
      <c r="B253" t="s">
        <v>271</v>
      </c>
      <c r="C253" t="s">
        <v>272</v>
      </c>
    </row>
    <row r="254" spans="1:3" x14ac:dyDescent="0.35">
      <c r="A254" t="s">
        <v>86</v>
      </c>
      <c r="B254" t="s">
        <v>510</v>
      </c>
      <c r="C254" t="s">
        <v>511</v>
      </c>
    </row>
    <row r="255" spans="1:3" x14ac:dyDescent="0.35">
      <c r="A255" t="s">
        <v>86</v>
      </c>
      <c r="B255" t="s">
        <v>393</v>
      </c>
      <c r="C255" t="s">
        <v>1524</v>
      </c>
    </row>
    <row r="256" spans="1:3" x14ac:dyDescent="0.35">
      <c r="A256" t="s">
        <v>545</v>
      </c>
      <c r="B256" t="s">
        <v>425</v>
      </c>
      <c r="C256" t="s">
        <v>1056</v>
      </c>
    </row>
    <row r="257" spans="1:3" x14ac:dyDescent="0.35">
      <c r="A257" t="s">
        <v>545</v>
      </c>
      <c r="B257" t="s">
        <v>159</v>
      </c>
      <c r="C257" t="s">
        <v>546</v>
      </c>
    </row>
    <row r="258" spans="1:3" x14ac:dyDescent="0.35">
      <c r="A258" t="s">
        <v>398</v>
      </c>
      <c r="B258" t="s">
        <v>399</v>
      </c>
      <c r="C258" t="s">
        <v>1529</v>
      </c>
    </row>
    <row r="259" spans="1:3" x14ac:dyDescent="0.35">
      <c r="A259" t="s">
        <v>648</v>
      </c>
      <c r="B259" t="s">
        <v>528</v>
      </c>
      <c r="C259" t="s">
        <v>1609</v>
      </c>
    </row>
    <row r="260" spans="1:3" x14ac:dyDescent="0.35">
      <c r="A260" t="s">
        <v>648</v>
      </c>
      <c r="B260" t="s">
        <v>649</v>
      </c>
      <c r="C260" t="s">
        <v>650</v>
      </c>
    </row>
    <row r="261" spans="1:3" x14ac:dyDescent="0.35">
      <c r="A261" t="s">
        <v>214</v>
      </c>
      <c r="B261" t="s">
        <v>215</v>
      </c>
      <c r="C261" t="s">
        <v>1543</v>
      </c>
    </row>
    <row r="262" spans="1:3" x14ac:dyDescent="0.35">
      <c r="A262" t="s">
        <v>320</v>
      </c>
      <c r="B262" t="s">
        <v>321</v>
      </c>
      <c r="C262" t="s">
        <v>322</v>
      </c>
    </row>
    <row r="263" spans="1:3" x14ac:dyDescent="0.35">
      <c r="A263" t="s">
        <v>357</v>
      </c>
      <c r="B263" t="s">
        <v>463</v>
      </c>
      <c r="C263" t="s">
        <v>464</v>
      </c>
    </row>
    <row r="264" spans="1:3" x14ac:dyDescent="0.35">
      <c r="A264" t="s">
        <v>237</v>
      </c>
      <c r="B264" t="s">
        <v>13</v>
      </c>
      <c r="C264" t="s">
        <v>809</v>
      </c>
    </row>
    <row r="265" spans="1:3" x14ac:dyDescent="0.35">
      <c r="A265" t="s">
        <v>600</v>
      </c>
      <c r="B265" t="s">
        <v>142</v>
      </c>
      <c r="C265" t="s">
        <v>1552</v>
      </c>
    </row>
    <row r="266" spans="1:3" x14ac:dyDescent="0.35">
      <c r="A266" t="s">
        <v>578</v>
      </c>
      <c r="B266" t="s">
        <v>480</v>
      </c>
      <c r="C266" t="s">
        <v>579</v>
      </c>
    </row>
    <row r="267" spans="1:3" x14ac:dyDescent="0.35">
      <c r="A267" t="s">
        <v>625</v>
      </c>
      <c r="B267" t="s">
        <v>16</v>
      </c>
      <c r="C267" t="s">
        <v>626</v>
      </c>
    </row>
    <row r="268" spans="1:3" x14ac:dyDescent="0.35">
      <c r="A268" t="s">
        <v>625</v>
      </c>
      <c r="B268" t="s">
        <v>662</v>
      </c>
      <c r="C268" t="s">
        <v>663</v>
      </c>
    </row>
    <row r="269" spans="1:3" x14ac:dyDescent="0.35">
      <c r="A269" t="s">
        <v>366</v>
      </c>
      <c r="B269" t="s">
        <v>61</v>
      </c>
      <c r="C269" t="s">
        <v>367</v>
      </c>
    </row>
    <row r="270" spans="1:3" x14ac:dyDescent="0.35">
      <c r="A270" t="s">
        <v>366</v>
      </c>
      <c r="B270" t="s">
        <v>991</v>
      </c>
      <c r="C270" t="s">
        <v>992</v>
      </c>
    </row>
    <row r="271" spans="1:3" x14ac:dyDescent="0.35">
      <c r="A271" t="s">
        <v>1248</v>
      </c>
      <c r="B271" t="s">
        <v>864</v>
      </c>
      <c r="C271" t="s">
        <v>1249</v>
      </c>
    </row>
    <row r="272" spans="1:3" x14ac:dyDescent="0.35">
      <c r="A272" t="s">
        <v>2370</v>
      </c>
      <c r="B272" t="s">
        <v>139</v>
      </c>
      <c r="C272" t="s">
        <v>2371</v>
      </c>
    </row>
    <row r="273" spans="1:3" x14ac:dyDescent="0.35">
      <c r="A273" t="s">
        <v>1186</v>
      </c>
      <c r="B273" t="s">
        <v>1187</v>
      </c>
      <c r="C273" t="s">
        <v>1188</v>
      </c>
    </row>
    <row r="274" spans="1:3" x14ac:dyDescent="0.35">
      <c r="A274" t="s">
        <v>37</v>
      </c>
      <c r="B274" t="s">
        <v>38</v>
      </c>
      <c r="C274" t="s">
        <v>1537</v>
      </c>
    </row>
    <row r="275" spans="1:3" x14ac:dyDescent="0.35">
      <c r="A275" t="s">
        <v>204</v>
      </c>
      <c r="B275" t="s">
        <v>205</v>
      </c>
      <c r="C275" t="s">
        <v>1526</v>
      </c>
    </row>
    <row r="276" spans="1:3" x14ac:dyDescent="0.35">
      <c r="A276" t="s">
        <v>836</v>
      </c>
      <c r="B276" t="s">
        <v>136</v>
      </c>
      <c r="C276" t="s">
        <v>837</v>
      </c>
    </row>
    <row r="277" spans="1:3" x14ac:dyDescent="0.35">
      <c r="A277" t="s">
        <v>299</v>
      </c>
      <c r="B277" t="s">
        <v>300</v>
      </c>
      <c r="C277" t="s">
        <v>301</v>
      </c>
    </row>
    <row r="278" spans="1:3" x14ac:dyDescent="0.35">
      <c r="A278" t="s">
        <v>1083</v>
      </c>
      <c r="B278" t="s">
        <v>927</v>
      </c>
      <c r="C278" t="s">
        <v>1084</v>
      </c>
    </row>
    <row r="279" spans="1:3" x14ac:dyDescent="0.35">
      <c r="A279" t="s">
        <v>533</v>
      </c>
      <c r="B279" t="s">
        <v>534</v>
      </c>
      <c r="C279" t="s">
        <v>535</v>
      </c>
    </row>
    <row r="280" spans="1:3" x14ac:dyDescent="0.35">
      <c r="A280" t="s">
        <v>158</v>
      </c>
      <c r="B280" t="s">
        <v>159</v>
      </c>
      <c r="C280" t="s">
        <v>160</v>
      </c>
    </row>
    <row r="281" spans="1:3" x14ac:dyDescent="0.35">
      <c r="A281" t="s">
        <v>158</v>
      </c>
      <c r="B281" t="s">
        <v>451</v>
      </c>
      <c r="C281" t="s">
        <v>1704</v>
      </c>
    </row>
    <row r="282" spans="1:3" x14ac:dyDescent="0.35">
      <c r="A282" t="s">
        <v>1389</v>
      </c>
      <c r="B282" t="s">
        <v>1390</v>
      </c>
      <c r="C282" t="s">
        <v>1391</v>
      </c>
    </row>
    <row r="283" spans="1:3" x14ac:dyDescent="0.35">
      <c r="A283" t="s">
        <v>549</v>
      </c>
      <c r="B283" t="s">
        <v>44</v>
      </c>
      <c r="C283" t="s">
        <v>632</v>
      </c>
    </row>
    <row r="284" spans="1:3" x14ac:dyDescent="0.35">
      <c r="A284" t="s">
        <v>550</v>
      </c>
      <c r="B284" t="s">
        <v>44</v>
      </c>
      <c r="C284" t="s">
        <v>1493</v>
      </c>
    </row>
    <row r="285" spans="1:3" x14ac:dyDescent="0.35">
      <c r="A285" t="s">
        <v>739</v>
      </c>
      <c r="B285" t="s">
        <v>740</v>
      </c>
      <c r="C285" t="s">
        <v>741</v>
      </c>
    </row>
    <row r="286" spans="1:3" x14ac:dyDescent="0.35">
      <c r="A286" t="s">
        <v>1090</v>
      </c>
      <c r="B286" t="s">
        <v>13</v>
      </c>
      <c r="C286" t="s">
        <v>1091</v>
      </c>
    </row>
    <row r="287" spans="1:3" x14ac:dyDescent="0.35">
      <c r="A287" t="s">
        <v>1115</v>
      </c>
      <c r="B287" t="s">
        <v>1116</v>
      </c>
      <c r="C287" t="s">
        <v>1117</v>
      </c>
    </row>
    <row r="288" spans="1:3" x14ac:dyDescent="0.35">
      <c r="A288" t="s">
        <v>428</v>
      </c>
      <c r="B288" t="s">
        <v>429</v>
      </c>
      <c r="C288" t="s">
        <v>430</v>
      </c>
    </row>
    <row r="289" spans="1:3" x14ac:dyDescent="0.35">
      <c r="A289" t="s">
        <v>428</v>
      </c>
      <c r="B289" t="s">
        <v>729</v>
      </c>
      <c r="C289" t="s">
        <v>730</v>
      </c>
    </row>
    <row r="290" spans="1:3" x14ac:dyDescent="0.35">
      <c r="A290" t="s">
        <v>439</v>
      </c>
      <c r="B290" t="s">
        <v>136</v>
      </c>
      <c r="C290" t="s">
        <v>440</v>
      </c>
    </row>
    <row r="291" spans="1:3" x14ac:dyDescent="0.35">
      <c r="A291" t="s">
        <v>2367</v>
      </c>
      <c r="B291" t="s">
        <v>232</v>
      </c>
      <c r="C291" t="s">
        <v>2381</v>
      </c>
    </row>
    <row r="292" spans="1:3" x14ac:dyDescent="0.35">
      <c r="A292" t="s">
        <v>490</v>
      </c>
      <c r="B292" t="s">
        <v>480</v>
      </c>
      <c r="C292" t="s">
        <v>1557</v>
      </c>
    </row>
    <row r="293" spans="1:3" x14ac:dyDescent="0.35">
      <c r="A293" t="s">
        <v>490</v>
      </c>
      <c r="B293" t="s">
        <v>2308</v>
      </c>
      <c r="C293" t="s">
        <v>2309</v>
      </c>
    </row>
    <row r="294" spans="1:3" x14ac:dyDescent="0.35">
      <c r="A294" t="s">
        <v>1026</v>
      </c>
      <c r="B294" t="s">
        <v>187</v>
      </c>
      <c r="C294" t="s">
        <v>1027</v>
      </c>
    </row>
    <row r="295" spans="1:3" x14ac:dyDescent="0.35">
      <c r="A295" t="s">
        <v>1333</v>
      </c>
      <c r="B295" t="s">
        <v>480</v>
      </c>
      <c r="C295" t="s">
        <v>1334</v>
      </c>
    </row>
    <row r="296" spans="1:3" x14ac:dyDescent="0.35">
      <c r="A296" t="s">
        <v>871</v>
      </c>
      <c r="B296" t="s">
        <v>872</v>
      </c>
      <c r="C296" t="s">
        <v>873</v>
      </c>
    </row>
    <row r="297" spans="1:3" x14ac:dyDescent="0.35">
      <c r="A297" t="s">
        <v>903</v>
      </c>
      <c r="B297" t="s">
        <v>71</v>
      </c>
      <c r="C297" t="s">
        <v>904</v>
      </c>
    </row>
    <row r="298" spans="1:3" x14ac:dyDescent="0.35">
      <c r="A298" t="s">
        <v>960</v>
      </c>
      <c r="B298" t="s">
        <v>136</v>
      </c>
      <c r="C298" t="s">
        <v>961</v>
      </c>
    </row>
    <row r="299" spans="1:3" x14ac:dyDescent="0.35">
      <c r="A299" t="s">
        <v>1164</v>
      </c>
      <c r="B299" t="s">
        <v>139</v>
      </c>
      <c r="C299" t="s">
        <v>1165</v>
      </c>
    </row>
    <row r="300" spans="1:3" x14ac:dyDescent="0.35">
      <c r="A300" t="s">
        <v>2432</v>
      </c>
      <c r="B300" t="s">
        <v>139</v>
      </c>
      <c r="C300" s="10" t="s">
        <v>2433</v>
      </c>
    </row>
    <row r="301" spans="1:3" x14ac:dyDescent="0.35">
      <c r="A301" t="s">
        <v>2622</v>
      </c>
      <c r="B301" t="s">
        <v>2623</v>
      </c>
      <c r="C301" t="s">
        <v>2624</v>
      </c>
    </row>
    <row r="302" spans="1:3" x14ac:dyDescent="0.35">
      <c r="A302" t="s">
        <v>1035</v>
      </c>
      <c r="B302" t="s">
        <v>142</v>
      </c>
      <c r="C302" t="s">
        <v>1036</v>
      </c>
    </row>
    <row r="303" spans="1:3" x14ac:dyDescent="0.35">
      <c r="A303" t="s">
        <v>1513</v>
      </c>
      <c r="B303" t="s">
        <v>1514</v>
      </c>
      <c r="C303" t="s">
        <v>1571</v>
      </c>
    </row>
    <row r="304" spans="1:3" x14ac:dyDescent="0.35">
      <c r="A304" t="s">
        <v>2543</v>
      </c>
      <c r="B304" t="s">
        <v>1141</v>
      </c>
      <c r="C304" t="s">
        <v>2544</v>
      </c>
    </row>
    <row r="305" spans="1:3" x14ac:dyDescent="0.35">
      <c r="A305" t="s">
        <v>1425</v>
      </c>
      <c r="B305" t="s">
        <v>388</v>
      </c>
      <c r="C305" t="s">
        <v>1426</v>
      </c>
    </row>
    <row r="306" spans="1:3" x14ac:dyDescent="0.35">
      <c r="A306" t="s">
        <v>83</v>
      </c>
      <c r="B306" t="s">
        <v>36</v>
      </c>
      <c r="C306" t="s">
        <v>400</v>
      </c>
    </row>
    <row r="307" spans="1:3" x14ac:dyDescent="0.35">
      <c r="A307" t="s">
        <v>94</v>
      </c>
      <c r="B307" t="s">
        <v>16</v>
      </c>
      <c r="C307" t="s">
        <v>1065</v>
      </c>
    </row>
    <row r="308" spans="1:3" x14ac:dyDescent="0.35">
      <c r="A308" t="s">
        <v>554</v>
      </c>
      <c r="B308" t="s">
        <v>846</v>
      </c>
      <c r="C308" t="s">
        <v>988</v>
      </c>
    </row>
    <row r="309" spans="1:3" x14ac:dyDescent="0.35">
      <c r="A309" t="s">
        <v>2305</v>
      </c>
      <c r="B309" t="s">
        <v>2306</v>
      </c>
      <c r="C309" t="s">
        <v>2307</v>
      </c>
    </row>
    <row r="310" spans="1:3" x14ac:dyDescent="0.35">
      <c r="A310" t="s">
        <v>2336</v>
      </c>
      <c r="B310" t="s">
        <v>2337</v>
      </c>
      <c r="C310" t="s">
        <v>2340</v>
      </c>
    </row>
    <row r="311" spans="1:3" x14ac:dyDescent="0.35">
      <c r="A311" t="s">
        <v>574</v>
      </c>
      <c r="B311" t="s">
        <v>388</v>
      </c>
      <c r="C311" t="s">
        <v>575</v>
      </c>
    </row>
    <row r="312" spans="1:3" x14ac:dyDescent="0.35">
      <c r="A312" t="s">
        <v>574</v>
      </c>
      <c r="B312" t="s">
        <v>2519</v>
      </c>
      <c r="C312" t="s">
        <v>2520</v>
      </c>
    </row>
    <row r="313" spans="1:3" x14ac:dyDescent="0.35">
      <c r="A313" t="s">
        <v>646</v>
      </c>
      <c r="B313" t="s">
        <v>451</v>
      </c>
      <c r="C313" t="s">
        <v>647</v>
      </c>
    </row>
    <row r="314" spans="1:3" x14ac:dyDescent="0.35">
      <c r="A314" t="s">
        <v>543</v>
      </c>
      <c r="B314" t="s">
        <v>67</v>
      </c>
      <c r="C314" t="s">
        <v>544</v>
      </c>
    </row>
    <row r="315" spans="1:3" x14ac:dyDescent="0.35">
      <c r="A315" t="s">
        <v>1230</v>
      </c>
      <c r="B315" t="s">
        <v>71</v>
      </c>
      <c r="C315" t="s">
        <v>1643</v>
      </c>
    </row>
    <row r="316" spans="1:3" x14ac:dyDescent="0.35">
      <c r="A316" t="s">
        <v>1509</v>
      </c>
      <c r="B316" t="s">
        <v>1510</v>
      </c>
      <c r="C316" t="s">
        <v>1600</v>
      </c>
    </row>
    <row r="317" spans="1:3" x14ac:dyDescent="0.35">
      <c r="A317" t="s">
        <v>441</v>
      </c>
      <c r="B317" t="s">
        <v>58</v>
      </c>
      <c r="C317" t="s">
        <v>1635</v>
      </c>
    </row>
    <row r="318" spans="1:3" x14ac:dyDescent="0.35">
      <c r="A318" t="s">
        <v>933</v>
      </c>
      <c r="B318" t="s">
        <v>119</v>
      </c>
      <c r="C318" t="s">
        <v>934</v>
      </c>
    </row>
    <row r="319" spans="1:3" x14ac:dyDescent="0.35">
      <c r="A319" t="s">
        <v>929</v>
      </c>
      <c r="B319" t="s">
        <v>117</v>
      </c>
      <c r="C319" t="s">
        <v>930</v>
      </c>
    </row>
    <row r="320" spans="1:3" x14ac:dyDescent="0.35">
      <c r="A320" t="s">
        <v>2324</v>
      </c>
      <c r="B320" t="s">
        <v>2325</v>
      </c>
      <c r="C320" t="s">
        <v>2328</v>
      </c>
    </row>
    <row r="321" spans="1:3" x14ac:dyDescent="0.35">
      <c r="A321" t="s">
        <v>2323</v>
      </c>
      <c r="B321" t="s">
        <v>2383</v>
      </c>
      <c r="C321" t="s">
        <v>2384</v>
      </c>
    </row>
    <row r="322" spans="1:3" x14ac:dyDescent="0.35">
      <c r="A322" t="s">
        <v>2502</v>
      </c>
      <c r="B322" t="s">
        <v>1516</v>
      </c>
      <c r="C322" t="s">
        <v>2503</v>
      </c>
    </row>
    <row r="323" spans="1:3" x14ac:dyDescent="0.35">
      <c r="A323" t="s">
        <v>2451</v>
      </c>
      <c r="B323" t="s">
        <v>2452</v>
      </c>
      <c r="C323" t="s">
        <v>2492</v>
      </c>
    </row>
    <row r="324" spans="1:3" x14ac:dyDescent="0.35">
      <c r="A324" t="s">
        <v>1191</v>
      </c>
      <c r="B324" t="s">
        <v>11</v>
      </c>
      <c r="C324" t="s">
        <v>1687</v>
      </c>
    </row>
    <row r="325" spans="1:3" x14ac:dyDescent="0.35">
      <c r="A325" t="s">
        <v>355</v>
      </c>
      <c r="B325" t="s">
        <v>356</v>
      </c>
      <c r="C325" t="s">
        <v>1697</v>
      </c>
    </row>
    <row r="326" spans="1:3" x14ac:dyDescent="0.35">
      <c r="A326" t="s">
        <v>2583</v>
      </c>
      <c r="B326" t="s">
        <v>2584</v>
      </c>
      <c r="C326" t="s">
        <v>2585</v>
      </c>
    </row>
    <row r="327" spans="1:3" x14ac:dyDescent="0.35">
      <c r="A327" t="s">
        <v>789</v>
      </c>
      <c r="B327" t="s">
        <v>77</v>
      </c>
      <c r="C327" t="s">
        <v>790</v>
      </c>
    </row>
    <row r="328" spans="1:3" x14ac:dyDescent="0.35">
      <c r="A328" t="s">
        <v>33</v>
      </c>
      <c r="B328" t="s">
        <v>34</v>
      </c>
      <c r="C328" t="s">
        <v>120</v>
      </c>
    </row>
    <row r="329" spans="1:3" x14ac:dyDescent="0.35">
      <c r="A329" t="s">
        <v>616</v>
      </c>
      <c r="B329" t="s">
        <v>131</v>
      </c>
      <c r="C329" t="s">
        <v>617</v>
      </c>
    </row>
    <row r="330" spans="1:3" x14ac:dyDescent="0.35">
      <c r="A330" t="s">
        <v>406</v>
      </c>
      <c r="B330" t="s">
        <v>808</v>
      </c>
      <c r="C330" t="s">
        <v>1490</v>
      </c>
    </row>
    <row r="331" spans="1:3" x14ac:dyDescent="0.35">
      <c r="A331" t="s">
        <v>1118</v>
      </c>
      <c r="B331" t="s">
        <v>1119</v>
      </c>
      <c r="C331" t="s">
        <v>1120</v>
      </c>
    </row>
    <row r="332" spans="1:3" x14ac:dyDescent="0.35">
      <c r="A332" t="s">
        <v>1069</v>
      </c>
      <c r="B332" t="s">
        <v>16</v>
      </c>
      <c r="C332" t="s">
        <v>1070</v>
      </c>
    </row>
    <row r="333" spans="1:3" x14ac:dyDescent="0.35">
      <c r="A333" t="s">
        <v>1843</v>
      </c>
      <c r="B333" t="s">
        <v>282</v>
      </c>
      <c r="C333" t="s">
        <v>2494</v>
      </c>
    </row>
    <row r="334" spans="1:3" x14ac:dyDescent="0.35">
      <c r="A334" t="s">
        <v>265</v>
      </c>
      <c r="B334" t="s">
        <v>139</v>
      </c>
      <c r="C334" t="s">
        <v>587</v>
      </c>
    </row>
    <row r="335" spans="1:3" x14ac:dyDescent="0.35">
      <c r="A335" t="s">
        <v>265</v>
      </c>
      <c r="B335" t="s">
        <v>122</v>
      </c>
      <c r="C335" t="s">
        <v>1550</v>
      </c>
    </row>
    <row r="336" spans="1:3" x14ac:dyDescent="0.35">
      <c r="A336" t="s">
        <v>23</v>
      </c>
      <c r="B336" t="s">
        <v>13</v>
      </c>
      <c r="C336" t="s">
        <v>1501</v>
      </c>
    </row>
    <row r="337" spans="1:3" x14ac:dyDescent="0.35">
      <c r="A337" t="s">
        <v>387</v>
      </c>
      <c r="B337" t="s">
        <v>521</v>
      </c>
      <c r="C337" t="s">
        <v>522</v>
      </c>
    </row>
    <row r="338" spans="1:3" x14ac:dyDescent="0.35">
      <c r="A338" t="s">
        <v>1170</v>
      </c>
      <c r="B338" t="s">
        <v>1171</v>
      </c>
      <c r="C338" t="s">
        <v>1558</v>
      </c>
    </row>
    <row r="339" spans="1:3" x14ac:dyDescent="0.35">
      <c r="A339" t="s">
        <v>976</v>
      </c>
      <c r="B339" t="s">
        <v>218</v>
      </c>
      <c r="C339" t="s">
        <v>977</v>
      </c>
    </row>
    <row r="340" spans="1:3" x14ac:dyDescent="0.35">
      <c r="A340" t="s">
        <v>664</v>
      </c>
      <c r="B340" t="s">
        <v>665</v>
      </c>
      <c r="C340" t="s">
        <v>666</v>
      </c>
    </row>
    <row r="341" spans="1:3" x14ac:dyDescent="0.35">
      <c r="A341" t="s">
        <v>127</v>
      </c>
      <c r="B341" t="s">
        <v>128</v>
      </c>
      <c r="C341" t="s">
        <v>129</v>
      </c>
    </row>
    <row r="342" spans="1:3" x14ac:dyDescent="0.35">
      <c r="A342" t="s">
        <v>2610</v>
      </c>
      <c r="B342" t="s">
        <v>2611</v>
      </c>
      <c r="C342" t="s">
        <v>2612</v>
      </c>
    </row>
    <row r="343" spans="1:3" x14ac:dyDescent="0.35">
      <c r="A343" t="s">
        <v>72</v>
      </c>
      <c r="B343" t="s">
        <v>73</v>
      </c>
      <c r="C343" t="s">
        <v>292</v>
      </c>
    </row>
    <row r="344" spans="1:3" x14ac:dyDescent="0.35">
      <c r="A344" t="s">
        <v>72</v>
      </c>
      <c r="B344" t="s">
        <v>717</v>
      </c>
      <c r="C344" t="s">
        <v>2552</v>
      </c>
    </row>
    <row r="345" spans="1:3" x14ac:dyDescent="0.35">
      <c r="A345" t="s">
        <v>512</v>
      </c>
      <c r="B345" t="s">
        <v>67</v>
      </c>
      <c r="C345" t="s">
        <v>513</v>
      </c>
    </row>
    <row r="346" spans="1:3" x14ac:dyDescent="0.35">
      <c r="A346" t="s">
        <v>141</v>
      </c>
      <c r="B346" t="s">
        <v>142</v>
      </c>
      <c r="C346" t="s">
        <v>143</v>
      </c>
    </row>
    <row r="347" spans="1:3" x14ac:dyDescent="0.35">
      <c r="A347" t="s">
        <v>517</v>
      </c>
      <c r="B347" t="s">
        <v>413</v>
      </c>
      <c r="C347" t="s">
        <v>1581</v>
      </c>
    </row>
    <row r="348" spans="1:3" x14ac:dyDescent="0.35">
      <c r="A348" t="s">
        <v>517</v>
      </c>
      <c r="B348" t="s">
        <v>2383</v>
      </c>
      <c r="C348" s="11" t="s">
        <v>2486</v>
      </c>
    </row>
    <row r="349" spans="1:3" x14ac:dyDescent="0.35">
      <c r="A349" t="s">
        <v>407</v>
      </c>
      <c r="B349" t="s">
        <v>406</v>
      </c>
      <c r="C349" t="s">
        <v>500</v>
      </c>
    </row>
    <row r="350" spans="1:3" x14ac:dyDescent="0.35">
      <c r="A350" t="s">
        <v>420</v>
      </c>
      <c r="B350" t="s">
        <v>1361</v>
      </c>
      <c r="C350" t="s">
        <v>1362</v>
      </c>
    </row>
    <row r="351" spans="1:3" x14ac:dyDescent="0.35">
      <c r="A351" t="s">
        <v>420</v>
      </c>
      <c r="B351" t="s">
        <v>1022</v>
      </c>
      <c r="C351" t="s">
        <v>1631</v>
      </c>
    </row>
    <row r="352" spans="1:3" x14ac:dyDescent="0.35">
      <c r="A352" t="s">
        <v>420</v>
      </c>
      <c r="B352" t="s">
        <v>153</v>
      </c>
      <c r="C352" t="s">
        <v>1620</v>
      </c>
    </row>
    <row r="353" spans="1:3" x14ac:dyDescent="0.35">
      <c r="A353" t="s">
        <v>420</v>
      </c>
      <c r="B353" t="s">
        <v>218</v>
      </c>
      <c r="C353" t="s">
        <v>1492</v>
      </c>
    </row>
    <row r="354" spans="1:3" x14ac:dyDescent="0.35">
      <c r="A354" t="s">
        <v>1006</v>
      </c>
      <c r="B354" t="s">
        <v>131</v>
      </c>
      <c r="C354" t="s">
        <v>1007</v>
      </c>
    </row>
    <row r="355" spans="1:3" x14ac:dyDescent="0.35">
      <c r="A355" t="s">
        <v>2635</v>
      </c>
      <c r="B355" t="s">
        <v>463</v>
      </c>
      <c r="C355" t="s">
        <v>2636</v>
      </c>
    </row>
    <row r="356" spans="1:3" x14ac:dyDescent="0.35">
      <c r="A356" t="s">
        <v>2635</v>
      </c>
      <c r="B356" t="s">
        <v>955</v>
      </c>
      <c r="C356" t="s">
        <v>2637</v>
      </c>
    </row>
    <row r="357" spans="1:3" x14ac:dyDescent="0.35">
      <c r="A357" t="s">
        <v>1320</v>
      </c>
      <c r="B357" t="s">
        <v>58</v>
      </c>
      <c r="C357" t="s">
        <v>1321</v>
      </c>
    </row>
    <row r="358" spans="1:3" x14ac:dyDescent="0.35">
      <c r="A358" t="s">
        <v>2571</v>
      </c>
      <c r="B358" t="s">
        <v>2489</v>
      </c>
      <c r="C358" t="s">
        <v>2572</v>
      </c>
    </row>
    <row r="359" spans="1:3" x14ac:dyDescent="0.35">
      <c r="A359" t="s">
        <v>384</v>
      </c>
      <c r="B359" t="s">
        <v>425</v>
      </c>
      <c r="C359" t="s">
        <v>1502</v>
      </c>
    </row>
    <row r="360" spans="1:3" x14ac:dyDescent="0.35">
      <c r="A360" t="s">
        <v>2664</v>
      </c>
      <c r="B360" t="s">
        <v>314</v>
      </c>
      <c r="C360" t="s">
        <v>2676</v>
      </c>
    </row>
    <row r="361" spans="1:3" x14ac:dyDescent="0.35">
      <c r="A361" t="s">
        <v>713</v>
      </c>
      <c r="B361" t="s">
        <v>28</v>
      </c>
      <c r="C361" t="s">
        <v>1540</v>
      </c>
    </row>
    <row r="362" spans="1:3" x14ac:dyDescent="0.35">
      <c r="A362" t="s">
        <v>1208</v>
      </c>
      <c r="B362" t="s">
        <v>353</v>
      </c>
      <c r="C362" t="s">
        <v>1665</v>
      </c>
    </row>
    <row r="363" spans="1:3" x14ac:dyDescent="0.35">
      <c r="A363" t="s">
        <v>2283</v>
      </c>
      <c r="B363" t="s">
        <v>2284</v>
      </c>
      <c r="C363" t="s">
        <v>2292</v>
      </c>
    </row>
    <row r="364" spans="1:3" x14ac:dyDescent="0.35">
      <c r="A364" t="s">
        <v>1202</v>
      </c>
      <c r="B364" t="s">
        <v>65</v>
      </c>
      <c r="C364" t="s">
        <v>1273</v>
      </c>
    </row>
    <row r="365" spans="1:3" x14ac:dyDescent="0.35">
      <c r="A365" t="s">
        <v>880</v>
      </c>
      <c r="B365" t="s">
        <v>687</v>
      </c>
      <c r="C365" t="s">
        <v>881</v>
      </c>
    </row>
    <row r="366" spans="1:3" x14ac:dyDescent="0.35">
      <c r="A366" t="s">
        <v>880</v>
      </c>
      <c r="B366" t="s">
        <v>252</v>
      </c>
      <c r="C366" t="s">
        <v>2547</v>
      </c>
    </row>
    <row r="367" spans="1:3" x14ac:dyDescent="0.35">
      <c r="A367" t="s">
        <v>461</v>
      </c>
      <c r="B367" t="s">
        <v>665</v>
      </c>
      <c r="C367" t="s">
        <v>718</v>
      </c>
    </row>
    <row r="368" spans="1:3" x14ac:dyDescent="0.35">
      <c r="A368" t="s">
        <v>461</v>
      </c>
      <c r="B368" t="s">
        <v>128</v>
      </c>
      <c r="C368" t="s">
        <v>462</v>
      </c>
    </row>
    <row r="369" spans="1:3" x14ac:dyDescent="0.35">
      <c r="A369" t="s">
        <v>461</v>
      </c>
      <c r="B369" t="s">
        <v>1448</v>
      </c>
      <c r="C369" t="s">
        <v>1471</v>
      </c>
    </row>
    <row r="370" spans="1:3" x14ac:dyDescent="0.35">
      <c r="A370" t="s">
        <v>461</v>
      </c>
      <c r="B370" t="s">
        <v>2548</v>
      </c>
      <c r="C370" t="s">
        <v>2549</v>
      </c>
    </row>
    <row r="371" spans="1:3" x14ac:dyDescent="0.35">
      <c r="A371" t="s">
        <v>908</v>
      </c>
      <c r="B371" t="s">
        <v>11</v>
      </c>
      <c r="C371" t="s">
        <v>909</v>
      </c>
    </row>
    <row r="372" spans="1:3" x14ac:dyDescent="0.35">
      <c r="A372" t="s">
        <v>470</v>
      </c>
      <c r="B372" t="s">
        <v>471</v>
      </c>
      <c r="C372" t="s">
        <v>1673</v>
      </c>
    </row>
    <row r="373" spans="1:3" x14ac:dyDescent="0.35">
      <c r="A373" t="s">
        <v>1111</v>
      </c>
      <c r="B373" t="s">
        <v>1112</v>
      </c>
      <c r="C373" t="s">
        <v>1113</v>
      </c>
    </row>
    <row r="374" spans="1:3" x14ac:dyDescent="0.35">
      <c r="A374" t="s">
        <v>1236</v>
      </c>
      <c r="B374" t="s">
        <v>159</v>
      </c>
      <c r="C374" t="s">
        <v>1470</v>
      </c>
    </row>
    <row r="375" spans="1:3" x14ac:dyDescent="0.35">
      <c r="A375" t="s">
        <v>968</v>
      </c>
      <c r="B375" t="s">
        <v>701</v>
      </c>
      <c r="C375" t="s">
        <v>969</v>
      </c>
    </row>
    <row r="376" spans="1:3" x14ac:dyDescent="0.35">
      <c r="A376" t="s">
        <v>46</v>
      </c>
      <c r="B376" t="s">
        <v>47</v>
      </c>
      <c r="C376" t="s">
        <v>349</v>
      </c>
    </row>
    <row r="377" spans="1:3" x14ac:dyDescent="0.35">
      <c r="A377" t="s">
        <v>811</v>
      </c>
      <c r="B377" t="s">
        <v>812</v>
      </c>
      <c r="C377" t="s">
        <v>1590</v>
      </c>
    </row>
    <row r="378" spans="1:3" x14ac:dyDescent="0.35">
      <c r="A378" t="s">
        <v>396</v>
      </c>
      <c r="B378" t="s">
        <v>397</v>
      </c>
      <c r="C378" t="s">
        <v>1593</v>
      </c>
    </row>
    <row r="379" spans="1:3" x14ac:dyDescent="0.35">
      <c r="A379" t="s">
        <v>2646</v>
      </c>
      <c r="B379" t="s">
        <v>826</v>
      </c>
      <c r="C379" t="s">
        <v>2647</v>
      </c>
    </row>
    <row r="380" spans="1:3" x14ac:dyDescent="0.35">
      <c r="A380" t="s">
        <v>953</v>
      </c>
      <c r="B380" t="s">
        <v>406</v>
      </c>
      <c r="C380" t="s">
        <v>1642</v>
      </c>
    </row>
    <row r="381" spans="1:3" x14ac:dyDescent="0.35">
      <c r="A381" t="s">
        <v>793</v>
      </c>
      <c r="B381" t="s">
        <v>448</v>
      </c>
      <c r="C381" t="s">
        <v>794</v>
      </c>
    </row>
    <row r="382" spans="1:3" x14ac:dyDescent="0.35">
      <c r="A382" t="s">
        <v>448</v>
      </c>
      <c r="B382" t="s">
        <v>421</v>
      </c>
      <c r="C382" t="s">
        <v>1623</v>
      </c>
    </row>
    <row r="383" spans="1:3" x14ac:dyDescent="0.35">
      <c r="A383" t="s">
        <v>332</v>
      </c>
      <c r="B383" t="s">
        <v>451</v>
      </c>
      <c r="C383" t="s">
        <v>539</v>
      </c>
    </row>
    <row r="384" spans="1:3" x14ac:dyDescent="0.35">
      <c r="A384" t="s">
        <v>862</v>
      </c>
      <c r="B384" t="s">
        <v>117</v>
      </c>
      <c r="C384" t="s">
        <v>863</v>
      </c>
    </row>
    <row r="385" spans="1:3" x14ac:dyDescent="0.35">
      <c r="A385" t="s">
        <v>826</v>
      </c>
      <c r="B385" t="s">
        <v>67</v>
      </c>
      <c r="C385" t="s">
        <v>1135</v>
      </c>
    </row>
    <row r="386" spans="1:3" x14ac:dyDescent="0.35">
      <c r="A386" t="s">
        <v>151</v>
      </c>
      <c r="B386" t="s">
        <v>16</v>
      </c>
      <c r="C386" t="s">
        <v>152</v>
      </c>
    </row>
    <row r="387" spans="1:3" x14ac:dyDescent="0.35">
      <c r="A387" t="s">
        <v>99</v>
      </c>
      <c r="B387" t="s">
        <v>2500</v>
      </c>
      <c r="C387" t="s">
        <v>2501</v>
      </c>
    </row>
    <row r="388" spans="1:3" x14ac:dyDescent="0.35">
      <c r="A388" t="s">
        <v>99</v>
      </c>
      <c r="B388" t="s">
        <v>101</v>
      </c>
      <c r="C388" t="s">
        <v>1474</v>
      </c>
    </row>
    <row r="389" spans="1:3" x14ac:dyDescent="0.35">
      <c r="A389" t="s">
        <v>553</v>
      </c>
      <c r="B389" t="s">
        <v>410</v>
      </c>
      <c r="C389" t="s">
        <v>1686</v>
      </c>
    </row>
    <row r="390" spans="1:3" x14ac:dyDescent="0.35">
      <c r="A390" t="s">
        <v>1136</v>
      </c>
      <c r="B390" t="s">
        <v>119</v>
      </c>
      <c r="C390" t="s">
        <v>1137</v>
      </c>
    </row>
    <row r="391" spans="1:3" x14ac:dyDescent="0.35">
      <c r="A391" t="s">
        <v>2666</v>
      </c>
      <c r="B391" t="s">
        <v>350</v>
      </c>
      <c r="C391" t="s">
        <v>2678</v>
      </c>
    </row>
    <row r="392" spans="1:3" x14ac:dyDescent="0.35">
      <c r="A392" t="s">
        <v>1028</v>
      </c>
      <c r="B392" t="s">
        <v>927</v>
      </c>
      <c r="C392" t="s">
        <v>1029</v>
      </c>
    </row>
    <row r="393" spans="1:3" x14ac:dyDescent="0.35">
      <c r="A393" t="s">
        <v>1404</v>
      </c>
      <c r="B393" t="s">
        <v>142</v>
      </c>
      <c r="C393" t="s">
        <v>1405</v>
      </c>
    </row>
    <row r="394" spans="1:3" x14ac:dyDescent="0.35">
      <c r="A394" t="s">
        <v>711</v>
      </c>
      <c r="B394" t="s">
        <v>85</v>
      </c>
      <c r="C394" t="s">
        <v>845</v>
      </c>
    </row>
    <row r="395" spans="1:3" x14ac:dyDescent="0.35">
      <c r="A395" t="s">
        <v>479</v>
      </c>
      <c r="B395" t="s">
        <v>480</v>
      </c>
      <c r="C395" t="s">
        <v>481</v>
      </c>
    </row>
    <row r="396" spans="1:3" x14ac:dyDescent="0.35">
      <c r="A396" t="s">
        <v>742</v>
      </c>
      <c r="B396" t="s">
        <v>16</v>
      </c>
      <c r="C396" t="s">
        <v>743</v>
      </c>
    </row>
    <row r="397" spans="1:3" x14ac:dyDescent="0.35">
      <c r="A397" t="s">
        <v>1400</v>
      </c>
      <c r="B397" t="s">
        <v>232</v>
      </c>
      <c r="C397" t="s">
        <v>1401</v>
      </c>
    </row>
    <row r="398" spans="1:3" x14ac:dyDescent="0.35">
      <c r="A398" t="s">
        <v>43</v>
      </c>
      <c r="B398" t="s">
        <v>218</v>
      </c>
      <c r="C398" t="s">
        <v>284</v>
      </c>
    </row>
    <row r="399" spans="1:3" x14ac:dyDescent="0.35">
      <c r="A399" t="s">
        <v>43</v>
      </c>
      <c r="B399" t="s">
        <v>848</v>
      </c>
      <c r="C399" t="s">
        <v>1261</v>
      </c>
    </row>
    <row r="400" spans="1:3" x14ac:dyDescent="0.35">
      <c r="A400" t="s">
        <v>2456</v>
      </c>
      <c r="B400" t="s">
        <v>463</v>
      </c>
      <c r="C400" t="s">
        <v>2457</v>
      </c>
    </row>
    <row r="401" spans="1:3" x14ac:dyDescent="0.35">
      <c r="A401" t="s">
        <v>326</v>
      </c>
      <c r="B401" t="s">
        <v>327</v>
      </c>
      <c r="C401" t="s">
        <v>328</v>
      </c>
    </row>
    <row r="402" spans="1:3" x14ac:dyDescent="0.35">
      <c r="A402" t="s">
        <v>15</v>
      </c>
      <c r="B402" t="s">
        <v>16</v>
      </c>
      <c r="C402" t="s">
        <v>147</v>
      </c>
    </row>
    <row r="403" spans="1:3" x14ac:dyDescent="0.35">
      <c r="A403" t="s">
        <v>15</v>
      </c>
      <c r="B403" t="s">
        <v>28</v>
      </c>
      <c r="C403" t="s">
        <v>1578</v>
      </c>
    </row>
    <row r="404" spans="1:3" x14ac:dyDescent="0.35">
      <c r="A404" t="s">
        <v>78</v>
      </c>
      <c r="B404" t="s">
        <v>79</v>
      </c>
      <c r="C404" t="s">
        <v>1613</v>
      </c>
    </row>
    <row r="405" spans="1:3" x14ac:dyDescent="0.35">
      <c r="A405" t="s">
        <v>1087</v>
      </c>
      <c r="B405" t="s">
        <v>1088</v>
      </c>
      <c r="C405" t="s">
        <v>1089</v>
      </c>
    </row>
    <row r="406" spans="1:3" x14ac:dyDescent="0.35">
      <c r="A406" t="s">
        <v>343</v>
      </c>
      <c r="B406" t="s">
        <v>344</v>
      </c>
      <c r="C406" t="s">
        <v>345</v>
      </c>
    </row>
    <row r="407" spans="1:3" x14ac:dyDescent="0.35">
      <c r="A407" t="s">
        <v>2578</v>
      </c>
      <c r="B407" t="s">
        <v>28</v>
      </c>
      <c r="C407" t="s">
        <v>2579</v>
      </c>
    </row>
    <row r="408" spans="1:3" x14ac:dyDescent="0.35">
      <c r="A408" t="s">
        <v>1313</v>
      </c>
      <c r="B408" t="s">
        <v>139</v>
      </c>
      <c r="C408" t="s">
        <v>1314</v>
      </c>
    </row>
    <row r="409" spans="1:3" x14ac:dyDescent="0.35">
      <c r="A409" t="s">
        <v>275</v>
      </c>
      <c r="B409" t="s">
        <v>463</v>
      </c>
      <c r="C409" t="s">
        <v>1605</v>
      </c>
    </row>
    <row r="410" spans="1:3" x14ac:dyDescent="0.35">
      <c r="A410" t="s">
        <v>19</v>
      </c>
      <c r="B410" t="s">
        <v>20</v>
      </c>
      <c r="C410" t="s">
        <v>259</v>
      </c>
    </row>
    <row r="411" spans="1:3" x14ac:dyDescent="0.35">
      <c r="A411" t="s">
        <v>1198</v>
      </c>
      <c r="B411" t="s">
        <v>65</v>
      </c>
      <c r="C411" t="s">
        <v>1681</v>
      </c>
    </row>
    <row r="412" spans="1:3" x14ac:dyDescent="0.35">
      <c r="A412" t="s">
        <v>116</v>
      </c>
      <c r="B412" t="s">
        <v>489</v>
      </c>
      <c r="C412" t="s">
        <v>1614</v>
      </c>
    </row>
    <row r="413" spans="1:3" x14ac:dyDescent="0.35">
      <c r="A413" t="s">
        <v>116</v>
      </c>
      <c r="B413" t="s">
        <v>117</v>
      </c>
      <c r="C413" t="s">
        <v>1616</v>
      </c>
    </row>
    <row r="414" spans="1:3" x14ac:dyDescent="0.35">
      <c r="A414" t="s">
        <v>116</v>
      </c>
      <c r="B414" t="s">
        <v>153</v>
      </c>
      <c r="C414" s="10" t="s">
        <v>2404</v>
      </c>
    </row>
    <row r="415" spans="1:3" x14ac:dyDescent="0.35">
      <c r="A415" t="s">
        <v>414</v>
      </c>
      <c r="B415" t="s">
        <v>1022</v>
      </c>
      <c r="C415" t="s">
        <v>1037</v>
      </c>
    </row>
    <row r="416" spans="1:3" x14ac:dyDescent="0.35">
      <c r="A416" t="s">
        <v>414</v>
      </c>
      <c r="B416" t="s">
        <v>413</v>
      </c>
      <c r="C416" t="s">
        <v>755</v>
      </c>
    </row>
    <row r="417" spans="1:3" x14ac:dyDescent="0.35">
      <c r="A417" t="s">
        <v>597</v>
      </c>
      <c r="B417" t="s">
        <v>598</v>
      </c>
      <c r="C417" t="s">
        <v>599</v>
      </c>
    </row>
    <row r="418" spans="1:3" x14ac:dyDescent="0.35">
      <c r="A418" t="s">
        <v>88</v>
      </c>
      <c r="B418" t="s">
        <v>89</v>
      </c>
      <c r="C418" t="s">
        <v>293</v>
      </c>
    </row>
    <row r="419" spans="1:3" x14ac:dyDescent="0.35">
      <c r="A419" t="s">
        <v>608</v>
      </c>
      <c r="B419" t="s">
        <v>267</v>
      </c>
      <c r="C419" t="s">
        <v>1560</v>
      </c>
    </row>
    <row r="420" spans="1:3" x14ac:dyDescent="0.35">
      <c r="A420" t="s">
        <v>1008</v>
      </c>
      <c r="B420" t="s">
        <v>768</v>
      </c>
      <c r="C420" t="s">
        <v>1009</v>
      </c>
    </row>
    <row r="421" spans="1:3" x14ac:dyDescent="0.35">
      <c r="A421" t="s">
        <v>1063</v>
      </c>
      <c r="B421" t="s">
        <v>324</v>
      </c>
      <c r="C421" t="s">
        <v>1611</v>
      </c>
    </row>
    <row r="422" spans="1:3" x14ac:dyDescent="0.35">
      <c r="A422" t="s">
        <v>238</v>
      </c>
      <c r="B422" t="s">
        <v>16</v>
      </c>
      <c r="C422" t="s">
        <v>239</v>
      </c>
    </row>
    <row r="423" spans="1:3" x14ac:dyDescent="0.35">
      <c r="A423" t="s">
        <v>238</v>
      </c>
      <c r="B423" t="s">
        <v>375</v>
      </c>
      <c r="C423" t="s">
        <v>376</v>
      </c>
    </row>
    <row r="424" spans="1:3" x14ac:dyDescent="0.35">
      <c r="A424" t="s">
        <v>734</v>
      </c>
      <c r="B424" t="s">
        <v>735</v>
      </c>
      <c r="C424" t="s">
        <v>736</v>
      </c>
    </row>
    <row r="425" spans="1:3" x14ac:dyDescent="0.35">
      <c r="A425" t="s">
        <v>198</v>
      </c>
      <c r="B425" t="s">
        <v>149</v>
      </c>
      <c r="C425" t="s">
        <v>199</v>
      </c>
    </row>
    <row r="426" spans="1:3" x14ac:dyDescent="0.35">
      <c r="A426" t="s">
        <v>1058</v>
      </c>
      <c r="B426" t="s">
        <v>384</v>
      </c>
      <c r="C426" t="s">
        <v>1561</v>
      </c>
    </row>
    <row r="427" spans="1:3" x14ac:dyDescent="0.35">
      <c r="A427" t="s">
        <v>74</v>
      </c>
      <c r="B427" t="s">
        <v>75</v>
      </c>
      <c r="C427" t="s">
        <v>1541</v>
      </c>
    </row>
    <row r="428" spans="1:3" x14ac:dyDescent="0.35">
      <c r="A428" t="s">
        <v>74</v>
      </c>
      <c r="B428" t="s">
        <v>153</v>
      </c>
      <c r="C428" t="s">
        <v>309</v>
      </c>
    </row>
    <row r="429" spans="1:3" x14ac:dyDescent="0.35">
      <c r="A429" t="s">
        <v>169</v>
      </c>
      <c r="B429" t="s">
        <v>368</v>
      </c>
      <c r="C429" t="s">
        <v>369</v>
      </c>
    </row>
    <row r="430" spans="1:3" x14ac:dyDescent="0.35">
      <c r="A430" t="s">
        <v>411</v>
      </c>
      <c r="B430" t="s">
        <v>737</v>
      </c>
      <c r="C430" t="s">
        <v>738</v>
      </c>
    </row>
    <row r="431" spans="1:3" x14ac:dyDescent="0.35">
      <c r="A431" t="s">
        <v>1772</v>
      </c>
      <c r="B431" t="s">
        <v>122</v>
      </c>
      <c r="C431" t="s">
        <v>2674</v>
      </c>
    </row>
    <row r="432" spans="1:3" x14ac:dyDescent="0.35">
      <c r="A432" t="s">
        <v>1192</v>
      </c>
      <c r="B432" t="s">
        <v>1193</v>
      </c>
      <c r="C432" t="s">
        <v>1615</v>
      </c>
    </row>
    <row r="433" spans="1:3" x14ac:dyDescent="0.35">
      <c r="A433" t="s">
        <v>66</v>
      </c>
      <c r="B433" t="s">
        <v>67</v>
      </c>
      <c r="C433" t="s">
        <v>312</v>
      </c>
    </row>
    <row r="434" spans="1:3" x14ac:dyDescent="0.35">
      <c r="A434" t="s">
        <v>277</v>
      </c>
      <c r="B434" t="s">
        <v>843</v>
      </c>
      <c r="C434" t="s">
        <v>844</v>
      </c>
    </row>
    <row r="435" spans="1:3" x14ac:dyDescent="0.35">
      <c r="A435" t="s">
        <v>277</v>
      </c>
      <c r="B435" t="s">
        <v>16</v>
      </c>
      <c r="C435" t="s">
        <v>278</v>
      </c>
    </row>
    <row r="436" spans="1:3" x14ac:dyDescent="0.35">
      <c r="A436" t="s">
        <v>1184</v>
      </c>
      <c r="B436" t="s">
        <v>737</v>
      </c>
      <c r="C436" t="s">
        <v>1185</v>
      </c>
    </row>
    <row r="437" spans="1:3" x14ac:dyDescent="0.35">
      <c r="A437" t="s">
        <v>954</v>
      </c>
      <c r="B437" t="s">
        <v>955</v>
      </c>
      <c r="C437" t="s">
        <v>1628</v>
      </c>
    </row>
    <row r="438" spans="1:3" x14ac:dyDescent="0.35">
      <c r="A438" t="s">
        <v>128</v>
      </c>
      <c r="B438" t="s">
        <v>443</v>
      </c>
      <c r="C438" t="s">
        <v>444</v>
      </c>
    </row>
    <row r="439" spans="1:3" x14ac:dyDescent="0.35">
      <c r="A439" t="s">
        <v>128</v>
      </c>
      <c r="B439" t="s">
        <v>16</v>
      </c>
      <c r="C439" t="s">
        <v>1626</v>
      </c>
    </row>
    <row r="440" spans="1:3" x14ac:dyDescent="0.35">
      <c r="A440" t="s">
        <v>1216</v>
      </c>
      <c r="B440" t="s">
        <v>58</v>
      </c>
      <c r="C440" t="s">
        <v>1485</v>
      </c>
    </row>
    <row r="441" spans="1:3" x14ac:dyDescent="0.35">
      <c r="A441" t="s">
        <v>491</v>
      </c>
      <c r="B441" t="s">
        <v>492</v>
      </c>
      <c r="C441" t="s">
        <v>1650</v>
      </c>
    </row>
    <row r="442" spans="1:3" x14ac:dyDescent="0.35">
      <c r="A442" t="s">
        <v>752</v>
      </c>
      <c r="B442" t="s">
        <v>753</v>
      </c>
      <c r="C442" t="s">
        <v>754</v>
      </c>
    </row>
    <row r="443" spans="1:3" x14ac:dyDescent="0.35">
      <c r="A443" t="s">
        <v>1453</v>
      </c>
      <c r="B443" t="s">
        <v>1454</v>
      </c>
      <c r="C443" t="s">
        <v>1497</v>
      </c>
    </row>
    <row r="444" spans="1:3" x14ac:dyDescent="0.35">
      <c r="A444" t="s">
        <v>351</v>
      </c>
      <c r="B444" t="s">
        <v>153</v>
      </c>
      <c r="C444" t="s">
        <v>1500</v>
      </c>
    </row>
    <row r="445" spans="1:3" x14ac:dyDescent="0.35">
      <c r="A445" t="s">
        <v>351</v>
      </c>
      <c r="B445" t="s">
        <v>2279</v>
      </c>
      <c r="C445" t="s">
        <v>2289</v>
      </c>
    </row>
    <row r="446" spans="1:3" x14ac:dyDescent="0.35">
      <c r="A446" t="s">
        <v>251</v>
      </c>
      <c r="B446" t="s">
        <v>252</v>
      </c>
      <c r="C446" t="s">
        <v>253</v>
      </c>
    </row>
    <row r="447" spans="1:3" x14ac:dyDescent="0.35">
      <c r="A447" t="s">
        <v>251</v>
      </c>
      <c r="B447" t="s">
        <v>492</v>
      </c>
      <c r="C447" t="s">
        <v>573</v>
      </c>
    </row>
    <row r="448" spans="1:3" x14ac:dyDescent="0.35">
      <c r="A448" t="s">
        <v>251</v>
      </c>
      <c r="B448" t="s">
        <v>510</v>
      </c>
      <c r="C448" t="s">
        <v>1570</v>
      </c>
    </row>
    <row r="449" spans="1:3" x14ac:dyDescent="0.35">
      <c r="A449" t="s">
        <v>251</v>
      </c>
      <c r="B449" t="s">
        <v>71</v>
      </c>
      <c r="C449" t="s">
        <v>2509</v>
      </c>
    </row>
    <row r="450" spans="1:3" x14ac:dyDescent="0.35">
      <c r="A450" t="s">
        <v>2438</v>
      </c>
      <c r="B450" t="s">
        <v>65</v>
      </c>
      <c r="C450" t="s">
        <v>2439</v>
      </c>
    </row>
    <row r="451" spans="1:3" x14ac:dyDescent="0.35">
      <c r="A451" t="s">
        <v>1179</v>
      </c>
      <c r="B451" t="s">
        <v>1180</v>
      </c>
      <c r="C451" t="s">
        <v>1181</v>
      </c>
    </row>
    <row r="452" spans="1:3" x14ac:dyDescent="0.35">
      <c r="A452" t="s">
        <v>1015</v>
      </c>
      <c r="B452" t="s">
        <v>384</v>
      </c>
      <c r="C452" t="s">
        <v>1016</v>
      </c>
    </row>
    <row r="453" spans="1:3" x14ac:dyDescent="0.35">
      <c r="A453" t="s">
        <v>1097</v>
      </c>
      <c r="B453" t="s">
        <v>16</v>
      </c>
      <c r="C453" t="s">
        <v>1098</v>
      </c>
    </row>
    <row r="454" spans="1:3" x14ac:dyDescent="0.35">
      <c r="A454" t="s">
        <v>612</v>
      </c>
      <c r="B454" t="s">
        <v>181</v>
      </c>
      <c r="C454" t="s">
        <v>613</v>
      </c>
    </row>
    <row r="455" spans="1:3" x14ac:dyDescent="0.35">
      <c r="A455" t="s">
        <v>798</v>
      </c>
      <c r="B455" t="s">
        <v>799</v>
      </c>
      <c r="C455" t="s">
        <v>1654</v>
      </c>
    </row>
    <row r="456" spans="1:3" x14ac:dyDescent="0.35">
      <c r="A456" t="s">
        <v>477</v>
      </c>
      <c r="B456" t="s">
        <v>136</v>
      </c>
      <c r="C456" t="s">
        <v>478</v>
      </c>
    </row>
    <row r="457" spans="1:3" x14ac:dyDescent="0.35">
      <c r="A457" t="s">
        <v>477</v>
      </c>
      <c r="B457" t="s">
        <v>1510</v>
      </c>
      <c r="C457" s="10" t="s">
        <v>2385</v>
      </c>
    </row>
    <row r="458" spans="1:3" x14ac:dyDescent="0.35">
      <c r="A458" t="s">
        <v>177</v>
      </c>
      <c r="B458" t="s">
        <v>178</v>
      </c>
      <c r="C458" t="s">
        <v>179</v>
      </c>
    </row>
    <row r="459" spans="1:3" x14ac:dyDescent="0.35">
      <c r="A459" t="s">
        <v>1367</v>
      </c>
      <c r="B459" t="s">
        <v>1368</v>
      </c>
      <c r="C459" t="s">
        <v>1369</v>
      </c>
    </row>
    <row r="460" spans="1:3" x14ac:dyDescent="0.35">
      <c r="A460" t="s">
        <v>829</v>
      </c>
      <c r="B460" t="s">
        <v>830</v>
      </c>
      <c r="C460" t="s">
        <v>1575</v>
      </c>
    </row>
    <row r="461" spans="1:3" x14ac:dyDescent="0.35">
      <c r="A461" t="s">
        <v>1298</v>
      </c>
      <c r="B461" t="s">
        <v>271</v>
      </c>
      <c r="C461" t="s">
        <v>1534</v>
      </c>
    </row>
    <row r="462" spans="1:3" x14ac:dyDescent="0.35">
      <c r="A462" t="s">
        <v>211</v>
      </c>
      <c r="B462" t="s">
        <v>187</v>
      </c>
      <c r="C462" t="s">
        <v>212</v>
      </c>
    </row>
    <row r="463" spans="1:3" x14ac:dyDescent="0.35">
      <c r="A463" t="s">
        <v>211</v>
      </c>
      <c r="B463" t="s">
        <v>779</v>
      </c>
      <c r="C463" t="s">
        <v>780</v>
      </c>
    </row>
    <row r="464" spans="1:3" x14ac:dyDescent="0.35">
      <c r="A464" t="s">
        <v>507</v>
      </c>
      <c r="B464" t="s">
        <v>25</v>
      </c>
      <c r="C464" t="s">
        <v>508</v>
      </c>
    </row>
    <row r="465" spans="1:3" x14ac:dyDescent="0.35">
      <c r="A465" t="s">
        <v>566</v>
      </c>
      <c r="B465" t="s">
        <v>353</v>
      </c>
      <c r="C465" t="s">
        <v>1668</v>
      </c>
    </row>
    <row r="466" spans="1:3" x14ac:dyDescent="0.35">
      <c r="A466" t="s">
        <v>566</v>
      </c>
      <c r="B466" t="s">
        <v>654</v>
      </c>
      <c r="C466" t="s">
        <v>1646</v>
      </c>
    </row>
    <row r="467" spans="1:3" x14ac:dyDescent="0.35">
      <c r="A467" t="s">
        <v>1410</v>
      </c>
      <c r="B467" t="s">
        <v>1411</v>
      </c>
      <c r="C467" t="s">
        <v>1582</v>
      </c>
    </row>
    <row r="468" spans="1:3" x14ac:dyDescent="0.35">
      <c r="A468" t="s">
        <v>294</v>
      </c>
      <c r="B468" t="s">
        <v>16</v>
      </c>
      <c r="C468" t="s">
        <v>1535</v>
      </c>
    </row>
    <row r="469" spans="1:3" x14ac:dyDescent="0.35">
      <c r="A469" t="s">
        <v>978</v>
      </c>
      <c r="B469" t="s">
        <v>979</v>
      </c>
      <c r="C469" t="s">
        <v>980</v>
      </c>
    </row>
    <row r="470" spans="1:3" x14ac:dyDescent="0.35">
      <c r="A470" t="s">
        <v>2474</v>
      </c>
      <c r="B470" t="s">
        <v>717</v>
      </c>
      <c r="C470" t="s">
        <v>2475</v>
      </c>
    </row>
    <row r="471" spans="1:3" x14ac:dyDescent="0.35">
      <c r="A471" t="s">
        <v>1057</v>
      </c>
      <c r="B471" t="s">
        <v>410</v>
      </c>
      <c r="C471" t="s">
        <v>1586</v>
      </c>
    </row>
    <row r="472" spans="1:3" x14ac:dyDescent="0.35">
      <c r="A472" t="s">
        <v>759</v>
      </c>
      <c r="B472" t="s">
        <v>760</v>
      </c>
      <c r="C472" t="s">
        <v>761</v>
      </c>
    </row>
    <row r="473" spans="1:3" x14ac:dyDescent="0.35">
      <c r="A473" t="s">
        <v>1059</v>
      </c>
      <c r="B473" t="s">
        <v>64</v>
      </c>
      <c r="C473" t="s">
        <v>1569</v>
      </c>
    </row>
    <row r="474" spans="1:3" x14ac:dyDescent="0.35">
      <c r="A474" t="s">
        <v>202</v>
      </c>
      <c r="B474" t="s">
        <v>205</v>
      </c>
      <c r="C474" t="s">
        <v>469</v>
      </c>
    </row>
    <row r="475" spans="1:3" x14ac:dyDescent="0.35">
      <c r="A475" t="s">
        <v>1156</v>
      </c>
      <c r="B475" t="s">
        <v>1157</v>
      </c>
      <c r="C475" t="s">
        <v>1158</v>
      </c>
    </row>
    <row r="476" spans="1:3" x14ac:dyDescent="0.35">
      <c r="A476" t="s">
        <v>1013</v>
      </c>
      <c r="B476" t="s">
        <v>1456</v>
      </c>
      <c r="C476" t="s">
        <v>1457</v>
      </c>
    </row>
    <row r="477" spans="1:3" x14ac:dyDescent="0.35">
      <c r="A477" t="s">
        <v>895</v>
      </c>
      <c r="B477" t="s">
        <v>67</v>
      </c>
      <c r="C477" t="s">
        <v>1619</v>
      </c>
    </row>
    <row r="478" spans="1:3" x14ac:dyDescent="0.35">
      <c r="A478" t="s">
        <v>895</v>
      </c>
      <c r="B478" t="s">
        <v>38</v>
      </c>
      <c r="C478" t="s">
        <v>1531</v>
      </c>
    </row>
    <row r="479" spans="1:3" x14ac:dyDescent="0.35">
      <c r="A479" t="s">
        <v>2369</v>
      </c>
      <c r="B479" t="s">
        <v>139</v>
      </c>
      <c r="C479" t="s">
        <v>2378</v>
      </c>
    </row>
    <row r="480" spans="1:3" x14ac:dyDescent="0.35">
      <c r="A480" t="s">
        <v>1279</v>
      </c>
      <c r="B480" t="s">
        <v>429</v>
      </c>
      <c r="C480" t="s">
        <v>1280</v>
      </c>
    </row>
    <row r="481" spans="1:3" x14ac:dyDescent="0.35">
      <c r="A481" t="s">
        <v>1279</v>
      </c>
      <c r="B481" t="s">
        <v>61</v>
      </c>
      <c r="C481" t="s">
        <v>1295</v>
      </c>
    </row>
    <row r="482" spans="1:3" x14ac:dyDescent="0.35">
      <c r="A482" t="s">
        <v>360</v>
      </c>
      <c r="B482" t="s">
        <v>361</v>
      </c>
      <c r="C482" t="s">
        <v>362</v>
      </c>
    </row>
    <row r="483" spans="1:3" x14ac:dyDescent="0.35">
      <c r="A483" t="s">
        <v>1505</v>
      </c>
      <c r="B483" t="s">
        <v>52</v>
      </c>
      <c r="C483" t="s">
        <v>1528</v>
      </c>
    </row>
    <row r="484" spans="1:3" x14ac:dyDescent="0.35">
      <c r="A484" t="s">
        <v>1374</v>
      </c>
      <c r="B484" t="s">
        <v>71</v>
      </c>
      <c r="C484" t="s">
        <v>1375</v>
      </c>
    </row>
    <row r="485" spans="1:3" x14ac:dyDescent="0.35">
      <c r="A485" t="s">
        <v>2616</v>
      </c>
      <c r="B485" t="s">
        <v>848</v>
      </c>
      <c r="C485" t="s">
        <v>2617</v>
      </c>
    </row>
    <row r="486" spans="1:3" x14ac:dyDescent="0.35">
      <c r="A486" t="s">
        <v>1415</v>
      </c>
      <c r="B486" t="s">
        <v>196</v>
      </c>
      <c r="C486" t="s">
        <v>1416</v>
      </c>
    </row>
    <row r="487" spans="1:3" x14ac:dyDescent="0.35">
      <c r="A487" t="s">
        <v>799</v>
      </c>
      <c r="B487" t="s">
        <v>1379</v>
      </c>
      <c r="C487" t="s">
        <v>1380</v>
      </c>
    </row>
    <row r="488" spans="1:3" x14ac:dyDescent="0.35">
      <c r="A488" t="s">
        <v>799</v>
      </c>
      <c r="B488" t="s">
        <v>1149</v>
      </c>
      <c r="C488" t="s">
        <v>1680</v>
      </c>
    </row>
    <row r="489" spans="1:3" x14ac:dyDescent="0.35">
      <c r="A489" t="s">
        <v>799</v>
      </c>
      <c r="B489" t="s">
        <v>935</v>
      </c>
      <c r="C489" t="s">
        <v>936</v>
      </c>
    </row>
    <row r="490" spans="1:3" x14ac:dyDescent="0.35">
      <c r="A490" t="s">
        <v>2638</v>
      </c>
      <c r="B490" t="s">
        <v>2639</v>
      </c>
      <c r="C490" t="s">
        <v>2640</v>
      </c>
    </row>
    <row r="491" spans="1:3" x14ac:dyDescent="0.35">
      <c r="A491" t="s">
        <v>306</v>
      </c>
      <c r="B491" t="s">
        <v>694</v>
      </c>
      <c r="C491" t="s">
        <v>695</v>
      </c>
    </row>
    <row r="492" spans="1:3" x14ac:dyDescent="0.35">
      <c r="A492" t="s">
        <v>442</v>
      </c>
      <c r="B492" t="s">
        <v>429</v>
      </c>
      <c r="C492" t="s">
        <v>723</v>
      </c>
    </row>
    <row r="493" spans="1:3" x14ac:dyDescent="0.35">
      <c r="A493" t="s">
        <v>868</v>
      </c>
      <c r="B493" t="s">
        <v>63</v>
      </c>
      <c r="C493" t="s">
        <v>869</v>
      </c>
    </row>
    <row r="494" spans="1:3" x14ac:dyDescent="0.35">
      <c r="A494" t="s">
        <v>2411</v>
      </c>
      <c r="B494" t="s">
        <v>44</v>
      </c>
      <c r="C494" s="10" t="s">
        <v>2412</v>
      </c>
    </row>
    <row r="495" spans="1:3" x14ac:dyDescent="0.35">
      <c r="A495" t="s">
        <v>1151</v>
      </c>
      <c r="B495" t="s">
        <v>634</v>
      </c>
      <c r="C495" t="s">
        <v>1639</v>
      </c>
    </row>
    <row r="496" spans="1:3" x14ac:dyDescent="0.35">
      <c r="A496" t="s">
        <v>866</v>
      </c>
      <c r="B496" t="s">
        <v>142</v>
      </c>
      <c r="C496" t="s">
        <v>867</v>
      </c>
    </row>
    <row r="497" spans="1:3" x14ac:dyDescent="0.35">
      <c r="A497" t="s">
        <v>866</v>
      </c>
      <c r="B497" t="s">
        <v>421</v>
      </c>
      <c r="C497" t="s">
        <v>1262</v>
      </c>
    </row>
    <row r="498" spans="1:3" x14ac:dyDescent="0.35">
      <c r="A498" t="s">
        <v>866</v>
      </c>
      <c r="B498" t="s">
        <v>247</v>
      </c>
      <c r="C498" t="s">
        <v>1274</v>
      </c>
    </row>
    <row r="499" spans="1:3" x14ac:dyDescent="0.35">
      <c r="A499" t="s">
        <v>670</v>
      </c>
      <c r="B499" t="s">
        <v>16</v>
      </c>
      <c r="C499" t="s">
        <v>671</v>
      </c>
    </row>
    <row r="500" spans="1:3" x14ac:dyDescent="0.35">
      <c r="A500" t="s">
        <v>537</v>
      </c>
      <c r="B500" t="s">
        <v>538</v>
      </c>
      <c r="C500" t="s">
        <v>1539</v>
      </c>
    </row>
    <row r="501" spans="1:3" x14ac:dyDescent="0.35">
      <c r="A501" t="s">
        <v>273</v>
      </c>
      <c r="B501" t="s">
        <v>79</v>
      </c>
      <c r="C501" t="s">
        <v>1366</v>
      </c>
    </row>
    <row r="502" spans="1:3" x14ac:dyDescent="0.35">
      <c r="A502" t="s">
        <v>273</v>
      </c>
      <c r="B502" t="s">
        <v>218</v>
      </c>
      <c r="C502" t="s">
        <v>274</v>
      </c>
    </row>
    <row r="503" spans="1:3" x14ac:dyDescent="0.35">
      <c r="A503" t="s">
        <v>1254</v>
      </c>
      <c r="B503" t="s">
        <v>44</v>
      </c>
      <c r="C503" t="s">
        <v>1255</v>
      </c>
    </row>
    <row r="504" spans="1:3" x14ac:dyDescent="0.35">
      <c r="A504" t="s">
        <v>965</v>
      </c>
      <c r="B504" t="s">
        <v>44</v>
      </c>
      <c r="C504" t="s">
        <v>966</v>
      </c>
    </row>
    <row r="505" spans="1:3" x14ac:dyDescent="0.35">
      <c r="A505" t="s">
        <v>180</v>
      </c>
      <c r="B505" t="s">
        <v>218</v>
      </c>
      <c r="C505" t="s">
        <v>1044</v>
      </c>
    </row>
    <row r="506" spans="1:3" x14ac:dyDescent="0.35">
      <c r="A506" t="s">
        <v>180</v>
      </c>
      <c r="B506" t="s">
        <v>181</v>
      </c>
      <c r="C506" t="s">
        <v>182</v>
      </c>
    </row>
    <row r="507" spans="1:3" x14ac:dyDescent="0.35">
      <c r="A507" t="s">
        <v>2496</v>
      </c>
      <c r="B507" t="s">
        <v>2497</v>
      </c>
      <c r="C507" t="s">
        <v>2498</v>
      </c>
    </row>
    <row r="508" spans="1:3" x14ac:dyDescent="0.35">
      <c r="A508" t="s">
        <v>1421</v>
      </c>
      <c r="B508" t="s">
        <v>13</v>
      </c>
      <c r="C508" t="s">
        <v>1422</v>
      </c>
    </row>
    <row r="509" spans="1:3" x14ac:dyDescent="0.35">
      <c r="A509" t="s">
        <v>1781</v>
      </c>
      <c r="B509" t="s">
        <v>528</v>
      </c>
      <c r="C509" t="s">
        <v>2518</v>
      </c>
    </row>
    <row r="510" spans="1:3" x14ac:dyDescent="0.35">
      <c r="A510" t="s">
        <v>2418</v>
      </c>
      <c r="B510" t="s">
        <v>782</v>
      </c>
      <c r="C510" s="10" t="s">
        <v>2419</v>
      </c>
    </row>
    <row r="511" spans="1:3" x14ac:dyDescent="0.35">
      <c r="A511" t="s">
        <v>667</v>
      </c>
      <c r="B511" t="s">
        <v>668</v>
      </c>
      <c r="C511" t="s">
        <v>669</v>
      </c>
    </row>
    <row r="512" spans="1:3" x14ac:dyDescent="0.35">
      <c r="A512" t="s">
        <v>999</v>
      </c>
      <c r="B512" t="s">
        <v>815</v>
      </c>
      <c r="C512" t="s">
        <v>2338</v>
      </c>
    </row>
    <row r="513" spans="1:3" x14ac:dyDescent="0.35">
      <c r="A513" t="s">
        <v>296</v>
      </c>
      <c r="B513" t="s">
        <v>297</v>
      </c>
      <c r="C513" t="s">
        <v>1604</v>
      </c>
    </row>
    <row r="514" spans="1:3" x14ac:dyDescent="0.35">
      <c r="A514" t="s">
        <v>1352</v>
      </c>
      <c r="B514" t="s">
        <v>528</v>
      </c>
      <c r="C514" t="s">
        <v>1353</v>
      </c>
    </row>
    <row r="515" spans="1:3" x14ac:dyDescent="0.35">
      <c r="A515" t="s">
        <v>536</v>
      </c>
      <c r="B515" t="s">
        <v>52</v>
      </c>
      <c r="C515" t="s">
        <v>1544</v>
      </c>
    </row>
    <row r="516" spans="1:3" x14ac:dyDescent="0.35">
      <c r="A516" t="s">
        <v>318</v>
      </c>
      <c r="B516" t="s">
        <v>44</v>
      </c>
      <c r="C516" t="s">
        <v>319</v>
      </c>
    </row>
    <row r="517" spans="1:3" x14ac:dyDescent="0.35">
      <c r="A517" t="s">
        <v>14</v>
      </c>
      <c r="B517" t="s">
        <v>11</v>
      </c>
      <c r="C517" t="s">
        <v>113</v>
      </c>
    </row>
    <row r="518" spans="1:3" x14ac:dyDescent="0.35">
      <c r="A518" t="s">
        <v>1174</v>
      </c>
      <c r="B518" t="s">
        <v>196</v>
      </c>
      <c r="C518" t="s">
        <v>2339</v>
      </c>
    </row>
    <row r="519" spans="1:3" x14ac:dyDescent="0.35">
      <c r="A519" t="s">
        <v>727</v>
      </c>
      <c r="B519" t="s">
        <v>73</v>
      </c>
      <c r="C519" t="s">
        <v>728</v>
      </c>
    </row>
    <row r="520" spans="1:3" x14ac:dyDescent="0.35">
      <c r="A520" t="s">
        <v>246</v>
      </c>
      <c r="B520" t="s">
        <v>247</v>
      </c>
      <c r="C520" t="s">
        <v>1630</v>
      </c>
    </row>
    <row r="521" spans="1:3" x14ac:dyDescent="0.35">
      <c r="A521" t="s">
        <v>266</v>
      </c>
      <c r="B521" t="s">
        <v>28</v>
      </c>
      <c r="C521" t="s">
        <v>467</v>
      </c>
    </row>
    <row r="522" spans="1:3" x14ac:dyDescent="0.35">
      <c r="A522" t="s">
        <v>1278</v>
      </c>
      <c r="B522" t="s">
        <v>16</v>
      </c>
      <c r="C522" t="s">
        <v>2272</v>
      </c>
    </row>
    <row r="523" spans="1:3" x14ac:dyDescent="0.35">
      <c r="A523" t="s">
        <v>1127</v>
      </c>
      <c r="B523" t="s">
        <v>843</v>
      </c>
      <c r="C523" t="s">
        <v>1128</v>
      </c>
    </row>
    <row r="524" spans="1:3" x14ac:dyDescent="0.35">
      <c r="A524" t="s">
        <v>1024</v>
      </c>
      <c r="B524" t="s">
        <v>271</v>
      </c>
      <c r="C524" t="s">
        <v>1025</v>
      </c>
    </row>
    <row r="525" spans="1:3" x14ac:dyDescent="0.35">
      <c r="A525" t="s">
        <v>185</v>
      </c>
      <c r="B525" t="s">
        <v>20</v>
      </c>
      <c r="C525" t="s">
        <v>186</v>
      </c>
    </row>
    <row r="526" spans="1:3" x14ac:dyDescent="0.35">
      <c r="A526" t="s">
        <v>185</v>
      </c>
      <c r="B526" t="s">
        <v>2280</v>
      </c>
      <c r="C526" t="s">
        <v>2290</v>
      </c>
    </row>
    <row r="527" spans="1:3" x14ac:dyDescent="0.35">
      <c r="A527" t="s">
        <v>937</v>
      </c>
      <c r="B527" t="s">
        <v>11</v>
      </c>
      <c r="C527" t="s">
        <v>938</v>
      </c>
    </row>
    <row r="528" spans="1:3" x14ac:dyDescent="0.35">
      <c r="A528" t="s">
        <v>2281</v>
      </c>
      <c r="B528" t="s">
        <v>2282</v>
      </c>
      <c r="C528" t="s">
        <v>2291</v>
      </c>
    </row>
    <row r="529" spans="1:3" x14ac:dyDescent="0.35">
      <c r="A529" t="s">
        <v>1221</v>
      </c>
      <c r="B529" t="s">
        <v>661</v>
      </c>
      <c r="C529" t="s">
        <v>1479</v>
      </c>
    </row>
    <row r="530" spans="1:3" x14ac:dyDescent="0.35">
      <c r="A530" t="s">
        <v>1319</v>
      </c>
      <c r="B530" t="s">
        <v>119</v>
      </c>
      <c r="C530" t="s">
        <v>1702</v>
      </c>
    </row>
    <row r="531" spans="1:3" x14ac:dyDescent="0.35">
      <c r="A531" t="s">
        <v>394</v>
      </c>
      <c r="B531" t="s">
        <v>44</v>
      </c>
      <c r="C531" t="s">
        <v>1360</v>
      </c>
    </row>
    <row r="532" spans="1:3" x14ac:dyDescent="0.35">
      <c r="A532" t="s">
        <v>394</v>
      </c>
      <c r="B532" t="s">
        <v>1085</v>
      </c>
      <c r="C532" t="s">
        <v>1086</v>
      </c>
    </row>
    <row r="533" spans="1:3" x14ac:dyDescent="0.35">
      <c r="A533" t="s">
        <v>394</v>
      </c>
      <c r="B533" t="s">
        <v>395</v>
      </c>
      <c r="C533" t="s">
        <v>1651</v>
      </c>
    </row>
    <row r="534" spans="1:3" x14ac:dyDescent="0.35">
      <c r="A534" t="s">
        <v>394</v>
      </c>
      <c r="B534" t="s">
        <v>1516</v>
      </c>
      <c r="C534" t="s">
        <v>1607</v>
      </c>
    </row>
    <row r="535" spans="1:3" x14ac:dyDescent="0.35">
      <c r="A535" t="s">
        <v>1504</v>
      </c>
      <c r="B535" t="s">
        <v>85</v>
      </c>
      <c r="C535" t="s">
        <v>2342</v>
      </c>
    </row>
    <row r="536" spans="1:3" x14ac:dyDescent="0.35">
      <c r="A536" t="s">
        <v>1504</v>
      </c>
      <c r="B536" t="s">
        <v>1050</v>
      </c>
      <c r="C536" t="s">
        <v>2382</v>
      </c>
    </row>
    <row r="537" spans="1:3" x14ac:dyDescent="0.35">
      <c r="A537" t="s">
        <v>107</v>
      </c>
      <c r="B537" t="s">
        <v>108</v>
      </c>
      <c r="C537" t="s">
        <v>295</v>
      </c>
    </row>
    <row r="538" spans="1:3" x14ac:dyDescent="0.35">
      <c r="A538" t="s">
        <v>660</v>
      </c>
      <c r="B538" t="s">
        <v>471</v>
      </c>
      <c r="C538" t="s">
        <v>921</v>
      </c>
    </row>
    <row r="539" spans="1:3" x14ac:dyDescent="0.35">
      <c r="A539" t="s">
        <v>1052</v>
      </c>
      <c r="B539" t="s">
        <v>28</v>
      </c>
      <c r="C539" t="s">
        <v>1546</v>
      </c>
    </row>
    <row r="540" spans="1:3" x14ac:dyDescent="0.35">
      <c r="A540" t="s">
        <v>692</v>
      </c>
      <c r="B540" t="s">
        <v>200</v>
      </c>
      <c r="C540" t="s">
        <v>693</v>
      </c>
    </row>
    <row r="541" spans="1:3" x14ac:dyDescent="0.35">
      <c r="A541" t="s">
        <v>705</v>
      </c>
      <c r="B541" t="s">
        <v>706</v>
      </c>
      <c r="C541" t="s">
        <v>1598</v>
      </c>
    </row>
    <row r="542" spans="1:3" x14ac:dyDescent="0.35">
      <c r="A542" t="s">
        <v>1342</v>
      </c>
      <c r="B542" t="s">
        <v>1343</v>
      </c>
      <c r="C542" t="s">
        <v>1700</v>
      </c>
    </row>
    <row r="543" spans="1:3" x14ac:dyDescent="0.35">
      <c r="A543" t="s">
        <v>1154</v>
      </c>
      <c r="B543" t="s">
        <v>952</v>
      </c>
      <c r="C543" t="s">
        <v>1155</v>
      </c>
    </row>
    <row r="544" spans="1:3" x14ac:dyDescent="0.35">
      <c r="A544" t="s">
        <v>576</v>
      </c>
      <c r="B544" t="s">
        <v>218</v>
      </c>
      <c r="C544" t="s">
        <v>577</v>
      </c>
    </row>
    <row r="545" spans="1:3" x14ac:dyDescent="0.35">
      <c r="A545" t="s">
        <v>114</v>
      </c>
      <c r="B545" t="s">
        <v>187</v>
      </c>
      <c r="C545" t="s">
        <v>188</v>
      </c>
    </row>
    <row r="546" spans="1:3" x14ac:dyDescent="0.35">
      <c r="A546" t="s">
        <v>1515</v>
      </c>
      <c r="B546" t="s">
        <v>815</v>
      </c>
      <c r="C546" t="s">
        <v>1603</v>
      </c>
    </row>
    <row r="547" spans="1:3" x14ac:dyDescent="0.35">
      <c r="A547" t="s">
        <v>547</v>
      </c>
      <c r="B547" t="s">
        <v>136</v>
      </c>
      <c r="C547" t="s">
        <v>548</v>
      </c>
    </row>
    <row r="548" spans="1:3" x14ac:dyDescent="0.35">
      <c r="A548" t="s">
        <v>170</v>
      </c>
      <c r="B548" t="s">
        <v>171</v>
      </c>
      <c r="C548" t="s">
        <v>172</v>
      </c>
    </row>
    <row r="549" spans="1:3" x14ac:dyDescent="0.35">
      <c r="A549" t="s">
        <v>2322</v>
      </c>
      <c r="B549" t="s">
        <v>429</v>
      </c>
      <c r="C549" t="s">
        <v>2327</v>
      </c>
    </row>
    <row r="550" spans="1:3" x14ac:dyDescent="0.35">
      <c r="A550" t="s">
        <v>865</v>
      </c>
      <c r="B550" t="s">
        <v>115</v>
      </c>
      <c r="C550" t="s">
        <v>1706</v>
      </c>
    </row>
    <row r="551" spans="1:3" x14ac:dyDescent="0.35">
      <c r="A551" t="s">
        <v>144</v>
      </c>
      <c r="B551" t="s">
        <v>139</v>
      </c>
      <c r="C551" t="s">
        <v>145</v>
      </c>
    </row>
    <row r="552" spans="1:3" x14ac:dyDescent="0.35">
      <c r="A552" t="s">
        <v>2405</v>
      </c>
      <c r="B552" t="s">
        <v>136</v>
      </c>
      <c r="C552" s="10" t="s">
        <v>2406</v>
      </c>
    </row>
    <row r="553" spans="1:3" x14ac:dyDescent="0.35">
      <c r="A553" t="s">
        <v>475</v>
      </c>
      <c r="B553" t="s">
        <v>887</v>
      </c>
      <c r="C553" t="s">
        <v>888</v>
      </c>
    </row>
    <row r="554" spans="1:3" x14ac:dyDescent="0.35">
      <c r="A554" t="s">
        <v>1303</v>
      </c>
      <c r="B554" t="s">
        <v>510</v>
      </c>
      <c r="C554" t="s">
        <v>1304</v>
      </c>
    </row>
    <row r="555" spans="1:3" x14ac:dyDescent="0.35">
      <c r="A555" t="s">
        <v>941</v>
      </c>
      <c r="B555" t="s">
        <v>942</v>
      </c>
      <c r="C555" t="s">
        <v>943</v>
      </c>
    </row>
    <row r="556" spans="1:3" x14ac:dyDescent="0.35">
      <c r="A556" t="s">
        <v>1199</v>
      </c>
      <c r="B556" t="s">
        <v>16</v>
      </c>
      <c r="C556" t="s">
        <v>1325</v>
      </c>
    </row>
    <row r="557" spans="1:3" x14ac:dyDescent="0.35">
      <c r="A557" t="s">
        <v>847</v>
      </c>
      <c r="B557" t="s">
        <v>848</v>
      </c>
      <c r="C557" t="s">
        <v>849</v>
      </c>
    </row>
    <row r="558" spans="1:3" x14ac:dyDescent="0.35">
      <c r="A558" t="s">
        <v>567</v>
      </c>
      <c r="B558" t="s">
        <v>568</v>
      </c>
      <c r="C558" t="s">
        <v>569</v>
      </c>
    </row>
    <row r="559" spans="1:3" x14ac:dyDescent="0.35">
      <c r="A559" t="s">
        <v>2618</v>
      </c>
      <c r="B559" t="s">
        <v>1271</v>
      </c>
      <c r="C559" t="s">
        <v>2619</v>
      </c>
    </row>
    <row r="560" spans="1:3" x14ac:dyDescent="0.35">
      <c r="A560" t="s">
        <v>818</v>
      </c>
      <c r="B560" t="s">
        <v>65</v>
      </c>
      <c r="C560" t="s">
        <v>819</v>
      </c>
    </row>
    <row r="561" spans="1:3" x14ac:dyDescent="0.35">
      <c r="A561" t="s">
        <v>2330</v>
      </c>
      <c r="B561" t="s">
        <v>109</v>
      </c>
      <c r="C561" t="s">
        <v>2347</v>
      </c>
    </row>
    <row r="562" spans="1:3" x14ac:dyDescent="0.35">
      <c r="A562" t="s">
        <v>2331</v>
      </c>
      <c r="B562" t="s">
        <v>109</v>
      </c>
      <c r="C562" t="s">
        <v>2346</v>
      </c>
    </row>
    <row r="563" spans="1:3" x14ac:dyDescent="0.35">
      <c r="A563" t="s">
        <v>2332</v>
      </c>
      <c r="B563" t="s">
        <v>109</v>
      </c>
      <c r="C563" t="s">
        <v>2348</v>
      </c>
    </row>
    <row r="564" spans="1:3" x14ac:dyDescent="0.35">
      <c r="A564" t="s">
        <v>531</v>
      </c>
      <c r="B564" t="s">
        <v>271</v>
      </c>
      <c r="C564" t="s">
        <v>532</v>
      </c>
    </row>
    <row r="565" spans="1:3" x14ac:dyDescent="0.35">
      <c r="A565" t="s">
        <v>287</v>
      </c>
      <c r="B565" t="s">
        <v>125</v>
      </c>
      <c r="C565" t="s">
        <v>288</v>
      </c>
    </row>
    <row r="566" spans="1:3" x14ac:dyDescent="0.35">
      <c r="A566" t="s">
        <v>2539</v>
      </c>
      <c r="B566" t="s">
        <v>28</v>
      </c>
      <c r="C566" t="s">
        <v>2540</v>
      </c>
    </row>
    <row r="567" spans="1:3" x14ac:dyDescent="0.35">
      <c r="A567" t="s">
        <v>1231</v>
      </c>
      <c r="B567" t="s">
        <v>56</v>
      </c>
      <c r="C567" t="s">
        <v>1658</v>
      </c>
    </row>
    <row r="568" spans="1:3" x14ac:dyDescent="0.35">
      <c r="A568" t="s">
        <v>857</v>
      </c>
      <c r="B568" t="s">
        <v>13</v>
      </c>
      <c r="C568" t="s">
        <v>1095</v>
      </c>
    </row>
    <row r="569" spans="1:3" x14ac:dyDescent="0.35">
      <c r="A569" t="s">
        <v>2434</v>
      </c>
      <c r="B569" t="s">
        <v>2435</v>
      </c>
      <c r="C569" t="s">
        <v>2687</v>
      </c>
    </row>
    <row r="570" spans="1:3" x14ac:dyDescent="0.35">
      <c r="A570" t="s">
        <v>542</v>
      </c>
      <c r="B570" t="s">
        <v>196</v>
      </c>
      <c r="C570" t="s">
        <v>1532</v>
      </c>
    </row>
    <row r="571" spans="1:3" x14ac:dyDescent="0.35">
      <c r="A571" t="s">
        <v>542</v>
      </c>
      <c r="B571" t="s">
        <v>159</v>
      </c>
      <c r="C571" t="s">
        <v>1564</v>
      </c>
    </row>
    <row r="572" spans="1:3" x14ac:dyDescent="0.35">
      <c r="A572" t="s">
        <v>307</v>
      </c>
      <c r="B572" t="s">
        <v>67</v>
      </c>
      <c r="C572" t="s">
        <v>389</v>
      </c>
    </row>
    <row r="573" spans="1:3" x14ac:dyDescent="0.35">
      <c r="A573" t="s">
        <v>403</v>
      </c>
      <c r="B573" t="s">
        <v>98</v>
      </c>
      <c r="C573" t="s">
        <v>1649</v>
      </c>
    </row>
    <row r="574" spans="1:3" x14ac:dyDescent="0.35">
      <c r="A574" t="s">
        <v>1076</v>
      </c>
      <c r="B574" t="s">
        <v>139</v>
      </c>
      <c r="C574" t="s">
        <v>1077</v>
      </c>
    </row>
    <row r="575" spans="1:3" x14ac:dyDescent="0.35">
      <c r="A575" t="s">
        <v>1233</v>
      </c>
      <c r="B575" t="s">
        <v>196</v>
      </c>
      <c r="C575" t="s">
        <v>1572</v>
      </c>
    </row>
    <row r="576" spans="1:3" x14ac:dyDescent="0.35">
      <c r="A576" t="s">
        <v>906</v>
      </c>
      <c r="B576" t="s">
        <v>1299</v>
      </c>
      <c r="C576" t="s">
        <v>1688</v>
      </c>
    </row>
    <row r="577" spans="1:3" x14ac:dyDescent="0.35">
      <c r="A577" t="s">
        <v>906</v>
      </c>
      <c r="B577" t="s">
        <v>44</v>
      </c>
      <c r="C577" t="s">
        <v>907</v>
      </c>
    </row>
    <row r="578" spans="1:3" x14ac:dyDescent="0.35">
      <c r="A578" t="s">
        <v>92</v>
      </c>
      <c r="B578" t="s">
        <v>93</v>
      </c>
      <c r="C578" t="s">
        <v>223</v>
      </c>
    </row>
    <row r="579" spans="1:3" x14ac:dyDescent="0.35">
      <c r="A579" t="s">
        <v>709</v>
      </c>
      <c r="B579" t="s">
        <v>13</v>
      </c>
      <c r="C579" t="s">
        <v>1068</v>
      </c>
    </row>
    <row r="580" spans="1:3" x14ac:dyDescent="0.35">
      <c r="A580" t="s">
        <v>2443</v>
      </c>
      <c r="B580" t="s">
        <v>2444</v>
      </c>
      <c r="C580" t="s">
        <v>2445</v>
      </c>
    </row>
    <row r="581" spans="1:3" x14ac:dyDescent="0.35">
      <c r="A581" t="s">
        <v>1000</v>
      </c>
      <c r="B581" t="s">
        <v>908</v>
      </c>
      <c r="C581" t="s">
        <v>1001</v>
      </c>
    </row>
    <row r="582" spans="1:3" x14ac:dyDescent="0.35">
      <c r="A582" t="s">
        <v>390</v>
      </c>
      <c r="B582" t="s">
        <v>391</v>
      </c>
      <c r="C582" t="s">
        <v>392</v>
      </c>
    </row>
    <row r="583" spans="1:3" x14ac:dyDescent="0.35">
      <c r="A583" t="s">
        <v>1439</v>
      </c>
      <c r="B583" t="s">
        <v>384</v>
      </c>
      <c r="C583" t="s">
        <v>1482</v>
      </c>
    </row>
    <row r="584" spans="1:3" x14ac:dyDescent="0.35">
      <c r="A584" t="s">
        <v>1283</v>
      </c>
      <c r="B584" t="s">
        <v>808</v>
      </c>
      <c r="C584" t="s">
        <v>1284</v>
      </c>
    </row>
    <row r="585" spans="1:3" x14ac:dyDescent="0.35">
      <c r="A585" t="s">
        <v>445</v>
      </c>
      <c r="B585" t="s">
        <v>446</v>
      </c>
      <c r="C585" t="s">
        <v>447</v>
      </c>
    </row>
    <row r="586" spans="1:3" x14ac:dyDescent="0.35">
      <c r="A586" t="s">
        <v>820</v>
      </c>
      <c r="B586" t="s">
        <v>471</v>
      </c>
      <c r="C586" t="s">
        <v>1554</v>
      </c>
    </row>
    <row r="587" spans="1:3" x14ac:dyDescent="0.35">
      <c r="A587" t="s">
        <v>2483</v>
      </c>
      <c r="B587" t="s">
        <v>2484</v>
      </c>
      <c r="C587" s="11" t="s">
        <v>2485</v>
      </c>
    </row>
    <row r="588" spans="1:3" x14ac:dyDescent="0.35">
      <c r="A588" t="s">
        <v>60</v>
      </c>
      <c r="B588" t="s">
        <v>61</v>
      </c>
      <c r="C588" t="s">
        <v>1489</v>
      </c>
    </row>
    <row r="589" spans="1:3" x14ac:dyDescent="0.35">
      <c r="A589" t="s">
        <v>217</v>
      </c>
      <c r="B589" t="s">
        <v>218</v>
      </c>
      <c r="C589" t="s">
        <v>219</v>
      </c>
    </row>
    <row r="590" spans="1:3" x14ac:dyDescent="0.35">
      <c r="A590" t="s">
        <v>633</v>
      </c>
      <c r="B590" t="s">
        <v>634</v>
      </c>
      <c r="C590" t="s">
        <v>635</v>
      </c>
    </row>
    <row r="591" spans="1:3" x14ac:dyDescent="0.35">
      <c r="A591" t="s">
        <v>2512</v>
      </c>
      <c r="B591" t="s">
        <v>659</v>
      </c>
      <c r="C591" t="s">
        <v>2513</v>
      </c>
    </row>
    <row r="592" spans="1:3" x14ac:dyDescent="0.35">
      <c r="A592" t="s">
        <v>2285</v>
      </c>
      <c r="B592" t="s">
        <v>2286</v>
      </c>
      <c r="C592" t="s">
        <v>2293</v>
      </c>
    </row>
    <row r="593" spans="1:3" x14ac:dyDescent="0.35">
      <c r="A593" t="s">
        <v>860</v>
      </c>
      <c r="B593" t="s">
        <v>861</v>
      </c>
      <c r="C593" t="s">
        <v>1633</v>
      </c>
    </row>
    <row r="594" spans="1:3" x14ac:dyDescent="0.35">
      <c r="A594" t="s">
        <v>2470</v>
      </c>
      <c r="B594" t="s">
        <v>218</v>
      </c>
      <c r="C594" t="s">
        <v>2471</v>
      </c>
    </row>
    <row r="595" spans="1:3" x14ac:dyDescent="0.35">
      <c r="A595" t="s">
        <v>890</v>
      </c>
      <c r="B595" t="s">
        <v>81</v>
      </c>
      <c r="C595" t="s">
        <v>1074</v>
      </c>
    </row>
    <row r="596" spans="1:3" x14ac:dyDescent="0.35">
      <c r="A596" t="s">
        <v>890</v>
      </c>
      <c r="B596" t="s">
        <v>2335</v>
      </c>
      <c r="C596" t="s">
        <v>2350</v>
      </c>
    </row>
    <row r="597" spans="1:3" x14ac:dyDescent="0.35">
      <c r="A597" t="s">
        <v>715</v>
      </c>
      <c r="B597" t="s">
        <v>11</v>
      </c>
      <c r="C597" t="s">
        <v>1412</v>
      </c>
    </row>
    <row r="598" spans="1:3" x14ac:dyDescent="0.35">
      <c r="A598" t="s">
        <v>313</v>
      </c>
      <c r="B598" t="s">
        <v>314</v>
      </c>
      <c r="C598" t="s">
        <v>315</v>
      </c>
    </row>
    <row r="599" spans="1:3" x14ac:dyDescent="0.35">
      <c r="A599" t="s">
        <v>1100</v>
      </c>
      <c r="B599" t="s">
        <v>487</v>
      </c>
      <c r="C599" t="s">
        <v>1260</v>
      </c>
    </row>
    <row r="600" spans="1:3" x14ac:dyDescent="0.35">
      <c r="A600" t="s">
        <v>1100</v>
      </c>
      <c r="B600" t="s">
        <v>1101</v>
      </c>
      <c r="C600" t="s">
        <v>1645</v>
      </c>
    </row>
    <row r="601" spans="1:3" x14ac:dyDescent="0.35">
      <c r="A601" t="s">
        <v>585</v>
      </c>
      <c r="B601" t="s">
        <v>136</v>
      </c>
      <c r="C601" t="s">
        <v>586</v>
      </c>
    </row>
    <row r="602" spans="1:3" x14ac:dyDescent="0.35">
      <c r="A602" t="s">
        <v>585</v>
      </c>
      <c r="B602" t="s">
        <v>676</v>
      </c>
      <c r="C602" t="s">
        <v>677</v>
      </c>
    </row>
    <row r="603" spans="1:3" x14ac:dyDescent="0.35">
      <c r="A603" t="s">
        <v>304</v>
      </c>
      <c r="B603" t="s">
        <v>1411</v>
      </c>
      <c r="C603" t="s">
        <v>1588</v>
      </c>
    </row>
    <row r="604" spans="1:3" x14ac:dyDescent="0.35">
      <c r="A604" t="s">
        <v>304</v>
      </c>
      <c r="B604" t="s">
        <v>65</v>
      </c>
      <c r="C604" t="s">
        <v>305</v>
      </c>
    </row>
    <row r="605" spans="1:3" x14ac:dyDescent="0.35">
      <c r="A605" t="s">
        <v>304</v>
      </c>
      <c r="B605" t="s">
        <v>1003</v>
      </c>
      <c r="C605" t="s">
        <v>1621</v>
      </c>
    </row>
    <row r="606" spans="1:3" x14ac:dyDescent="0.35">
      <c r="A606" t="s">
        <v>486</v>
      </c>
      <c r="B606" t="s">
        <v>487</v>
      </c>
      <c r="C606" t="s">
        <v>488</v>
      </c>
    </row>
    <row r="607" spans="1:3" x14ac:dyDescent="0.35">
      <c r="A607" t="s">
        <v>1392</v>
      </c>
      <c r="B607" t="s">
        <v>1393</v>
      </c>
      <c r="C607" t="s">
        <v>1394</v>
      </c>
    </row>
    <row r="608" spans="1:3" x14ac:dyDescent="0.35">
      <c r="A608" t="s">
        <v>529</v>
      </c>
      <c r="B608" t="s">
        <v>530</v>
      </c>
      <c r="C608" t="s">
        <v>1573</v>
      </c>
    </row>
    <row r="609" spans="1:3" x14ac:dyDescent="0.35">
      <c r="A609" t="s">
        <v>970</v>
      </c>
      <c r="B609" t="s">
        <v>971</v>
      </c>
      <c r="C609" t="s">
        <v>1595</v>
      </c>
    </row>
    <row r="610" spans="1:3" x14ac:dyDescent="0.35">
      <c r="A610" t="s">
        <v>1308</v>
      </c>
      <c r="B610" t="s">
        <v>1309</v>
      </c>
      <c r="C610" t="s">
        <v>1310</v>
      </c>
    </row>
    <row r="611" spans="1:3" x14ac:dyDescent="0.35">
      <c r="A611" t="s">
        <v>248</v>
      </c>
      <c r="B611" t="s">
        <v>249</v>
      </c>
      <c r="C611" t="s">
        <v>250</v>
      </c>
    </row>
    <row r="612" spans="1:3" x14ac:dyDescent="0.35">
      <c r="A612" t="s">
        <v>1225</v>
      </c>
      <c r="B612" t="s">
        <v>1226</v>
      </c>
      <c r="C612" t="s">
        <v>1476</v>
      </c>
    </row>
    <row r="613" spans="1:3" x14ac:dyDescent="0.35">
      <c r="A613" t="s">
        <v>1219</v>
      </c>
      <c r="B613" t="s">
        <v>1220</v>
      </c>
      <c r="C613" t="s">
        <v>1256</v>
      </c>
    </row>
    <row r="614" spans="1:3" x14ac:dyDescent="0.35">
      <c r="A614" t="s">
        <v>409</v>
      </c>
      <c r="B614" t="s">
        <v>408</v>
      </c>
      <c r="C614" t="s">
        <v>1481</v>
      </c>
    </row>
    <row r="615" spans="1:3" x14ac:dyDescent="0.35">
      <c r="A615" t="s">
        <v>2581</v>
      </c>
      <c r="B615" t="s">
        <v>768</v>
      </c>
      <c r="C615" t="s">
        <v>2582</v>
      </c>
    </row>
    <row r="616" spans="1:3" x14ac:dyDescent="0.35">
      <c r="A616" t="s">
        <v>2553</v>
      </c>
      <c r="B616" t="s">
        <v>415</v>
      </c>
      <c r="C616" t="s">
        <v>2554</v>
      </c>
    </row>
    <row r="617" spans="1:3" x14ac:dyDescent="0.35">
      <c r="A617" t="s">
        <v>2553</v>
      </c>
      <c r="B617" t="s">
        <v>2559</v>
      </c>
      <c r="C617" t="s">
        <v>2560</v>
      </c>
    </row>
    <row r="618" spans="1:3" x14ac:dyDescent="0.35">
      <c r="A618" t="s">
        <v>323</v>
      </c>
      <c r="B618" t="s">
        <v>324</v>
      </c>
      <c r="C618" t="s">
        <v>325</v>
      </c>
    </row>
    <row r="619" spans="1:3" x14ac:dyDescent="0.35">
      <c r="A619" t="s">
        <v>772</v>
      </c>
      <c r="B619" t="s">
        <v>463</v>
      </c>
      <c r="C619" t="s">
        <v>1660</v>
      </c>
    </row>
    <row r="620" spans="1:3" x14ac:dyDescent="0.35">
      <c r="A620" t="s">
        <v>1281</v>
      </c>
      <c r="B620" t="s">
        <v>16</v>
      </c>
      <c r="C620" t="s">
        <v>1282</v>
      </c>
    </row>
    <row r="621" spans="1:3" x14ac:dyDescent="0.35">
      <c r="A621" t="s">
        <v>2555</v>
      </c>
      <c r="B621" t="s">
        <v>44</v>
      </c>
      <c r="C621" t="s">
        <v>2556</v>
      </c>
    </row>
    <row r="622" spans="1:3" x14ac:dyDescent="0.35">
      <c r="A622" t="s">
        <v>2298</v>
      </c>
      <c r="B622" t="s">
        <v>28</v>
      </c>
      <c r="C622" t="s">
        <v>2299</v>
      </c>
    </row>
    <row r="623" spans="1:3" x14ac:dyDescent="0.35">
      <c r="A623" t="s">
        <v>1291</v>
      </c>
      <c r="B623" t="s">
        <v>58</v>
      </c>
      <c r="C623" t="s">
        <v>1292</v>
      </c>
    </row>
    <row r="624" spans="1:3" x14ac:dyDescent="0.35">
      <c r="A624" t="s">
        <v>858</v>
      </c>
      <c r="B624" t="s">
        <v>859</v>
      </c>
      <c r="C624" t="s">
        <v>1690</v>
      </c>
    </row>
    <row r="625" spans="1:3" x14ac:dyDescent="0.35">
      <c r="A625" t="s">
        <v>841</v>
      </c>
      <c r="B625" t="s">
        <v>139</v>
      </c>
      <c r="C625" t="s">
        <v>842</v>
      </c>
    </row>
    <row r="626" spans="1:3" x14ac:dyDescent="0.35">
      <c r="A626" t="s">
        <v>1038</v>
      </c>
      <c r="B626" t="s">
        <v>28</v>
      </c>
      <c r="C626" t="s">
        <v>1039</v>
      </c>
    </row>
    <row r="627" spans="1:3" x14ac:dyDescent="0.35">
      <c r="A627" t="s">
        <v>1459</v>
      </c>
      <c r="B627" t="s">
        <v>516</v>
      </c>
      <c r="C627" t="s">
        <v>1538</v>
      </c>
    </row>
    <row r="628" spans="1:3" x14ac:dyDescent="0.35">
      <c r="A628" t="s">
        <v>2467</v>
      </c>
      <c r="B628" t="s">
        <v>196</v>
      </c>
      <c r="C628" t="s">
        <v>2468</v>
      </c>
    </row>
    <row r="629" spans="1:3" x14ac:dyDescent="0.35">
      <c r="A629" t="s">
        <v>1078</v>
      </c>
      <c r="B629" t="s">
        <v>471</v>
      </c>
      <c r="C629" t="s">
        <v>1079</v>
      </c>
    </row>
    <row r="630" spans="1:3" x14ac:dyDescent="0.35">
      <c r="A630" t="s">
        <v>2333</v>
      </c>
      <c r="B630" t="s">
        <v>109</v>
      </c>
      <c r="C630" t="s">
        <v>2352</v>
      </c>
    </row>
    <row r="631" spans="1:3" x14ac:dyDescent="0.35">
      <c r="A631" t="s">
        <v>2334</v>
      </c>
      <c r="B631" t="s">
        <v>399</v>
      </c>
      <c r="C631" t="s">
        <v>2351</v>
      </c>
    </row>
    <row r="632" spans="1:3" x14ac:dyDescent="0.35">
      <c r="A632" t="s">
        <v>2534</v>
      </c>
      <c r="B632" t="s">
        <v>495</v>
      </c>
      <c r="C632" t="s">
        <v>2535</v>
      </c>
    </row>
    <row r="633" spans="1:3" x14ac:dyDescent="0.35">
      <c r="A633" t="s">
        <v>526</v>
      </c>
      <c r="B633" t="s">
        <v>136</v>
      </c>
      <c r="C633" t="s">
        <v>1545</v>
      </c>
    </row>
    <row r="634" spans="1:3" x14ac:dyDescent="0.35">
      <c r="A634" t="s">
        <v>2415</v>
      </c>
      <c r="B634" t="s">
        <v>159</v>
      </c>
      <c r="C634" s="10" t="s">
        <v>2416</v>
      </c>
    </row>
    <row r="635" spans="1:3" x14ac:dyDescent="0.35">
      <c r="A635" t="s">
        <v>1103</v>
      </c>
      <c r="B635" t="s">
        <v>136</v>
      </c>
      <c r="C635" t="s">
        <v>1104</v>
      </c>
    </row>
    <row r="636" spans="1:3" x14ac:dyDescent="0.35">
      <c r="A636" t="s">
        <v>2641</v>
      </c>
      <c r="B636" t="s">
        <v>361</v>
      </c>
      <c r="C636" t="s">
        <v>2642</v>
      </c>
    </row>
    <row r="637" spans="1:3" x14ac:dyDescent="0.35">
      <c r="A637" t="s">
        <v>2632</v>
      </c>
      <c r="B637" t="s">
        <v>2633</v>
      </c>
      <c r="C637" t="s">
        <v>2634</v>
      </c>
    </row>
    <row r="638" spans="1:3" x14ac:dyDescent="0.35">
      <c r="A638" t="s">
        <v>1066</v>
      </c>
      <c r="B638" t="s">
        <v>142</v>
      </c>
      <c r="C638" t="s">
        <v>1067</v>
      </c>
    </row>
    <row r="639" spans="1:3" x14ac:dyDescent="0.35">
      <c r="A639" t="s">
        <v>22</v>
      </c>
      <c r="B639" t="s">
        <v>181</v>
      </c>
      <c r="C639" t="s">
        <v>1597</v>
      </c>
    </row>
    <row r="640" spans="1:3" x14ac:dyDescent="0.35">
      <c r="A640" t="s">
        <v>27</v>
      </c>
      <c r="B640" t="s">
        <v>28</v>
      </c>
      <c r="C640" t="s">
        <v>1612</v>
      </c>
    </row>
    <row r="641" spans="1:3" x14ac:dyDescent="0.35">
      <c r="A641" t="s">
        <v>27</v>
      </c>
      <c r="B641" t="s">
        <v>192</v>
      </c>
      <c r="C641" t="s">
        <v>193</v>
      </c>
    </row>
    <row r="642" spans="1:3" x14ac:dyDescent="0.35">
      <c r="A642" t="s">
        <v>775</v>
      </c>
      <c r="B642" t="s">
        <v>139</v>
      </c>
      <c r="C642" t="s">
        <v>776</v>
      </c>
    </row>
    <row r="643" spans="1:3" x14ac:dyDescent="0.35">
      <c r="A643" t="s">
        <v>1244</v>
      </c>
      <c r="B643" t="s">
        <v>324</v>
      </c>
      <c r="C643" t="s">
        <v>1245</v>
      </c>
    </row>
    <row r="644" spans="1:3" x14ac:dyDescent="0.35">
      <c r="A644" t="s">
        <v>302</v>
      </c>
      <c r="B644" t="s">
        <v>81</v>
      </c>
      <c r="C644" t="s">
        <v>303</v>
      </c>
    </row>
    <row r="645" spans="1:3" x14ac:dyDescent="0.35">
      <c r="A645" t="s">
        <v>2541</v>
      </c>
      <c r="B645" t="s">
        <v>384</v>
      </c>
      <c r="C645" t="s">
        <v>2542</v>
      </c>
    </row>
    <row r="646" spans="1:3" x14ac:dyDescent="0.35">
      <c r="A646" t="s">
        <v>2398</v>
      </c>
      <c r="B646" t="s">
        <v>1955</v>
      </c>
      <c r="C646" s="10" t="s">
        <v>2399</v>
      </c>
    </row>
    <row r="647" spans="1:3" x14ac:dyDescent="0.35">
      <c r="A647" t="s">
        <v>2398</v>
      </c>
      <c r="B647" t="s">
        <v>1514</v>
      </c>
      <c r="C647" t="s">
        <v>2504</v>
      </c>
    </row>
    <row r="648" spans="1:3" x14ac:dyDescent="0.35">
      <c r="A648" t="s">
        <v>640</v>
      </c>
      <c r="B648" t="s">
        <v>410</v>
      </c>
      <c r="C648" t="s">
        <v>641</v>
      </c>
    </row>
    <row r="649" spans="1:3" x14ac:dyDescent="0.35">
      <c r="A649" t="s">
        <v>2300</v>
      </c>
      <c r="B649" t="s">
        <v>2301</v>
      </c>
      <c r="C649" t="s">
        <v>2302</v>
      </c>
    </row>
    <row r="650" spans="1:3" x14ac:dyDescent="0.35">
      <c r="A650" t="s">
        <v>1239</v>
      </c>
      <c r="B650" t="s">
        <v>196</v>
      </c>
      <c r="C650" t="s">
        <v>1472</v>
      </c>
    </row>
    <row r="651" spans="1:3" x14ac:dyDescent="0.35">
      <c r="A651" t="s">
        <v>57</v>
      </c>
      <c r="B651" t="s">
        <v>58</v>
      </c>
      <c r="C651" t="s">
        <v>1096</v>
      </c>
    </row>
    <row r="652" spans="1:3" x14ac:dyDescent="0.35">
      <c r="A652" t="s">
        <v>57</v>
      </c>
      <c r="B652" t="s">
        <v>370</v>
      </c>
      <c r="C652" t="s">
        <v>371</v>
      </c>
    </row>
    <row r="653" spans="1:3" x14ac:dyDescent="0.35">
      <c r="A653" t="s">
        <v>57</v>
      </c>
      <c r="B653" t="s">
        <v>350</v>
      </c>
      <c r="C653" t="s">
        <v>1637</v>
      </c>
    </row>
    <row r="654" spans="1:3" x14ac:dyDescent="0.35">
      <c r="A654" t="s">
        <v>57</v>
      </c>
      <c r="B654" t="s">
        <v>480</v>
      </c>
      <c r="C654" t="s">
        <v>2683</v>
      </c>
    </row>
    <row r="655" spans="1:3" x14ac:dyDescent="0.35">
      <c r="A655" t="s">
        <v>1507</v>
      </c>
      <c r="B655" t="s">
        <v>153</v>
      </c>
      <c r="C655" t="s">
        <v>1606</v>
      </c>
    </row>
    <row r="656" spans="1:3" x14ac:dyDescent="0.35">
      <c r="A656" t="s">
        <v>2373</v>
      </c>
      <c r="B656" t="s">
        <v>2374</v>
      </c>
      <c r="C656" t="s">
        <v>2375</v>
      </c>
    </row>
    <row r="657" spans="1:3" x14ac:dyDescent="0.35">
      <c r="A657" t="s">
        <v>358</v>
      </c>
      <c r="B657" t="s">
        <v>77</v>
      </c>
      <c r="C657" t="s">
        <v>1324</v>
      </c>
    </row>
    <row r="658" spans="1:3" x14ac:dyDescent="0.35">
      <c r="A658" t="s">
        <v>358</v>
      </c>
      <c r="B658" t="s">
        <v>359</v>
      </c>
      <c r="C658" t="s">
        <v>1676</v>
      </c>
    </row>
    <row r="659" spans="1:3" x14ac:dyDescent="0.35">
      <c r="A659" t="s">
        <v>76</v>
      </c>
      <c r="B659" t="s">
        <v>77</v>
      </c>
      <c r="C659" t="s">
        <v>1463</v>
      </c>
    </row>
    <row r="660" spans="1:3" x14ac:dyDescent="0.35">
      <c r="A660" t="s">
        <v>51</v>
      </c>
      <c r="B660" t="s">
        <v>153</v>
      </c>
      <c r="C660" t="s">
        <v>454</v>
      </c>
    </row>
    <row r="661" spans="1:3" x14ac:dyDescent="0.35">
      <c r="A661" t="s">
        <v>1080</v>
      </c>
      <c r="B661" t="s">
        <v>25</v>
      </c>
      <c r="C661" t="s">
        <v>1081</v>
      </c>
    </row>
    <row r="662" spans="1:3" x14ac:dyDescent="0.35">
      <c r="A662" t="s">
        <v>168</v>
      </c>
      <c r="B662" t="s">
        <v>136</v>
      </c>
      <c r="C662" t="s">
        <v>1693</v>
      </c>
    </row>
    <row r="663" spans="1:3" x14ac:dyDescent="0.35">
      <c r="A663" t="s">
        <v>17</v>
      </c>
      <c r="B663" t="s">
        <v>18</v>
      </c>
      <c r="C663" t="s">
        <v>1480</v>
      </c>
    </row>
    <row r="664" spans="1:3" x14ac:dyDescent="0.35">
      <c r="A664" t="s">
        <v>25</v>
      </c>
      <c r="B664" t="s">
        <v>16</v>
      </c>
      <c r="C664" t="s">
        <v>1108</v>
      </c>
    </row>
    <row r="665" spans="1:3" x14ac:dyDescent="0.35">
      <c r="A665" t="s">
        <v>25</v>
      </c>
      <c r="B665" t="s">
        <v>26</v>
      </c>
      <c r="C665" t="s">
        <v>1677</v>
      </c>
    </row>
    <row r="666" spans="1:3" x14ac:dyDescent="0.35">
      <c r="A666" t="s">
        <v>2667</v>
      </c>
      <c r="B666" t="s">
        <v>2668</v>
      </c>
      <c r="C666" t="s">
        <v>2679</v>
      </c>
    </row>
    <row r="667" spans="1:3" x14ac:dyDescent="0.35">
      <c r="A667" t="s">
        <v>1082</v>
      </c>
      <c r="B667" t="s">
        <v>52</v>
      </c>
      <c r="C667" t="s">
        <v>1694</v>
      </c>
    </row>
    <row r="668" spans="1:3" x14ac:dyDescent="0.35">
      <c r="A668" t="s">
        <v>1073</v>
      </c>
      <c r="B668" t="s">
        <v>744</v>
      </c>
      <c r="C668" t="s">
        <v>1627</v>
      </c>
    </row>
    <row r="669" spans="1:3" x14ac:dyDescent="0.35">
      <c r="A669" t="s">
        <v>95</v>
      </c>
      <c r="B669" t="s">
        <v>71</v>
      </c>
      <c r="C669" t="s">
        <v>209</v>
      </c>
    </row>
    <row r="670" spans="1:3" x14ac:dyDescent="0.35">
      <c r="A670" t="s">
        <v>363</v>
      </c>
      <c r="B670" t="s">
        <v>364</v>
      </c>
      <c r="C670" t="s">
        <v>365</v>
      </c>
    </row>
    <row r="671" spans="1:3" x14ac:dyDescent="0.35">
      <c r="A671" t="s">
        <v>2573</v>
      </c>
      <c r="B671" t="s">
        <v>187</v>
      </c>
      <c r="C671" t="s">
        <v>2574</v>
      </c>
    </row>
    <row r="672" spans="1:3" x14ac:dyDescent="0.35">
      <c r="A672" t="s">
        <v>1363</v>
      </c>
      <c r="B672" t="s">
        <v>1364</v>
      </c>
      <c r="C672" t="s">
        <v>1365</v>
      </c>
    </row>
    <row r="673" spans="1:3" x14ac:dyDescent="0.35">
      <c r="A673" t="s">
        <v>2428</v>
      </c>
      <c r="B673" t="s">
        <v>2429</v>
      </c>
      <c r="C673" s="10" t="s">
        <v>2430</v>
      </c>
    </row>
    <row r="674" spans="1:3" x14ac:dyDescent="0.35">
      <c r="A674" t="s">
        <v>1237</v>
      </c>
      <c r="B674" t="s">
        <v>1238</v>
      </c>
      <c r="C674" t="s">
        <v>1498</v>
      </c>
    </row>
    <row r="675" spans="1:3" x14ac:dyDescent="0.35">
      <c r="A675" t="s">
        <v>993</v>
      </c>
      <c r="B675" t="s">
        <v>205</v>
      </c>
      <c r="C675" t="s">
        <v>994</v>
      </c>
    </row>
    <row r="676" spans="1:3" x14ac:dyDescent="0.35">
      <c r="A676" t="s">
        <v>1121</v>
      </c>
      <c r="B676" t="s">
        <v>13</v>
      </c>
      <c r="C676" t="s">
        <v>1122</v>
      </c>
    </row>
    <row r="677" spans="1:3" x14ac:dyDescent="0.35">
      <c r="A677" t="s">
        <v>882</v>
      </c>
      <c r="B677" t="s">
        <v>388</v>
      </c>
      <c r="C677" t="s">
        <v>1657</v>
      </c>
    </row>
    <row r="678" spans="1:3" x14ac:dyDescent="0.35">
      <c r="A678" t="s">
        <v>1224</v>
      </c>
      <c r="B678" t="s">
        <v>782</v>
      </c>
      <c r="C678" t="s">
        <v>1475</v>
      </c>
    </row>
    <row r="679" spans="1:3" x14ac:dyDescent="0.35">
      <c r="A679" t="s">
        <v>551</v>
      </c>
      <c r="B679" t="s">
        <v>552</v>
      </c>
      <c r="C679" t="s">
        <v>1695</v>
      </c>
    </row>
    <row r="680" spans="1:3" x14ac:dyDescent="0.35">
      <c r="A680" t="s">
        <v>1169</v>
      </c>
      <c r="B680" t="s">
        <v>56</v>
      </c>
      <c r="C680" t="s">
        <v>1574</v>
      </c>
    </row>
    <row r="681" spans="1:3" x14ac:dyDescent="0.35">
      <c r="A681" t="s">
        <v>135</v>
      </c>
      <c r="B681" t="s">
        <v>136</v>
      </c>
      <c r="C681" t="s">
        <v>137</v>
      </c>
    </row>
    <row r="682" spans="1:3" x14ac:dyDescent="0.35">
      <c r="A682" t="s">
        <v>135</v>
      </c>
      <c r="B682" t="s">
        <v>1073</v>
      </c>
      <c r="C682" t="s">
        <v>2643</v>
      </c>
    </row>
    <row r="683" spans="1:3" x14ac:dyDescent="0.35">
      <c r="A683" t="s">
        <v>563</v>
      </c>
      <c r="B683" t="s">
        <v>564</v>
      </c>
      <c r="C683" t="s">
        <v>565</v>
      </c>
    </row>
    <row r="684" spans="1:3" x14ac:dyDescent="0.35">
      <c r="A684" t="s">
        <v>1387</v>
      </c>
      <c r="B684" t="s">
        <v>391</v>
      </c>
      <c r="C684" t="s">
        <v>1388</v>
      </c>
    </row>
    <row r="685" spans="1:3" x14ac:dyDescent="0.35">
      <c r="A685" t="s">
        <v>1144</v>
      </c>
      <c r="B685" t="s">
        <v>44</v>
      </c>
      <c r="C685" t="s">
        <v>1145</v>
      </c>
    </row>
    <row r="686" spans="1:3" x14ac:dyDescent="0.35">
      <c r="A686" t="s">
        <v>2476</v>
      </c>
      <c r="B686" t="s">
        <v>77</v>
      </c>
      <c r="C686" t="s">
        <v>2477</v>
      </c>
    </row>
    <row r="687" spans="1:3" x14ac:dyDescent="0.35">
      <c r="A687" t="s">
        <v>724</v>
      </c>
      <c r="B687" t="s">
        <v>725</v>
      </c>
      <c r="C687" t="s">
        <v>726</v>
      </c>
    </row>
    <row r="688" spans="1:3" x14ac:dyDescent="0.35">
      <c r="A688" t="s">
        <v>850</v>
      </c>
      <c r="B688" t="s">
        <v>851</v>
      </c>
      <c r="C688" t="s">
        <v>852</v>
      </c>
    </row>
    <row r="689" spans="1:3" x14ac:dyDescent="0.35">
      <c r="A689" t="s">
        <v>285</v>
      </c>
      <c r="B689" t="s">
        <v>119</v>
      </c>
      <c r="C689" t="s">
        <v>286</v>
      </c>
    </row>
    <row r="690" spans="1:3" x14ac:dyDescent="0.35">
      <c r="A690" t="s">
        <v>118</v>
      </c>
      <c r="B690" t="s">
        <v>415</v>
      </c>
      <c r="C690" t="s">
        <v>1464</v>
      </c>
    </row>
    <row r="691" spans="1:3" x14ac:dyDescent="0.35">
      <c r="A691" t="s">
        <v>118</v>
      </c>
      <c r="B691" t="s">
        <v>243</v>
      </c>
      <c r="C691" t="s">
        <v>244</v>
      </c>
    </row>
    <row r="692" spans="1:3" x14ac:dyDescent="0.35">
      <c r="A692" t="s">
        <v>455</v>
      </c>
      <c r="B692" t="s">
        <v>136</v>
      </c>
      <c r="C692" t="s">
        <v>456</v>
      </c>
    </row>
    <row r="693" spans="1:3" x14ac:dyDescent="0.35">
      <c r="A693" t="s">
        <v>501</v>
      </c>
      <c r="B693" t="s">
        <v>502</v>
      </c>
      <c r="C693" t="s">
        <v>503</v>
      </c>
    </row>
    <row r="694" spans="1:3" x14ac:dyDescent="0.35">
      <c r="A694" t="s">
        <v>412</v>
      </c>
      <c r="B694" t="s">
        <v>77</v>
      </c>
      <c r="C694" t="s">
        <v>1477</v>
      </c>
    </row>
    <row r="695" spans="1:3" x14ac:dyDescent="0.35">
      <c r="A695" t="s">
        <v>1517</v>
      </c>
      <c r="B695" t="s">
        <v>1005</v>
      </c>
      <c r="C695" t="s">
        <v>1523</v>
      </c>
    </row>
    <row r="696" spans="1:3" x14ac:dyDescent="0.35">
      <c r="A696" t="s">
        <v>1075</v>
      </c>
      <c r="B696" t="s">
        <v>232</v>
      </c>
      <c r="C696" t="s">
        <v>1685</v>
      </c>
    </row>
    <row r="697" spans="1:3" x14ac:dyDescent="0.35">
      <c r="A697" t="s">
        <v>1075</v>
      </c>
      <c r="B697" t="s">
        <v>942</v>
      </c>
      <c r="C697" t="s">
        <v>2394</v>
      </c>
    </row>
    <row r="698" spans="1:3" x14ac:dyDescent="0.35">
      <c r="A698" t="s">
        <v>105</v>
      </c>
      <c r="B698" t="s">
        <v>106</v>
      </c>
      <c r="C698" t="s">
        <v>620</v>
      </c>
    </row>
    <row r="699" spans="1:3" x14ac:dyDescent="0.35">
      <c r="A699" t="s">
        <v>1114</v>
      </c>
      <c r="B699" t="s">
        <v>1019</v>
      </c>
      <c r="C699" t="s">
        <v>1648</v>
      </c>
    </row>
    <row r="700" spans="1:3" x14ac:dyDescent="0.35">
      <c r="A700" t="s">
        <v>2672</v>
      </c>
      <c r="B700" t="s">
        <v>16</v>
      </c>
      <c r="C700" t="s">
        <v>2688</v>
      </c>
    </row>
    <row r="701" spans="1:3" x14ac:dyDescent="0.35">
      <c r="A701" t="s">
        <v>540</v>
      </c>
      <c r="B701" t="s">
        <v>65</v>
      </c>
      <c r="C701" t="s">
        <v>541</v>
      </c>
    </row>
    <row r="702" spans="1:3" x14ac:dyDescent="0.35">
      <c r="A702" t="s">
        <v>714</v>
      </c>
      <c r="B702" t="s">
        <v>528</v>
      </c>
      <c r="C702" t="s">
        <v>1547</v>
      </c>
    </row>
    <row r="703" spans="1:3" x14ac:dyDescent="0.35">
      <c r="A703" t="s">
        <v>748</v>
      </c>
      <c r="B703" t="s">
        <v>89</v>
      </c>
      <c r="C703" t="s">
        <v>987</v>
      </c>
    </row>
    <row r="704" spans="1:3" x14ac:dyDescent="0.35">
      <c r="A704" t="s">
        <v>1240</v>
      </c>
      <c r="B704" t="s">
        <v>384</v>
      </c>
      <c r="C704" t="s">
        <v>1483</v>
      </c>
    </row>
    <row r="705" spans="1:3" x14ac:dyDescent="0.35">
      <c r="A705" t="s">
        <v>465</v>
      </c>
      <c r="B705" t="s">
        <v>11</v>
      </c>
      <c r="C705" t="s">
        <v>466</v>
      </c>
    </row>
    <row r="706" spans="1:3" x14ac:dyDescent="0.35">
      <c r="A706" t="s">
        <v>2363</v>
      </c>
      <c r="B706" t="s">
        <v>2364</v>
      </c>
      <c r="C706" t="s">
        <v>2379</v>
      </c>
    </row>
    <row r="707" spans="1:3" x14ac:dyDescent="0.35">
      <c r="A707" t="s">
        <v>1533</v>
      </c>
      <c r="B707" t="s">
        <v>71</v>
      </c>
      <c r="C707" t="s">
        <v>1710</v>
      </c>
    </row>
    <row r="708" spans="1:3" x14ac:dyDescent="0.35">
      <c r="A708" t="s">
        <v>702</v>
      </c>
      <c r="B708" t="s">
        <v>218</v>
      </c>
      <c r="C708" t="s">
        <v>767</v>
      </c>
    </row>
    <row r="709" spans="1:3" x14ac:dyDescent="0.35">
      <c r="A709" t="s">
        <v>702</v>
      </c>
      <c r="B709" t="s">
        <v>703</v>
      </c>
      <c r="C709" t="s">
        <v>1602</v>
      </c>
    </row>
    <row r="710" spans="1:3" x14ac:dyDescent="0.35">
      <c r="A710" t="s">
        <v>1002</v>
      </c>
      <c r="B710" t="s">
        <v>28</v>
      </c>
      <c r="C710" t="s">
        <v>1640</v>
      </c>
    </row>
    <row r="711" spans="1:3" x14ac:dyDescent="0.35">
      <c r="A711" t="s">
        <v>896</v>
      </c>
      <c r="B711" t="s">
        <v>139</v>
      </c>
      <c r="C711" t="s">
        <v>897</v>
      </c>
    </row>
    <row r="712" spans="1:3" x14ac:dyDescent="0.35">
      <c r="A712" t="s">
        <v>2605</v>
      </c>
      <c r="B712" t="s">
        <v>927</v>
      </c>
      <c r="C712" t="s">
        <v>2606</v>
      </c>
    </row>
    <row r="713" spans="1:3" x14ac:dyDescent="0.35">
      <c r="A713" t="s">
        <v>1335</v>
      </c>
      <c r="B713" t="s">
        <v>1269</v>
      </c>
      <c r="C713" t="s">
        <v>1336</v>
      </c>
    </row>
    <row r="714" spans="1:3" x14ac:dyDescent="0.35">
      <c r="A714" t="s">
        <v>774</v>
      </c>
      <c r="B714" t="s">
        <v>480</v>
      </c>
      <c r="C714" t="s">
        <v>1674</v>
      </c>
    </row>
    <row r="715" spans="1:3" x14ac:dyDescent="0.35">
      <c r="A715" t="s">
        <v>2629</v>
      </c>
      <c r="B715" t="s">
        <v>2630</v>
      </c>
      <c r="C715" t="s">
        <v>2631</v>
      </c>
    </row>
    <row r="716" spans="1:3" x14ac:dyDescent="0.35">
      <c r="A716" t="s">
        <v>700</v>
      </c>
      <c r="B716" t="s">
        <v>701</v>
      </c>
      <c r="C716" t="s">
        <v>1548</v>
      </c>
    </row>
    <row r="717" spans="1:3" x14ac:dyDescent="0.35">
      <c r="A717" t="s">
        <v>821</v>
      </c>
      <c r="B717" t="s">
        <v>822</v>
      </c>
      <c r="C717" t="s">
        <v>823</v>
      </c>
    </row>
    <row r="718" spans="1:3" x14ac:dyDescent="0.35">
      <c r="A718" t="s">
        <v>821</v>
      </c>
      <c r="B718" t="s">
        <v>267</v>
      </c>
      <c r="C718" t="s">
        <v>1242</v>
      </c>
    </row>
    <row r="719" spans="1:3" x14ac:dyDescent="0.35">
      <c r="A719" t="s">
        <v>821</v>
      </c>
      <c r="B719" t="s">
        <v>1349</v>
      </c>
      <c r="C719" t="s">
        <v>1350</v>
      </c>
    </row>
    <row r="720" spans="1:3" x14ac:dyDescent="0.35">
      <c r="A720" t="s">
        <v>1257</v>
      </c>
      <c r="B720" t="s">
        <v>13</v>
      </c>
      <c r="C720" t="s">
        <v>1258</v>
      </c>
    </row>
    <row r="721" spans="1:3" x14ac:dyDescent="0.35">
      <c r="A721" t="s">
        <v>2287</v>
      </c>
      <c r="B721" t="s">
        <v>139</v>
      </c>
      <c r="C721" t="s">
        <v>2294</v>
      </c>
    </row>
    <row r="722" spans="1:3" x14ac:dyDescent="0.35">
      <c r="A722" t="s">
        <v>352</v>
      </c>
      <c r="B722" t="s">
        <v>353</v>
      </c>
      <c r="C722" t="s">
        <v>354</v>
      </c>
    </row>
    <row r="723" spans="1:3" x14ac:dyDescent="0.35">
      <c r="A723" t="s">
        <v>931</v>
      </c>
      <c r="B723" t="s">
        <v>71</v>
      </c>
      <c r="C723" t="s">
        <v>932</v>
      </c>
    </row>
    <row r="724" spans="1:3" x14ac:dyDescent="0.35">
      <c r="A724" t="s">
        <v>279</v>
      </c>
      <c r="B724" t="s">
        <v>16</v>
      </c>
      <c r="C724" t="s">
        <v>280</v>
      </c>
    </row>
    <row r="725" spans="1:3" x14ac:dyDescent="0.35">
      <c r="A725" t="s">
        <v>2472</v>
      </c>
      <c r="B725" t="s">
        <v>16</v>
      </c>
      <c r="C725" t="s">
        <v>2473</v>
      </c>
    </row>
    <row r="726" spans="1:3" x14ac:dyDescent="0.35">
      <c r="A726" t="s">
        <v>682</v>
      </c>
      <c r="B726" t="s">
        <v>56</v>
      </c>
      <c r="C726" t="s">
        <v>683</v>
      </c>
    </row>
    <row r="727" spans="1:3" x14ac:dyDescent="0.35">
      <c r="A727" t="s">
        <v>889</v>
      </c>
      <c r="B727" t="s">
        <v>890</v>
      </c>
      <c r="C727" t="s">
        <v>891</v>
      </c>
    </row>
    <row r="728" spans="1:3" x14ac:dyDescent="0.35">
      <c r="A728" t="s">
        <v>825</v>
      </c>
      <c r="B728" t="s">
        <v>826</v>
      </c>
      <c r="C728" t="s">
        <v>1599</v>
      </c>
    </row>
    <row r="729" spans="1:3" x14ac:dyDescent="0.35">
      <c r="A729" t="s">
        <v>1340</v>
      </c>
      <c r="B729" t="s">
        <v>1341</v>
      </c>
      <c r="C729" t="s">
        <v>1696</v>
      </c>
    </row>
    <row r="730" spans="1:3" x14ac:dyDescent="0.35">
      <c r="A730" t="s">
        <v>514</v>
      </c>
      <c r="B730" t="s">
        <v>515</v>
      </c>
      <c r="C730" t="s">
        <v>1596</v>
      </c>
    </row>
    <row r="731" spans="1:3" x14ac:dyDescent="0.35">
      <c r="A731" t="s">
        <v>2608</v>
      </c>
      <c r="B731" t="s">
        <v>356</v>
      </c>
      <c r="C731" t="s">
        <v>2609</v>
      </c>
    </row>
    <row r="732" spans="1:3" x14ac:dyDescent="0.35">
      <c r="A732" t="s">
        <v>2673</v>
      </c>
      <c r="B732" t="s">
        <v>388</v>
      </c>
      <c r="C732" t="s">
        <v>2686</v>
      </c>
    </row>
    <row r="733" spans="1:3" x14ac:dyDescent="0.35">
      <c r="A733" t="s">
        <v>1105</v>
      </c>
      <c r="B733" t="s">
        <v>1106</v>
      </c>
      <c r="C733" t="s">
        <v>1107</v>
      </c>
    </row>
    <row r="734" spans="1:3" x14ac:dyDescent="0.35">
      <c r="A734" t="s">
        <v>189</v>
      </c>
      <c r="B734" t="s">
        <v>190</v>
      </c>
      <c r="C734" t="s">
        <v>191</v>
      </c>
    </row>
    <row r="735" spans="1:3" x14ac:dyDescent="0.35">
      <c r="A735" t="s">
        <v>377</v>
      </c>
      <c r="B735" t="s">
        <v>119</v>
      </c>
      <c r="C735" t="s">
        <v>378</v>
      </c>
    </row>
    <row r="736" spans="1:3" x14ac:dyDescent="0.35">
      <c r="A736" t="s">
        <v>2465</v>
      </c>
      <c r="B736" t="s">
        <v>2173</v>
      </c>
      <c r="C736" t="s">
        <v>2466</v>
      </c>
    </row>
    <row r="737" spans="1:3" x14ac:dyDescent="0.35">
      <c r="A737" t="s">
        <v>245</v>
      </c>
      <c r="B737" t="s">
        <v>136</v>
      </c>
      <c r="C737" t="s">
        <v>1666</v>
      </c>
    </row>
    <row r="738" spans="1:3" x14ac:dyDescent="0.35">
      <c r="A738" t="s">
        <v>245</v>
      </c>
      <c r="B738" t="s">
        <v>2550</v>
      </c>
      <c r="C738" t="s">
        <v>2551</v>
      </c>
    </row>
    <row r="739" spans="1:3" x14ac:dyDescent="0.35">
      <c r="A739" t="s">
        <v>1189</v>
      </c>
      <c r="B739" t="s">
        <v>1190</v>
      </c>
      <c r="C739" t="s">
        <v>1491</v>
      </c>
    </row>
    <row r="740" spans="1:3" x14ac:dyDescent="0.35">
      <c r="A740" t="s">
        <v>2627</v>
      </c>
      <c r="B740" t="s">
        <v>388</v>
      </c>
      <c r="C740" t="s">
        <v>2628</v>
      </c>
    </row>
    <row r="741" spans="1:3" x14ac:dyDescent="0.35">
      <c r="A741" t="s">
        <v>2648</v>
      </c>
      <c r="B741" t="s">
        <v>2649</v>
      </c>
      <c r="C741" t="s">
        <v>2650</v>
      </c>
    </row>
    <row r="742" spans="1:3" x14ac:dyDescent="0.35">
      <c r="A742" t="s">
        <v>527</v>
      </c>
      <c r="B742" t="s">
        <v>11</v>
      </c>
      <c r="C742" t="s">
        <v>1173</v>
      </c>
    </row>
    <row r="743" spans="1:3" x14ac:dyDescent="0.35">
      <c r="A743" t="s">
        <v>527</v>
      </c>
      <c r="B743" t="s">
        <v>528</v>
      </c>
      <c r="C743" t="s">
        <v>1568</v>
      </c>
    </row>
    <row r="744" spans="1:3" x14ac:dyDescent="0.35">
      <c r="A744" t="s">
        <v>719</v>
      </c>
      <c r="B744" t="s">
        <v>410</v>
      </c>
      <c r="C744" t="s">
        <v>720</v>
      </c>
    </row>
    <row r="745" spans="1:3" x14ac:dyDescent="0.35">
      <c r="A745" t="s">
        <v>595</v>
      </c>
      <c r="B745" t="s">
        <v>28</v>
      </c>
      <c r="C745" t="s">
        <v>596</v>
      </c>
    </row>
    <row r="746" spans="1:3" x14ac:dyDescent="0.35">
      <c r="A746" t="s">
        <v>1250</v>
      </c>
      <c r="B746" t="s">
        <v>1251</v>
      </c>
      <c r="C746" t="s">
        <v>1698</v>
      </c>
    </row>
    <row r="747" spans="1:3" x14ac:dyDescent="0.35">
      <c r="A747" t="s">
        <v>90</v>
      </c>
      <c r="B747" t="s">
        <v>22</v>
      </c>
      <c r="C747" t="s">
        <v>225</v>
      </c>
    </row>
    <row r="748" spans="1:3" x14ac:dyDescent="0.35">
      <c r="A748" t="s">
        <v>2670</v>
      </c>
      <c r="B748" t="s">
        <v>404</v>
      </c>
      <c r="C748" t="s">
        <v>2682</v>
      </c>
    </row>
    <row r="749" spans="1:3" x14ac:dyDescent="0.35">
      <c r="A749" t="s">
        <v>130</v>
      </c>
      <c r="B749" t="s">
        <v>131</v>
      </c>
      <c r="C749" t="s">
        <v>132</v>
      </c>
    </row>
    <row r="750" spans="1:3" x14ac:dyDescent="0.35">
      <c r="A750" t="s">
        <v>2557</v>
      </c>
      <c r="B750" t="s">
        <v>324</v>
      </c>
      <c r="C750" t="s">
        <v>2558</v>
      </c>
    </row>
    <row r="751" spans="1:3" x14ac:dyDescent="0.35">
      <c r="A751" t="s">
        <v>1146</v>
      </c>
      <c r="B751" t="s">
        <v>79</v>
      </c>
      <c r="C751" t="s">
        <v>1147</v>
      </c>
    </row>
    <row r="752" spans="1:3" x14ac:dyDescent="0.35">
      <c r="A752" t="s">
        <v>484</v>
      </c>
      <c r="B752" t="s">
        <v>2448</v>
      </c>
      <c r="C752" t="s">
        <v>2449</v>
      </c>
    </row>
    <row r="753" spans="1:3" x14ac:dyDescent="0.35">
      <c r="A753" t="s">
        <v>1196</v>
      </c>
      <c r="B753" t="s">
        <v>1197</v>
      </c>
      <c r="C753" t="s">
        <v>1678</v>
      </c>
    </row>
    <row r="754" spans="1:3" x14ac:dyDescent="0.35">
      <c r="A754" t="s">
        <v>1807</v>
      </c>
      <c r="B754" t="s">
        <v>11</v>
      </c>
      <c r="C754" t="s">
        <v>2353</v>
      </c>
    </row>
    <row r="755" spans="1:3" x14ac:dyDescent="0.35">
      <c r="A755" t="s">
        <v>346</v>
      </c>
      <c r="B755" t="s">
        <v>200</v>
      </c>
      <c r="C755" t="s">
        <v>347</v>
      </c>
    </row>
    <row r="756" spans="1:3" x14ac:dyDescent="0.35">
      <c r="A756" t="s">
        <v>195</v>
      </c>
      <c r="B756" t="s">
        <v>196</v>
      </c>
      <c r="C756" t="s">
        <v>197</v>
      </c>
    </row>
    <row r="757" spans="1:3" x14ac:dyDescent="0.35">
      <c r="A757" t="s">
        <v>721</v>
      </c>
      <c r="B757" t="s">
        <v>196</v>
      </c>
      <c r="C757" t="s">
        <v>722</v>
      </c>
    </row>
    <row r="758" spans="1:3" x14ac:dyDescent="0.35">
      <c r="A758" t="s">
        <v>853</v>
      </c>
      <c r="B758" t="s">
        <v>854</v>
      </c>
      <c r="C758" t="s">
        <v>1682</v>
      </c>
    </row>
    <row r="759" spans="1:3" x14ac:dyDescent="0.35">
      <c r="A759" t="s">
        <v>629</v>
      </c>
      <c r="B759" t="s">
        <v>20</v>
      </c>
      <c r="C759" t="s">
        <v>806</v>
      </c>
    </row>
    <row r="760" spans="1:3" x14ac:dyDescent="0.35">
      <c r="A760" t="s">
        <v>629</v>
      </c>
      <c r="B760" t="s">
        <v>630</v>
      </c>
      <c r="C760" t="s">
        <v>631</v>
      </c>
    </row>
    <row r="761" spans="1:3" x14ac:dyDescent="0.35">
      <c r="A761" t="s">
        <v>915</v>
      </c>
      <c r="B761" t="s">
        <v>44</v>
      </c>
      <c r="C761" t="s">
        <v>916</v>
      </c>
    </row>
    <row r="762" spans="1:3" x14ac:dyDescent="0.35">
      <c r="A762" t="s">
        <v>656</v>
      </c>
      <c r="B762" t="s">
        <v>16</v>
      </c>
      <c r="C762" t="s">
        <v>1370</v>
      </c>
    </row>
    <row r="763" spans="1:3" x14ac:dyDescent="0.35">
      <c r="A763" t="s">
        <v>656</v>
      </c>
      <c r="B763" t="s">
        <v>1402</v>
      </c>
      <c r="C763" t="s">
        <v>1403</v>
      </c>
    </row>
    <row r="764" spans="1:3" x14ac:dyDescent="0.35">
      <c r="A764" t="s">
        <v>656</v>
      </c>
      <c r="B764" t="s">
        <v>81</v>
      </c>
      <c r="C764" t="s">
        <v>657</v>
      </c>
    </row>
    <row r="765" spans="1:3" x14ac:dyDescent="0.35">
      <c r="A765" t="s">
        <v>1275</v>
      </c>
      <c r="B765" t="s">
        <v>1276</v>
      </c>
      <c r="C765" t="s">
        <v>1277</v>
      </c>
    </row>
    <row r="766" spans="1:3" x14ac:dyDescent="0.35">
      <c r="A766" t="s">
        <v>2424</v>
      </c>
      <c r="B766" t="s">
        <v>2425</v>
      </c>
      <c r="C766" s="10" t="s">
        <v>2426</v>
      </c>
    </row>
    <row r="767" spans="1:3" x14ac:dyDescent="0.35">
      <c r="A767" t="s">
        <v>923</v>
      </c>
      <c r="B767" t="s">
        <v>924</v>
      </c>
      <c r="C767" t="s">
        <v>925</v>
      </c>
    </row>
    <row r="768" spans="1:3" x14ac:dyDescent="0.35">
      <c r="A768" t="s">
        <v>329</v>
      </c>
      <c r="B768" t="s">
        <v>330</v>
      </c>
      <c r="C768" t="s">
        <v>331</v>
      </c>
    </row>
    <row r="769" spans="1:3" x14ac:dyDescent="0.35">
      <c r="A769" t="s">
        <v>2575</v>
      </c>
      <c r="B769" t="s">
        <v>165</v>
      </c>
      <c r="C769" t="s">
        <v>2576</v>
      </c>
    </row>
    <row r="770" spans="1:3" x14ac:dyDescent="0.35">
      <c r="A770" t="s">
        <v>2420</v>
      </c>
      <c r="B770" t="s">
        <v>2421</v>
      </c>
      <c r="C770" s="10" t="s">
        <v>2422</v>
      </c>
    </row>
    <row r="771" spans="1:3" x14ac:dyDescent="0.35">
      <c r="A771" t="s">
        <v>636</v>
      </c>
      <c r="B771" t="s">
        <v>473</v>
      </c>
      <c r="C771" t="s">
        <v>637</v>
      </c>
    </row>
    <row r="772" spans="1:3" x14ac:dyDescent="0.35">
      <c r="A772" t="s">
        <v>1235</v>
      </c>
      <c r="B772" t="s">
        <v>131</v>
      </c>
      <c r="C772" t="s">
        <v>1467</v>
      </c>
    </row>
    <row r="773" spans="1:3" x14ac:dyDescent="0.35">
      <c r="A773" t="s">
        <v>1358</v>
      </c>
      <c r="B773" t="s">
        <v>1359</v>
      </c>
      <c r="C773" t="s">
        <v>1703</v>
      </c>
    </row>
    <row r="774" spans="1:3" x14ac:dyDescent="0.35">
      <c r="A774" t="s">
        <v>254</v>
      </c>
      <c r="B774" t="s">
        <v>136</v>
      </c>
      <c r="C774" t="s">
        <v>255</v>
      </c>
    </row>
    <row r="775" spans="1:3" x14ac:dyDescent="0.35">
      <c r="A775" t="s">
        <v>334</v>
      </c>
      <c r="B775" t="s">
        <v>139</v>
      </c>
      <c r="C775" t="s">
        <v>2377</v>
      </c>
    </row>
    <row r="776" spans="1:3" x14ac:dyDescent="0.35">
      <c r="A776" t="s">
        <v>1371</v>
      </c>
      <c r="B776" t="s">
        <v>1372</v>
      </c>
      <c r="C776" t="s">
        <v>1373</v>
      </c>
    </row>
    <row r="777" spans="1:3" x14ac:dyDescent="0.35">
      <c r="A777" t="s">
        <v>1126</v>
      </c>
      <c r="B777" t="s">
        <v>480</v>
      </c>
      <c r="C777" t="s">
        <v>1259</v>
      </c>
    </row>
    <row r="778" spans="1:3" x14ac:dyDescent="0.35">
      <c r="A778" t="s">
        <v>1452</v>
      </c>
      <c r="B778" t="s">
        <v>16</v>
      </c>
      <c r="C778" t="s">
        <v>1473</v>
      </c>
    </row>
    <row r="779" spans="1:3" x14ac:dyDescent="0.35">
      <c r="A779" t="s">
        <v>963</v>
      </c>
      <c r="B779" t="s">
        <v>964</v>
      </c>
      <c r="C779" t="s">
        <v>1576</v>
      </c>
    </row>
    <row r="780" spans="1:3" x14ac:dyDescent="0.35">
      <c r="A780" t="s">
        <v>950</v>
      </c>
      <c r="B780" t="s">
        <v>142</v>
      </c>
      <c r="C780" t="s">
        <v>1246</v>
      </c>
    </row>
    <row r="781" spans="1:3" x14ac:dyDescent="0.35">
      <c r="A781" t="s">
        <v>621</v>
      </c>
      <c r="B781" t="s">
        <v>16</v>
      </c>
      <c r="C781" t="s">
        <v>622</v>
      </c>
    </row>
    <row r="782" spans="1:3" x14ac:dyDescent="0.35">
      <c r="A782" t="s">
        <v>316</v>
      </c>
      <c r="B782" t="s">
        <v>269</v>
      </c>
      <c r="C782" t="s">
        <v>317</v>
      </c>
    </row>
    <row r="783" spans="1:3" x14ac:dyDescent="0.35">
      <c r="A783" t="s">
        <v>97</v>
      </c>
      <c r="B783" t="s">
        <v>98</v>
      </c>
      <c r="C783" t="s">
        <v>210</v>
      </c>
    </row>
    <row r="784" spans="1:3" x14ac:dyDescent="0.35">
      <c r="A784" t="s">
        <v>593</v>
      </c>
      <c r="B784" t="s">
        <v>139</v>
      </c>
      <c r="C784" t="s">
        <v>594</v>
      </c>
    </row>
    <row r="785" spans="1:3" x14ac:dyDescent="0.35">
      <c r="A785" t="s">
        <v>505</v>
      </c>
      <c r="B785" t="s">
        <v>282</v>
      </c>
      <c r="C785" t="s">
        <v>506</v>
      </c>
    </row>
    <row r="786" spans="1:3" x14ac:dyDescent="0.35">
      <c r="A786" t="s">
        <v>2620</v>
      </c>
      <c r="B786" t="s">
        <v>65</v>
      </c>
      <c r="C786" t="s">
        <v>2621</v>
      </c>
    </row>
    <row r="787" spans="1:3" x14ac:dyDescent="0.35">
      <c r="A787" t="s">
        <v>1406</v>
      </c>
      <c r="B787" t="s">
        <v>1267</v>
      </c>
      <c r="C787" t="s">
        <v>1407</v>
      </c>
    </row>
    <row r="788" spans="1:3" x14ac:dyDescent="0.35">
      <c r="A788" t="s">
        <v>1316</v>
      </c>
      <c r="B788" t="s">
        <v>665</v>
      </c>
      <c r="C788" t="s">
        <v>1689</v>
      </c>
    </row>
    <row r="789" spans="1:3" x14ac:dyDescent="0.35">
      <c r="A789" t="s">
        <v>2625</v>
      </c>
      <c r="B789" t="s">
        <v>153</v>
      </c>
      <c r="C789" t="s">
        <v>2626</v>
      </c>
    </row>
    <row r="790" spans="1:3" x14ac:dyDescent="0.35">
      <c r="A790" t="s">
        <v>561</v>
      </c>
      <c r="B790" t="s">
        <v>562</v>
      </c>
      <c r="C790" t="s">
        <v>1656</v>
      </c>
    </row>
    <row r="791" spans="1:3" x14ac:dyDescent="0.35">
      <c r="A791" t="s">
        <v>2665</v>
      </c>
      <c r="B791" t="s">
        <v>79</v>
      </c>
      <c r="C791" t="s">
        <v>2677</v>
      </c>
    </row>
    <row r="792" spans="1:3" x14ac:dyDescent="0.35">
      <c r="A792" t="s">
        <v>745</v>
      </c>
      <c r="B792" t="s">
        <v>746</v>
      </c>
      <c r="C792" t="s">
        <v>747</v>
      </c>
    </row>
    <row r="793" spans="1:3" x14ac:dyDescent="0.35">
      <c r="A793" t="s">
        <v>681</v>
      </c>
      <c r="B793" t="s">
        <v>13</v>
      </c>
      <c r="C793" t="s">
        <v>1622</v>
      </c>
    </row>
    <row r="794" spans="1:3" x14ac:dyDescent="0.35">
      <c r="A794" t="s">
        <v>883</v>
      </c>
      <c r="B794" t="s">
        <v>884</v>
      </c>
      <c r="C794" t="s">
        <v>1675</v>
      </c>
    </row>
    <row r="795" spans="1:3" x14ac:dyDescent="0.35">
      <c r="A795" t="s">
        <v>418</v>
      </c>
      <c r="B795" t="s">
        <v>117</v>
      </c>
      <c r="C795" t="s">
        <v>493</v>
      </c>
    </row>
    <row r="796" spans="1:3" x14ac:dyDescent="0.35">
      <c r="A796" t="s">
        <v>2391</v>
      </c>
      <c r="B796" t="s">
        <v>16</v>
      </c>
      <c r="C796" s="10" t="s">
        <v>2392</v>
      </c>
    </row>
    <row r="797" spans="1:3" x14ac:dyDescent="0.35">
      <c r="A797" t="s">
        <v>298</v>
      </c>
      <c r="B797" t="s">
        <v>131</v>
      </c>
      <c r="C797" t="s">
        <v>1549</v>
      </c>
    </row>
    <row r="798" spans="1:3" x14ac:dyDescent="0.35">
      <c r="A798" t="s">
        <v>2536</v>
      </c>
      <c r="B798" t="s">
        <v>22</v>
      </c>
      <c r="C798" t="s">
        <v>2537</v>
      </c>
    </row>
    <row r="799" spans="1:3" x14ac:dyDescent="0.35">
      <c r="A799" t="s">
        <v>1215</v>
      </c>
      <c r="B799" t="s">
        <v>1019</v>
      </c>
      <c r="C799" t="s">
        <v>1496</v>
      </c>
    </row>
    <row r="800" spans="1:3" x14ac:dyDescent="0.35">
      <c r="A800" t="s">
        <v>422</v>
      </c>
      <c r="B800" t="s">
        <v>142</v>
      </c>
      <c r="C800" t="s">
        <v>423</v>
      </c>
    </row>
    <row r="801" spans="1:3" x14ac:dyDescent="0.35">
      <c r="A801" t="s">
        <v>1266</v>
      </c>
      <c r="B801" t="s">
        <v>1267</v>
      </c>
      <c r="C801" t="s">
        <v>1268</v>
      </c>
    </row>
    <row r="802" spans="1:3" x14ac:dyDescent="0.35">
      <c r="A802" t="s">
        <v>716</v>
      </c>
      <c r="B802" t="s">
        <v>564</v>
      </c>
      <c r="C802" t="s">
        <v>1555</v>
      </c>
    </row>
    <row r="803" spans="1:3" x14ac:dyDescent="0.35">
      <c r="A803" t="s">
        <v>716</v>
      </c>
      <c r="B803" t="s">
        <v>855</v>
      </c>
      <c r="C803" t="s">
        <v>856</v>
      </c>
    </row>
    <row r="804" spans="1:3" x14ac:dyDescent="0.35">
      <c r="A804" t="s">
        <v>256</v>
      </c>
      <c r="B804" t="s">
        <v>257</v>
      </c>
      <c r="C804" t="s">
        <v>258</v>
      </c>
    </row>
    <row r="805" spans="1:3" x14ac:dyDescent="0.35">
      <c r="A805" t="s">
        <v>216</v>
      </c>
      <c r="B805" t="s">
        <v>65</v>
      </c>
      <c r="C805" t="s">
        <v>1553</v>
      </c>
    </row>
    <row r="806" spans="1:3" x14ac:dyDescent="0.35">
      <c r="A806" t="s">
        <v>1418</v>
      </c>
      <c r="B806" t="s">
        <v>101</v>
      </c>
      <c r="C806" t="s">
        <v>1419</v>
      </c>
    </row>
    <row r="807" spans="1:3" x14ac:dyDescent="0.35">
      <c r="A807" t="s">
        <v>1241</v>
      </c>
      <c r="B807" t="s">
        <v>58</v>
      </c>
      <c r="C807" t="s">
        <v>1486</v>
      </c>
    </row>
    <row r="808" spans="1:3" x14ac:dyDescent="0.35">
      <c r="A808" t="s">
        <v>405</v>
      </c>
      <c r="B808" t="s">
        <v>404</v>
      </c>
      <c r="C808" t="s">
        <v>1585</v>
      </c>
    </row>
    <row r="809" spans="1:3" x14ac:dyDescent="0.35">
      <c r="A809" t="s">
        <v>1092</v>
      </c>
      <c r="B809" t="s">
        <v>1093</v>
      </c>
      <c r="C809" t="s">
        <v>1094</v>
      </c>
    </row>
    <row r="810" spans="1:3" x14ac:dyDescent="0.35">
      <c r="A810" t="s">
        <v>618</v>
      </c>
      <c r="B810" t="s">
        <v>521</v>
      </c>
      <c r="C810" t="s">
        <v>619</v>
      </c>
    </row>
    <row r="811" spans="1:3" x14ac:dyDescent="0.35">
      <c r="A811" t="s">
        <v>1346</v>
      </c>
      <c r="B811" t="s">
        <v>136</v>
      </c>
      <c r="C811" t="s">
        <v>1708</v>
      </c>
    </row>
    <row r="812" spans="1:3" x14ac:dyDescent="0.35">
      <c r="A812" t="s">
        <v>786</v>
      </c>
      <c r="B812" t="s">
        <v>787</v>
      </c>
      <c r="C812" t="s">
        <v>788</v>
      </c>
    </row>
    <row r="813" spans="1:3" x14ac:dyDescent="0.35">
      <c r="A813" t="s">
        <v>183</v>
      </c>
      <c r="B813" t="s">
        <v>11</v>
      </c>
      <c r="C813" t="s">
        <v>1420</v>
      </c>
    </row>
    <row r="814" spans="1:3" x14ac:dyDescent="0.35">
      <c r="A814" t="s">
        <v>183</v>
      </c>
      <c r="B814" t="s">
        <v>13</v>
      </c>
      <c r="C814" t="s">
        <v>290</v>
      </c>
    </row>
    <row r="815" spans="1:3" x14ac:dyDescent="0.35">
      <c r="A815" t="s">
        <v>183</v>
      </c>
      <c r="B815" t="s">
        <v>101</v>
      </c>
      <c r="C815" t="s">
        <v>184</v>
      </c>
    </row>
    <row r="816" spans="1:3" x14ac:dyDescent="0.35">
      <c r="A816" t="s">
        <v>183</v>
      </c>
      <c r="B816" t="s">
        <v>528</v>
      </c>
      <c r="C816" t="s">
        <v>590</v>
      </c>
    </row>
    <row r="817" spans="1:3" x14ac:dyDescent="0.35">
      <c r="A817" t="s">
        <v>2662</v>
      </c>
      <c r="B817" t="s">
        <v>2663</v>
      </c>
      <c r="C817" t="s">
        <v>2675</v>
      </c>
    </row>
    <row r="818" spans="1:3" x14ac:dyDescent="0.35">
      <c r="A818" t="s">
        <v>1344</v>
      </c>
      <c r="B818" t="s">
        <v>1345</v>
      </c>
      <c r="C818" t="s">
        <v>1707</v>
      </c>
    </row>
    <row r="819" spans="1:3" x14ac:dyDescent="0.35">
      <c r="A819" t="s">
        <v>2311</v>
      </c>
      <c r="B819" t="s">
        <v>1393</v>
      </c>
      <c r="C819" t="s">
        <v>2312</v>
      </c>
    </row>
    <row r="820" spans="1:3" x14ac:dyDescent="0.35">
      <c r="A820" t="s">
        <v>138</v>
      </c>
      <c r="B820" t="s">
        <v>139</v>
      </c>
      <c r="C820" t="s">
        <v>1625</v>
      </c>
    </row>
    <row r="821" spans="1:3" x14ac:dyDescent="0.35">
      <c r="A821" t="s">
        <v>803</v>
      </c>
      <c r="B821" t="s">
        <v>495</v>
      </c>
      <c r="C821" t="s">
        <v>2344</v>
      </c>
    </row>
    <row r="822" spans="1:3" x14ac:dyDescent="0.35">
      <c r="A822" t="s">
        <v>1020</v>
      </c>
      <c r="B822" t="s">
        <v>205</v>
      </c>
      <c r="C822" t="s">
        <v>1381</v>
      </c>
    </row>
    <row r="823" spans="1:3" x14ac:dyDescent="0.35">
      <c r="A823" t="s">
        <v>1020</v>
      </c>
      <c r="B823" t="s">
        <v>28</v>
      </c>
      <c r="C823" t="s">
        <v>1644</v>
      </c>
    </row>
    <row r="824" spans="1:3" x14ac:dyDescent="0.35">
      <c r="A824" t="s">
        <v>1020</v>
      </c>
      <c r="B824" t="s">
        <v>1451</v>
      </c>
      <c r="C824" t="s">
        <v>1684</v>
      </c>
    </row>
    <row r="825" spans="1:3" x14ac:dyDescent="0.35">
      <c r="A825" t="s">
        <v>605</v>
      </c>
      <c r="B825" t="s">
        <v>153</v>
      </c>
      <c r="C825" t="s">
        <v>606</v>
      </c>
    </row>
    <row r="826" spans="1:3" x14ac:dyDescent="0.35">
      <c r="A826" t="s">
        <v>777</v>
      </c>
      <c r="B826" t="s">
        <v>139</v>
      </c>
      <c r="C826" t="s">
        <v>778</v>
      </c>
    </row>
    <row r="827" spans="1:3" x14ac:dyDescent="0.35">
      <c r="A827" t="s">
        <v>1460</v>
      </c>
      <c r="B827" t="s">
        <v>1461</v>
      </c>
      <c r="C827" t="s">
        <v>1462</v>
      </c>
    </row>
    <row r="828" spans="1:3" x14ac:dyDescent="0.35">
      <c r="A828" t="s">
        <v>870</v>
      </c>
      <c r="B828" t="s">
        <v>528</v>
      </c>
      <c r="C828" t="s">
        <v>986</v>
      </c>
    </row>
    <row r="829" spans="1:3" x14ac:dyDescent="0.35">
      <c r="A829" t="s">
        <v>831</v>
      </c>
      <c r="B829" t="s">
        <v>384</v>
      </c>
      <c r="C829" t="s">
        <v>832</v>
      </c>
    </row>
    <row r="830" spans="1:3" x14ac:dyDescent="0.35">
      <c r="A830" t="s">
        <v>570</v>
      </c>
      <c r="B830" t="s">
        <v>571</v>
      </c>
      <c r="C830" t="s">
        <v>572</v>
      </c>
    </row>
    <row r="831" spans="1:3" x14ac:dyDescent="0.35">
      <c r="A831" t="s">
        <v>1212</v>
      </c>
      <c r="B831" t="s">
        <v>1213</v>
      </c>
      <c r="C831" t="s">
        <v>1636</v>
      </c>
    </row>
    <row r="832" spans="1:3" x14ac:dyDescent="0.35">
      <c r="A832" t="s">
        <v>1442</v>
      </c>
      <c r="B832" t="s">
        <v>737</v>
      </c>
      <c r="C832" t="s">
        <v>1641</v>
      </c>
    </row>
    <row r="833" spans="1:3" x14ac:dyDescent="0.35">
      <c r="A833" t="s">
        <v>1442</v>
      </c>
      <c r="B833" t="s">
        <v>1444</v>
      </c>
      <c r="C833" t="s">
        <v>1495</v>
      </c>
    </row>
    <row r="834" spans="1:3" x14ac:dyDescent="0.35">
      <c r="A834" t="s">
        <v>1204</v>
      </c>
      <c r="B834" t="s">
        <v>269</v>
      </c>
      <c r="C834" t="s">
        <v>1655</v>
      </c>
    </row>
    <row r="835" spans="1:3" x14ac:dyDescent="0.35">
      <c r="A835" t="s">
        <v>1449</v>
      </c>
      <c r="B835" t="s">
        <v>1450</v>
      </c>
      <c r="C835" t="s">
        <v>1679</v>
      </c>
    </row>
    <row r="836" spans="1:3" x14ac:dyDescent="0.35">
      <c r="A836" t="s">
        <v>240</v>
      </c>
      <c r="B836" t="s">
        <v>241</v>
      </c>
      <c r="C836" t="s">
        <v>242</v>
      </c>
    </row>
    <row r="837" spans="1:3" x14ac:dyDescent="0.35">
      <c r="A837" t="s">
        <v>402</v>
      </c>
      <c r="B837" t="s">
        <v>401</v>
      </c>
      <c r="C837" t="s">
        <v>1634</v>
      </c>
    </row>
    <row r="838" spans="1:3" x14ac:dyDescent="0.35">
      <c r="A838" t="s">
        <v>1305</v>
      </c>
      <c r="B838" t="s">
        <v>1306</v>
      </c>
      <c r="C838" t="s">
        <v>1307</v>
      </c>
    </row>
    <row r="839" spans="1:3" x14ac:dyDescent="0.35">
      <c r="A839" t="s">
        <v>1040</v>
      </c>
      <c r="B839" t="s">
        <v>77</v>
      </c>
      <c r="C839" t="s">
        <v>1041</v>
      </c>
    </row>
    <row r="840" spans="1:3" x14ac:dyDescent="0.35">
      <c r="A840" t="s">
        <v>1223</v>
      </c>
      <c r="B840" t="s">
        <v>65</v>
      </c>
      <c r="C840" t="s">
        <v>1247</v>
      </c>
    </row>
    <row r="841" spans="1:3" x14ac:dyDescent="0.35">
      <c r="A841" t="s">
        <v>2313</v>
      </c>
      <c r="B841" t="s">
        <v>1011</v>
      </c>
      <c r="C841" t="s">
        <v>2314</v>
      </c>
    </row>
    <row r="842" spans="1:3" x14ac:dyDescent="0.35">
      <c r="A842" t="s">
        <v>1423</v>
      </c>
      <c r="B842" t="s">
        <v>89</v>
      </c>
      <c r="C842" t="s">
        <v>1424</v>
      </c>
    </row>
    <row r="843" spans="1:3" x14ac:dyDescent="0.35">
      <c r="A843" t="s">
        <v>1200</v>
      </c>
      <c r="B843" t="s">
        <v>44</v>
      </c>
      <c r="C843" t="s">
        <v>1494</v>
      </c>
    </row>
    <row r="844" spans="1:3" x14ac:dyDescent="0.35">
      <c r="A844" t="s">
        <v>1152</v>
      </c>
      <c r="B844" t="s">
        <v>388</v>
      </c>
      <c r="C844" t="s">
        <v>1153</v>
      </c>
    </row>
    <row r="845" spans="1:3" x14ac:dyDescent="0.35">
      <c r="A845" t="s">
        <v>41</v>
      </c>
      <c r="B845" t="s">
        <v>42</v>
      </c>
      <c r="C845" t="s">
        <v>1701</v>
      </c>
    </row>
    <row r="846" spans="1:3" x14ac:dyDescent="0.35">
      <c r="A846" t="s">
        <v>148</v>
      </c>
      <c r="B846" t="s">
        <v>149</v>
      </c>
      <c r="C846" t="s">
        <v>150</v>
      </c>
    </row>
    <row r="847" spans="1:3" x14ac:dyDescent="0.35">
      <c r="A847" t="s">
        <v>1172</v>
      </c>
      <c r="B847" t="s">
        <v>11</v>
      </c>
      <c r="C847" t="s">
        <v>1551</v>
      </c>
    </row>
  </sheetData>
  <sortState xmlns:xlrd2="http://schemas.microsoft.com/office/spreadsheetml/2017/richdata2" ref="A2:C3890">
    <sortCondition ref="A1:A389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AG3968"/>
  <sheetViews>
    <sheetView showZeros="0" zoomScale="75" zoomScaleNormal="75" workbookViewId="0">
      <pane ySplit="1" topLeftCell="A2651" activePane="bottomLeft" state="frozen"/>
      <selection activeCell="E5" sqref="E5"/>
      <selection pane="bottomLeft" activeCell="I3969" sqref="I3969"/>
    </sheetView>
  </sheetViews>
  <sheetFormatPr defaultColWidth="8.8125" defaultRowHeight="15" x14ac:dyDescent="0.35"/>
  <cols>
    <col min="1" max="1" width="4.8125" bestFit="1" customWidth="1"/>
    <col min="2" max="2" width="9.625" bestFit="1" customWidth="1"/>
    <col min="3" max="3" width="10.75" bestFit="1" customWidth="1"/>
    <col min="4" max="4" width="25.9375" bestFit="1" customWidth="1"/>
    <col min="5" max="5" width="18.1875" bestFit="1" customWidth="1"/>
    <col min="6" max="6" width="12.5625" style="2" bestFit="1" customWidth="1"/>
    <col min="7" max="7" width="11.625" style="2" bestFit="1" customWidth="1"/>
    <col min="8" max="8" width="16.25" bestFit="1" customWidth="1"/>
    <col min="9" max="9" width="11.25" bestFit="1" customWidth="1"/>
    <col min="10" max="10" width="12.375" style="11" bestFit="1" customWidth="1"/>
    <col min="11" max="11" width="23.5625" bestFit="1" customWidth="1"/>
    <col min="13" max="13" width="19.25" bestFit="1" customWidth="1"/>
    <col min="14" max="14" width="11.25" bestFit="1" customWidth="1"/>
    <col min="15" max="15" width="5.1875" bestFit="1" customWidth="1"/>
    <col min="17" max="17" width="13.8125" bestFit="1" customWidth="1"/>
    <col min="18" max="18" width="16.25" bestFit="1" customWidth="1"/>
    <col min="19" max="19" width="5.1875" bestFit="1" customWidth="1"/>
    <col min="21" max="21" width="26.25" bestFit="1" customWidth="1"/>
    <col min="22" max="22" width="13.8125" bestFit="1" customWidth="1"/>
    <col min="23" max="23" width="16.25" bestFit="1" customWidth="1"/>
    <col min="24" max="24" width="5.1875" bestFit="1" customWidth="1"/>
  </cols>
  <sheetData>
    <row r="1" spans="1:33" ht="15.45" x14ac:dyDescent="0.4">
      <c r="A1" s="3" t="s">
        <v>1465</v>
      </c>
      <c r="B1" s="3" t="s">
        <v>140</v>
      </c>
      <c r="C1" s="3" t="s">
        <v>0</v>
      </c>
      <c r="D1" s="3" t="s">
        <v>1</v>
      </c>
      <c r="E1" s="3" t="s">
        <v>1428</v>
      </c>
      <c r="F1" s="16" t="s">
        <v>2</v>
      </c>
      <c r="G1" s="16" t="s">
        <v>3</v>
      </c>
      <c r="H1" s="3" t="s">
        <v>4</v>
      </c>
      <c r="I1" s="3" t="s">
        <v>5</v>
      </c>
      <c r="J1" s="15" t="s">
        <v>6</v>
      </c>
      <c r="K1" s="3" t="s">
        <v>7</v>
      </c>
    </row>
    <row r="2" spans="1:33" hidden="1" x14ac:dyDescent="0.35">
      <c r="A2">
        <v>1</v>
      </c>
      <c r="B2">
        <v>2003</v>
      </c>
      <c r="C2" t="s">
        <v>109</v>
      </c>
      <c r="D2" t="s">
        <v>944</v>
      </c>
      <c r="E2" t="s">
        <v>944</v>
      </c>
      <c r="G2" s="2">
        <v>1</v>
      </c>
      <c r="H2" t="s">
        <v>764</v>
      </c>
      <c r="I2" t="s">
        <v>901</v>
      </c>
      <c r="J2" s="11">
        <v>1716.0033436347992</v>
      </c>
      <c r="K2" t="str">
        <f t="shared" ref="K2:K65" si="0">I2&amp;" "&amp;H2</f>
        <v>Jerrod Ankenman</v>
      </c>
      <c r="M2" s="6" t="s">
        <v>2495</v>
      </c>
      <c r="Q2" s="6" t="s">
        <v>2495</v>
      </c>
      <c r="U2" s="6" t="s">
        <v>2495</v>
      </c>
    </row>
    <row r="3" spans="1:33" hidden="1" x14ac:dyDescent="0.35">
      <c r="A3">
        <f>A2+1</f>
        <v>2</v>
      </c>
      <c r="B3">
        <v>2003</v>
      </c>
      <c r="C3" t="s">
        <v>109</v>
      </c>
      <c r="D3" t="s">
        <v>944</v>
      </c>
      <c r="E3" t="s">
        <v>944</v>
      </c>
      <c r="G3" s="2">
        <v>2</v>
      </c>
      <c r="H3" t="s">
        <v>14</v>
      </c>
      <c r="I3" t="s">
        <v>11</v>
      </c>
      <c r="J3" s="11">
        <v>1414.9733479708179</v>
      </c>
      <c r="K3" t="str">
        <f t="shared" si="0"/>
        <v>Paul McMullin</v>
      </c>
      <c r="M3" s="6" t="s">
        <v>4</v>
      </c>
      <c r="N3" s="6" t="s">
        <v>5</v>
      </c>
      <c r="O3" t="s">
        <v>1436</v>
      </c>
      <c r="Q3" s="6" t="s">
        <v>5</v>
      </c>
      <c r="R3" s="6" t="s">
        <v>4</v>
      </c>
      <c r="S3" t="s">
        <v>1436</v>
      </c>
      <c r="T3" s="6"/>
      <c r="U3" s="6" t="s">
        <v>7</v>
      </c>
      <c r="V3" s="6" t="s">
        <v>5</v>
      </c>
      <c r="W3" s="6" t="s">
        <v>4</v>
      </c>
      <c r="X3" t="s">
        <v>1436</v>
      </c>
      <c r="Y3" s="6"/>
      <c r="Z3" s="6"/>
      <c r="AA3" s="6"/>
      <c r="AB3" s="6"/>
      <c r="AC3" s="6"/>
      <c r="AD3" s="6"/>
      <c r="AE3" s="6"/>
      <c r="AF3" s="6"/>
      <c r="AG3" s="6"/>
    </row>
    <row r="4" spans="1:33" hidden="1" x14ac:dyDescent="0.35">
      <c r="A4">
        <f t="shared" ref="A4:A67" si="1">A3+1</f>
        <v>3</v>
      </c>
      <c r="B4">
        <v>2003</v>
      </c>
      <c r="C4" t="s">
        <v>109</v>
      </c>
      <c r="D4" t="s">
        <v>944</v>
      </c>
      <c r="E4" t="s">
        <v>944</v>
      </c>
      <c r="G4" s="2">
        <v>3</v>
      </c>
      <c r="H4" t="s">
        <v>850</v>
      </c>
      <c r="I4" t="s">
        <v>851</v>
      </c>
      <c r="J4" s="11">
        <v>1238.8820889151368</v>
      </c>
      <c r="K4" t="str">
        <f t="shared" si="0"/>
        <v>Mordecai Schwartz</v>
      </c>
      <c r="M4" t="s">
        <v>484</v>
      </c>
      <c r="N4" t="s">
        <v>2448</v>
      </c>
      <c r="O4" s="26">
        <v>3</v>
      </c>
      <c r="Q4" t="s">
        <v>1003</v>
      </c>
      <c r="R4" t="s">
        <v>304</v>
      </c>
      <c r="S4" s="26">
        <v>4</v>
      </c>
      <c r="U4" t="s">
        <v>613</v>
      </c>
      <c r="V4" t="s">
        <v>181</v>
      </c>
      <c r="W4" t="s">
        <v>612</v>
      </c>
      <c r="X4" s="26">
        <v>6</v>
      </c>
    </row>
    <row r="5" spans="1:33" hidden="1" x14ac:dyDescent="0.35">
      <c r="A5">
        <f t="shared" si="1"/>
        <v>4</v>
      </c>
      <c r="B5">
        <v>2003</v>
      </c>
      <c r="C5" t="s">
        <v>109</v>
      </c>
      <c r="D5" t="s">
        <v>944</v>
      </c>
      <c r="E5" t="s">
        <v>944</v>
      </c>
      <c r="G5" s="2">
        <v>4</v>
      </c>
      <c r="H5" t="s">
        <v>394</v>
      </c>
      <c r="I5" t="s">
        <v>44</v>
      </c>
      <c r="J5" s="11">
        <v>1113.9433523068369</v>
      </c>
      <c r="K5" t="str">
        <f t="shared" si="0"/>
        <v>Mike Miller</v>
      </c>
      <c r="M5" t="s">
        <v>1030</v>
      </c>
      <c r="N5" t="s">
        <v>848</v>
      </c>
      <c r="O5" s="26">
        <v>1</v>
      </c>
      <c r="Q5" t="s">
        <v>181</v>
      </c>
      <c r="R5" t="s">
        <v>612</v>
      </c>
      <c r="S5" s="26">
        <v>6</v>
      </c>
      <c r="U5" t="s">
        <v>182</v>
      </c>
      <c r="V5" t="s">
        <v>181</v>
      </c>
      <c r="W5" t="s">
        <v>180</v>
      </c>
      <c r="X5" s="26">
        <v>1</v>
      </c>
    </row>
    <row r="6" spans="1:33" hidden="1" x14ac:dyDescent="0.35">
      <c r="A6">
        <f t="shared" si="1"/>
        <v>5</v>
      </c>
      <c r="B6">
        <v>2003</v>
      </c>
      <c r="C6" t="s">
        <v>109</v>
      </c>
      <c r="D6" t="s">
        <v>944</v>
      </c>
      <c r="E6" t="s">
        <v>944</v>
      </c>
      <c r="G6" s="2">
        <v>5</v>
      </c>
      <c r="H6" t="s">
        <v>64</v>
      </c>
      <c r="I6" t="s">
        <v>65</v>
      </c>
      <c r="J6" s="11">
        <v>1017.0333392987802</v>
      </c>
      <c r="K6" t="str">
        <f t="shared" si="0"/>
        <v>Steve Daniel</v>
      </c>
      <c r="M6" t="s">
        <v>1060</v>
      </c>
      <c r="N6" t="s">
        <v>1962</v>
      </c>
      <c r="O6" s="26">
        <v>1</v>
      </c>
      <c r="R6" t="s">
        <v>180</v>
      </c>
      <c r="S6" s="26">
        <v>1</v>
      </c>
      <c r="U6" t="s">
        <v>1597</v>
      </c>
      <c r="V6" t="s">
        <v>181</v>
      </c>
      <c r="W6" t="s">
        <v>22</v>
      </c>
      <c r="X6" s="26">
        <v>1</v>
      </c>
    </row>
    <row r="7" spans="1:33" hidden="1" x14ac:dyDescent="0.35">
      <c r="A7">
        <f t="shared" si="1"/>
        <v>6</v>
      </c>
      <c r="B7">
        <v>2003</v>
      </c>
      <c r="C7" t="s">
        <v>109</v>
      </c>
      <c r="D7" t="s">
        <v>944</v>
      </c>
      <c r="E7" t="s">
        <v>944</v>
      </c>
      <c r="G7" s="2">
        <v>6</v>
      </c>
      <c r="H7" t="s">
        <v>363</v>
      </c>
      <c r="I7" t="s">
        <v>364</v>
      </c>
      <c r="J7" s="11">
        <v>937.85209325115557</v>
      </c>
      <c r="K7" t="str">
        <f t="shared" si="0"/>
        <v>Warren Sander</v>
      </c>
      <c r="N7" t="s">
        <v>13</v>
      </c>
      <c r="O7" s="26">
        <v>4</v>
      </c>
      <c r="R7" t="s">
        <v>22</v>
      </c>
      <c r="S7" s="26">
        <v>1</v>
      </c>
      <c r="U7" t="s">
        <v>1696</v>
      </c>
      <c r="V7" t="s">
        <v>1341</v>
      </c>
      <c r="W7" t="s">
        <v>1340</v>
      </c>
      <c r="X7" s="26">
        <v>1</v>
      </c>
    </row>
    <row r="8" spans="1:33" hidden="1" x14ac:dyDescent="0.35">
      <c r="A8">
        <f t="shared" si="1"/>
        <v>7</v>
      </c>
      <c r="B8">
        <v>2003</v>
      </c>
      <c r="C8" t="s">
        <v>109</v>
      </c>
      <c r="D8" t="s">
        <v>944</v>
      </c>
      <c r="E8" t="s">
        <v>944</v>
      </c>
      <c r="G8" s="2">
        <v>7</v>
      </c>
      <c r="H8" t="s">
        <v>567</v>
      </c>
      <c r="I8" t="s">
        <v>568</v>
      </c>
      <c r="J8" s="11">
        <v>870.90530362054244</v>
      </c>
      <c r="K8" t="str">
        <f t="shared" si="0"/>
        <v>Glenn Nickerson</v>
      </c>
      <c r="M8" t="s">
        <v>232</v>
      </c>
      <c r="N8" t="s">
        <v>919</v>
      </c>
      <c r="O8" s="26">
        <v>1</v>
      </c>
      <c r="Q8" t="s">
        <v>1341</v>
      </c>
      <c r="R8" t="s">
        <v>1340</v>
      </c>
      <c r="S8" s="26">
        <v>1</v>
      </c>
      <c r="U8" t="s">
        <v>233</v>
      </c>
      <c r="V8" t="s">
        <v>232</v>
      </c>
      <c r="W8" t="s">
        <v>231</v>
      </c>
      <c r="X8" s="26">
        <v>15</v>
      </c>
    </row>
    <row r="9" spans="1:33" hidden="1" x14ac:dyDescent="0.35">
      <c r="A9">
        <f t="shared" si="1"/>
        <v>8</v>
      </c>
      <c r="B9">
        <v>2003</v>
      </c>
      <c r="C9" t="s">
        <v>109</v>
      </c>
      <c r="D9" t="s">
        <v>944</v>
      </c>
      <c r="E9" t="s">
        <v>944</v>
      </c>
      <c r="G9" s="2">
        <v>8</v>
      </c>
      <c r="H9" t="s">
        <v>1038</v>
      </c>
      <c r="I9" t="s">
        <v>28</v>
      </c>
      <c r="J9" s="11">
        <v>812.91335664285566</v>
      </c>
      <c r="K9" t="str">
        <f t="shared" si="0"/>
        <v>Chris Raimondi</v>
      </c>
      <c r="M9" t="s">
        <v>80</v>
      </c>
      <c r="N9" t="s">
        <v>156</v>
      </c>
      <c r="O9" s="26">
        <v>8</v>
      </c>
      <c r="Q9" t="s">
        <v>232</v>
      </c>
      <c r="R9" t="s">
        <v>231</v>
      </c>
      <c r="S9" s="26">
        <v>15</v>
      </c>
      <c r="U9" t="s">
        <v>1632</v>
      </c>
      <c r="V9" t="s">
        <v>232</v>
      </c>
      <c r="W9" t="s">
        <v>996</v>
      </c>
      <c r="X9" s="26">
        <v>1</v>
      </c>
    </row>
    <row r="10" spans="1:33" hidden="1" x14ac:dyDescent="0.35">
      <c r="A10">
        <f t="shared" si="1"/>
        <v>9</v>
      </c>
      <c r="B10">
        <v>2003</v>
      </c>
      <c r="C10" t="s">
        <v>109</v>
      </c>
      <c r="D10" t="s">
        <v>944</v>
      </c>
      <c r="E10" t="s">
        <v>944</v>
      </c>
      <c r="G10" s="2">
        <v>9</v>
      </c>
      <c r="H10" t="s">
        <v>414</v>
      </c>
      <c r="I10" t="s">
        <v>1022</v>
      </c>
      <c r="J10" s="11">
        <v>761.76083419547433</v>
      </c>
      <c r="K10" t="str">
        <f t="shared" si="0"/>
        <v>Mitch Kramer</v>
      </c>
      <c r="N10" t="s">
        <v>81</v>
      </c>
      <c r="O10" s="26">
        <v>4</v>
      </c>
      <c r="R10" t="s">
        <v>996</v>
      </c>
      <c r="S10" s="26">
        <v>1</v>
      </c>
      <c r="U10" t="s">
        <v>2381</v>
      </c>
      <c r="V10" t="s">
        <v>232</v>
      </c>
      <c r="W10" t="s">
        <v>2367</v>
      </c>
      <c r="X10" s="26">
        <v>1</v>
      </c>
    </row>
    <row r="11" spans="1:33" hidden="1" x14ac:dyDescent="0.35">
      <c r="A11">
        <f t="shared" si="1"/>
        <v>10</v>
      </c>
      <c r="B11">
        <v>2003</v>
      </c>
      <c r="C11" t="s">
        <v>109</v>
      </c>
      <c r="D11" t="s">
        <v>944</v>
      </c>
      <c r="E11" t="s">
        <v>944</v>
      </c>
      <c r="G11" s="2">
        <v>10</v>
      </c>
      <c r="H11" t="s">
        <v>50</v>
      </c>
      <c r="I11" t="s">
        <v>25</v>
      </c>
      <c r="J11" s="11">
        <v>716.00334363479919</v>
      </c>
      <c r="K11" t="str">
        <f t="shared" si="0"/>
        <v>Russell Fox</v>
      </c>
      <c r="N11" t="s">
        <v>846</v>
      </c>
      <c r="O11" s="26">
        <v>1</v>
      </c>
      <c r="R11" t="s">
        <v>2367</v>
      </c>
      <c r="S11" s="26">
        <v>1</v>
      </c>
      <c r="U11" t="s">
        <v>1401</v>
      </c>
      <c r="V11" t="s">
        <v>232</v>
      </c>
      <c r="W11" t="s">
        <v>1400</v>
      </c>
      <c r="X11" s="26">
        <v>1</v>
      </c>
    </row>
    <row r="12" spans="1:33" hidden="1" x14ac:dyDescent="0.35">
      <c r="A12">
        <f t="shared" si="1"/>
        <v>11</v>
      </c>
      <c r="B12">
        <v>2003</v>
      </c>
      <c r="C12" t="s">
        <v>109</v>
      </c>
      <c r="D12" t="s">
        <v>944</v>
      </c>
      <c r="E12" t="s">
        <v>944</v>
      </c>
      <c r="G12" s="2">
        <v>11</v>
      </c>
      <c r="H12" t="s">
        <v>248</v>
      </c>
      <c r="I12" t="s">
        <v>249</v>
      </c>
      <c r="J12" s="11">
        <v>674.61065847657414</v>
      </c>
      <c r="K12" t="str">
        <f t="shared" si="0"/>
        <v>Ross Poppel</v>
      </c>
      <c r="N12" t="s">
        <v>82</v>
      </c>
      <c r="O12" s="26">
        <v>6</v>
      </c>
      <c r="R12" t="s">
        <v>1400</v>
      </c>
      <c r="S12" s="26">
        <v>1</v>
      </c>
      <c r="U12" t="s">
        <v>1685</v>
      </c>
      <c r="V12" t="s">
        <v>232</v>
      </c>
      <c r="W12" t="s">
        <v>1075</v>
      </c>
      <c r="X12" s="26">
        <v>1</v>
      </c>
    </row>
    <row r="13" spans="1:33" hidden="1" x14ac:dyDescent="0.35">
      <c r="A13">
        <f t="shared" si="1"/>
        <v>12</v>
      </c>
      <c r="B13">
        <v>2003</v>
      </c>
      <c r="C13" t="s">
        <v>109</v>
      </c>
      <c r="D13" t="s">
        <v>944</v>
      </c>
      <c r="E13" t="s">
        <v>944</v>
      </c>
      <c r="G13" s="2">
        <v>12</v>
      </c>
      <c r="H13" t="s">
        <v>862</v>
      </c>
      <c r="I13" t="s">
        <v>117</v>
      </c>
      <c r="J13" s="11">
        <v>636.82209758717431</v>
      </c>
      <c r="K13" t="str">
        <f t="shared" si="0"/>
        <v>Thomas Kelley</v>
      </c>
      <c r="N13" t="s">
        <v>1382</v>
      </c>
      <c r="O13" s="26">
        <v>1</v>
      </c>
      <c r="R13" t="s">
        <v>1075</v>
      </c>
      <c r="S13" s="26">
        <v>1</v>
      </c>
      <c r="U13" t="s">
        <v>435</v>
      </c>
      <c r="V13" t="s">
        <v>434</v>
      </c>
      <c r="W13" t="s">
        <v>433</v>
      </c>
      <c r="X13" s="26">
        <v>7</v>
      </c>
    </row>
    <row r="14" spans="1:33" hidden="1" x14ac:dyDescent="0.35">
      <c r="A14">
        <f t="shared" si="1"/>
        <v>13</v>
      </c>
      <c r="B14">
        <v>2003</v>
      </c>
      <c r="C14" t="s">
        <v>109</v>
      </c>
      <c r="D14" t="s">
        <v>944</v>
      </c>
      <c r="E14" t="s">
        <v>944</v>
      </c>
      <c r="G14" s="2">
        <v>13</v>
      </c>
      <c r="H14" t="s">
        <v>220</v>
      </c>
      <c r="I14" t="s">
        <v>421</v>
      </c>
      <c r="J14" s="11">
        <v>602.05999132796251</v>
      </c>
      <c r="K14" t="str">
        <f t="shared" si="0"/>
        <v>Bill Chen</v>
      </c>
      <c r="M14" t="s">
        <v>2413</v>
      </c>
      <c r="N14" t="s">
        <v>136</v>
      </c>
      <c r="O14" s="26">
        <v>2</v>
      </c>
      <c r="Q14" t="s">
        <v>434</v>
      </c>
      <c r="R14" t="s">
        <v>433</v>
      </c>
      <c r="S14" s="26">
        <v>7</v>
      </c>
      <c r="U14" t="s">
        <v>1094</v>
      </c>
      <c r="V14" t="s">
        <v>1093</v>
      </c>
      <c r="W14" t="s">
        <v>1092</v>
      </c>
      <c r="X14" s="26">
        <v>4</v>
      </c>
    </row>
    <row r="15" spans="1:33" hidden="1" x14ac:dyDescent="0.35">
      <c r="A15">
        <f t="shared" si="1"/>
        <v>14</v>
      </c>
      <c r="B15">
        <v>2003</v>
      </c>
      <c r="C15" t="s">
        <v>109</v>
      </c>
      <c r="D15" t="s">
        <v>944</v>
      </c>
      <c r="E15" t="s">
        <v>944</v>
      </c>
      <c r="G15" s="2">
        <v>14</v>
      </c>
      <c r="H15" t="s">
        <v>111</v>
      </c>
      <c r="I15" t="s">
        <v>16</v>
      </c>
      <c r="J15" s="11">
        <v>569.8753079565613</v>
      </c>
      <c r="K15" t="str">
        <f t="shared" si="0"/>
        <v>David Fruchter</v>
      </c>
      <c r="M15" t="s">
        <v>498</v>
      </c>
      <c r="N15" t="s">
        <v>28</v>
      </c>
      <c r="O15" s="26">
        <v>5</v>
      </c>
      <c r="Q15" t="s">
        <v>1093</v>
      </c>
      <c r="R15" t="s">
        <v>1092</v>
      </c>
      <c r="S15" s="26">
        <v>4</v>
      </c>
      <c r="U15" t="s">
        <v>1566</v>
      </c>
      <c r="V15" t="s">
        <v>131</v>
      </c>
      <c r="W15" t="s">
        <v>967</v>
      </c>
      <c r="X15" s="26">
        <v>2</v>
      </c>
    </row>
    <row r="16" spans="1:33" hidden="1" x14ac:dyDescent="0.35">
      <c r="A16">
        <f t="shared" si="1"/>
        <v>15</v>
      </c>
      <c r="B16">
        <v>2003</v>
      </c>
      <c r="C16" t="s">
        <v>109</v>
      </c>
      <c r="D16" t="s">
        <v>944</v>
      </c>
      <c r="E16" t="s">
        <v>944</v>
      </c>
      <c r="G16" s="2">
        <v>15</v>
      </c>
      <c r="H16" t="s">
        <v>672</v>
      </c>
      <c r="I16" t="s">
        <v>673</v>
      </c>
      <c r="J16" s="11">
        <v>539.91208457911785</v>
      </c>
      <c r="K16" t="str">
        <f t="shared" si="0"/>
        <v>Jazbo Burns</v>
      </c>
      <c r="M16" t="s">
        <v>1045</v>
      </c>
      <c r="N16" t="s">
        <v>16</v>
      </c>
      <c r="O16" s="26">
        <v>2</v>
      </c>
      <c r="Q16" t="s">
        <v>131</v>
      </c>
      <c r="R16" t="s">
        <v>967</v>
      </c>
      <c r="S16" s="26">
        <v>2</v>
      </c>
      <c r="U16" t="s">
        <v>617</v>
      </c>
      <c r="V16" t="s">
        <v>131</v>
      </c>
      <c r="W16" t="s">
        <v>616</v>
      </c>
      <c r="X16" s="26">
        <v>1</v>
      </c>
    </row>
    <row r="17" spans="1:24" hidden="1" x14ac:dyDescent="0.35">
      <c r="A17">
        <f t="shared" si="1"/>
        <v>16</v>
      </c>
      <c r="B17">
        <v>2003</v>
      </c>
      <c r="C17" t="s">
        <v>109</v>
      </c>
      <c r="D17" t="s">
        <v>944</v>
      </c>
      <c r="E17" t="s">
        <v>944</v>
      </c>
      <c r="G17" s="2">
        <v>16</v>
      </c>
      <c r="H17" t="s">
        <v>161</v>
      </c>
      <c r="I17" t="s">
        <v>200</v>
      </c>
      <c r="J17" s="11">
        <v>511.88336097887441</v>
      </c>
      <c r="K17" t="str">
        <f t="shared" si="0"/>
        <v>Rick Becker</v>
      </c>
      <c r="M17" t="s">
        <v>1329</v>
      </c>
      <c r="N17" t="s">
        <v>67</v>
      </c>
      <c r="O17" s="26">
        <v>1</v>
      </c>
      <c r="R17" t="s">
        <v>616</v>
      </c>
      <c r="S17" s="26">
        <v>1</v>
      </c>
      <c r="U17" t="s">
        <v>1007</v>
      </c>
      <c r="V17" t="s">
        <v>131</v>
      </c>
      <c r="W17" t="s">
        <v>1006</v>
      </c>
      <c r="X17" s="26">
        <v>2</v>
      </c>
    </row>
    <row r="18" spans="1:24" hidden="1" x14ac:dyDescent="0.35">
      <c r="A18">
        <f t="shared" si="1"/>
        <v>17</v>
      </c>
      <c r="B18">
        <v>2003</v>
      </c>
      <c r="C18" t="s">
        <v>109</v>
      </c>
      <c r="D18" t="s">
        <v>944</v>
      </c>
      <c r="E18" t="s">
        <v>944</v>
      </c>
      <c r="G18" s="2">
        <v>17</v>
      </c>
      <c r="H18" t="s">
        <v>420</v>
      </c>
      <c r="I18" t="s">
        <v>1361</v>
      </c>
      <c r="J18" s="11">
        <v>485.55442225652536</v>
      </c>
      <c r="K18" t="str">
        <f t="shared" si="0"/>
        <v>Robert A. Jacobs</v>
      </c>
      <c r="M18" t="s">
        <v>773</v>
      </c>
      <c r="N18" t="s">
        <v>413</v>
      </c>
      <c r="O18" s="26">
        <v>2</v>
      </c>
      <c r="R18" t="s">
        <v>1006</v>
      </c>
      <c r="S18" s="26">
        <v>2</v>
      </c>
      <c r="U18" t="s">
        <v>132</v>
      </c>
      <c r="V18" t="s">
        <v>131</v>
      </c>
      <c r="W18" t="s">
        <v>130</v>
      </c>
      <c r="X18" s="26">
        <v>20</v>
      </c>
    </row>
    <row r="19" spans="1:24" hidden="1" x14ac:dyDescent="0.35">
      <c r="A19">
        <f t="shared" si="1"/>
        <v>18</v>
      </c>
      <c r="B19">
        <v>2003</v>
      </c>
      <c r="C19" t="s">
        <v>109</v>
      </c>
      <c r="D19" t="s">
        <v>944</v>
      </c>
      <c r="E19" t="s">
        <v>944</v>
      </c>
      <c r="G19" s="2">
        <v>18</v>
      </c>
      <c r="H19" t="s">
        <v>1504</v>
      </c>
      <c r="I19" t="s">
        <v>85</v>
      </c>
      <c r="J19" s="11">
        <v>460.73083853149319</v>
      </c>
      <c r="K19" t="str">
        <f t="shared" si="0"/>
        <v>Patrick Milligan</v>
      </c>
      <c r="N19" t="s">
        <v>665</v>
      </c>
      <c r="O19" s="26">
        <v>2</v>
      </c>
      <c r="R19" t="s">
        <v>130</v>
      </c>
      <c r="S19" s="26">
        <v>20</v>
      </c>
      <c r="U19" t="s">
        <v>1467</v>
      </c>
      <c r="V19" t="s">
        <v>131</v>
      </c>
      <c r="W19" t="s">
        <v>1235</v>
      </c>
      <c r="X19" s="26">
        <v>4</v>
      </c>
    </row>
    <row r="20" spans="1:24" hidden="1" x14ac:dyDescent="0.35">
      <c r="A20">
        <f t="shared" si="1"/>
        <v>19</v>
      </c>
      <c r="B20">
        <v>2003</v>
      </c>
      <c r="C20" t="s">
        <v>109</v>
      </c>
      <c r="D20" t="s">
        <v>944</v>
      </c>
      <c r="E20" t="s">
        <v>944</v>
      </c>
      <c r="G20" s="2">
        <v>19</v>
      </c>
      <c r="H20" t="s">
        <v>947</v>
      </c>
      <c r="I20" t="s">
        <v>948</v>
      </c>
      <c r="J20" s="11">
        <v>437.24974268197036</v>
      </c>
      <c r="K20" t="str">
        <f t="shared" si="0"/>
        <v>Terrence Chan</v>
      </c>
      <c r="M20" t="s">
        <v>525</v>
      </c>
      <c r="N20" t="s">
        <v>327</v>
      </c>
      <c r="O20" s="26">
        <v>3</v>
      </c>
      <c r="R20" t="s">
        <v>1235</v>
      </c>
      <c r="S20" s="26">
        <v>4</v>
      </c>
      <c r="U20" t="s">
        <v>1549</v>
      </c>
      <c r="V20" t="s">
        <v>131</v>
      </c>
      <c r="W20" t="s">
        <v>298</v>
      </c>
      <c r="X20" s="26">
        <v>3</v>
      </c>
    </row>
    <row r="21" spans="1:24" hidden="1" x14ac:dyDescent="0.35">
      <c r="A21">
        <f t="shared" si="1"/>
        <v>20</v>
      </c>
      <c r="B21">
        <v>2003</v>
      </c>
      <c r="C21" t="s">
        <v>109</v>
      </c>
      <c r="D21" t="s">
        <v>944</v>
      </c>
      <c r="E21" t="s">
        <v>944</v>
      </c>
      <c r="G21" s="2">
        <v>20</v>
      </c>
      <c r="H21" t="s">
        <v>739</v>
      </c>
      <c r="I21" t="s">
        <v>740</v>
      </c>
      <c r="J21" s="11">
        <v>414.973347970818</v>
      </c>
      <c r="K21" t="str">
        <f t="shared" si="0"/>
        <v>Joan Hadley</v>
      </c>
      <c r="N21" t="s">
        <v>2320</v>
      </c>
      <c r="O21" s="26">
        <v>10</v>
      </c>
      <c r="R21" t="s">
        <v>298</v>
      </c>
      <c r="S21" s="26">
        <v>3</v>
      </c>
      <c r="U21" t="s">
        <v>747</v>
      </c>
      <c r="V21" t="s">
        <v>746</v>
      </c>
      <c r="W21" t="s">
        <v>745</v>
      </c>
      <c r="X21" s="26">
        <v>1</v>
      </c>
    </row>
    <row r="22" spans="1:24" hidden="1" x14ac:dyDescent="0.35">
      <c r="A22">
        <f t="shared" si="1"/>
        <v>21</v>
      </c>
      <c r="B22">
        <v>2003</v>
      </c>
      <c r="C22" t="s">
        <v>109</v>
      </c>
      <c r="D22" t="s">
        <v>944</v>
      </c>
      <c r="E22" t="s">
        <v>944</v>
      </c>
      <c r="G22" s="2">
        <v>21</v>
      </c>
      <c r="H22" t="s">
        <v>1363</v>
      </c>
      <c r="I22" t="s">
        <v>1364</v>
      </c>
      <c r="J22" s="11">
        <v>393.78404890087995</v>
      </c>
      <c r="K22" t="str">
        <f t="shared" si="0"/>
        <v>Art Santella</v>
      </c>
      <c r="N22" t="s">
        <v>58</v>
      </c>
      <c r="O22" s="26">
        <v>10</v>
      </c>
      <c r="Q22" t="s">
        <v>746</v>
      </c>
      <c r="R22" t="s">
        <v>745</v>
      </c>
      <c r="S22" s="26">
        <v>1</v>
      </c>
      <c r="U22" t="s">
        <v>199</v>
      </c>
      <c r="V22" t="s">
        <v>149</v>
      </c>
      <c r="W22" t="s">
        <v>198</v>
      </c>
      <c r="X22" s="26">
        <v>4</v>
      </c>
    </row>
    <row r="23" spans="1:24" hidden="1" x14ac:dyDescent="0.35">
      <c r="A23">
        <f t="shared" si="1"/>
        <v>22</v>
      </c>
      <c r="B23">
        <v>2003</v>
      </c>
      <c r="C23" t="s">
        <v>109</v>
      </c>
      <c r="D23" t="s">
        <v>944</v>
      </c>
      <c r="E23" t="s">
        <v>944</v>
      </c>
      <c r="G23" s="2">
        <v>22</v>
      </c>
      <c r="H23" t="s">
        <v>43</v>
      </c>
      <c r="I23" t="s">
        <v>218</v>
      </c>
      <c r="J23" s="11">
        <v>373.58066281259306</v>
      </c>
      <c r="K23" t="str">
        <f t="shared" si="0"/>
        <v>Michael Klein</v>
      </c>
      <c r="N23" t="s">
        <v>136</v>
      </c>
      <c r="O23" s="26">
        <v>1</v>
      </c>
      <c r="Q23" t="s">
        <v>149</v>
      </c>
      <c r="R23" t="s">
        <v>198</v>
      </c>
      <c r="S23" s="26">
        <v>4</v>
      </c>
      <c r="U23" t="s">
        <v>150</v>
      </c>
      <c r="V23" t="s">
        <v>149</v>
      </c>
      <c r="W23" t="s">
        <v>148</v>
      </c>
      <c r="X23" s="26">
        <v>10</v>
      </c>
    </row>
    <row r="24" spans="1:24" hidden="1" x14ac:dyDescent="0.35">
      <c r="A24">
        <f t="shared" si="1"/>
        <v>23</v>
      </c>
      <c r="B24">
        <v>2003</v>
      </c>
      <c r="C24" t="s">
        <v>109</v>
      </c>
      <c r="D24" t="s">
        <v>944</v>
      </c>
      <c r="E24" t="s">
        <v>944</v>
      </c>
      <c r="G24" s="2">
        <v>23</v>
      </c>
      <c r="H24" t="s">
        <v>70</v>
      </c>
      <c r="I24" t="s">
        <v>71</v>
      </c>
      <c r="J24" s="11">
        <v>354.27550761720636</v>
      </c>
      <c r="K24" t="str">
        <f t="shared" si="0"/>
        <v>Scott Byron</v>
      </c>
      <c r="M24" t="s">
        <v>627</v>
      </c>
      <c r="N24" t="s">
        <v>391</v>
      </c>
      <c r="O24" s="26">
        <v>1</v>
      </c>
      <c r="R24" t="s">
        <v>148</v>
      </c>
      <c r="S24" s="26">
        <v>10</v>
      </c>
      <c r="U24" t="s">
        <v>1627</v>
      </c>
      <c r="V24" t="s">
        <v>744</v>
      </c>
      <c r="W24" t="s">
        <v>1073</v>
      </c>
      <c r="X24" s="26">
        <v>2</v>
      </c>
    </row>
    <row r="25" spans="1:24" hidden="1" x14ac:dyDescent="0.35">
      <c r="A25">
        <f t="shared" si="1"/>
        <v>24</v>
      </c>
      <c r="B25">
        <v>2003</v>
      </c>
      <c r="C25" t="s">
        <v>109</v>
      </c>
      <c r="D25" t="s">
        <v>944</v>
      </c>
      <c r="E25" t="s">
        <v>944</v>
      </c>
      <c r="G25" s="2">
        <v>24</v>
      </c>
      <c r="H25" t="s">
        <v>664</v>
      </c>
      <c r="I25" t="s">
        <v>665</v>
      </c>
      <c r="J25" s="11">
        <v>335.79210192319329</v>
      </c>
      <c r="K25" t="str">
        <f t="shared" si="0"/>
        <v>Robert Hwang</v>
      </c>
      <c r="M25" t="s">
        <v>791</v>
      </c>
      <c r="N25" t="s">
        <v>463</v>
      </c>
      <c r="O25" s="26">
        <v>1</v>
      </c>
      <c r="Q25" t="s">
        <v>744</v>
      </c>
      <c r="R25" t="s">
        <v>1073</v>
      </c>
      <c r="S25" s="26">
        <v>2</v>
      </c>
      <c r="U25" t="s">
        <v>2466</v>
      </c>
      <c r="V25" t="s">
        <v>2173</v>
      </c>
      <c r="W25" t="s">
        <v>2465</v>
      </c>
      <c r="X25" s="26">
        <v>1</v>
      </c>
    </row>
    <row r="26" spans="1:24" hidden="1" x14ac:dyDescent="0.35">
      <c r="A26">
        <f t="shared" si="1"/>
        <v>25</v>
      </c>
      <c r="B26">
        <v>2003</v>
      </c>
      <c r="C26" t="s">
        <v>109</v>
      </c>
      <c r="D26" t="s">
        <v>944</v>
      </c>
      <c r="E26" t="s">
        <v>944</v>
      </c>
      <c r="G26" s="2">
        <v>25</v>
      </c>
      <c r="H26" t="s">
        <v>1235</v>
      </c>
      <c r="I26" t="s">
        <v>131</v>
      </c>
      <c r="J26" s="11">
        <v>318.06333496276153</v>
      </c>
      <c r="K26" t="str">
        <f t="shared" si="0"/>
        <v>Alan Tiger</v>
      </c>
      <c r="M26" t="s">
        <v>707</v>
      </c>
      <c r="N26" t="s">
        <v>480</v>
      </c>
      <c r="O26" s="26">
        <v>2</v>
      </c>
      <c r="Q26" t="s">
        <v>2173</v>
      </c>
      <c r="R26" t="s">
        <v>2465</v>
      </c>
      <c r="S26" s="26">
        <v>1</v>
      </c>
      <c r="U26" t="s">
        <v>1653</v>
      </c>
      <c r="V26" t="s">
        <v>919</v>
      </c>
      <c r="W26" t="s">
        <v>232</v>
      </c>
      <c r="X26" s="26">
        <v>1</v>
      </c>
    </row>
    <row r="27" spans="1:24" hidden="1" x14ac:dyDescent="0.35">
      <c r="A27">
        <f t="shared" si="1"/>
        <v>26</v>
      </c>
      <c r="B27">
        <v>2003</v>
      </c>
      <c r="C27" t="s">
        <v>109</v>
      </c>
      <c r="D27" t="s">
        <v>944</v>
      </c>
      <c r="E27" t="s">
        <v>944</v>
      </c>
      <c r="G27" s="2">
        <v>26</v>
      </c>
      <c r="H27" t="s">
        <v>459</v>
      </c>
      <c r="I27" t="s">
        <v>136</v>
      </c>
      <c r="J27" s="11">
        <v>301.02999566398125</v>
      </c>
      <c r="K27" t="str">
        <f t="shared" si="0"/>
        <v>John Bonaguro</v>
      </c>
      <c r="M27" t="s">
        <v>764</v>
      </c>
      <c r="N27" t="s">
        <v>901</v>
      </c>
      <c r="O27" s="26">
        <v>17</v>
      </c>
      <c r="Q27" t="s">
        <v>919</v>
      </c>
      <c r="R27" t="s">
        <v>232</v>
      </c>
      <c r="S27" s="26">
        <v>1</v>
      </c>
      <c r="U27" t="s">
        <v>349</v>
      </c>
      <c r="V27" t="s">
        <v>47</v>
      </c>
      <c r="W27" t="s">
        <v>46</v>
      </c>
      <c r="X27" s="26">
        <v>3</v>
      </c>
    </row>
    <row r="28" spans="1:24" hidden="1" x14ac:dyDescent="0.35">
      <c r="A28">
        <f t="shared" si="1"/>
        <v>27</v>
      </c>
      <c r="B28">
        <v>2003</v>
      </c>
      <c r="C28" t="s">
        <v>109</v>
      </c>
      <c r="D28" t="s">
        <v>944</v>
      </c>
      <c r="E28" t="s">
        <v>944</v>
      </c>
      <c r="G28" s="2">
        <v>27</v>
      </c>
      <c r="H28" t="s">
        <v>731</v>
      </c>
      <c r="I28" t="s">
        <v>384</v>
      </c>
      <c r="J28" s="11">
        <v>284.63957947581184</v>
      </c>
      <c r="K28" t="str">
        <f t="shared" si="0"/>
        <v>Jeff Calkins</v>
      </c>
      <c r="N28" t="s">
        <v>765</v>
      </c>
      <c r="O28" s="26">
        <v>13</v>
      </c>
      <c r="Q28" t="s">
        <v>47</v>
      </c>
      <c r="R28" t="s">
        <v>46</v>
      </c>
      <c r="S28" s="26">
        <v>3</v>
      </c>
      <c r="U28" t="s">
        <v>788</v>
      </c>
      <c r="V28" t="s">
        <v>787</v>
      </c>
      <c r="W28" t="s">
        <v>786</v>
      </c>
      <c r="X28" s="26">
        <v>2</v>
      </c>
    </row>
    <row r="29" spans="1:24" hidden="1" x14ac:dyDescent="0.35">
      <c r="A29">
        <f t="shared" si="1"/>
        <v>28</v>
      </c>
      <c r="B29">
        <v>2003</v>
      </c>
      <c r="C29" t="s">
        <v>109</v>
      </c>
      <c r="D29" t="s">
        <v>944</v>
      </c>
      <c r="E29" t="s">
        <v>944</v>
      </c>
      <c r="G29" s="2">
        <v>28</v>
      </c>
      <c r="H29" t="s">
        <v>273</v>
      </c>
      <c r="I29" t="s">
        <v>79</v>
      </c>
      <c r="J29" s="11">
        <v>268.84531229258005</v>
      </c>
      <c r="K29" t="str">
        <f t="shared" si="0"/>
        <v>Kevin Maurer</v>
      </c>
      <c r="M29" t="s">
        <v>173</v>
      </c>
      <c r="N29" t="s">
        <v>117</v>
      </c>
      <c r="O29" s="26">
        <v>4</v>
      </c>
      <c r="Q29" t="s">
        <v>787</v>
      </c>
      <c r="R29" t="s">
        <v>786</v>
      </c>
      <c r="S29" s="26">
        <v>2</v>
      </c>
      <c r="U29" t="s">
        <v>193</v>
      </c>
      <c r="V29" t="s">
        <v>192</v>
      </c>
      <c r="W29" t="s">
        <v>27</v>
      </c>
      <c r="X29" s="26">
        <v>1</v>
      </c>
    </row>
    <row r="30" spans="1:24" hidden="1" x14ac:dyDescent="0.35">
      <c r="A30">
        <f t="shared" si="1"/>
        <v>29</v>
      </c>
      <c r="B30">
        <v>2003</v>
      </c>
      <c r="C30" t="s">
        <v>109</v>
      </c>
      <c r="D30" t="s">
        <v>944</v>
      </c>
      <c r="E30" t="s">
        <v>944</v>
      </c>
      <c r="G30" s="2">
        <v>29</v>
      </c>
      <c r="H30" t="s">
        <v>118</v>
      </c>
      <c r="I30" t="s">
        <v>415</v>
      </c>
      <c r="J30" s="11">
        <v>253.60534573584314</v>
      </c>
      <c r="K30" t="str">
        <f t="shared" si="0"/>
        <v>Pete Segal</v>
      </c>
      <c r="M30" t="s">
        <v>29</v>
      </c>
      <c r="N30" t="s">
        <v>30</v>
      </c>
      <c r="O30" s="26">
        <v>12</v>
      </c>
      <c r="Q30" t="s">
        <v>192</v>
      </c>
      <c r="R30" t="s">
        <v>27</v>
      </c>
      <c r="S30" s="26">
        <v>1</v>
      </c>
      <c r="U30" t="s">
        <v>1462</v>
      </c>
      <c r="V30" t="s">
        <v>1461</v>
      </c>
      <c r="W30" t="s">
        <v>1460</v>
      </c>
      <c r="X30" s="26">
        <v>8</v>
      </c>
    </row>
    <row r="31" spans="1:24" hidden="1" x14ac:dyDescent="0.35">
      <c r="A31">
        <f t="shared" si="1"/>
        <v>30</v>
      </c>
      <c r="B31">
        <v>2003</v>
      </c>
      <c r="C31" t="s">
        <v>109</v>
      </c>
      <c r="D31" t="s">
        <v>944</v>
      </c>
      <c r="E31" t="s">
        <v>944</v>
      </c>
      <c r="G31" s="2">
        <v>30</v>
      </c>
      <c r="H31" t="s">
        <v>414</v>
      </c>
      <c r="I31" t="s">
        <v>413</v>
      </c>
      <c r="J31" s="11">
        <v>238.88208891513685</v>
      </c>
      <c r="K31" t="str">
        <f t="shared" si="0"/>
        <v>Bruce Kramer</v>
      </c>
      <c r="M31" t="s">
        <v>31</v>
      </c>
      <c r="N31" t="s">
        <v>32</v>
      </c>
      <c r="O31" s="26">
        <v>7</v>
      </c>
      <c r="Q31" t="s">
        <v>1461</v>
      </c>
      <c r="R31" t="s">
        <v>1460</v>
      </c>
      <c r="S31" s="26">
        <v>8</v>
      </c>
      <c r="U31" t="s">
        <v>2288</v>
      </c>
      <c r="V31" t="s">
        <v>324</v>
      </c>
      <c r="W31" t="s">
        <v>2278</v>
      </c>
      <c r="X31" s="26">
        <v>5</v>
      </c>
    </row>
    <row r="32" spans="1:24" hidden="1" x14ac:dyDescent="0.35">
      <c r="A32">
        <f t="shared" si="1"/>
        <v>31</v>
      </c>
      <c r="B32">
        <v>2003</v>
      </c>
      <c r="C32" t="s">
        <v>109</v>
      </c>
      <c r="D32" t="s">
        <v>944</v>
      </c>
      <c r="E32" t="s">
        <v>944</v>
      </c>
      <c r="G32" s="2">
        <v>31</v>
      </c>
      <c r="H32" t="s">
        <v>1144</v>
      </c>
      <c r="I32" t="s">
        <v>44</v>
      </c>
      <c r="J32" s="11">
        <v>224.64164980052658</v>
      </c>
      <c r="K32" t="str">
        <f t="shared" si="0"/>
        <v>Mike Schmidt</v>
      </c>
      <c r="N32" t="s">
        <v>16</v>
      </c>
      <c r="O32" s="26">
        <v>11</v>
      </c>
      <c r="Q32" t="s">
        <v>324</v>
      </c>
      <c r="R32" t="s">
        <v>2278</v>
      </c>
      <c r="S32" s="26">
        <v>5</v>
      </c>
      <c r="U32" t="s">
        <v>1611</v>
      </c>
      <c r="V32" t="s">
        <v>324</v>
      </c>
      <c r="W32" t="s">
        <v>1063</v>
      </c>
      <c r="X32" s="26">
        <v>1</v>
      </c>
    </row>
    <row r="33" spans="1:24" hidden="1" x14ac:dyDescent="0.35">
      <c r="A33">
        <f t="shared" si="1"/>
        <v>32</v>
      </c>
      <c r="B33">
        <v>2003</v>
      </c>
      <c r="C33" t="s">
        <v>109</v>
      </c>
      <c r="D33" t="s">
        <v>944</v>
      </c>
      <c r="E33" t="s">
        <v>944</v>
      </c>
      <c r="G33" s="2">
        <v>32</v>
      </c>
      <c r="H33" t="s">
        <v>950</v>
      </c>
      <c r="I33" t="s">
        <v>142</v>
      </c>
      <c r="J33" s="11">
        <v>210.85336531489318</v>
      </c>
      <c r="K33" t="str">
        <f t="shared" si="0"/>
        <v>Matt Treasure</v>
      </c>
      <c r="M33" t="s">
        <v>1102</v>
      </c>
      <c r="N33" t="s">
        <v>521</v>
      </c>
      <c r="O33" s="26">
        <v>4</v>
      </c>
      <c r="R33" t="s">
        <v>1063</v>
      </c>
      <c r="S33" s="26">
        <v>1</v>
      </c>
      <c r="U33" t="s">
        <v>325</v>
      </c>
      <c r="V33" t="s">
        <v>324</v>
      </c>
      <c r="W33" t="s">
        <v>323</v>
      </c>
      <c r="X33" s="26">
        <v>14</v>
      </c>
    </row>
    <row r="34" spans="1:24" hidden="1" x14ac:dyDescent="0.35">
      <c r="A34">
        <f t="shared" si="1"/>
        <v>33</v>
      </c>
      <c r="B34">
        <v>2003</v>
      </c>
      <c r="C34" t="s">
        <v>109</v>
      </c>
      <c r="D34" t="s">
        <v>944</v>
      </c>
      <c r="E34" t="s">
        <v>944</v>
      </c>
      <c r="G34" s="2">
        <v>33</v>
      </c>
      <c r="H34" t="s">
        <v>161</v>
      </c>
      <c r="I34" t="s">
        <v>162</v>
      </c>
      <c r="J34" s="11">
        <v>197.48940375691171</v>
      </c>
      <c r="K34" t="str">
        <f t="shared" si="0"/>
        <v>Tracy Becker</v>
      </c>
      <c r="M34" t="s">
        <v>1159</v>
      </c>
      <c r="N34" t="s">
        <v>136</v>
      </c>
      <c r="O34" s="26">
        <v>3</v>
      </c>
      <c r="R34" t="s">
        <v>323</v>
      </c>
      <c r="S34" s="26">
        <v>14</v>
      </c>
      <c r="U34" t="s">
        <v>1245</v>
      </c>
      <c r="V34" t="s">
        <v>324</v>
      </c>
      <c r="W34" t="s">
        <v>1244</v>
      </c>
      <c r="X34" s="26">
        <v>4</v>
      </c>
    </row>
    <row r="35" spans="1:24" hidden="1" x14ac:dyDescent="0.35">
      <c r="A35">
        <f t="shared" si="1"/>
        <v>34</v>
      </c>
      <c r="B35">
        <v>2003</v>
      </c>
      <c r="C35" t="s">
        <v>109</v>
      </c>
      <c r="D35" t="s">
        <v>944</v>
      </c>
      <c r="E35" t="s">
        <v>944</v>
      </c>
      <c r="G35" s="2">
        <v>34</v>
      </c>
      <c r="H35" t="s">
        <v>74</v>
      </c>
      <c r="I35" t="s">
        <v>75</v>
      </c>
      <c r="J35" s="11">
        <v>184.5244265925441</v>
      </c>
      <c r="K35" t="str">
        <f t="shared" si="0"/>
        <v>Sabyl Landrum</v>
      </c>
      <c r="M35" t="s">
        <v>2454</v>
      </c>
      <c r="N35" t="s">
        <v>782</v>
      </c>
      <c r="O35" s="26">
        <v>1</v>
      </c>
      <c r="R35" t="s">
        <v>1244</v>
      </c>
      <c r="S35" s="26">
        <v>4</v>
      </c>
      <c r="U35" t="s">
        <v>123</v>
      </c>
      <c r="V35" t="s">
        <v>122</v>
      </c>
      <c r="W35" t="s">
        <v>121</v>
      </c>
      <c r="X35" s="26">
        <v>6</v>
      </c>
    </row>
    <row r="36" spans="1:24" hidden="1" x14ac:dyDescent="0.35">
      <c r="A36">
        <f t="shared" si="1"/>
        <v>35</v>
      </c>
      <c r="B36">
        <v>2003</v>
      </c>
      <c r="C36" t="s">
        <v>109</v>
      </c>
      <c r="D36" t="s">
        <v>944</v>
      </c>
      <c r="E36" t="s">
        <v>944</v>
      </c>
      <c r="G36" s="2">
        <v>35</v>
      </c>
      <c r="H36" t="s">
        <v>19</v>
      </c>
      <c r="I36" t="s">
        <v>20</v>
      </c>
      <c r="J36" s="11">
        <v>171.93529928452355</v>
      </c>
      <c r="K36" t="str">
        <f t="shared" si="0"/>
        <v>Barry Kornspan</v>
      </c>
      <c r="M36" t="s">
        <v>231</v>
      </c>
      <c r="N36" t="s">
        <v>232</v>
      </c>
      <c r="O36" s="26">
        <v>15</v>
      </c>
      <c r="Q36" t="s">
        <v>122</v>
      </c>
      <c r="R36" t="s">
        <v>121</v>
      </c>
      <c r="S36" s="26">
        <v>6</v>
      </c>
      <c r="U36" t="s">
        <v>959</v>
      </c>
      <c r="V36" t="s">
        <v>122</v>
      </c>
      <c r="W36" t="s">
        <v>958</v>
      </c>
      <c r="X36" s="26">
        <v>7</v>
      </c>
    </row>
    <row r="37" spans="1:24" hidden="1" x14ac:dyDescent="0.35">
      <c r="A37">
        <f t="shared" si="1"/>
        <v>36</v>
      </c>
      <c r="B37">
        <v>2003</v>
      </c>
      <c r="C37" t="s">
        <v>109</v>
      </c>
      <c r="D37" t="s">
        <v>944</v>
      </c>
      <c r="E37" t="s">
        <v>944</v>
      </c>
      <c r="G37" s="2">
        <v>36</v>
      </c>
      <c r="H37" t="s">
        <v>1146</v>
      </c>
      <c r="I37" t="s">
        <v>79</v>
      </c>
      <c r="J37" s="11">
        <v>159.70084286751197</v>
      </c>
      <c r="K37" t="str">
        <f t="shared" si="0"/>
        <v>Kevin Suffecool</v>
      </c>
      <c r="M37" t="s">
        <v>645</v>
      </c>
      <c r="N37" t="s">
        <v>644</v>
      </c>
      <c r="O37" s="26">
        <v>4</v>
      </c>
      <c r="R37" t="s">
        <v>958</v>
      </c>
      <c r="S37" s="26">
        <v>7</v>
      </c>
      <c r="U37" t="s">
        <v>1550</v>
      </c>
      <c r="V37" t="s">
        <v>122</v>
      </c>
      <c r="W37" t="s">
        <v>265</v>
      </c>
      <c r="X37" s="26">
        <v>2</v>
      </c>
    </row>
    <row r="38" spans="1:24" hidden="1" x14ac:dyDescent="0.35">
      <c r="A38">
        <f t="shared" si="1"/>
        <v>37</v>
      </c>
      <c r="B38">
        <v>2003</v>
      </c>
      <c r="C38" t="s">
        <v>109</v>
      </c>
      <c r="D38" t="s">
        <v>944</v>
      </c>
      <c r="E38" t="s">
        <v>944</v>
      </c>
      <c r="G38" s="2">
        <v>37</v>
      </c>
      <c r="H38" t="s">
        <v>1244</v>
      </c>
      <c r="I38" t="s">
        <v>324</v>
      </c>
      <c r="J38" s="11">
        <v>147.80161956780424</v>
      </c>
      <c r="K38" t="str">
        <f t="shared" si="0"/>
        <v>Andrew Richman</v>
      </c>
      <c r="M38" t="s">
        <v>898</v>
      </c>
      <c r="N38" t="s">
        <v>899</v>
      </c>
      <c r="O38" s="26">
        <v>6</v>
      </c>
      <c r="R38" t="s">
        <v>265</v>
      </c>
      <c r="S38" s="26">
        <v>2</v>
      </c>
      <c r="U38" t="s">
        <v>651</v>
      </c>
      <c r="V38" t="s">
        <v>556</v>
      </c>
      <c r="W38" t="s">
        <v>555</v>
      </c>
      <c r="X38" s="26">
        <v>2</v>
      </c>
    </row>
    <row r="39" spans="1:24" hidden="1" x14ac:dyDescent="0.35">
      <c r="A39">
        <f t="shared" si="1"/>
        <v>38</v>
      </c>
      <c r="B39">
        <v>2003</v>
      </c>
      <c r="C39" t="s">
        <v>109</v>
      </c>
      <c r="D39" t="s">
        <v>944</v>
      </c>
      <c r="E39" t="s">
        <v>944</v>
      </c>
      <c r="G39" s="2">
        <v>38</v>
      </c>
      <c r="H39" t="s">
        <v>1223</v>
      </c>
      <c r="I39" t="s">
        <v>65</v>
      </c>
      <c r="J39" s="11">
        <v>136.21974701798911</v>
      </c>
      <c r="K39" t="str">
        <f t="shared" si="0"/>
        <v>Steve Zang</v>
      </c>
      <c r="M39" t="s">
        <v>1228</v>
      </c>
      <c r="N39" t="s">
        <v>1229</v>
      </c>
      <c r="O39" s="26">
        <v>1</v>
      </c>
      <c r="Q39" t="s">
        <v>556</v>
      </c>
      <c r="R39" t="s">
        <v>555</v>
      </c>
      <c r="S39" s="26">
        <v>2</v>
      </c>
      <c r="U39" t="s">
        <v>2293</v>
      </c>
      <c r="V39" t="s">
        <v>2286</v>
      </c>
      <c r="W39" t="s">
        <v>2285</v>
      </c>
      <c r="X39" s="26">
        <v>2</v>
      </c>
    </row>
    <row r="40" spans="1:24" hidden="1" x14ac:dyDescent="0.35">
      <c r="A40">
        <f t="shared" si="1"/>
        <v>39</v>
      </c>
      <c r="B40">
        <v>2003</v>
      </c>
      <c r="C40" t="s">
        <v>109</v>
      </c>
      <c r="D40" t="s">
        <v>944</v>
      </c>
      <c r="E40" t="s">
        <v>944</v>
      </c>
      <c r="G40" s="2">
        <v>39</v>
      </c>
      <c r="H40" t="s">
        <v>268</v>
      </c>
      <c r="I40" t="s">
        <v>269</v>
      </c>
      <c r="J40" s="11">
        <v>124.93873660830013</v>
      </c>
      <c r="K40" t="str">
        <f t="shared" si="0"/>
        <v>Keith Fichtemaier</v>
      </c>
      <c r="M40" t="s">
        <v>1143</v>
      </c>
      <c r="N40" t="s">
        <v>848</v>
      </c>
      <c r="O40" s="26">
        <v>1</v>
      </c>
      <c r="Q40" t="s">
        <v>2286</v>
      </c>
      <c r="R40" t="s">
        <v>2285</v>
      </c>
      <c r="S40" s="26">
        <v>2</v>
      </c>
      <c r="U40" t="s">
        <v>1365</v>
      </c>
      <c r="V40" t="s">
        <v>1364</v>
      </c>
      <c r="W40" t="s">
        <v>1363</v>
      </c>
      <c r="X40" s="26">
        <v>3</v>
      </c>
    </row>
    <row r="41" spans="1:24" hidden="1" x14ac:dyDescent="0.35">
      <c r="A41">
        <f t="shared" si="1"/>
        <v>40</v>
      </c>
      <c r="B41">
        <v>2003</v>
      </c>
      <c r="C41" t="s">
        <v>109</v>
      </c>
      <c r="D41" t="s">
        <v>944</v>
      </c>
      <c r="E41" t="s">
        <v>944</v>
      </c>
      <c r="G41" s="2">
        <v>40</v>
      </c>
      <c r="H41" t="s">
        <v>1217</v>
      </c>
      <c r="I41" t="s">
        <v>1218</v>
      </c>
      <c r="J41" s="11">
        <v>113.94335230683694</v>
      </c>
      <c r="K41" t="str">
        <f t="shared" si="0"/>
        <v>Brad Edmonds</v>
      </c>
      <c r="M41" t="s">
        <v>1004</v>
      </c>
      <c r="N41" t="s">
        <v>1005</v>
      </c>
      <c r="O41" s="26">
        <v>1</v>
      </c>
      <c r="Q41" t="s">
        <v>1364</v>
      </c>
      <c r="R41" t="s">
        <v>1363</v>
      </c>
      <c r="S41" s="26">
        <v>3</v>
      </c>
      <c r="U41" t="s">
        <v>1529</v>
      </c>
      <c r="V41" t="s">
        <v>399</v>
      </c>
      <c r="W41" t="s">
        <v>398</v>
      </c>
      <c r="X41" s="26">
        <v>6</v>
      </c>
    </row>
    <row r="42" spans="1:24" hidden="1" x14ac:dyDescent="0.35">
      <c r="A42">
        <f t="shared" si="1"/>
        <v>41</v>
      </c>
      <c r="B42">
        <v>2003</v>
      </c>
      <c r="C42" t="s">
        <v>109</v>
      </c>
      <c r="D42" t="s">
        <v>944</v>
      </c>
      <c r="E42" t="s">
        <v>944</v>
      </c>
      <c r="G42" s="2">
        <v>41</v>
      </c>
      <c r="H42" t="s">
        <v>831</v>
      </c>
      <c r="I42" t="s">
        <v>384</v>
      </c>
      <c r="J42" s="11">
        <v>103.21948691506377</v>
      </c>
      <c r="K42" t="str">
        <f t="shared" si="0"/>
        <v>Jeff Woods</v>
      </c>
      <c r="M42" t="s">
        <v>1140</v>
      </c>
      <c r="N42" t="s">
        <v>1141</v>
      </c>
      <c r="O42" s="26">
        <v>1</v>
      </c>
      <c r="Q42" t="s">
        <v>399</v>
      </c>
      <c r="R42" t="s">
        <v>398</v>
      </c>
      <c r="S42" s="26">
        <v>6</v>
      </c>
      <c r="U42" t="s">
        <v>2351</v>
      </c>
      <c r="V42" t="s">
        <v>399</v>
      </c>
      <c r="W42" t="s">
        <v>2334</v>
      </c>
      <c r="X42" s="26">
        <v>1</v>
      </c>
    </row>
    <row r="43" spans="1:24" hidden="1" x14ac:dyDescent="0.35">
      <c r="A43">
        <f t="shared" si="1"/>
        <v>42</v>
      </c>
      <c r="B43">
        <v>2003</v>
      </c>
      <c r="C43" t="s">
        <v>109</v>
      </c>
      <c r="D43" t="s">
        <v>944</v>
      </c>
      <c r="E43" t="s">
        <v>944</v>
      </c>
      <c r="G43" s="2">
        <v>42</v>
      </c>
      <c r="H43" t="s">
        <v>1257</v>
      </c>
      <c r="I43" t="s">
        <v>13</v>
      </c>
      <c r="J43" s="11">
        <v>92.75405323689867</v>
      </c>
      <c r="K43" t="str">
        <f t="shared" si="0"/>
        <v>Tom Snow</v>
      </c>
      <c r="M43" t="s">
        <v>804</v>
      </c>
      <c r="N43" t="s">
        <v>644</v>
      </c>
      <c r="O43" s="26">
        <v>5</v>
      </c>
      <c r="R43" t="s">
        <v>2334</v>
      </c>
      <c r="S43" s="26">
        <v>1</v>
      </c>
      <c r="U43" t="s">
        <v>157</v>
      </c>
      <c r="V43" t="s">
        <v>156</v>
      </c>
      <c r="W43" t="s">
        <v>80</v>
      </c>
      <c r="X43" s="26">
        <v>8</v>
      </c>
    </row>
    <row r="44" spans="1:24" hidden="1" x14ac:dyDescent="0.35">
      <c r="A44">
        <f t="shared" si="1"/>
        <v>43</v>
      </c>
      <c r="B44">
        <v>2003</v>
      </c>
      <c r="C44" t="s">
        <v>109</v>
      </c>
      <c r="D44" t="s">
        <v>944</v>
      </c>
      <c r="E44" t="s">
        <v>944</v>
      </c>
      <c r="G44" s="2">
        <v>43</v>
      </c>
      <c r="H44" t="s">
        <v>251</v>
      </c>
      <c r="I44" t="s">
        <v>252</v>
      </c>
      <c r="J44" s="11">
        <v>82.534888055212804</v>
      </c>
      <c r="K44" t="str">
        <f t="shared" si="0"/>
        <v>Linda Lewis</v>
      </c>
      <c r="N44" t="s">
        <v>22</v>
      </c>
      <c r="O44" s="26">
        <v>5</v>
      </c>
      <c r="Q44" t="s">
        <v>156</v>
      </c>
      <c r="R44" t="s">
        <v>80</v>
      </c>
      <c r="S44" s="26">
        <v>8</v>
      </c>
      <c r="U44" t="s">
        <v>1593</v>
      </c>
      <c r="V44" t="s">
        <v>397</v>
      </c>
      <c r="W44" t="s">
        <v>396</v>
      </c>
      <c r="X44" s="26">
        <v>8</v>
      </c>
    </row>
    <row r="45" spans="1:24" hidden="1" x14ac:dyDescent="0.35">
      <c r="A45">
        <f t="shared" si="1"/>
        <v>44</v>
      </c>
      <c r="B45">
        <v>2003</v>
      </c>
      <c r="C45" t="s">
        <v>109</v>
      </c>
      <c r="D45" t="s">
        <v>944</v>
      </c>
      <c r="E45" t="s">
        <v>944</v>
      </c>
      <c r="G45" s="2">
        <v>44</v>
      </c>
      <c r="H45" t="s">
        <v>945</v>
      </c>
      <c r="I45" t="s">
        <v>946</v>
      </c>
      <c r="J45" s="11">
        <v>72.550667148611808</v>
      </c>
      <c r="K45" t="str">
        <f t="shared" si="0"/>
        <v>Ray DiDonato</v>
      </c>
      <c r="M45" t="s">
        <v>121</v>
      </c>
      <c r="N45" t="s">
        <v>122</v>
      </c>
      <c r="O45" s="26">
        <v>6</v>
      </c>
      <c r="Q45" t="s">
        <v>397</v>
      </c>
      <c r="R45" t="s">
        <v>396</v>
      </c>
      <c r="S45" s="26">
        <v>8</v>
      </c>
      <c r="U45" t="s">
        <v>2347</v>
      </c>
      <c r="V45" t="s">
        <v>109</v>
      </c>
      <c r="W45" t="s">
        <v>2330</v>
      </c>
      <c r="X45" s="26">
        <v>1</v>
      </c>
    </row>
    <row r="46" spans="1:24" hidden="1" x14ac:dyDescent="0.35">
      <c r="A46">
        <f t="shared" si="1"/>
        <v>45</v>
      </c>
      <c r="B46">
        <v>2003</v>
      </c>
      <c r="C46" t="s">
        <v>109</v>
      </c>
      <c r="D46" t="s">
        <v>944</v>
      </c>
      <c r="E46" t="s">
        <v>944</v>
      </c>
      <c r="G46" s="2">
        <v>45</v>
      </c>
      <c r="H46" t="s">
        <v>475</v>
      </c>
      <c r="I46" t="s">
        <v>887</v>
      </c>
      <c r="J46" s="11">
        <v>62.790829859455499</v>
      </c>
      <c r="K46" t="str">
        <f t="shared" si="0"/>
        <v>Chic Natkins</v>
      </c>
      <c r="M46" t="s">
        <v>699</v>
      </c>
      <c r="N46" t="s">
        <v>65</v>
      </c>
      <c r="O46" s="26">
        <v>1</v>
      </c>
      <c r="Q46" t="s">
        <v>109</v>
      </c>
      <c r="R46" t="s">
        <v>2330</v>
      </c>
      <c r="S46" s="26">
        <v>1</v>
      </c>
      <c r="U46" t="s">
        <v>2346</v>
      </c>
      <c r="V46" t="s">
        <v>109</v>
      </c>
      <c r="W46" t="s">
        <v>2331</v>
      </c>
      <c r="X46" s="26">
        <v>1</v>
      </c>
    </row>
    <row r="47" spans="1:24" hidden="1" x14ac:dyDescent="0.35">
      <c r="A47">
        <f t="shared" si="1"/>
        <v>46</v>
      </c>
      <c r="B47">
        <v>2003</v>
      </c>
      <c r="C47" t="s">
        <v>109</v>
      </c>
      <c r="D47" t="s">
        <v>944</v>
      </c>
      <c r="E47" t="s">
        <v>944</v>
      </c>
      <c r="G47" s="2">
        <v>46</v>
      </c>
      <c r="H47" t="s">
        <v>866</v>
      </c>
      <c r="I47" t="s">
        <v>142</v>
      </c>
      <c r="J47" s="11">
        <v>53.245511953225133</v>
      </c>
      <c r="K47" t="str">
        <f t="shared" si="0"/>
        <v>Matt Matros</v>
      </c>
      <c r="M47" t="s">
        <v>555</v>
      </c>
      <c r="N47" t="s">
        <v>556</v>
      </c>
      <c r="O47" s="26">
        <v>2</v>
      </c>
      <c r="R47" t="s">
        <v>2331</v>
      </c>
      <c r="S47" s="26">
        <v>1</v>
      </c>
      <c r="U47" t="s">
        <v>2348</v>
      </c>
      <c r="V47" t="s">
        <v>109</v>
      </c>
      <c r="W47" t="s">
        <v>2332</v>
      </c>
      <c r="X47" s="26">
        <v>1</v>
      </c>
    </row>
    <row r="48" spans="1:24" hidden="1" x14ac:dyDescent="0.35">
      <c r="A48">
        <f t="shared" si="1"/>
        <v>47</v>
      </c>
      <c r="B48">
        <v>2003</v>
      </c>
      <c r="C48" t="s">
        <v>109</v>
      </c>
      <c r="D48" t="s">
        <v>944</v>
      </c>
      <c r="E48" t="s">
        <v>944</v>
      </c>
      <c r="G48" s="2">
        <v>47</v>
      </c>
      <c r="H48" t="s">
        <v>1367</v>
      </c>
      <c r="I48" t="s">
        <v>1368</v>
      </c>
      <c r="J48" s="11">
        <v>43.905485699081702</v>
      </c>
      <c r="K48" t="str">
        <f t="shared" si="0"/>
        <v>Nels Lober</v>
      </c>
      <c r="M48" t="s">
        <v>1061</v>
      </c>
      <c r="N48" t="s">
        <v>1062</v>
      </c>
      <c r="O48" s="26">
        <v>1</v>
      </c>
      <c r="R48" t="s">
        <v>2332</v>
      </c>
      <c r="S48" s="26">
        <v>1</v>
      </c>
      <c r="U48" t="s">
        <v>2352</v>
      </c>
      <c r="V48" t="s">
        <v>109</v>
      </c>
      <c r="W48" t="s">
        <v>2333</v>
      </c>
      <c r="X48" s="26">
        <v>1</v>
      </c>
    </row>
    <row r="49" spans="1:24" hidden="1" x14ac:dyDescent="0.35">
      <c r="A49">
        <f t="shared" si="1"/>
        <v>48</v>
      </c>
      <c r="B49">
        <v>2003</v>
      </c>
      <c r="C49" t="s">
        <v>109</v>
      </c>
      <c r="D49" t="s">
        <v>944</v>
      </c>
      <c r="E49" t="s">
        <v>944</v>
      </c>
      <c r="G49" s="2">
        <v>48</v>
      </c>
      <c r="H49" t="s">
        <v>86</v>
      </c>
      <c r="I49" t="s">
        <v>87</v>
      </c>
      <c r="J49" s="11">
        <v>34.762106259212054</v>
      </c>
      <c r="K49" t="str">
        <f t="shared" si="0"/>
        <v>Stevan Goldman</v>
      </c>
      <c r="M49" t="s">
        <v>39</v>
      </c>
      <c r="N49" t="s">
        <v>920</v>
      </c>
      <c r="O49" s="26">
        <v>1</v>
      </c>
      <c r="R49" t="s">
        <v>2333</v>
      </c>
      <c r="S49" s="26">
        <v>1</v>
      </c>
      <c r="U49" t="s">
        <v>736</v>
      </c>
      <c r="V49" t="s">
        <v>735</v>
      </c>
      <c r="W49" t="s">
        <v>734</v>
      </c>
      <c r="X49" s="26">
        <v>1</v>
      </c>
    </row>
    <row r="50" spans="1:24" hidden="1" x14ac:dyDescent="0.35">
      <c r="A50">
        <f t="shared" si="1"/>
        <v>49</v>
      </c>
      <c r="B50">
        <v>2003</v>
      </c>
      <c r="C50" t="s">
        <v>109</v>
      </c>
      <c r="D50" t="s">
        <v>944</v>
      </c>
      <c r="E50" t="s">
        <v>944</v>
      </c>
      <c r="G50" s="2">
        <v>49</v>
      </c>
      <c r="H50" t="s">
        <v>1092</v>
      </c>
      <c r="I50" t="s">
        <v>1093</v>
      </c>
      <c r="J50" s="11">
        <v>25.807263606285602</v>
      </c>
      <c r="K50" t="str">
        <f t="shared" si="0"/>
        <v>Al Weber</v>
      </c>
      <c r="N50" t="s">
        <v>40</v>
      </c>
      <c r="O50" s="26">
        <v>13</v>
      </c>
      <c r="Q50" t="s">
        <v>735</v>
      </c>
      <c r="R50" t="s">
        <v>734</v>
      </c>
      <c r="S50" s="26">
        <v>1</v>
      </c>
      <c r="U50" t="s">
        <v>1672</v>
      </c>
      <c r="V50" t="s">
        <v>1011</v>
      </c>
      <c r="W50" t="s">
        <v>1210</v>
      </c>
      <c r="X50" s="26">
        <v>1</v>
      </c>
    </row>
    <row r="51" spans="1:24" hidden="1" x14ac:dyDescent="0.35">
      <c r="A51">
        <f t="shared" si="1"/>
        <v>50</v>
      </c>
      <c r="B51">
        <v>2003</v>
      </c>
      <c r="C51" t="s">
        <v>109</v>
      </c>
      <c r="D51" t="s">
        <v>944</v>
      </c>
      <c r="E51" t="s">
        <v>944</v>
      </c>
      <c r="G51" s="2">
        <v>50</v>
      </c>
      <c r="H51" t="s">
        <v>656</v>
      </c>
      <c r="I51" t="s">
        <v>16</v>
      </c>
      <c r="J51" s="11">
        <v>17.033339298780483</v>
      </c>
      <c r="K51" t="str">
        <f t="shared" si="0"/>
        <v>David Taylor</v>
      </c>
      <c r="M51" t="s">
        <v>684</v>
      </c>
      <c r="N51" t="s">
        <v>521</v>
      </c>
      <c r="O51" s="26">
        <v>7</v>
      </c>
      <c r="Q51" t="s">
        <v>1011</v>
      </c>
      <c r="R51" t="s">
        <v>1210</v>
      </c>
      <c r="S51" s="26">
        <v>1</v>
      </c>
      <c r="U51" t="s">
        <v>1012</v>
      </c>
      <c r="V51" t="s">
        <v>1011</v>
      </c>
      <c r="W51" t="s">
        <v>1010</v>
      </c>
      <c r="X51" s="26">
        <v>1</v>
      </c>
    </row>
    <row r="52" spans="1:24" hidden="1" x14ac:dyDescent="0.35">
      <c r="A52">
        <f t="shared" si="1"/>
        <v>51</v>
      </c>
      <c r="B52">
        <v>2003</v>
      </c>
      <c r="C52" t="s">
        <v>109</v>
      </c>
      <c r="D52" t="s">
        <v>944</v>
      </c>
      <c r="E52" t="s">
        <v>944</v>
      </c>
      <c r="G52" s="2">
        <v>51</v>
      </c>
      <c r="H52" t="s">
        <v>660</v>
      </c>
      <c r="I52" t="s">
        <v>471</v>
      </c>
      <c r="J52" s="11">
        <v>8.4331675368629622</v>
      </c>
      <c r="K52" t="str">
        <f t="shared" si="0"/>
        <v>Greg Mitz</v>
      </c>
      <c r="M52" t="s">
        <v>226</v>
      </c>
      <c r="N52" t="s">
        <v>227</v>
      </c>
      <c r="O52" s="26">
        <v>24</v>
      </c>
      <c r="R52" t="s">
        <v>1010</v>
      </c>
      <c r="S52" s="26">
        <v>1</v>
      </c>
      <c r="U52" t="s">
        <v>1468</v>
      </c>
      <c r="V52" t="s">
        <v>1011</v>
      </c>
      <c r="W52" t="s">
        <v>1445</v>
      </c>
      <c r="X52" s="26">
        <v>1</v>
      </c>
    </row>
    <row r="53" spans="1:24" hidden="1" x14ac:dyDescent="0.35">
      <c r="A53">
        <f t="shared" si="1"/>
        <v>52</v>
      </c>
      <c r="B53">
        <v>2003</v>
      </c>
      <c r="C53" t="s">
        <v>109</v>
      </c>
      <c r="D53" t="s">
        <v>944</v>
      </c>
      <c r="E53" t="s">
        <v>944</v>
      </c>
      <c r="G53" s="2">
        <v>52</v>
      </c>
      <c r="H53" t="s">
        <v>238</v>
      </c>
      <c r="I53" t="s">
        <v>16</v>
      </c>
      <c r="J53" s="11">
        <v>0</v>
      </c>
      <c r="K53" t="str">
        <f t="shared" si="0"/>
        <v>David Kuznick</v>
      </c>
      <c r="M53" t="s">
        <v>1194</v>
      </c>
      <c r="N53" t="s">
        <v>1195</v>
      </c>
      <c r="O53" s="26">
        <v>6</v>
      </c>
      <c r="R53" t="s">
        <v>1445</v>
      </c>
      <c r="S53" s="26">
        <v>1</v>
      </c>
      <c r="U53" t="s">
        <v>2314</v>
      </c>
      <c r="V53" t="s">
        <v>1011</v>
      </c>
      <c r="W53" t="s">
        <v>2313</v>
      </c>
      <c r="X53" s="26">
        <v>2</v>
      </c>
    </row>
    <row r="54" spans="1:24" hidden="1" x14ac:dyDescent="0.35">
      <c r="A54">
        <f t="shared" si="1"/>
        <v>53</v>
      </c>
      <c r="B54">
        <v>2003</v>
      </c>
      <c r="C54" t="s">
        <v>109</v>
      </c>
      <c r="D54" t="s">
        <v>918</v>
      </c>
      <c r="E54" t="s">
        <v>1430</v>
      </c>
      <c r="G54" s="2">
        <v>1</v>
      </c>
      <c r="H54" t="s">
        <v>1371</v>
      </c>
      <c r="I54" t="s">
        <v>1372</v>
      </c>
      <c r="J54" s="11">
        <v>1732.3937598229686</v>
      </c>
      <c r="K54" t="str">
        <f t="shared" si="0"/>
        <v>Bo Toft</v>
      </c>
      <c r="M54" t="s">
        <v>2368</v>
      </c>
      <c r="N54" t="s">
        <v>98</v>
      </c>
      <c r="O54" s="26">
        <v>1</v>
      </c>
      <c r="R54" t="s">
        <v>2313</v>
      </c>
      <c r="S54" s="26">
        <v>2</v>
      </c>
      <c r="U54" t="s">
        <v>261</v>
      </c>
      <c r="V54" t="s">
        <v>20</v>
      </c>
      <c r="W54" t="s">
        <v>260</v>
      </c>
      <c r="X54" s="26">
        <v>2</v>
      </c>
    </row>
    <row r="55" spans="1:24" hidden="1" x14ac:dyDescent="0.35">
      <c r="A55">
        <f t="shared" si="1"/>
        <v>54</v>
      </c>
      <c r="B55">
        <v>2003</v>
      </c>
      <c r="C55" t="s">
        <v>109</v>
      </c>
      <c r="D55" t="s">
        <v>918</v>
      </c>
      <c r="E55" t="s">
        <v>1430</v>
      </c>
      <c r="G55" s="2">
        <v>2</v>
      </c>
      <c r="H55" t="s">
        <v>130</v>
      </c>
      <c r="I55" t="s">
        <v>131</v>
      </c>
      <c r="J55" s="11">
        <v>1431.3637641589874</v>
      </c>
      <c r="K55" t="str">
        <f t="shared" si="0"/>
        <v>Alan Stuart</v>
      </c>
      <c r="M55" t="s">
        <v>2395</v>
      </c>
      <c r="N55" t="s">
        <v>151</v>
      </c>
      <c r="O55" s="26">
        <v>2</v>
      </c>
      <c r="Q55" t="s">
        <v>20</v>
      </c>
      <c r="R55" t="s">
        <v>260</v>
      </c>
      <c r="S55" s="26">
        <v>2</v>
      </c>
      <c r="U55" t="s">
        <v>259</v>
      </c>
      <c r="V55" t="s">
        <v>20</v>
      </c>
      <c r="W55" t="s">
        <v>19</v>
      </c>
      <c r="X55" s="26">
        <v>31</v>
      </c>
    </row>
    <row r="56" spans="1:24" hidden="1" x14ac:dyDescent="0.35">
      <c r="A56">
        <f t="shared" si="1"/>
        <v>55</v>
      </c>
      <c r="B56">
        <v>2003</v>
      </c>
      <c r="C56" t="s">
        <v>109</v>
      </c>
      <c r="D56" t="s">
        <v>918</v>
      </c>
      <c r="E56" t="s">
        <v>1430</v>
      </c>
      <c r="G56" s="2">
        <v>3</v>
      </c>
      <c r="H56" t="s">
        <v>64</v>
      </c>
      <c r="I56" t="s">
        <v>65</v>
      </c>
      <c r="J56" s="11">
        <v>1255.2725051033062</v>
      </c>
      <c r="K56" t="str">
        <f t="shared" si="0"/>
        <v>Steve Daniel</v>
      </c>
      <c r="M56" t="s">
        <v>161</v>
      </c>
      <c r="N56" t="s">
        <v>44</v>
      </c>
      <c r="O56" s="26">
        <v>2</v>
      </c>
      <c r="R56" t="s">
        <v>19</v>
      </c>
      <c r="S56" s="26">
        <v>31</v>
      </c>
      <c r="U56" t="s">
        <v>186</v>
      </c>
      <c r="V56" t="s">
        <v>20</v>
      </c>
      <c r="W56" t="s">
        <v>185</v>
      </c>
      <c r="X56" s="26">
        <v>3</v>
      </c>
    </row>
    <row r="57" spans="1:24" hidden="1" x14ac:dyDescent="0.35">
      <c r="A57">
        <f t="shared" si="1"/>
        <v>56</v>
      </c>
      <c r="B57">
        <v>2003</v>
      </c>
      <c r="C57" t="s">
        <v>109</v>
      </c>
      <c r="D57" t="s">
        <v>918</v>
      </c>
      <c r="E57" t="s">
        <v>1430</v>
      </c>
      <c r="G57" s="2">
        <v>4</v>
      </c>
      <c r="H57" t="s">
        <v>1217</v>
      </c>
      <c r="I57" t="s">
        <v>1218</v>
      </c>
      <c r="J57" s="11">
        <v>1130.3337684950061</v>
      </c>
      <c r="K57" t="str">
        <f t="shared" si="0"/>
        <v>Brad Edmonds</v>
      </c>
      <c r="N57" t="s">
        <v>200</v>
      </c>
      <c r="O57" s="26">
        <v>27</v>
      </c>
      <c r="R57" t="s">
        <v>185</v>
      </c>
      <c r="S57" s="26">
        <v>3</v>
      </c>
      <c r="U57" t="s">
        <v>806</v>
      </c>
      <c r="V57" t="s">
        <v>20</v>
      </c>
      <c r="W57" t="s">
        <v>629</v>
      </c>
      <c r="X57" s="26">
        <v>7</v>
      </c>
    </row>
    <row r="58" spans="1:24" hidden="1" x14ac:dyDescent="0.35">
      <c r="A58">
        <f t="shared" si="1"/>
        <v>57</v>
      </c>
      <c r="B58">
        <v>2003</v>
      </c>
      <c r="C58" t="s">
        <v>109</v>
      </c>
      <c r="D58" t="s">
        <v>918</v>
      </c>
      <c r="E58" t="s">
        <v>1430</v>
      </c>
      <c r="G58" s="2">
        <v>5</v>
      </c>
      <c r="H58" t="s">
        <v>414</v>
      </c>
      <c r="I58" t="s">
        <v>413</v>
      </c>
      <c r="J58" s="11">
        <v>1033.4237554869499</v>
      </c>
      <c r="K58" t="str">
        <f t="shared" si="0"/>
        <v>Bruce Kramer</v>
      </c>
      <c r="N58" t="s">
        <v>162</v>
      </c>
      <c r="O58" s="26">
        <v>19</v>
      </c>
      <c r="R58" t="s">
        <v>629</v>
      </c>
      <c r="S58" s="26">
        <v>7</v>
      </c>
      <c r="U58" t="s">
        <v>1602</v>
      </c>
      <c r="V58" t="s">
        <v>703</v>
      </c>
      <c r="W58" t="s">
        <v>702</v>
      </c>
      <c r="X58" s="26">
        <v>2</v>
      </c>
    </row>
    <row r="59" spans="1:24" hidden="1" x14ac:dyDescent="0.35">
      <c r="A59">
        <f t="shared" si="1"/>
        <v>58</v>
      </c>
      <c r="B59">
        <v>2003</v>
      </c>
      <c r="C59" t="s">
        <v>109</v>
      </c>
      <c r="D59" t="s">
        <v>918</v>
      </c>
      <c r="E59" t="s">
        <v>1430</v>
      </c>
      <c r="G59" s="2">
        <v>6</v>
      </c>
      <c r="H59" t="s">
        <v>74</v>
      </c>
      <c r="I59" t="s">
        <v>75</v>
      </c>
      <c r="J59" s="11">
        <v>954.24250943932498</v>
      </c>
      <c r="K59" t="str">
        <f t="shared" si="0"/>
        <v>Sabyl Landrum</v>
      </c>
      <c r="M59" t="s">
        <v>457</v>
      </c>
      <c r="N59" t="s">
        <v>384</v>
      </c>
      <c r="O59" s="26">
        <v>1</v>
      </c>
      <c r="Q59" t="s">
        <v>703</v>
      </c>
      <c r="R59" t="s">
        <v>702</v>
      </c>
      <c r="S59" s="26">
        <v>2</v>
      </c>
      <c r="U59" t="s">
        <v>1178</v>
      </c>
      <c r="V59" t="s">
        <v>717</v>
      </c>
      <c r="W59" t="s">
        <v>1177</v>
      </c>
      <c r="X59" s="26">
        <v>5</v>
      </c>
    </row>
    <row r="60" spans="1:24" hidden="1" x14ac:dyDescent="0.35">
      <c r="A60">
        <f t="shared" si="1"/>
        <v>59</v>
      </c>
      <c r="B60">
        <v>2003</v>
      </c>
      <c r="C60" t="s">
        <v>109</v>
      </c>
      <c r="D60" t="s">
        <v>918</v>
      </c>
      <c r="E60" t="s">
        <v>1430</v>
      </c>
      <c r="G60" s="2">
        <v>7</v>
      </c>
      <c r="H60" t="s">
        <v>220</v>
      </c>
      <c r="I60" t="s">
        <v>421</v>
      </c>
      <c r="J60" s="11">
        <v>887.29571980871185</v>
      </c>
      <c r="K60" t="str">
        <f t="shared" si="0"/>
        <v>Bill Chen</v>
      </c>
      <c r="M60" t="s">
        <v>658</v>
      </c>
      <c r="N60" t="s">
        <v>330</v>
      </c>
      <c r="O60" s="26">
        <v>3</v>
      </c>
      <c r="Q60" t="s">
        <v>717</v>
      </c>
      <c r="R60" t="s">
        <v>1177</v>
      </c>
      <c r="S60" s="26">
        <v>5</v>
      </c>
      <c r="U60" t="s">
        <v>2475</v>
      </c>
      <c r="V60" t="s">
        <v>717</v>
      </c>
      <c r="W60" t="s">
        <v>2474</v>
      </c>
      <c r="X60" s="26">
        <v>2</v>
      </c>
    </row>
    <row r="61" spans="1:24" hidden="1" x14ac:dyDescent="0.35">
      <c r="A61">
        <f t="shared" si="1"/>
        <v>60</v>
      </c>
      <c r="B61">
        <v>2003</v>
      </c>
      <c r="C61" t="s">
        <v>109</v>
      </c>
      <c r="D61" t="s">
        <v>918</v>
      </c>
      <c r="E61" t="s">
        <v>1430</v>
      </c>
      <c r="G61" s="2">
        <v>8</v>
      </c>
      <c r="H61" t="s">
        <v>664</v>
      </c>
      <c r="I61" t="s">
        <v>665</v>
      </c>
      <c r="J61" s="11">
        <v>829.30377283102507</v>
      </c>
      <c r="K61" t="str">
        <f t="shared" si="0"/>
        <v>Robert Hwang</v>
      </c>
      <c r="M61" t="s">
        <v>864</v>
      </c>
      <c r="N61" t="s">
        <v>52</v>
      </c>
      <c r="O61" s="26">
        <v>1</v>
      </c>
      <c r="R61" t="s">
        <v>72</v>
      </c>
      <c r="S61" s="26">
        <v>1</v>
      </c>
      <c r="U61" t="s">
        <v>1249</v>
      </c>
      <c r="V61" t="s">
        <v>864</v>
      </c>
      <c r="W61" t="s">
        <v>1248</v>
      </c>
      <c r="X61" s="26">
        <v>2</v>
      </c>
    </row>
    <row r="62" spans="1:24" hidden="1" x14ac:dyDescent="0.35">
      <c r="A62">
        <f t="shared" si="1"/>
        <v>61</v>
      </c>
      <c r="B62">
        <v>2003</v>
      </c>
      <c r="C62" t="s">
        <v>109</v>
      </c>
      <c r="D62" t="s">
        <v>918</v>
      </c>
      <c r="E62" t="s">
        <v>1430</v>
      </c>
      <c r="G62" s="2">
        <v>9</v>
      </c>
      <c r="H62" t="s">
        <v>238</v>
      </c>
      <c r="I62" t="s">
        <v>16</v>
      </c>
      <c r="J62" s="11">
        <v>778.15125038364374</v>
      </c>
      <c r="K62" t="str">
        <f t="shared" si="0"/>
        <v>David Kuznick</v>
      </c>
      <c r="M62" t="s">
        <v>2458</v>
      </c>
      <c r="N62" t="s">
        <v>384</v>
      </c>
      <c r="O62" s="26">
        <v>1</v>
      </c>
      <c r="R62" t="s">
        <v>2474</v>
      </c>
      <c r="S62" s="26">
        <v>2</v>
      </c>
      <c r="U62" t="s">
        <v>1391</v>
      </c>
      <c r="V62" t="s">
        <v>1390</v>
      </c>
      <c r="W62" t="s">
        <v>1389</v>
      </c>
      <c r="X62" s="26">
        <v>1</v>
      </c>
    </row>
    <row r="63" spans="1:24" hidden="1" x14ac:dyDescent="0.35">
      <c r="A63">
        <f t="shared" si="1"/>
        <v>62</v>
      </c>
      <c r="B63">
        <v>2003</v>
      </c>
      <c r="C63" t="s">
        <v>109</v>
      </c>
      <c r="D63" t="s">
        <v>918</v>
      </c>
      <c r="E63" t="s">
        <v>1430</v>
      </c>
      <c r="G63" s="2">
        <v>10</v>
      </c>
      <c r="H63" t="s">
        <v>251</v>
      </c>
      <c r="I63" t="s">
        <v>252</v>
      </c>
      <c r="J63" s="11">
        <v>732.3937598229686</v>
      </c>
      <c r="K63" t="str">
        <f t="shared" si="0"/>
        <v>Linda Lewis</v>
      </c>
      <c r="M63" t="s">
        <v>1227</v>
      </c>
      <c r="N63" t="s">
        <v>153</v>
      </c>
      <c r="O63" s="26">
        <v>3</v>
      </c>
      <c r="Q63" t="s">
        <v>864</v>
      </c>
      <c r="R63" t="s">
        <v>1248</v>
      </c>
      <c r="S63" s="26">
        <v>2</v>
      </c>
      <c r="U63" t="s">
        <v>1591</v>
      </c>
      <c r="V63" t="s">
        <v>1318</v>
      </c>
      <c r="W63" t="s">
        <v>1317</v>
      </c>
      <c r="X63" s="26">
        <v>2</v>
      </c>
    </row>
    <row r="64" spans="1:24" hidden="1" x14ac:dyDescent="0.35">
      <c r="A64">
        <f t="shared" si="1"/>
        <v>63</v>
      </c>
      <c r="B64">
        <v>2003</v>
      </c>
      <c r="C64" t="s">
        <v>109</v>
      </c>
      <c r="D64" t="s">
        <v>918</v>
      </c>
      <c r="E64" t="s">
        <v>1430</v>
      </c>
      <c r="G64" s="2">
        <v>11</v>
      </c>
      <c r="H64" t="s">
        <v>739</v>
      </c>
      <c r="I64" t="s">
        <v>740</v>
      </c>
      <c r="J64" s="11">
        <v>691.00107466474344</v>
      </c>
      <c r="K64" t="str">
        <f t="shared" si="0"/>
        <v>Joan Hadley</v>
      </c>
      <c r="M64" t="s">
        <v>1719</v>
      </c>
      <c r="N64" t="s">
        <v>524</v>
      </c>
      <c r="O64" s="26">
        <v>22</v>
      </c>
      <c r="Q64" t="s">
        <v>1390</v>
      </c>
      <c r="R64" t="s">
        <v>1389</v>
      </c>
      <c r="S64" s="26">
        <v>1</v>
      </c>
      <c r="U64" t="s">
        <v>1684</v>
      </c>
      <c r="V64" t="s">
        <v>1451</v>
      </c>
      <c r="W64" t="s">
        <v>1020</v>
      </c>
      <c r="X64" s="26">
        <v>1</v>
      </c>
    </row>
    <row r="65" spans="1:24" hidden="1" x14ac:dyDescent="0.35">
      <c r="A65">
        <f t="shared" si="1"/>
        <v>64</v>
      </c>
      <c r="B65">
        <v>2003</v>
      </c>
      <c r="C65" t="s">
        <v>109</v>
      </c>
      <c r="D65" t="s">
        <v>918</v>
      </c>
      <c r="E65" t="s">
        <v>1430</v>
      </c>
      <c r="G65" s="2">
        <v>12</v>
      </c>
      <c r="H65" t="s">
        <v>238</v>
      </c>
      <c r="I65" t="s">
        <v>375</v>
      </c>
      <c r="J65" s="11">
        <v>653.21251377534372</v>
      </c>
      <c r="K65" t="str">
        <f t="shared" si="0"/>
        <v>Jessica Kuznick</v>
      </c>
      <c r="M65" t="s">
        <v>2388</v>
      </c>
      <c r="N65" t="s">
        <v>665</v>
      </c>
      <c r="O65" s="26">
        <v>1</v>
      </c>
      <c r="Q65" t="s">
        <v>1318</v>
      </c>
      <c r="R65" t="s">
        <v>1317</v>
      </c>
      <c r="S65" s="26">
        <v>2</v>
      </c>
      <c r="U65" t="s">
        <v>631</v>
      </c>
      <c r="V65" t="s">
        <v>630</v>
      </c>
      <c r="W65" t="s">
        <v>629</v>
      </c>
      <c r="X65" s="26">
        <v>4</v>
      </c>
    </row>
    <row r="66" spans="1:24" hidden="1" x14ac:dyDescent="0.35">
      <c r="A66">
        <f t="shared" si="1"/>
        <v>65</v>
      </c>
      <c r="B66">
        <v>2003</v>
      </c>
      <c r="C66" t="s">
        <v>109</v>
      </c>
      <c r="D66" t="s">
        <v>918</v>
      </c>
      <c r="E66" t="s">
        <v>1430</v>
      </c>
      <c r="G66" s="2">
        <v>13</v>
      </c>
      <c r="H66" t="s">
        <v>1146</v>
      </c>
      <c r="I66" t="s">
        <v>79</v>
      </c>
      <c r="J66" s="11">
        <v>618.45040751613192</v>
      </c>
      <c r="K66" t="str">
        <f t="shared" ref="K66:K129" si="2">I66&amp;" "&amp;H66</f>
        <v>Kevin Suffecool</v>
      </c>
      <c r="M66" t="s">
        <v>452</v>
      </c>
      <c r="N66" t="s">
        <v>334</v>
      </c>
      <c r="O66" s="26">
        <v>6</v>
      </c>
      <c r="Q66" t="s">
        <v>1451</v>
      </c>
      <c r="R66" t="s">
        <v>1020</v>
      </c>
      <c r="S66" s="26">
        <v>1</v>
      </c>
      <c r="U66" t="s">
        <v>1567</v>
      </c>
      <c r="V66" t="s">
        <v>421</v>
      </c>
      <c r="W66" t="s">
        <v>1055</v>
      </c>
      <c r="X66" s="26">
        <v>1</v>
      </c>
    </row>
    <row r="67" spans="1:24" hidden="1" x14ac:dyDescent="0.35">
      <c r="A67">
        <f t="shared" si="1"/>
        <v>66</v>
      </c>
      <c r="B67">
        <v>2003</v>
      </c>
      <c r="C67" t="s">
        <v>109</v>
      </c>
      <c r="D67" t="s">
        <v>918</v>
      </c>
      <c r="E67" t="s">
        <v>1430</v>
      </c>
      <c r="G67" s="2">
        <v>14</v>
      </c>
      <c r="H67" t="s">
        <v>950</v>
      </c>
      <c r="I67" t="s">
        <v>142</v>
      </c>
      <c r="J67" s="11">
        <v>586.26572414473071</v>
      </c>
      <c r="K67" t="str">
        <f t="shared" si="2"/>
        <v>Matt Treasure</v>
      </c>
      <c r="M67" t="s">
        <v>2460</v>
      </c>
      <c r="N67" t="s">
        <v>187</v>
      </c>
      <c r="O67" s="26">
        <v>2</v>
      </c>
      <c r="Q67" t="s">
        <v>630</v>
      </c>
      <c r="R67" t="s">
        <v>629</v>
      </c>
      <c r="S67" s="26">
        <v>4</v>
      </c>
      <c r="U67" t="s">
        <v>997</v>
      </c>
      <c r="V67" t="s">
        <v>421</v>
      </c>
      <c r="W67" t="s">
        <v>220</v>
      </c>
      <c r="X67" s="26">
        <v>13</v>
      </c>
    </row>
    <row r="68" spans="1:24" hidden="1" x14ac:dyDescent="0.35">
      <c r="A68">
        <f t="shared" ref="A68:A131" si="3">A67+1</f>
        <v>67</v>
      </c>
      <c r="B68">
        <v>2003</v>
      </c>
      <c r="C68" t="s">
        <v>109</v>
      </c>
      <c r="D68" t="s">
        <v>918</v>
      </c>
      <c r="E68" t="s">
        <v>1430</v>
      </c>
      <c r="G68" s="2">
        <v>15</v>
      </c>
      <c r="H68" t="s">
        <v>2539</v>
      </c>
      <c r="I68" t="s">
        <v>28</v>
      </c>
      <c r="J68" s="11">
        <v>556.30250076728726</v>
      </c>
      <c r="K68" t="str">
        <f t="shared" si="2"/>
        <v>Chris O’Connor</v>
      </c>
      <c r="M68" t="s">
        <v>967</v>
      </c>
      <c r="N68" t="s">
        <v>131</v>
      </c>
      <c r="O68" s="26">
        <v>2</v>
      </c>
      <c r="Q68" t="s">
        <v>421</v>
      </c>
      <c r="R68" t="s">
        <v>1055</v>
      </c>
      <c r="S68" s="26">
        <v>1</v>
      </c>
      <c r="U68" t="s">
        <v>1623</v>
      </c>
      <c r="V68" t="s">
        <v>421</v>
      </c>
      <c r="W68" t="s">
        <v>448</v>
      </c>
      <c r="X68" s="26">
        <v>2</v>
      </c>
    </row>
    <row r="69" spans="1:24" hidden="1" x14ac:dyDescent="0.35">
      <c r="A69">
        <f t="shared" si="3"/>
        <v>68</v>
      </c>
      <c r="B69">
        <v>2003</v>
      </c>
      <c r="C69" t="s">
        <v>109</v>
      </c>
      <c r="D69" t="s">
        <v>918</v>
      </c>
      <c r="E69" t="s">
        <v>1430</v>
      </c>
      <c r="G69" s="2">
        <v>16</v>
      </c>
      <c r="H69" t="s">
        <v>268</v>
      </c>
      <c r="I69" t="s">
        <v>269</v>
      </c>
      <c r="J69" s="11">
        <v>528.27377716704382</v>
      </c>
      <c r="K69" t="str">
        <f t="shared" si="2"/>
        <v>Keith Fichtemaier</v>
      </c>
      <c r="M69" t="s">
        <v>12</v>
      </c>
      <c r="N69" t="s">
        <v>13</v>
      </c>
      <c r="O69" s="26">
        <v>17</v>
      </c>
      <c r="R69" t="s">
        <v>220</v>
      </c>
      <c r="S69" s="26">
        <v>13</v>
      </c>
      <c r="U69" t="s">
        <v>1262</v>
      </c>
      <c r="V69" t="s">
        <v>421</v>
      </c>
      <c r="W69" t="s">
        <v>866</v>
      </c>
      <c r="X69" s="26">
        <v>3</v>
      </c>
    </row>
    <row r="70" spans="1:24" hidden="1" x14ac:dyDescent="0.35">
      <c r="A70">
        <f t="shared" si="3"/>
        <v>69</v>
      </c>
      <c r="B70">
        <v>2003</v>
      </c>
      <c r="C70" t="s">
        <v>109</v>
      </c>
      <c r="D70" t="s">
        <v>918</v>
      </c>
      <c r="E70" t="s">
        <v>1430</v>
      </c>
      <c r="G70" s="2">
        <v>17</v>
      </c>
      <c r="H70" t="s">
        <v>1367</v>
      </c>
      <c r="I70" t="s">
        <v>1368</v>
      </c>
      <c r="J70" s="11">
        <v>501.94483844469471</v>
      </c>
      <c r="K70" t="str">
        <f t="shared" si="2"/>
        <v>Nels Lober</v>
      </c>
      <c r="M70" t="s">
        <v>697</v>
      </c>
      <c r="N70" t="s">
        <v>200</v>
      </c>
      <c r="O70" s="26">
        <v>6</v>
      </c>
      <c r="R70" t="s">
        <v>448</v>
      </c>
      <c r="S70" s="26">
        <v>2</v>
      </c>
      <c r="U70" t="s">
        <v>1142</v>
      </c>
      <c r="V70" t="s">
        <v>1141</v>
      </c>
      <c r="W70" t="s">
        <v>1140</v>
      </c>
      <c r="X70" s="26">
        <v>1</v>
      </c>
    </row>
    <row r="71" spans="1:24" hidden="1" x14ac:dyDescent="0.35">
      <c r="A71">
        <f t="shared" si="3"/>
        <v>70</v>
      </c>
      <c r="B71">
        <v>2003</v>
      </c>
      <c r="C71" t="s">
        <v>109</v>
      </c>
      <c r="D71" t="s">
        <v>918</v>
      </c>
      <c r="E71" t="s">
        <v>1430</v>
      </c>
      <c r="G71" s="2">
        <v>18</v>
      </c>
      <c r="H71" t="s">
        <v>1374</v>
      </c>
      <c r="I71" t="s">
        <v>71</v>
      </c>
      <c r="J71" s="11">
        <v>477.1212547196626</v>
      </c>
      <c r="K71" t="str">
        <f t="shared" si="2"/>
        <v>Scott Marks</v>
      </c>
      <c r="M71" t="s">
        <v>482</v>
      </c>
      <c r="N71" t="s">
        <v>410</v>
      </c>
      <c r="O71" s="26">
        <v>10</v>
      </c>
      <c r="R71" t="s">
        <v>866</v>
      </c>
      <c r="S71" s="26">
        <v>3</v>
      </c>
      <c r="U71" t="s">
        <v>2302</v>
      </c>
      <c r="V71" t="s">
        <v>2301</v>
      </c>
      <c r="W71" t="s">
        <v>2300</v>
      </c>
      <c r="X71" s="26">
        <v>1</v>
      </c>
    </row>
    <row r="72" spans="1:24" hidden="1" x14ac:dyDescent="0.35">
      <c r="A72">
        <f t="shared" si="3"/>
        <v>71</v>
      </c>
      <c r="B72">
        <v>2003</v>
      </c>
      <c r="C72" t="s">
        <v>109</v>
      </c>
      <c r="D72" t="s">
        <v>918</v>
      </c>
      <c r="E72" t="s">
        <v>1430</v>
      </c>
      <c r="G72" s="2">
        <v>19</v>
      </c>
      <c r="H72" t="s">
        <v>394</v>
      </c>
      <c r="I72" t="s">
        <v>44</v>
      </c>
      <c r="J72" s="11">
        <v>453.64015887013977</v>
      </c>
      <c r="K72" t="str">
        <f t="shared" si="2"/>
        <v>Mike Miller</v>
      </c>
      <c r="M72" t="s">
        <v>2463</v>
      </c>
      <c r="N72" t="s">
        <v>1073</v>
      </c>
      <c r="O72" s="26">
        <v>1</v>
      </c>
      <c r="Q72" t="s">
        <v>1141</v>
      </c>
      <c r="R72" t="s">
        <v>1140</v>
      </c>
      <c r="S72" s="26">
        <v>1</v>
      </c>
      <c r="U72" t="s">
        <v>1373</v>
      </c>
      <c r="V72" t="s">
        <v>1372</v>
      </c>
      <c r="W72" t="s">
        <v>1371</v>
      </c>
      <c r="X72" s="26">
        <v>2</v>
      </c>
    </row>
    <row r="73" spans="1:24" hidden="1" x14ac:dyDescent="0.35">
      <c r="A73">
        <f t="shared" si="3"/>
        <v>72</v>
      </c>
      <c r="B73">
        <v>2003</v>
      </c>
      <c r="C73" t="s">
        <v>109</v>
      </c>
      <c r="D73" t="s">
        <v>918</v>
      </c>
      <c r="E73" t="s">
        <v>1430</v>
      </c>
      <c r="G73" s="2">
        <v>20</v>
      </c>
      <c r="H73" t="s">
        <v>1021</v>
      </c>
      <c r="I73" t="s">
        <v>1022</v>
      </c>
      <c r="J73" s="11">
        <v>431.36376415898735</v>
      </c>
      <c r="K73" t="str">
        <f t="shared" si="2"/>
        <v>Mitch Firestone</v>
      </c>
      <c r="M73" t="s">
        <v>1214</v>
      </c>
      <c r="N73" t="s">
        <v>65</v>
      </c>
      <c r="O73" s="26">
        <v>4</v>
      </c>
      <c r="Q73" t="s">
        <v>2301</v>
      </c>
      <c r="R73" t="s">
        <v>2300</v>
      </c>
      <c r="S73" s="26">
        <v>1</v>
      </c>
      <c r="U73" t="s">
        <v>1664</v>
      </c>
      <c r="V73" t="s">
        <v>67</v>
      </c>
      <c r="W73" t="s">
        <v>1329</v>
      </c>
      <c r="X73" s="26">
        <v>1</v>
      </c>
    </row>
    <row r="74" spans="1:24" hidden="1" x14ac:dyDescent="0.35">
      <c r="A74">
        <f t="shared" si="3"/>
        <v>73</v>
      </c>
      <c r="B74">
        <v>2003</v>
      </c>
      <c r="C74" t="s">
        <v>109</v>
      </c>
      <c r="D74" t="s">
        <v>918</v>
      </c>
      <c r="E74" t="s">
        <v>1430</v>
      </c>
      <c r="G74" s="2">
        <v>21</v>
      </c>
      <c r="H74" t="s">
        <v>50</v>
      </c>
      <c r="I74" t="s">
        <v>25</v>
      </c>
      <c r="J74" s="11">
        <v>410.17446508904931</v>
      </c>
      <c r="K74" t="str">
        <f t="shared" si="2"/>
        <v>Russell Fox</v>
      </c>
      <c r="M74" t="s">
        <v>1519</v>
      </c>
      <c r="N74" t="s">
        <v>153</v>
      </c>
      <c r="O74" s="26">
        <v>7</v>
      </c>
      <c r="Q74" t="s">
        <v>1372</v>
      </c>
      <c r="R74" t="s">
        <v>1371</v>
      </c>
      <c r="S74" s="26">
        <v>2</v>
      </c>
      <c r="U74" t="s">
        <v>1583</v>
      </c>
      <c r="V74" t="s">
        <v>67</v>
      </c>
      <c r="W74" t="s">
        <v>1458</v>
      </c>
      <c r="X74" s="26">
        <v>6</v>
      </c>
    </row>
    <row r="75" spans="1:24" hidden="1" x14ac:dyDescent="0.35">
      <c r="A75">
        <f t="shared" si="3"/>
        <v>74</v>
      </c>
      <c r="B75">
        <v>2003</v>
      </c>
      <c r="C75" t="s">
        <v>109</v>
      </c>
      <c r="D75" t="s">
        <v>918</v>
      </c>
      <c r="E75" t="s">
        <v>1430</v>
      </c>
      <c r="G75" s="2">
        <v>22</v>
      </c>
      <c r="H75" t="s">
        <v>945</v>
      </c>
      <c r="I75" t="s">
        <v>946</v>
      </c>
      <c r="J75" s="11">
        <v>389.97107900076242</v>
      </c>
      <c r="K75" t="str">
        <f t="shared" si="2"/>
        <v>Ray DiDonato</v>
      </c>
      <c r="M75" t="s">
        <v>1270</v>
      </c>
      <c r="N75" t="s">
        <v>1271</v>
      </c>
      <c r="O75" s="26">
        <v>1</v>
      </c>
      <c r="Q75" t="s">
        <v>67</v>
      </c>
      <c r="R75" t="s">
        <v>1329</v>
      </c>
      <c r="S75" s="26">
        <v>1</v>
      </c>
      <c r="U75" t="s">
        <v>544</v>
      </c>
      <c r="V75" t="s">
        <v>67</v>
      </c>
      <c r="W75" t="s">
        <v>543</v>
      </c>
      <c r="X75" s="26">
        <v>11</v>
      </c>
    </row>
    <row r="76" spans="1:24" hidden="1" x14ac:dyDescent="0.35">
      <c r="A76">
        <f t="shared" si="3"/>
        <v>75</v>
      </c>
      <c r="B76">
        <v>2003</v>
      </c>
      <c r="C76" t="s">
        <v>109</v>
      </c>
      <c r="D76" t="s">
        <v>918</v>
      </c>
      <c r="E76" t="s">
        <v>1430</v>
      </c>
      <c r="G76" s="2">
        <v>23</v>
      </c>
      <c r="H76" t="s">
        <v>161</v>
      </c>
      <c r="I76" t="s">
        <v>200</v>
      </c>
      <c r="J76" s="11">
        <v>370.66592380537577</v>
      </c>
      <c r="K76" t="str">
        <f t="shared" si="2"/>
        <v>Rick Becker</v>
      </c>
      <c r="M76" t="s">
        <v>958</v>
      </c>
      <c r="N76" t="s">
        <v>122</v>
      </c>
      <c r="O76" s="26">
        <v>7</v>
      </c>
      <c r="R76" t="s">
        <v>1458</v>
      </c>
      <c r="S76" s="26">
        <v>6</v>
      </c>
      <c r="U76" t="s">
        <v>513</v>
      </c>
      <c r="V76" t="s">
        <v>67</v>
      </c>
      <c r="W76" t="s">
        <v>512</v>
      </c>
      <c r="X76" s="26">
        <v>6</v>
      </c>
    </row>
    <row r="77" spans="1:24" hidden="1" x14ac:dyDescent="0.35">
      <c r="A77">
        <f t="shared" si="3"/>
        <v>76</v>
      </c>
      <c r="B77">
        <v>2003</v>
      </c>
      <c r="C77" t="s">
        <v>109</v>
      </c>
      <c r="D77" t="s">
        <v>918</v>
      </c>
      <c r="E77" t="s">
        <v>1430</v>
      </c>
      <c r="G77" s="2">
        <v>24</v>
      </c>
      <c r="H77" t="s">
        <v>831</v>
      </c>
      <c r="I77" t="s">
        <v>384</v>
      </c>
      <c r="J77" s="11">
        <v>352.1825181113627</v>
      </c>
      <c r="K77" t="str">
        <f t="shared" si="2"/>
        <v>Jeff Woods</v>
      </c>
      <c r="M77" t="s">
        <v>459</v>
      </c>
      <c r="N77" t="s">
        <v>136</v>
      </c>
      <c r="O77" s="26">
        <v>5</v>
      </c>
      <c r="R77" t="s">
        <v>543</v>
      </c>
      <c r="S77" s="26">
        <v>11</v>
      </c>
      <c r="U77" t="s">
        <v>1135</v>
      </c>
      <c r="V77" t="s">
        <v>67</v>
      </c>
      <c r="W77" t="s">
        <v>826</v>
      </c>
      <c r="X77" s="26">
        <v>1</v>
      </c>
    </row>
    <row r="78" spans="1:24" hidden="1" x14ac:dyDescent="0.35">
      <c r="A78">
        <f t="shared" si="3"/>
        <v>77</v>
      </c>
      <c r="B78">
        <v>2003</v>
      </c>
      <c r="C78" t="s">
        <v>109</v>
      </c>
      <c r="D78" t="s">
        <v>918</v>
      </c>
      <c r="E78" t="s">
        <v>1430</v>
      </c>
      <c r="G78" s="2">
        <v>25</v>
      </c>
      <c r="H78" t="s">
        <v>1257</v>
      </c>
      <c r="I78" t="s">
        <v>13</v>
      </c>
      <c r="J78" s="11">
        <v>334.45375115093088</v>
      </c>
      <c r="K78" t="str">
        <f t="shared" si="2"/>
        <v>Tom Snow</v>
      </c>
      <c r="M78" t="s">
        <v>813</v>
      </c>
      <c r="N78" t="s">
        <v>665</v>
      </c>
      <c r="O78" s="26">
        <v>1</v>
      </c>
      <c r="R78" t="s">
        <v>512</v>
      </c>
      <c r="S78" s="26">
        <v>6</v>
      </c>
      <c r="U78" t="s">
        <v>312</v>
      </c>
      <c r="V78" t="s">
        <v>67</v>
      </c>
      <c r="W78" t="s">
        <v>66</v>
      </c>
      <c r="X78" s="26">
        <v>24</v>
      </c>
    </row>
    <row r="79" spans="1:24" hidden="1" x14ac:dyDescent="0.35">
      <c r="A79">
        <f t="shared" si="3"/>
        <v>78</v>
      </c>
      <c r="B79">
        <v>2003</v>
      </c>
      <c r="C79" t="s">
        <v>109</v>
      </c>
      <c r="D79" t="s">
        <v>918</v>
      </c>
      <c r="E79" t="s">
        <v>1430</v>
      </c>
      <c r="G79" s="2">
        <v>26</v>
      </c>
      <c r="H79" t="s">
        <v>111</v>
      </c>
      <c r="I79" t="s">
        <v>16</v>
      </c>
      <c r="J79" s="11">
        <v>317.42041185215066</v>
      </c>
      <c r="K79" t="str">
        <f t="shared" si="2"/>
        <v>David Fruchter</v>
      </c>
      <c r="M79" t="s">
        <v>1109</v>
      </c>
      <c r="N79" t="s">
        <v>528</v>
      </c>
      <c r="O79" s="26">
        <v>1</v>
      </c>
      <c r="R79" t="s">
        <v>826</v>
      </c>
      <c r="S79" s="26">
        <v>1</v>
      </c>
      <c r="U79" t="s">
        <v>1619</v>
      </c>
      <c r="V79" t="s">
        <v>67</v>
      </c>
      <c r="W79" t="s">
        <v>895</v>
      </c>
      <c r="X79" s="26">
        <v>3</v>
      </c>
    </row>
    <row r="80" spans="1:24" hidden="1" x14ac:dyDescent="0.35">
      <c r="A80">
        <f t="shared" si="3"/>
        <v>79</v>
      </c>
      <c r="B80">
        <v>2003</v>
      </c>
      <c r="C80" t="s">
        <v>109</v>
      </c>
      <c r="D80" t="s">
        <v>918</v>
      </c>
      <c r="E80" t="s">
        <v>1430</v>
      </c>
      <c r="G80" s="2">
        <v>27</v>
      </c>
      <c r="H80" t="s">
        <v>1363</v>
      </c>
      <c r="I80" t="s">
        <v>1364</v>
      </c>
      <c r="J80" s="11">
        <v>301.02999566398125</v>
      </c>
      <c r="K80" t="str">
        <f t="shared" si="2"/>
        <v>Art Santella</v>
      </c>
      <c r="M80" t="s">
        <v>1167</v>
      </c>
      <c r="N80" t="s">
        <v>1168</v>
      </c>
      <c r="O80" s="26">
        <v>1</v>
      </c>
      <c r="R80" t="s">
        <v>66</v>
      </c>
      <c r="S80" s="26">
        <v>24</v>
      </c>
      <c r="U80" t="s">
        <v>389</v>
      </c>
      <c r="V80" t="s">
        <v>67</v>
      </c>
      <c r="W80" t="s">
        <v>307</v>
      </c>
      <c r="X80" s="26">
        <v>17</v>
      </c>
    </row>
    <row r="81" spans="1:24" hidden="1" x14ac:dyDescent="0.35">
      <c r="A81">
        <f t="shared" si="3"/>
        <v>80</v>
      </c>
      <c r="B81">
        <v>2003</v>
      </c>
      <c r="C81" t="s">
        <v>109</v>
      </c>
      <c r="D81" t="s">
        <v>918</v>
      </c>
      <c r="E81" t="s">
        <v>1430</v>
      </c>
      <c r="G81" s="2">
        <v>28</v>
      </c>
      <c r="H81" t="s">
        <v>14</v>
      </c>
      <c r="I81" t="s">
        <v>11</v>
      </c>
      <c r="J81" s="11">
        <v>285.2357284807494</v>
      </c>
      <c r="K81" t="str">
        <f t="shared" si="2"/>
        <v>Paul McMullin</v>
      </c>
      <c r="M81" t="s">
        <v>638</v>
      </c>
      <c r="N81" t="s">
        <v>218</v>
      </c>
      <c r="O81" s="26">
        <v>1</v>
      </c>
      <c r="R81" t="s">
        <v>895</v>
      </c>
      <c r="S81" s="26">
        <v>3</v>
      </c>
      <c r="U81" t="s">
        <v>1610</v>
      </c>
      <c r="V81" t="s">
        <v>1062</v>
      </c>
      <c r="W81" t="s">
        <v>1061</v>
      </c>
      <c r="X81" s="26">
        <v>1</v>
      </c>
    </row>
    <row r="82" spans="1:24" hidden="1" x14ac:dyDescent="0.35">
      <c r="A82">
        <f t="shared" si="3"/>
        <v>81</v>
      </c>
      <c r="B82">
        <v>2003</v>
      </c>
      <c r="C82" t="s">
        <v>109</v>
      </c>
      <c r="D82" t="s">
        <v>918</v>
      </c>
      <c r="E82" t="s">
        <v>1430</v>
      </c>
      <c r="G82" s="2">
        <v>29</v>
      </c>
      <c r="H82" t="s">
        <v>234</v>
      </c>
      <c r="I82" t="s">
        <v>235</v>
      </c>
      <c r="J82" s="11">
        <v>269.99576192401253</v>
      </c>
      <c r="K82" t="str">
        <f t="shared" si="2"/>
        <v>Cary Flynn</v>
      </c>
      <c r="M82" t="s">
        <v>686</v>
      </c>
      <c r="N82" t="s">
        <v>687</v>
      </c>
      <c r="O82" s="26">
        <v>2</v>
      </c>
      <c r="R82" t="s">
        <v>307</v>
      </c>
      <c r="S82" s="26">
        <v>17</v>
      </c>
      <c r="U82" t="s">
        <v>2445</v>
      </c>
      <c r="V82" t="s">
        <v>2444</v>
      </c>
      <c r="W82" t="s">
        <v>2443</v>
      </c>
      <c r="X82" s="26">
        <v>1</v>
      </c>
    </row>
    <row r="83" spans="1:24" hidden="1" x14ac:dyDescent="0.35">
      <c r="A83">
        <f t="shared" si="3"/>
        <v>82</v>
      </c>
      <c r="B83">
        <v>2003</v>
      </c>
      <c r="C83" t="s">
        <v>109</v>
      </c>
      <c r="D83" t="s">
        <v>918</v>
      </c>
      <c r="E83" t="s">
        <v>1430</v>
      </c>
      <c r="G83" s="2">
        <v>30</v>
      </c>
      <c r="H83" t="s">
        <v>248</v>
      </c>
      <c r="I83" t="s">
        <v>249</v>
      </c>
      <c r="J83" s="11">
        <v>255.27250510330623</v>
      </c>
      <c r="K83" t="str">
        <f t="shared" si="2"/>
        <v>Ross Poppel</v>
      </c>
      <c r="M83" t="s">
        <v>1210</v>
      </c>
      <c r="N83" t="s">
        <v>1011</v>
      </c>
      <c r="O83" s="26">
        <v>1</v>
      </c>
      <c r="Q83" t="s">
        <v>1062</v>
      </c>
      <c r="R83" t="s">
        <v>1061</v>
      </c>
      <c r="S83" s="26">
        <v>1</v>
      </c>
      <c r="U83" t="s">
        <v>1323</v>
      </c>
      <c r="V83" t="s">
        <v>1218</v>
      </c>
      <c r="W83" t="s">
        <v>1217</v>
      </c>
      <c r="X83" s="26">
        <v>6</v>
      </c>
    </row>
    <row r="84" spans="1:24" hidden="1" x14ac:dyDescent="0.35">
      <c r="A84">
        <f t="shared" si="3"/>
        <v>83</v>
      </c>
      <c r="B84">
        <v>2003</v>
      </c>
      <c r="C84" t="s">
        <v>109</v>
      </c>
      <c r="D84" t="s">
        <v>918</v>
      </c>
      <c r="E84" t="s">
        <v>1430</v>
      </c>
      <c r="G84" s="2">
        <v>31</v>
      </c>
      <c r="H84" t="s">
        <v>1038</v>
      </c>
      <c r="I84" t="s">
        <v>28</v>
      </c>
      <c r="J84" s="11">
        <v>241.03206598869599</v>
      </c>
      <c r="K84" t="str">
        <f t="shared" si="2"/>
        <v>Chris Raimondi</v>
      </c>
      <c r="N84" t="s">
        <v>353</v>
      </c>
      <c r="O84" s="26">
        <v>2</v>
      </c>
      <c r="Q84" t="s">
        <v>2444</v>
      </c>
      <c r="R84" t="s">
        <v>2443</v>
      </c>
      <c r="S84" s="26">
        <v>1</v>
      </c>
      <c r="U84" t="s">
        <v>262</v>
      </c>
      <c r="V84" t="s">
        <v>56</v>
      </c>
      <c r="W84" t="s">
        <v>55</v>
      </c>
      <c r="X84" s="26">
        <v>5</v>
      </c>
    </row>
    <row r="85" spans="1:24" hidden="1" x14ac:dyDescent="0.35">
      <c r="A85">
        <f t="shared" si="3"/>
        <v>84</v>
      </c>
      <c r="B85">
        <v>2003</v>
      </c>
      <c r="C85" t="s">
        <v>109</v>
      </c>
      <c r="D85" t="s">
        <v>918</v>
      </c>
      <c r="E85" t="s">
        <v>1430</v>
      </c>
      <c r="G85" s="2">
        <v>32</v>
      </c>
      <c r="H85" t="s">
        <v>1219</v>
      </c>
      <c r="I85" t="s">
        <v>1220</v>
      </c>
      <c r="J85" s="11">
        <v>227.24378150306256</v>
      </c>
      <c r="K85" t="str">
        <f t="shared" si="2"/>
        <v>Desmond Portano</v>
      </c>
      <c r="M85" t="s">
        <v>519</v>
      </c>
      <c r="N85" t="s">
        <v>520</v>
      </c>
      <c r="O85" s="26">
        <v>2</v>
      </c>
      <c r="Q85" t="s">
        <v>1218</v>
      </c>
      <c r="R85" t="s">
        <v>1217</v>
      </c>
      <c r="S85" s="26">
        <v>6</v>
      </c>
      <c r="U85" t="s">
        <v>1658</v>
      </c>
      <c r="V85" t="s">
        <v>56</v>
      </c>
      <c r="W85" t="s">
        <v>1231</v>
      </c>
      <c r="X85" s="26">
        <v>1</v>
      </c>
    </row>
    <row r="86" spans="1:24" hidden="1" x14ac:dyDescent="0.35">
      <c r="A86">
        <f t="shared" si="3"/>
        <v>85</v>
      </c>
      <c r="B86">
        <v>2003</v>
      </c>
      <c r="C86" t="s">
        <v>109</v>
      </c>
      <c r="D86" t="s">
        <v>918</v>
      </c>
      <c r="E86" t="s">
        <v>1430</v>
      </c>
      <c r="G86" s="2">
        <v>33</v>
      </c>
      <c r="H86" t="s">
        <v>567</v>
      </c>
      <c r="I86" t="s">
        <v>568</v>
      </c>
      <c r="J86" s="11">
        <v>213.8798199450811</v>
      </c>
      <c r="K86" t="str">
        <f t="shared" si="2"/>
        <v>Glenn Nickerson</v>
      </c>
      <c r="M86" t="s">
        <v>974</v>
      </c>
      <c r="N86" t="s">
        <v>353</v>
      </c>
      <c r="O86" s="26">
        <v>4</v>
      </c>
      <c r="Q86" t="s">
        <v>56</v>
      </c>
      <c r="R86" t="s">
        <v>55</v>
      </c>
      <c r="S86" s="26">
        <v>5</v>
      </c>
      <c r="U86" t="s">
        <v>1574</v>
      </c>
      <c r="V86" t="s">
        <v>56</v>
      </c>
      <c r="W86" t="s">
        <v>1169</v>
      </c>
      <c r="X86" s="26">
        <v>1</v>
      </c>
    </row>
    <row r="87" spans="1:24" hidden="1" x14ac:dyDescent="0.35">
      <c r="A87">
        <f t="shared" si="3"/>
        <v>86</v>
      </c>
      <c r="B87">
        <v>2003</v>
      </c>
      <c r="C87" t="s">
        <v>109</v>
      </c>
      <c r="D87" t="s">
        <v>918</v>
      </c>
      <c r="E87" t="s">
        <v>1430</v>
      </c>
      <c r="G87" s="2">
        <v>34</v>
      </c>
      <c r="H87" t="s">
        <v>764</v>
      </c>
      <c r="I87" t="s">
        <v>901</v>
      </c>
      <c r="J87" s="11">
        <v>200.91484278071349</v>
      </c>
      <c r="K87" t="str">
        <f t="shared" si="2"/>
        <v>Jerrod Ankenman</v>
      </c>
      <c r="N87" t="s">
        <v>2008</v>
      </c>
      <c r="O87" s="26">
        <v>1</v>
      </c>
      <c r="R87" t="s">
        <v>1231</v>
      </c>
      <c r="S87" s="26">
        <v>1</v>
      </c>
      <c r="U87" t="s">
        <v>683</v>
      </c>
      <c r="V87" t="s">
        <v>56</v>
      </c>
      <c r="W87" t="s">
        <v>682</v>
      </c>
      <c r="X87" s="26">
        <v>2</v>
      </c>
    </row>
    <row r="88" spans="1:24" hidden="1" x14ac:dyDescent="0.35">
      <c r="A88">
        <f t="shared" si="3"/>
        <v>87</v>
      </c>
      <c r="B88">
        <v>2003</v>
      </c>
      <c r="C88" t="s">
        <v>109</v>
      </c>
      <c r="D88" t="s">
        <v>918</v>
      </c>
      <c r="E88" t="s">
        <v>1430</v>
      </c>
      <c r="G88" s="2">
        <v>35</v>
      </c>
      <c r="H88" t="s">
        <v>1376</v>
      </c>
      <c r="I88" t="s">
        <v>119</v>
      </c>
      <c r="J88" s="11">
        <v>188.32571547269293</v>
      </c>
      <c r="K88" t="str">
        <f t="shared" si="2"/>
        <v>Peter Edivan</v>
      </c>
      <c r="M88" t="s">
        <v>1395</v>
      </c>
      <c r="N88" t="s">
        <v>782</v>
      </c>
      <c r="O88" s="26">
        <v>1</v>
      </c>
      <c r="R88" t="s">
        <v>1169</v>
      </c>
      <c r="S88" s="26">
        <v>1</v>
      </c>
      <c r="U88" t="s">
        <v>1524</v>
      </c>
      <c r="V88" t="s">
        <v>393</v>
      </c>
      <c r="W88" t="s">
        <v>86</v>
      </c>
      <c r="X88" s="26">
        <v>6</v>
      </c>
    </row>
    <row r="89" spans="1:24" hidden="1" x14ac:dyDescent="0.35">
      <c r="A89">
        <f t="shared" si="3"/>
        <v>88</v>
      </c>
      <c r="B89">
        <v>2003</v>
      </c>
      <c r="C89" t="s">
        <v>109</v>
      </c>
      <c r="D89" t="s">
        <v>918</v>
      </c>
      <c r="E89" t="s">
        <v>1430</v>
      </c>
      <c r="G89" s="2">
        <v>36</v>
      </c>
      <c r="H89" t="s">
        <v>866</v>
      </c>
      <c r="I89" t="s">
        <v>142</v>
      </c>
      <c r="J89" s="11">
        <v>176.09125905568135</v>
      </c>
      <c r="K89" t="str">
        <f t="shared" si="2"/>
        <v>Matt Matros</v>
      </c>
      <c r="M89" t="s">
        <v>1201</v>
      </c>
      <c r="N89" t="s">
        <v>153</v>
      </c>
      <c r="O89" s="26">
        <v>1</v>
      </c>
      <c r="R89" t="s">
        <v>682</v>
      </c>
      <c r="S89" s="26">
        <v>2</v>
      </c>
      <c r="U89" t="s">
        <v>172</v>
      </c>
      <c r="V89" t="s">
        <v>171</v>
      </c>
      <c r="W89" t="s">
        <v>170</v>
      </c>
      <c r="X89" s="26">
        <v>8</v>
      </c>
    </row>
    <row r="90" spans="1:24" hidden="1" x14ac:dyDescent="0.35">
      <c r="A90">
        <f t="shared" si="3"/>
        <v>89</v>
      </c>
      <c r="B90">
        <v>2003</v>
      </c>
      <c r="C90" t="s">
        <v>109</v>
      </c>
      <c r="D90" t="s">
        <v>918</v>
      </c>
      <c r="E90" t="s">
        <v>1430</v>
      </c>
      <c r="G90" s="2">
        <v>37</v>
      </c>
      <c r="H90" t="s">
        <v>1227</v>
      </c>
      <c r="I90" t="s">
        <v>153</v>
      </c>
      <c r="J90" s="11">
        <v>164.19203575597362</v>
      </c>
      <c r="K90" t="str">
        <f t="shared" si="2"/>
        <v>Stephen Benton</v>
      </c>
      <c r="M90" t="s">
        <v>21</v>
      </c>
      <c r="N90" t="s">
        <v>463</v>
      </c>
      <c r="O90" s="26">
        <v>61</v>
      </c>
      <c r="Q90" t="s">
        <v>393</v>
      </c>
      <c r="R90" t="s">
        <v>86</v>
      </c>
      <c r="S90" s="26">
        <v>6</v>
      </c>
      <c r="U90" t="s">
        <v>1645</v>
      </c>
      <c r="V90" t="s">
        <v>1101</v>
      </c>
      <c r="W90" t="s">
        <v>1100</v>
      </c>
      <c r="X90" s="26">
        <v>1</v>
      </c>
    </row>
    <row r="91" spans="1:24" hidden="1" x14ac:dyDescent="0.35">
      <c r="A91">
        <f t="shared" si="3"/>
        <v>90</v>
      </c>
      <c r="B91">
        <v>2003</v>
      </c>
      <c r="C91" t="s">
        <v>109</v>
      </c>
      <c r="D91" t="s">
        <v>918</v>
      </c>
      <c r="E91" t="s">
        <v>1430</v>
      </c>
      <c r="G91" s="2">
        <v>38</v>
      </c>
      <c r="H91" t="s">
        <v>475</v>
      </c>
      <c r="I91" t="s">
        <v>887</v>
      </c>
      <c r="J91" s="11">
        <v>152.61016320615849</v>
      </c>
      <c r="K91" t="str">
        <f t="shared" si="2"/>
        <v>Chic Natkins</v>
      </c>
      <c r="M91" t="s">
        <v>750</v>
      </c>
      <c r="N91" t="s">
        <v>218</v>
      </c>
      <c r="O91" s="26">
        <v>2</v>
      </c>
      <c r="Q91" t="s">
        <v>171</v>
      </c>
      <c r="R91" t="s">
        <v>170</v>
      </c>
      <c r="S91" s="26">
        <v>8</v>
      </c>
      <c r="U91" t="s">
        <v>1595</v>
      </c>
      <c r="V91" t="s">
        <v>971</v>
      </c>
      <c r="W91" t="s">
        <v>970</v>
      </c>
      <c r="X91" s="26">
        <v>1</v>
      </c>
    </row>
    <row r="92" spans="1:24" hidden="1" x14ac:dyDescent="0.35">
      <c r="A92">
        <f t="shared" si="3"/>
        <v>91</v>
      </c>
      <c r="B92">
        <v>2003</v>
      </c>
      <c r="C92" t="s">
        <v>109</v>
      </c>
      <c r="D92" t="s">
        <v>918</v>
      </c>
      <c r="E92" t="s">
        <v>1430</v>
      </c>
      <c r="G92" s="2">
        <v>39</v>
      </c>
      <c r="H92" t="s">
        <v>1235</v>
      </c>
      <c r="I92" t="s">
        <v>131</v>
      </c>
      <c r="J92" s="11">
        <v>141.32915279646951</v>
      </c>
      <c r="K92" t="str">
        <f t="shared" si="2"/>
        <v>Alan Tiger</v>
      </c>
      <c r="M92" t="s">
        <v>1263</v>
      </c>
      <c r="N92" t="s">
        <v>1264</v>
      </c>
      <c r="O92" s="26">
        <v>1</v>
      </c>
      <c r="Q92" t="s">
        <v>1101</v>
      </c>
      <c r="R92" t="s">
        <v>1100</v>
      </c>
      <c r="S92" s="26">
        <v>1</v>
      </c>
      <c r="U92" t="s">
        <v>796</v>
      </c>
      <c r="V92" t="s">
        <v>159</v>
      </c>
      <c r="W92" t="s">
        <v>795</v>
      </c>
      <c r="X92" s="26">
        <v>1</v>
      </c>
    </row>
    <row r="93" spans="1:24" hidden="1" x14ac:dyDescent="0.35">
      <c r="A93">
        <f t="shared" si="3"/>
        <v>92</v>
      </c>
      <c r="B93">
        <v>2003</v>
      </c>
      <c r="C93" t="s">
        <v>109</v>
      </c>
      <c r="D93" t="s">
        <v>918</v>
      </c>
      <c r="E93" t="s">
        <v>1430</v>
      </c>
      <c r="G93" s="2">
        <v>40</v>
      </c>
      <c r="H93" t="s">
        <v>731</v>
      </c>
      <c r="I93" t="s">
        <v>732</v>
      </c>
      <c r="J93" s="11">
        <v>130.33376849500632</v>
      </c>
      <c r="K93" t="str">
        <f t="shared" si="2"/>
        <v>Lauri Calkins</v>
      </c>
      <c r="M93" t="s">
        <v>769</v>
      </c>
      <c r="N93" t="s">
        <v>463</v>
      </c>
      <c r="O93" s="26">
        <v>1</v>
      </c>
      <c r="Q93" t="s">
        <v>971</v>
      </c>
      <c r="R93" t="s">
        <v>970</v>
      </c>
      <c r="S93" s="26">
        <v>1</v>
      </c>
      <c r="U93" t="s">
        <v>1469</v>
      </c>
      <c r="V93" t="s">
        <v>159</v>
      </c>
      <c r="W93" t="s">
        <v>1206</v>
      </c>
      <c r="X93" s="26">
        <v>1</v>
      </c>
    </row>
    <row r="94" spans="1:24" hidden="1" x14ac:dyDescent="0.35">
      <c r="A94">
        <f t="shared" si="3"/>
        <v>93</v>
      </c>
      <c r="B94">
        <v>2003</v>
      </c>
      <c r="C94" t="s">
        <v>109</v>
      </c>
      <c r="D94" t="s">
        <v>918</v>
      </c>
      <c r="E94" t="s">
        <v>1430</v>
      </c>
      <c r="G94" s="2">
        <v>41</v>
      </c>
      <c r="H94" t="s">
        <v>799</v>
      </c>
      <c r="I94" t="s">
        <v>1379</v>
      </c>
      <c r="J94" s="11">
        <v>119.60990310323317</v>
      </c>
      <c r="K94" t="str">
        <f t="shared" si="2"/>
        <v>Graham Martin</v>
      </c>
      <c r="M94" t="s">
        <v>609</v>
      </c>
      <c r="N94" t="s">
        <v>610</v>
      </c>
      <c r="O94" s="26">
        <v>9</v>
      </c>
      <c r="Q94" t="s">
        <v>159</v>
      </c>
      <c r="R94" t="s">
        <v>795</v>
      </c>
      <c r="S94" s="26">
        <v>1</v>
      </c>
      <c r="U94" t="s">
        <v>546</v>
      </c>
      <c r="V94" t="s">
        <v>159</v>
      </c>
      <c r="W94" t="s">
        <v>545</v>
      </c>
      <c r="X94" s="26">
        <v>1</v>
      </c>
    </row>
    <row r="95" spans="1:24" hidden="1" x14ac:dyDescent="0.35">
      <c r="A95">
        <f t="shared" si="3"/>
        <v>94</v>
      </c>
      <c r="B95">
        <v>2003</v>
      </c>
      <c r="C95" t="s">
        <v>109</v>
      </c>
      <c r="D95" t="s">
        <v>918</v>
      </c>
      <c r="E95" t="s">
        <v>1430</v>
      </c>
      <c r="G95" s="2">
        <v>42</v>
      </c>
      <c r="H95" t="s">
        <v>70</v>
      </c>
      <c r="I95" t="s">
        <v>71</v>
      </c>
      <c r="J95" s="11">
        <v>109.14446942506805</v>
      </c>
      <c r="K95" t="str">
        <f t="shared" si="2"/>
        <v>Scott Byron</v>
      </c>
      <c r="M95" t="s">
        <v>810</v>
      </c>
      <c r="N95" t="s">
        <v>463</v>
      </c>
      <c r="O95" s="26">
        <v>5</v>
      </c>
      <c r="R95" t="s">
        <v>1206</v>
      </c>
      <c r="S95" s="26">
        <v>1</v>
      </c>
      <c r="U95" t="s">
        <v>160</v>
      </c>
      <c r="V95" t="s">
        <v>159</v>
      </c>
      <c r="W95" t="s">
        <v>158</v>
      </c>
      <c r="X95" s="26">
        <v>7</v>
      </c>
    </row>
    <row r="96" spans="1:24" hidden="1" x14ac:dyDescent="0.35">
      <c r="A96">
        <f t="shared" si="3"/>
        <v>95</v>
      </c>
      <c r="B96">
        <v>2003</v>
      </c>
      <c r="C96" t="s">
        <v>109</v>
      </c>
      <c r="D96" t="s">
        <v>918</v>
      </c>
      <c r="E96" t="s">
        <v>1430</v>
      </c>
      <c r="G96" s="2">
        <v>43</v>
      </c>
      <c r="H96" t="s">
        <v>19</v>
      </c>
      <c r="I96" t="s">
        <v>20</v>
      </c>
      <c r="J96" s="11">
        <v>98.9253042433822</v>
      </c>
      <c r="K96" t="str">
        <f t="shared" si="2"/>
        <v>Barry Kornspan</v>
      </c>
      <c r="M96" t="s">
        <v>653</v>
      </c>
      <c r="N96" t="s">
        <v>654</v>
      </c>
      <c r="O96" s="26">
        <v>4</v>
      </c>
      <c r="R96" t="s">
        <v>545</v>
      </c>
      <c r="S96" s="26">
        <v>1</v>
      </c>
      <c r="U96" t="s">
        <v>1470</v>
      </c>
      <c r="V96" t="s">
        <v>159</v>
      </c>
      <c r="W96" t="s">
        <v>1236</v>
      </c>
      <c r="X96" s="26">
        <v>1</v>
      </c>
    </row>
    <row r="97" spans="1:24" hidden="1" x14ac:dyDescent="0.35">
      <c r="A97">
        <f t="shared" si="3"/>
        <v>96</v>
      </c>
      <c r="B97">
        <v>2003</v>
      </c>
      <c r="C97" t="s">
        <v>109</v>
      </c>
      <c r="D97" t="s">
        <v>918</v>
      </c>
      <c r="E97" t="s">
        <v>1430</v>
      </c>
      <c r="G97" s="2">
        <v>44</v>
      </c>
      <c r="H97" t="s">
        <v>1311</v>
      </c>
      <c r="I97" t="s">
        <v>16</v>
      </c>
      <c r="J97" s="11">
        <v>88.94108333678119</v>
      </c>
      <c r="K97" t="str">
        <f t="shared" si="2"/>
        <v>David Croson</v>
      </c>
      <c r="N97" t="s">
        <v>2386</v>
      </c>
      <c r="O97" s="26">
        <v>2</v>
      </c>
      <c r="R97" t="s">
        <v>158</v>
      </c>
      <c r="S97" s="26">
        <v>7</v>
      </c>
      <c r="U97" t="s">
        <v>1564</v>
      </c>
      <c r="V97" t="s">
        <v>159</v>
      </c>
      <c r="W97" t="s">
        <v>542</v>
      </c>
      <c r="X97" s="26">
        <v>1</v>
      </c>
    </row>
    <row r="98" spans="1:24" hidden="1" x14ac:dyDescent="0.35">
      <c r="A98">
        <f t="shared" si="3"/>
        <v>97</v>
      </c>
      <c r="B98">
        <v>2003</v>
      </c>
      <c r="C98" t="s">
        <v>109</v>
      </c>
      <c r="D98" t="s">
        <v>918</v>
      </c>
      <c r="E98" t="s">
        <v>1430</v>
      </c>
      <c r="G98" s="2">
        <v>45</v>
      </c>
      <c r="H98" t="s">
        <v>1020</v>
      </c>
      <c r="I98" t="s">
        <v>205</v>
      </c>
      <c r="J98" s="11">
        <v>79.181246047624882</v>
      </c>
      <c r="K98" t="str">
        <f t="shared" si="2"/>
        <v>Ron Wilson</v>
      </c>
      <c r="M98" t="s">
        <v>588</v>
      </c>
      <c r="N98" t="s">
        <v>353</v>
      </c>
      <c r="O98" s="26">
        <v>12</v>
      </c>
      <c r="R98" t="s">
        <v>1236</v>
      </c>
      <c r="S98" s="26">
        <v>1</v>
      </c>
      <c r="U98" t="s">
        <v>2416</v>
      </c>
      <c r="V98" t="s">
        <v>159</v>
      </c>
      <c r="W98" t="s">
        <v>2415</v>
      </c>
      <c r="X98" s="26">
        <v>1</v>
      </c>
    </row>
    <row r="99" spans="1:24" hidden="1" x14ac:dyDescent="0.35">
      <c r="A99">
        <f t="shared" si="3"/>
        <v>98</v>
      </c>
      <c r="B99">
        <v>2003</v>
      </c>
      <c r="C99" t="s">
        <v>109</v>
      </c>
      <c r="D99" t="s">
        <v>918</v>
      </c>
      <c r="E99" t="s">
        <v>1430</v>
      </c>
      <c r="G99" s="2">
        <v>46</v>
      </c>
      <c r="H99" t="s">
        <v>1092</v>
      </c>
      <c r="I99" t="s">
        <v>1093</v>
      </c>
      <c r="J99" s="11">
        <v>69.635928141394515</v>
      </c>
      <c r="K99" t="str">
        <f t="shared" si="2"/>
        <v>Al Weber</v>
      </c>
      <c r="M99" t="s">
        <v>333</v>
      </c>
      <c r="N99" t="s">
        <v>334</v>
      </c>
      <c r="O99" s="26">
        <v>1</v>
      </c>
      <c r="R99" t="s">
        <v>542</v>
      </c>
      <c r="S99" s="26">
        <v>1</v>
      </c>
      <c r="U99" t="s">
        <v>1671</v>
      </c>
      <c r="V99" t="s">
        <v>413</v>
      </c>
      <c r="W99" t="s">
        <v>773</v>
      </c>
      <c r="X99" s="26">
        <v>2</v>
      </c>
    </row>
    <row r="100" spans="1:24" hidden="1" x14ac:dyDescent="0.35">
      <c r="A100">
        <f t="shared" si="3"/>
        <v>99</v>
      </c>
      <c r="B100">
        <v>2003</v>
      </c>
      <c r="C100" t="s">
        <v>109</v>
      </c>
      <c r="D100" t="s">
        <v>918</v>
      </c>
      <c r="E100" t="s">
        <v>1430</v>
      </c>
      <c r="G100" s="2">
        <v>47</v>
      </c>
      <c r="H100" t="s">
        <v>656</v>
      </c>
      <c r="I100" t="s">
        <v>16</v>
      </c>
      <c r="J100" s="11">
        <v>60.295901887251091</v>
      </c>
      <c r="K100" t="str">
        <f t="shared" si="2"/>
        <v>David Taylor</v>
      </c>
      <c r="M100" t="s">
        <v>996</v>
      </c>
      <c r="N100" t="s">
        <v>232</v>
      </c>
      <c r="O100" s="26">
        <v>1</v>
      </c>
      <c r="R100" t="s">
        <v>2415</v>
      </c>
      <c r="S100" s="26">
        <v>1</v>
      </c>
      <c r="U100" t="s">
        <v>1581</v>
      </c>
      <c r="V100" t="s">
        <v>413</v>
      </c>
      <c r="W100" t="s">
        <v>517</v>
      </c>
      <c r="X100" s="26">
        <v>4</v>
      </c>
    </row>
    <row r="101" spans="1:24" hidden="1" x14ac:dyDescent="0.35">
      <c r="A101">
        <f t="shared" si="3"/>
        <v>100</v>
      </c>
      <c r="B101">
        <v>2003</v>
      </c>
      <c r="C101" t="s">
        <v>109</v>
      </c>
      <c r="D101" t="s">
        <v>918</v>
      </c>
      <c r="E101" t="s">
        <v>1430</v>
      </c>
      <c r="G101" s="2">
        <v>48</v>
      </c>
      <c r="H101" t="s">
        <v>1504</v>
      </c>
      <c r="I101" t="s">
        <v>85</v>
      </c>
      <c r="J101" s="11">
        <v>51.152522447381443</v>
      </c>
      <c r="K101" t="str">
        <f t="shared" si="2"/>
        <v>Patrick Milligan</v>
      </c>
      <c r="M101" t="s">
        <v>601</v>
      </c>
      <c r="N101" t="s">
        <v>58</v>
      </c>
      <c r="O101" s="26">
        <v>10</v>
      </c>
      <c r="Q101" t="s">
        <v>413</v>
      </c>
      <c r="R101" t="s">
        <v>773</v>
      </c>
      <c r="S101" s="26">
        <v>2</v>
      </c>
      <c r="U101" t="s">
        <v>755</v>
      </c>
      <c r="V101" t="s">
        <v>413</v>
      </c>
      <c r="W101" t="s">
        <v>414</v>
      </c>
      <c r="X101" s="26">
        <v>15</v>
      </c>
    </row>
    <row r="102" spans="1:24" hidden="1" x14ac:dyDescent="0.35">
      <c r="A102">
        <f t="shared" si="3"/>
        <v>101</v>
      </c>
      <c r="B102">
        <v>2003</v>
      </c>
      <c r="C102" t="s">
        <v>109</v>
      </c>
      <c r="D102" t="s">
        <v>918</v>
      </c>
      <c r="E102" t="s">
        <v>1430</v>
      </c>
      <c r="G102" s="2">
        <v>49</v>
      </c>
      <c r="H102" t="s">
        <v>363</v>
      </c>
      <c r="I102" t="s">
        <v>364</v>
      </c>
      <c r="J102" s="11">
        <v>42.197679794454992</v>
      </c>
      <c r="K102" t="str">
        <f t="shared" si="2"/>
        <v>Warren Sander</v>
      </c>
      <c r="M102" t="s">
        <v>431</v>
      </c>
      <c r="N102" t="s">
        <v>44</v>
      </c>
      <c r="O102" s="26">
        <v>1</v>
      </c>
      <c r="R102" t="s">
        <v>517</v>
      </c>
      <c r="S102" s="26">
        <v>4</v>
      </c>
      <c r="U102" t="s">
        <v>969</v>
      </c>
      <c r="V102" t="s">
        <v>701</v>
      </c>
      <c r="W102" t="s">
        <v>968</v>
      </c>
      <c r="X102" s="26">
        <v>9</v>
      </c>
    </row>
    <row r="103" spans="1:24" hidden="1" x14ac:dyDescent="0.35">
      <c r="A103">
        <f t="shared" si="3"/>
        <v>102</v>
      </c>
      <c r="B103">
        <v>2003</v>
      </c>
      <c r="C103" t="s">
        <v>109</v>
      </c>
      <c r="D103" t="s">
        <v>918</v>
      </c>
      <c r="E103" t="s">
        <v>1430</v>
      </c>
      <c r="G103" s="2">
        <v>50</v>
      </c>
      <c r="H103" t="s">
        <v>731</v>
      </c>
      <c r="I103" t="s">
        <v>384</v>
      </c>
      <c r="J103" s="11">
        <v>33.423755486949872</v>
      </c>
      <c r="K103" t="str">
        <f t="shared" si="2"/>
        <v>Jeff Calkins</v>
      </c>
      <c r="M103" t="s">
        <v>672</v>
      </c>
      <c r="N103" t="s">
        <v>673</v>
      </c>
      <c r="O103" s="26">
        <v>5</v>
      </c>
      <c r="R103" t="s">
        <v>414</v>
      </c>
      <c r="S103" s="26">
        <v>15</v>
      </c>
      <c r="U103" t="s">
        <v>1548</v>
      </c>
      <c r="V103" t="s">
        <v>701</v>
      </c>
      <c r="W103" t="s">
        <v>700</v>
      </c>
      <c r="X103" s="26">
        <v>3</v>
      </c>
    </row>
    <row r="104" spans="1:24" hidden="1" x14ac:dyDescent="0.35">
      <c r="A104">
        <f t="shared" si="3"/>
        <v>103</v>
      </c>
      <c r="B104">
        <v>2003</v>
      </c>
      <c r="C104" t="s">
        <v>109</v>
      </c>
      <c r="D104" t="s">
        <v>918</v>
      </c>
      <c r="E104" t="s">
        <v>1430</v>
      </c>
      <c r="G104" s="2">
        <v>51</v>
      </c>
      <c r="H104" t="s">
        <v>947</v>
      </c>
      <c r="I104" t="s">
        <v>948</v>
      </c>
      <c r="J104" s="11">
        <v>24.82358372503235</v>
      </c>
      <c r="K104" t="str">
        <f t="shared" si="2"/>
        <v>Terrence Chan</v>
      </c>
      <c r="M104" t="s">
        <v>1182</v>
      </c>
      <c r="N104" t="s">
        <v>71</v>
      </c>
      <c r="O104" s="26">
        <v>1</v>
      </c>
      <c r="Q104" t="s">
        <v>701</v>
      </c>
      <c r="R104" t="s">
        <v>968</v>
      </c>
      <c r="S104" s="26">
        <v>9</v>
      </c>
      <c r="U104" t="s">
        <v>1659</v>
      </c>
      <c r="V104" t="s">
        <v>1447</v>
      </c>
      <c r="W104" t="s">
        <v>1446</v>
      </c>
      <c r="X104" s="26">
        <v>1</v>
      </c>
    </row>
    <row r="105" spans="1:24" hidden="1" x14ac:dyDescent="0.35">
      <c r="A105">
        <f t="shared" si="3"/>
        <v>104</v>
      </c>
      <c r="B105">
        <v>2003</v>
      </c>
      <c r="C105" t="s">
        <v>109</v>
      </c>
      <c r="D105" t="s">
        <v>918</v>
      </c>
      <c r="E105" t="s">
        <v>1430</v>
      </c>
      <c r="G105" s="2">
        <v>52</v>
      </c>
      <c r="H105" t="s">
        <v>86</v>
      </c>
      <c r="I105" t="s">
        <v>87</v>
      </c>
      <c r="J105" s="11">
        <v>16.390416188169389</v>
      </c>
      <c r="K105" t="str">
        <f t="shared" si="2"/>
        <v>Stevan Goldman</v>
      </c>
      <c r="M105" t="s">
        <v>1330</v>
      </c>
      <c r="N105" t="s">
        <v>1331</v>
      </c>
      <c r="O105" s="26">
        <v>2</v>
      </c>
      <c r="R105" t="s">
        <v>700</v>
      </c>
      <c r="S105" s="26">
        <v>3</v>
      </c>
      <c r="U105" t="s">
        <v>345</v>
      </c>
      <c r="V105" t="s">
        <v>344</v>
      </c>
      <c r="W105" t="s">
        <v>343</v>
      </c>
      <c r="X105" s="26">
        <v>2</v>
      </c>
    </row>
    <row r="106" spans="1:24" hidden="1" x14ac:dyDescent="0.35">
      <c r="A106">
        <f t="shared" si="3"/>
        <v>105</v>
      </c>
      <c r="B106">
        <v>2003</v>
      </c>
      <c r="C106" t="s">
        <v>109</v>
      </c>
      <c r="D106" t="s">
        <v>918</v>
      </c>
      <c r="E106" t="s">
        <v>1430</v>
      </c>
      <c r="G106" s="2">
        <v>53</v>
      </c>
      <c r="H106" t="s">
        <v>660</v>
      </c>
      <c r="I106" t="s">
        <v>471</v>
      </c>
      <c r="J106" s="11">
        <v>8.11789022217968</v>
      </c>
      <c r="K106" t="str">
        <f t="shared" si="2"/>
        <v>Greg Mitz</v>
      </c>
      <c r="M106" t="s">
        <v>70</v>
      </c>
      <c r="N106" t="s">
        <v>71</v>
      </c>
      <c r="O106" s="26">
        <v>36</v>
      </c>
      <c r="Q106" t="s">
        <v>1447</v>
      </c>
      <c r="R106" t="s">
        <v>1446</v>
      </c>
      <c r="S106" s="26">
        <v>1</v>
      </c>
      <c r="U106" t="s">
        <v>754</v>
      </c>
      <c r="V106" t="s">
        <v>753</v>
      </c>
      <c r="W106" t="s">
        <v>752</v>
      </c>
      <c r="X106" s="26">
        <v>2</v>
      </c>
    </row>
    <row r="107" spans="1:24" hidden="1" x14ac:dyDescent="0.35">
      <c r="A107">
        <f t="shared" si="3"/>
        <v>106</v>
      </c>
      <c r="B107">
        <v>2003</v>
      </c>
      <c r="C107" t="s">
        <v>109</v>
      </c>
      <c r="D107" t="s">
        <v>918</v>
      </c>
      <c r="E107" t="s">
        <v>1430</v>
      </c>
      <c r="G107" s="2">
        <v>54</v>
      </c>
      <c r="H107" t="s">
        <v>118</v>
      </c>
      <c r="I107" t="s">
        <v>415</v>
      </c>
      <c r="J107" s="11">
        <v>0</v>
      </c>
      <c r="K107" t="str">
        <f t="shared" si="2"/>
        <v>Pete Segal</v>
      </c>
      <c r="M107" t="s">
        <v>310</v>
      </c>
      <c r="N107" t="s">
        <v>119</v>
      </c>
      <c r="O107" s="26">
        <v>9</v>
      </c>
      <c r="Q107" t="s">
        <v>344</v>
      </c>
      <c r="R107" t="s">
        <v>343</v>
      </c>
      <c r="S107" s="26">
        <v>2</v>
      </c>
      <c r="U107" t="s">
        <v>179</v>
      </c>
      <c r="V107" t="s">
        <v>178</v>
      </c>
      <c r="W107" t="s">
        <v>177</v>
      </c>
      <c r="X107" s="26">
        <v>3</v>
      </c>
    </row>
    <row r="108" spans="1:24" hidden="1" x14ac:dyDescent="0.35">
      <c r="A108">
        <f t="shared" si="3"/>
        <v>107</v>
      </c>
      <c r="B108">
        <v>2003</v>
      </c>
      <c r="C108" t="s">
        <v>109</v>
      </c>
      <c r="D108" t="s">
        <v>45</v>
      </c>
      <c r="E108" t="s">
        <v>1429</v>
      </c>
      <c r="G108" s="2">
        <v>1</v>
      </c>
      <c r="H108" t="s">
        <v>656</v>
      </c>
      <c r="I108" t="s">
        <v>16</v>
      </c>
      <c r="J108" s="11">
        <v>1954.242509439325</v>
      </c>
      <c r="K108" t="str">
        <f t="shared" si="2"/>
        <v>David Taylor</v>
      </c>
      <c r="M108" t="s">
        <v>1518</v>
      </c>
      <c r="N108" t="s">
        <v>136</v>
      </c>
      <c r="O108" s="26">
        <v>1</v>
      </c>
      <c r="Q108" t="s">
        <v>753</v>
      </c>
      <c r="R108" t="s">
        <v>752</v>
      </c>
      <c r="S108" s="26">
        <v>2</v>
      </c>
      <c r="U108" t="s">
        <v>2316</v>
      </c>
      <c r="V108" t="s">
        <v>327</v>
      </c>
      <c r="W108" t="s">
        <v>525</v>
      </c>
      <c r="X108" s="26">
        <v>3</v>
      </c>
    </row>
    <row r="109" spans="1:24" hidden="1" x14ac:dyDescent="0.35">
      <c r="A109">
        <f t="shared" si="3"/>
        <v>108</v>
      </c>
      <c r="B109">
        <v>2003</v>
      </c>
      <c r="C109" t="s">
        <v>109</v>
      </c>
      <c r="D109" t="s">
        <v>45</v>
      </c>
      <c r="E109" t="s">
        <v>1429</v>
      </c>
      <c r="G109" s="2">
        <v>2</v>
      </c>
      <c r="H109" t="s">
        <v>947</v>
      </c>
      <c r="I109" t="s">
        <v>948</v>
      </c>
      <c r="J109" s="11">
        <v>1653.2125137753437</v>
      </c>
      <c r="K109" t="str">
        <f t="shared" si="2"/>
        <v>Terrence Chan</v>
      </c>
      <c r="M109" t="s">
        <v>731</v>
      </c>
      <c r="N109" t="s">
        <v>384</v>
      </c>
      <c r="O109" s="26">
        <v>10</v>
      </c>
      <c r="Q109" t="s">
        <v>178</v>
      </c>
      <c r="R109" t="s">
        <v>177</v>
      </c>
      <c r="S109" s="26">
        <v>3</v>
      </c>
      <c r="U109" t="s">
        <v>328</v>
      </c>
      <c r="V109" t="s">
        <v>327</v>
      </c>
      <c r="W109" t="s">
        <v>326</v>
      </c>
      <c r="X109" s="26">
        <v>3</v>
      </c>
    </row>
    <row r="110" spans="1:24" hidden="1" x14ac:dyDescent="0.35">
      <c r="A110">
        <f t="shared" si="3"/>
        <v>109</v>
      </c>
      <c r="B110">
        <v>2003</v>
      </c>
      <c r="C110" t="s">
        <v>109</v>
      </c>
      <c r="D110" t="s">
        <v>45</v>
      </c>
      <c r="E110" t="s">
        <v>1429</v>
      </c>
      <c r="G110" s="2">
        <v>3</v>
      </c>
      <c r="H110" t="s">
        <v>660</v>
      </c>
      <c r="I110" t="s">
        <v>471</v>
      </c>
      <c r="J110" s="11">
        <v>1477.1212547196626</v>
      </c>
      <c r="K110" t="str">
        <f t="shared" si="2"/>
        <v>Greg Mitz</v>
      </c>
      <c r="N110" t="s">
        <v>732</v>
      </c>
      <c r="O110" s="26">
        <v>8</v>
      </c>
      <c r="Q110" t="s">
        <v>327</v>
      </c>
      <c r="R110" t="s">
        <v>525</v>
      </c>
      <c r="S110" s="26">
        <v>3</v>
      </c>
      <c r="U110" t="s">
        <v>236</v>
      </c>
      <c r="V110" t="s">
        <v>235</v>
      </c>
      <c r="W110" t="s">
        <v>234</v>
      </c>
      <c r="X110" s="26">
        <v>4</v>
      </c>
    </row>
    <row r="111" spans="1:24" hidden="1" x14ac:dyDescent="0.35">
      <c r="A111">
        <f t="shared" si="3"/>
        <v>110</v>
      </c>
      <c r="B111">
        <v>2003</v>
      </c>
      <c r="C111" t="s">
        <v>109</v>
      </c>
      <c r="D111" t="s">
        <v>45</v>
      </c>
      <c r="E111" t="s">
        <v>1429</v>
      </c>
      <c r="G111" s="2">
        <v>4</v>
      </c>
      <c r="H111" t="s">
        <v>1217</v>
      </c>
      <c r="I111" t="s">
        <v>1218</v>
      </c>
      <c r="J111" s="11">
        <v>1352.1825181113627</v>
      </c>
      <c r="K111" t="str">
        <f t="shared" si="2"/>
        <v>Brad Edmonds</v>
      </c>
      <c r="M111" t="s">
        <v>784</v>
      </c>
      <c r="N111" t="s">
        <v>136</v>
      </c>
      <c r="O111" s="26">
        <v>2</v>
      </c>
      <c r="R111" t="s">
        <v>326</v>
      </c>
      <c r="S111" s="26">
        <v>3</v>
      </c>
      <c r="U111" t="s">
        <v>1417</v>
      </c>
      <c r="V111" t="s">
        <v>32</v>
      </c>
      <c r="W111" t="s">
        <v>31</v>
      </c>
      <c r="X111" s="26">
        <v>7</v>
      </c>
    </row>
    <row r="112" spans="1:24" hidden="1" x14ac:dyDescent="0.35">
      <c r="A112">
        <f t="shared" si="3"/>
        <v>111</v>
      </c>
      <c r="B112">
        <v>2003</v>
      </c>
      <c r="C112" t="s">
        <v>109</v>
      </c>
      <c r="D112" t="s">
        <v>45</v>
      </c>
      <c r="E112" t="s">
        <v>1429</v>
      </c>
      <c r="G112" s="2">
        <v>5</v>
      </c>
      <c r="H112" t="s">
        <v>731</v>
      </c>
      <c r="I112" t="s">
        <v>384</v>
      </c>
      <c r="J112" s="11">
        <v>1255.272505103306</v>
      </c>
      <c r="K112" t="str">
        <f t="shared" si="2"/>
        <v>Jeff Calkins</v>
      </c>
      <c r="N112" t="s">
        <v>665</v>
      </c>
      <c r="O112" s="26">
        <v>1</v>
      </c>
      <c r="Q112" t="s">
        <v>235</v>
      </c>
      <c r="R112" t="s">
        <v>234</v>
      </c>
      <c r="S112" s="26">
        <v>4</v>
      </c>
      <c r="U112" t="s">
        <v>1426</v>
      </c>
      <c r="V112" t="s">
        <v>388</v>
      </c>
      <c r="W112" t="s">
        <v>1425</v>
      </c>
      <c r="X112" s="26">
        <v>1</v>
      </c>
    </row>
    <row r="113" spans="1:24" hidden="1" x14ac:dyDescent="0.35">
      <c r="A113">
        <f t="shared" si="3"/>
        <v>112</v>
      </c>
      <c r="B113">
        <v>2003</v>
      </c>
      <c r="C113" t="s">
        <v>109</v>
      </c>
      <c r="D113" t="s">
        <v>45</v>
      </c>
      <c r="E113" t="s">
        <v>1429</v>
      </c>
      <c r="G113" s="2">
        <v>6</v>
      </c>
      <c r="H113" t="s">
        <v>1244</v>
      </c>
      <c r="I113" t="s">
        <v>324</v>
      </c>
      <c r="J113" s="11">
        <v>1176.0912590556813</v>
      </c>
      <c r="K113" t="str">
        <f t="shared" si="2"/>
        <v>Andrew Richman</v>
      </c>
      <c r="M113" t="s">
        <v>1055</v>
      </c>
      <c r="N113" t="s">
        <v>421</v>
      </c>
      <c r="O113" s="26">
        <v>1</v>
      </c>
      <c r="Q113" t="s">
        <v>32</v>
      </c>
      <c r="R113" t="s">
        <v>31</v>
      </c>
      <c r="S113" s="26">
        <v>7</v>
      </c>
      <c r="U113" t="s">
        <v>575</v>
      </c>
      <c r="V113" t="s">
        <v>388</v>
      </c>
      <c r="W113" t="s">
        <v>574</v>
      </c>
      <c r="X113" s="26">
        <v>2</v>
      </c>
    </row>
    <row r="114" spans="1:24" hidden="1" x14ac:dyDescent="0.35">
      <c r="A114">
        <f t="shared" si="3"/>
        <v>113</v>
      </c>
      <c r="B114">
        <v>2003</v>
      </c>
      <c r="C114" t="s">
        <v>109</v>
      </c>
      <c r="D114" t="s">
        <v>45</v>
      </c>
      <c r="E114" t="s">
        <v>1429</v>
      </c>
      <c r="G114" s="2">
        <v>7</v>
      </c>
      <c r="H114" t="s">
        <v>764</v>
      </c>
      <c r="I114" t="s">
        <v>901</v>
      </c>
      <c r="J114" s="11">
        <v>1109.1444694250683</v>
      </c>
      <c r="K114" t="str">
        <f t="shared" si="2"/>
        <v>Jerrod Ankenman</v>
      </c>
      <c r="M114" t="s">
        <v>984</v>
      </c>
      <c r="N114" t="s">
        <v>119</v>
      </c>
      <c r="O114" s="26">
        <v>4</v>
      </c>
      <c r="Q114" t="s">
        <v>388</v>
      </c>
      <c r="R114" t="s">
        <v>1425</v>
      </c>
      <c r="S114" s="26">
        <v>1</v>
      </c>
      <c r="U114" t="s">
        <v>1657</v>
      </c>
      <c r="V114" t="s">
        <v>388</v>
      </c>
      <c r="W114" t="s">
        <v>882</v>
      </c>
      <c r="X114" s="26">
        <v>1</v>
      </c>
    </row>
    <row r="115" spans="1:24" hidden="1" x14ac:dyDescent="0.35">
      <c r="A115">
        <f t="shared" si="3"/>
        <v>114</v>
      </c>
      <c r="B115">
        <v>2003</v>
      </c>
      <c r="C115" t="s">
        <v>109</v>
      </c>
      <c r="D115" t="s">
        <v>45</v>
      </c>
      <c r="E115" t="s">
        <v>1429</v>
      </c>
      <c r="G115" s="2">
        <v>8</v>
      </c>
      <c r="H115" t="s">
        <v>1504</v>
      </c>
      <c r="I115" t="s">
        <v>85</v>
      </c>
      <c r="J115" s="11">
        <v>1051.1525224473814</v>
      </c>
      <c r="K115" t="str">
        <f t="shared" si="2"/>
        <v>Patrick Milligan</v>
      </c>
      <c r="M115" t="s">
        <v>2365</v>
      </c>
      <c r="N115" t="s">
        <v>2366</v>
      </c>
      <c r="O115" s="26">
        <v>15</v>
      </c>
      <c r="R115" t="s">
        <v>574</v>
      </c>
      <c r="S115" s="26">
        <v>2</v>
      </c>
      <c r="U115" t="s">
        <v>1153</v>
      </c>
      <c r="V115" t="s">
        <v>388</v>
      </c>
      <c r="W115" t="s">
        <v>1152</v>
      </c>
      <c r="X115" s="26">
        <v>3</v>
      </c>
    </row>
    <row r="116" spans="1:24" hidden="1" x14ac:dyDescent="0.35">
      <c r="A116">
        <f t="shared" si="3"/>
        <v>115</v>
      </c>
      <c r="B116">
        <v>2003</v>
      </c>
      <c r="C116" t="s">
        <v>109</v>
      </c>
      <c r="D116" t="s">
        <v>45</v>
      </c>
      <c r="E116" t="s">
        <v>1429</v>
      </c>
      <c r="G116" s="2">
        <v>9</v>
      </c>
      <c r="H116" t="s">
        <v>664</v>
      </c>
      <c r="I116" t="s">
        <v>665</v>
      </c>
      <c r="J116" s="11">
        <v>1000</v>
      </c>
      <c r="K116" t="str">
        <f t="shared" si="2"/>
        <v>Robert Hwang</v>
      </c>
      <c r="M116" t="s">
        <v>762</v>
      </c>
      <c r="N116" t="s">
        <v>153</v>
      </c>
      <c r="O116" s="26">
        <v>3</v>
      </c>
      <c r="R116" t="s">
        <v>882</v>
      </c>
      <c r="S116" s="26">
        <v>1</v>
      </c>
      <c r="U116" t="s">
        <v>1639</v>
      </c>
      <c r="V116" t="s">
        <v>634</v>
      </c>
      <c r="W116" t="s">
        <v>1151</v>
      </c>
      <c r="X116" s="26">
        <v>1</v>
      </c>
    </row>
    <row r="117" spans="1:24" hidden="1" x14ac:dyDescent="0.35">
      <c r="A117">
        <f t="shared" si="3"/>
        <v>116</v>
      </c>
      <c r="B117">
        <v>2003</v>
      </c>
      <c r="C117" t="s">
        <v>109</v>
      </c>
      <c r="D117" t="s">
        <v>45</v>
      </c>
      <c r="E117" t="s">
        <v>1429</v>
      </c>
      <c r="G117" s="2">
        <v>10</v>
      </c>
      <c r="H117" t="s">
        <v>799</v>
      </c>
      <c r="I117" t="s">
        <v>1379</v>
      </c>
      <c r="J117" s="11">
        <v>954.24250943932498</v>
      </c>
      <c r="K117" t="str">
        <f t="shared" si="2"/>
        <v>Graham Martin</v>
      </c>
      <c r="M117" t="s">
        <v>174</v>
      </c>
      <c r="N117" t="s">
        <v>175</v>
      </c>
      <c r="O117" s="26">
        <v>5</v>
      </c>
      <c r="R117" t="s">
        <v>1152</v>
      </c>
      <c r="S117" s="26">
        <v>3</v>
      </c>
      <c r="U117" t="s">
        <v>635</v>
      </c>
      <c r="V117" t="s">
        <v>634</v>
      </c>
      <c r="W117" t="s">
        <v>633</v>
      </c>
      <c r="X117" s="26">
        <v>1</v>
      </c>
    </row>
    <row r="118" spans="1:24" hidden="1" x14ac:dyDescent="0.35">
      <c r="A118">
        <f t="shared" si="3"/>
        <v>117</v>
      </c>
      <c r="B118">
        <v>2003</v>
      </c>
      <c r="C118" t="s">
        <v>109</v>
      </c>
      <c r="D118" t="s">
        <v>45</v>
      </c>
      <c r="E118" t="s">
        <v>1429</v>
      </c>
      <c r="G118" s="2">
        <v>11</v>
      </c>
      <c r="H118" t="s">
        <v>80</v>
      </c>
      <c r="I118" t="s">
        <v>1382</v>
      </c>
      <c r="J118" s="11">
        <v>912.84982428109981</v>
      </c>
      <c r="K118" t="str">
        <f t="shared" si="2"/>
        <v>Stefan Adams</v>
      </c>
      <c r="M118" t="s">
        <v>1148</v>
      </c>
      <c r="N118" t="s">
        <v>28</v>
      </c>
      <c r="O118" s="26">
        <v>1</v>
      </c>
      <c r="Q118" t="s">
        <v>634</v>
      </c>
      <c r="R118" t="s">
        <v>1151</v>
      </c>
      <c r="S118" s="26">
        <v>1</v>
      </c>
      <c r="U118" t="s">
        <v>1339</v>
      </c>
      <c r="V118" t="s">
        <v>1338</v>
      </c>
      <c r="W118" t="s">
        <v>1337</v>
      </c>
      <c r="X118" s="26">
        <v>3</v>
      </c>
    </row>
    <row r="119" spans="1:24" hidden="1" x14ac:dyDescent="0.35">
      <c r="A119">
        <f t="shared" si="3"/>
        <v>118</v>
      </c>
      <c r="B119">
        <v>2003</v>
      </c>
      <c r="C119" t="s">
        <v>109</v>
      </c>
      <c r="D119" t="s">
        <v>45</v>
      </c>
      <c r="E119" t="s">
        <v>1429</v>
      </c>
      <c r="G119" s="2">
        <v>12</v>
      </c>
      <c r="H119" t="s">
        <v>50</v>
      </c>
      <c r="I119" t="s">
        <v>25</v>
      </c>
      <c r="J119" s="11">
        <v>875.06126339170009</v>
      </c>
      <c r="K119" t="str">
        <f t="shared" si="2"/>
        <v>Russell Fox</v>
      </c>
      <c r="M119" t="s">
        <v>1071</v>
      </c>
      <c r="N119" t="s">
        <v>353</v>
      </c>
      <c r="O119" s="26">
        <v>1</v>
      </c>
      <c r="R119" t="s">
        <v>633</v>
      </c>
      <c r="S119" s="26">
        <v>1</v>
      </c>
      <c r="U119" t="s">
        <v>888</v>
      </c>
      <c r="V119" t="s">
        <v>887</v>
      </c>
      <c r="W119" t="s">
        <v>475</v>
      </c>
      <c r="X119" s="26">
        <v>25</v>
      </c>
    </row>
    <row r="120" spans="1:24" hidden="1" x14ac:dyDescent="0.35">
      <c r="A120">
        <f t="shared" si="3"/>
        <v>119</v>
      </c>
      <c r="B120">
        <v>2003</v>
      </c>
      <c r="C120" t="s">
        <v>109</v>
      </c>
      <c r="D120" t="s">
        <v>45</v>
      </c>
      <c r="E120" t="s">
        <v>1429</v>
      </c>
      <c r="G120" s="2">
        <v>13</v>
      </c>
      <c r="H120" t="s">
        <v>945</v>
      </c>
      <c r="I120" t="s">
        <v>946</v>
      </c>
      <c r="J120" s="11">
        <v>840.29915713248829</v>
      </c>
      <c r="K120" t="str">
        <f t="shared" si="2"/>
        <v>Ray DiDonato</v>
      </c>
      <c r="M120" t="s">
        <v>340</v>
      </c>
      <c r="N120" t="s">
        <v>341</v>
      </c>
      <c r="O120" s="26">
        <v>1</v>
      </c>
      <c r="Q120" t="s">
        <v>1338</v>
      </c>
      <c r="R120" t="s">
        <v>1337</v>
      </c>
      <c r="S120" s="26">
        <v>3</v>
      </c>
      <c r="U120" t="s">
        <v>1576</v>
      </c>
      <c r="V120" t="s">
        <v>964</v>
      </c>
      <c r="W120" t="s">
        <v>963</v>
      </c>
      <c r="X120" s="26">
        <v>1</v>
      </c>
    </row>
    <row r="121" spans="1:24" hidden="1" x14ac:dyDescent="0.35">
      <c r="A121">
        <f t="shared" si="3"/>
        <v>120</v>
      </c>
      <c r="B121">
        <v>2003</v>
      </c>
      <c r="C121" t="s">
        <v>109</v>
      </c>
      <c r="D121" t="s">
        <v>45</v>
      </c>
      <c r="E121" t="s">
        <v>1429</v>
      </c>
      <c r="G121" s="2">
        <v>14</v>
      </c>
      <c r="H121" t="s">
        <v>161</v>
      </c>
      <c r="I121" t="s">
        <v>200</v>
      </c>
      <c r="J121" s="11">
        <v>808.11447376108708</v>
      </c>
      <c r="K121" t="str">
        <f t="shared" si="2"/>
        <v>Rick Becker</v>
      </c>
      <c r="N121" t="s">
        <v>665</v>
      </c>
      <c r="O121" s="26">
        <v>7</v>
      </c>
      <c r="Q121" t="s">
        <v>887</v>
      </c>
      <c r="R121" t="s">
        <v>475</v>
      </c>
      <c r="S121" s="26">
        <v>25</v>
      </c>
      <c r="U121" t="s">
        <v>1676</v>
      </c>
      <c r="V121" t="s">
        <v>359</v>
      </c>
      <c r="W121" t="s">
        <v>358</v>
      </c>
      <c r="X121" s="26">
        <v>3</v>
      </c>
    </row>
    <row r="122" spans="1:24" hidden="1" x14ac:dyDescent="0.35">
      <c r="A122">
        <f t="shared" si="3"/>
        <v>121</v>
      </c>
      <c r="B122">
        <v>2003</v>
      </c>
      <c r="C122" t="s">
        <v>109</v>
      </c>
      <c r="D122" t="s">
        <v>45</v>
      </c>
      <c r="E122" t="s">
        <v>1429</v>
      </c>
      <c r="G122" s="2">
        <v>15</v>
      </c>
      <c r="H122" t="s">
        <v>394</v>
      </c>
      <c r="I122" t="s">
        <v>44</v>
      </c>
      <c r="J122" s="11">
        <v>778.15125038364363</v>
      </c>
      <c r="K122" t="str">
        <f t="shared" si="2"/>
        <v>Mike Miller</v>
      </c>
      <c r="M122" t="s">
        <v>496</v>
      </c>
      <c r="N122" t="s">
        <v>218</v>
      </c>
      <c r="O122" s="26">
        <v>1</v>
      </c>
      <c r="Q122" t="s">
        <v>964</v>
      </c>
      <c r="R122" t="s">
        <v>963</v>
      </c>
      <c r="S122" s="26">
        <v>1</v>
      </c>
      <c r="U122" t="s">
        <v>499</v>
      </c>
      <c r="V122" t="s">
        <v>28</v>
      </c>
      <c r="W122" t="s">
        <v>498</v>
      </c>
      <c r="X122" s="26">
        <v>5</v>
      </c>
    </row>
    <row r="123" spans="1:24" hidden="1" x14ac:dyDescent="0.35">
      <c r="A123">
        <f t="shared" si="3"/>
        <v>122</v>
      </c>
      <c r="B123">
        <v>2003</v>
      </c>
      <c r="C123" t="s">
        <v>109</v>
      </c>
      <c r="D123" t="s">
        <v>45</v>
      </c>
      <c r="E123" t="s">
        <v>1429</v>
      </c>
      <c r="G123" s="2">
        <v>16</v>
      </c>
      <c r="H123" t="s">
        <v>64</v>
      </c>
      <c r="I123" t="s">
        <v>65</v>
      </c>
      <c r="J123" s="11">
        <v>750.12252678340019</v>
      </c>
      <c r="K123" t="str">
        <f t="shared" si="2"/>
        <v>Steve Daniel</v>
      </c>
      <c r="M123" t="s">
        <v>926</v>
      </c>
      <c r="N123" t="s">
        <v>927</v>
      </c>
      <c r="O123" s="26">
        <v>1</v>
      </c>
      <c r="Q123" t="s">
        <v>359</v>
      </c>
      <c r="R123" t="s">
        <v>358</v>
      </c>
      <c r="S123" s="26">
        <v>3</v>
      </c>
      <c r="U123" t="s">
        <v>1667</v>
      </c>
      <c r="V123" t="s">
        <v>28</v>
      </c>
      <c r="W123" t="s">
        <v>1148</v>
      </c>
      <c r="X123" s="26">
        <v>1</v>
      </c>
    </row>
    <row r="124" spans="1:24" hidden="1" x14ac:dyDescent="0.35">
      <c r="A124">
        <f t="shared" si="3"/>
        <v>123</v>
      </c>
      <c r="B124">
        <v>2003</v>
      </c>
      <c r="C124" t="s">
        <v>109</v>
      </c>
      <c r="D124" t="s">
        <v>45</v>
      </c>
      <c r="E124" t="s">
        <v>1429</v>
      </c>
      <c r="G124" s="2">
        <v>17</v>
      </c>
      <c r="H124" t="s">
        <v>180</v>
      </c>
      <c r="I124" t="s">
        <v>218</v>
      </c>
      <c r="J124" s="11">
        <v>723.79358806105108</v>
      </c>
      <c r="K124" t="str">
        <f t="shared" si="2"/>
        <v>Michael McCall</v>
      </c>
      <c r="M124" t="s">
        <v>10</v>
      </c>
      <c r="N124" t="s">
        <v>11</v>
      </c>
      <c r="O124" s="26">
        <v>10</v>
      </c>
      <c r="Q124" t="s">
        <v>28</v>
      </c>
      <c r="R124" t="s">
        <v>498</v>
      </c>
      <c r="S124" s="26">
        <v>5</v>
      </c>
      <c r="U124" t="s">
        <v>1540</v>
      </c>
      <c r="V124" t="s">
        <v>28</v>
      </c>
      <c r="W124" t="s">
        <v>713</v>
      </c>
      <c r="X124" s="26">
        <v>8</v>
      </c>
    </row>
    <row r="125" spans="1:24" hidden="1" x14ac:dyDescent="0.35">
      <c r="A125">
        <f t="shared" si="3"/>
        <v>124</v>
      </c>
      <c r="B125">
        <v>2003</v>
      </c>
      <c r="C125" t="s">
        <v>109</v>
      </c>
      <c r="D125" t="s">
        <v>45</v>
      </c>
      <c r="E125" t="s">
        <v>1429</v>
      </c>
      <c r="G125" s="2">
        <v>18</v>
      </c>
      <c r="H125" t="s">
        <v>43</v>
      </c>
      <c r="I125" t="s">
        <v>218</v>
      </c>
      <c r="J125" s="11">
        <v>698.97000433601897</v>
      </c>
      <c r="K125" t="str">
        <f t="shared" si="2"/>
        <v>Michael Klein</v>
      </c>
      <c r="M125" t="s">
        <v>910</v>
      </c>
      <c r="N125" t="s">
        <v>911</v>
      </c>
      <c r="O125" s="26">
        <v>3</v>
      </c>
      <c r="R125" t="s">
        <v>1148</v>
      </c>
      <c r="S125" s="26">
        <v>1</v>
      </c>
      <c r="U125" t="s">
        <v>1578</v>
      </c>
      <c r="V125" t="s">
        <v>28</v>
      </c>
      <c r="W125" t="s">
        <v>15</v>
      </c>
      <c r="X125" s="26">
        <v>11</v>
      </c>
    </row>
    <row r="126" spans="1:24" hidden="1" x14ac:dyDescent="0.35">
      <c r="A126">
        <f t="shared" si="3"/>
        <v>125</v>
      </c>
      <c r="B126">
        <v>2003</v>
      </c>
      <c r="C126" t="s">
        <v>109</v>
      </c>
      <c r="D126" t="s">
        <v>45</v>
      </c>
      <c r="E126" t="s">
        <v>1429</v>
      </c>
      <c r="G126" s="2">
        <v>19</v>
      </c>
      <c r="H126" t="s">
        <v>420</v>
      </c>
      <c r="I126" t="s">
        <v>1361</v>
      </c>
      <c r="J126" s="11">
        <v>675.48890848649614</v>
      </c>
      <c r="K126" t="str">
        <f t="shared" si="2"/>
        <v>Robert A. Jacobs</v>
      </c>
      <c r="M126" t="s">
        <v>947</v>
      </c>
      <c r="N126" t="s">
        <v>16</v>
      </c>
      <c r="O126" s="26">
        <v>1</v>
      </c>
      <c r="R126" t="s">
        <v>713</v>
      </c>
      <c r="S126" s="26">
        <v>8</v>
      </c>
      <c r="U126" t="s">
        <v>467</v>
      </c>
      <c r="V126" t="s">
        <v>28</v>
      </c>
      <c r="W126" t="s">
        <v>266</v>
      </c>
      <c r="X126" s="26">
        <v>24</v>
      </c>
    </row>
    <row r="127" spans="1:24" hidden="1" x14ac:dyDescent="0.35">
      <c r="A127">
        <f t="shared" si="3"/>
        <v>126</v>
      </c>
      <c r="B127">
        <v>2003</v>
      </c>
      <c r="C127" t="s">
        <v>109</v>
      </c>
      <c r="D127" t="s">
        <v>45</v>
      </c>
      <c r="E127" t="s">
        <v>1429</v>
      </c>
      <c r="G127" s="2">
        <v>20</v>
      </c>
      <c r="H127" t="s">
        <v>74</v>
      </c>
      <c r="I127" t="s">
        <v>75</v>
      </c>
      <c r="J127" s="11">
        <v>653.21251377534372</v>
      </c>
      <c r="K127" t="str">
        <f t="shared" si="2"/>
        <v>Sabyl Landrum</v>
      </c>
      <c r="N127" t="s">
        <v>948</v>
      </c>
      <c r="O127" s="26">
        <v>4</v>
      </c>
      <c r="R127" t="s">
        <v>15</v>
      </c>
      <c r="S127" s="26">
        <v>11</v>
      </c>
      <c r="U127" t="s">
        <v>1546</v>
      </c>
      <c r="V127" t="s">
        <v>28</v>
      </c>
      <c r="W127" t="s">
        <v>1052</v>
      </c>
      <c r="X127" s="26">
        <v>2</v>
      </c>
    </row>
    <row r="128" spans="1:24" hidden="1" x14ac:dyDescent="0.35">
      <c r="A128">
        <f t="shared" si="3"/>
        <v>127</v>
      </c>
      <c r="B128">
        <v>2003</v>
      </c>
      <c r="C128" t="s">
        <v>109</v>
      </c>
      <c r="D128" t="s">
        <v>45</v>
      </c>
      <c r="E128" t="s">
        <v>1429</v>
      </c>
      <c r="G128" s="2">
        <v>21</v>
      </c>
      <c r="H128" t="s">
        <v>414</v>
      </c>
      <c r="I128" t="s">
        <v>413</v>
      </c>
      <c r="J128" s="11">
        <v>632.02321470540574</v>
      </c>
      <c r="K128" t="str">
        <f t="shared" si="2"/>
        <v>Bruce Kramer</v>
      </c>
      <c r="M128" t="s">
        <v>2401</v>
      </c>
      <c r="N128" t="s">
        <v>2017</v>
      </c>
      <c r="O128" s="26">
        <v>10</v>
      </c>
      <c r="R128" t="s">
        <v>266</v>
      </c>
      <c r="S128" s="26">
        <v>24</v>
      </c>
      <c r="U128" t="s">
        <v>2540</v>
      </c>
      <c r="V128" t="s">
        <v>28</v>
      </c>
      <c r="W128" t="s">
        <v>2539</v>
      </c>
      <c r="X128" s="26">
        <v>25</v>
      </c>
    </row>
    <row r="129" spans="1:24" hidden="1" x14ac:dyDescent="0.35">
      <c r="A129">
        <f t="shared" si="3"/>
        <v>128</v>
      </c>
      <c r="B129">
        <v>2003</v>
      </c>
      <c r="C129" t="s">
        <v>109</v>
      </c>
      <c r="D129" t="s">
        <v>45</v>
      </c>
      <c r="E129" t="s">
        <v>1429</v>
      </c>
      <c r="G129" s="2">
        <v>22</v>
      </c>
      <c r="H129" t="s">
        <v>238</v>
      </c>
      <c r="I129" t="s">
        <v>16</v>
      </c>
      <c r="J129" s="11">
        <v>611.81982861711879</v>
      </c>
      <c r="K129" t="str">
        <f t="shared" si="2"/>
        <v>David Kuznick</v>
      </c>
      <c r="M129" t="s">
        <v>2278</v>
      </c>
      <c r="N129" t="s">
        <v>324</v>
      </c>
      <c r="O129" s="26">
        <v>5</v>
      </c>
      <c r="R129" t="s">
        <v>1052</v>
      </c>
      <c r="S129" s="26">
        <v>2</v>
      </c>
      <c r="U129" t="s">
        <v>2299</v>
      </c>
      <c r="V129" t="s">
        <v>28</v>
      </c>
      <c r="W129" t="s">
        <v>2298</v>
      </c>
      <c r="X129" s="26">
        <v>2</v>
      </c>
    </row>
    <row r="130" spans="1:24" hidden="1" x14ac:dyDescent="0.35">
      <c r="A130">
        <f t="shared" si="3"/>
        <v>129</v>
      </c>
      <c r="B130">
        <v>2003</v>
      </c>
      <c r="C130" t="s">
        <v>109</v>
      </c>
      <c r="D130" t="s">
        <v>45</v>
      </c>
      <c r="E130" t="s">
        <v>1429</v>
      </c>
      <c r="G130" s="2">
        <v>23</v>
      </c>
      <c r="H130" t="s">
        <v>363</v>
      </c>
      <c r="I130" t="s">
        <v>364</v>
      </c>
      <c r="J130" s="11">
        <v>592.51467342173214</v>
      </c>
      <c r="K130" t="str">
        <f t="shared" ref="K130:K193" si="4">I130&amp;" "&amp;H130</f>
        <v>Warren Sander</v>
      </c>
      <c r="M130" t="s">
        <v>388</v>
      </c>
      <c r="N130" t="s">
        <v>200</v>
      </c>
      <c r="O130" s="26">
        <v>7</v>
      </c>
      <c r="R130" t="s">
        <v>2539</v>
      </c>
      <c r="S130" s="26">
        <v>25</v>
      </c>
      <c r="U130" t="s">
        <v>1039</v>
      </c>
      <c r="V130" t="s">
        <v>28</v>
      </c>
      <c r="W130" t="s">
        <v>1038</v>
      </c>
      <c r="X130" s="26">
        <v>5</v>
      </c>
    </row>
    <row r="131" spans="1:24" hidden="1" x14ac:dyDescent="0.35">
      <c r="A131">
        <f t="shared" si="3"/>
        <v>130</v>
      </c>
      <c r="B131">
        <v>2003</v>
      </c>
      <c r="C131" t="s">
        <v>109</v>
      </c>
      <c r="D131" t="s">
        <v>45</v>
      </c>
      <c r="E131" t="s">
        <v>1429</v>
      </c>
      <c r="G131" s="2">
        <v>24</v>
      </c>
      <c r="H131" t="s">
        <v>414</v>
      </c>
      <c r="I131" t="s">
        <v>1022</v>
      </c>
      <c r="J131" s="11">
        <v>574.03126772771907</v>
      </c>
      <c r="K131" t="str">
        <f t="shared" si="4"/>
        <v>Mitch Kramer</v>
      </c>
      <c r="M131" t="s">
        <v>1138</v>
      </c>
      <c r="N131" t="s">
        <v>71</v>
      </c>
      <c r="O131" s="26">
        <v>1</v>
      </c>
      <c r="R131" t="s">
        <v>2298</v>
      </c>
      <c r="S131" s="26">
        <v>2</v>
      </c>
      <c r="U131" t="s">
        <v>1612</v>
      </c>
      <c r="V131" t="s">
        <v>28</v>
      </c>
      <c r="W131" t="s">
        <v>27</v>
      </c>
      <c r="X131" s="26">
        <v>11</v>
      </c>
    </row>
    <row r="132" spans="1:24" hidden="1" x14ac:dyDescent="0.35">
      <c r="A132">
        <f t="shared" ref="A132:A195" si="5">A131+1</f>
        <v>131</v>
      </c>
      <c r="B132">
        <v>2003</v>
      </c>
      <c r="C132" t="s">
        <v>109</v>
      </c>
      <c r="D132" t="s">
        <v>45</v>
      </c>
      <c r="E132" t="s">
        <v>1429</v>
      </c>
      <c r="G132" s="2">
        <v>25</v>
      </c>
      <c r="H132" t="s">
        <v>1384</v>
      </c>
      <c r="I132" t="s">
        <v>1385</v>
      </c>
      <c r="J132" s="11">
        <v>556.30250076728726</v>
      </c>
      <c r="K132" t="str">
        <f t="shared" si="4"/>
        <v>Norm Gilman</v>
      </c>
      <c r="M132" t="s">
        <v>220</v>
      </c>
      <c r="N132" t="s">
        <v>421</v>
      </c>
      <c r="O132" s="26">
        <v>13</v>
      </c>
      <c r="R132" t="s">
        <v>1038</v>
      </c>
      <c r="S132" s="26">
        <v>5</v>
      </c>
      <c r="U132" t="s">
        <v>1640</v>
      </c>
      <c r="V132" t="s">
        <v>28</v>
      </c>
      <c r="W132" t="s">
        <v>1002</v>
      </c>
      <c r="X132" s="26">
        <v>1</v>
      </c>
    </row>
    <row r="133" spans="1:24" hidden="1" x14ac:dyDescent="0.35">
      <c r="A133">
        <f t="shared" si="5"/>
        <v>132</v>
      </c>
      <c r="B133">
        <v>2003</v>
      </c>
      <c r="C133" t="s">
        <v>109</v>
      </c>
      <c r="D133" t="s">
        <v>45</v>
      </c>
      <c r="E133" t="s">
        <v>1429</v>
      </c>
      <c r="G133" s="2">
        <v>26</v>
      </c>
      <c r="H133" t="s">
        <v>739</v>
      </c>
      <c r="I133" t="s">
        <v>740</v>
      </c>
      <c r="J133" s="11">
        <v>539.26916146850704</v>
      </c>
      <c r="K133" t="str">
        <f t="shared" si="4"/>
        <v>Joan Hadley</v>
      </c>
      <c r="N133" t="s">
        <v>221</v>
      </c>
      <c r="O133" s="26">
        <v>9</v>
      </c>
      <c r="R133" t="s">
        <v>27</v>
      </c>
      <c r="S133" s="26">
        <v>11</v>
      </c>
      <c r="U133" t="s">
        <v>596</v>
      </c>
      <c r="V133" t="s">
        <v>28</v>
      </c>
      <c r="W133" t="s">
        <v>595</v>
      </c>
      <c r="X133" s="26">
        <v>6</v>
      </c>
    </row>
    <row r="134" spans="1:24" hidden="1" x14ac:dyDescent="0.35">
      <c r="A134">
        <f t="shared" si="5"/>
        <v>133</v>
      </c>
      <c r="B134">
        <v>2003</v>
      </c>
      <c r="C134" t="s">
        <v>109</v>
      </c>
      <c r="D134" t="s">
        <v>45</v>
      </c>
      <c r="E134" t="s">
        <v>1429</v>
      </c>
      <c r="G134" s="2">
        <v>27</v>
      </c>
      <c r="H134" t="s">
        <v>1279</v>
      </c>
      <c r="I134" t="s">
        <v>429</v>
      </c>
      <c r="J134" s="11">
        <v>522.87874528033763</v>
      </c>
      <c r="K134" t="str">
        <f t="shared" si="4"/>
        <v>Mary Marciano</v>
      </c>
      <c r="M134" t="s">
        <v>1288</v>
      </c>
      <c r="N134" t="s">
        <v>1289</v>
      </c>
      <c r="O134" s="26">
        <v>1</v>
      </c>
      <c r="R134" t="s">
        <v>1002</v>
      </c>
      <c r="S134" s="26">
        <v>1</v>
      </c>
      <c r="U134" t="s">
        <v>1644</v>
      </c>
      <c r="V134" t="s">
        <v>28</v>
      </c>
      <c r="W134" t="s">
        <v>1020</v>
      </c>
      <c r="X134" s="26">
        <v>1</v>
      </c>
    </row>
    <row r="135" spans="1:24" hidden="1" x14ac:dyDescent="0.35">
      <c r="A135">
        <f t="shared" si="5"/>
        <v>134</v>
      </c>
      <c r="B135">
        <v>2003</v>
      </c>
      <c r="C135" t="s">
        <v>109</v>
      </c>
      <c r="D135" t="s">
        <v>45</v>
      </c>
      <c r="E135" t="s">
        <v>1429</v>
      </c>
      <c r="G135" s="2">
        <v>28</v>
      </c>
      <c r="H135" t="s">
        <v>1374</v>
      </c>
      <c r="I135" t="s">
        <v>71</v>
      </c>
      <c r="J135" s="11">
        <v>507.08447809710577</v>
      </c>
      <c r="K135" t="str">
        <f t="shared" si="4"/>
        <v>Scott Marks</v>
      </c>
      <c r="M135" t="s">
        <v>878</v>
      </c>
      <c r="N135" t="s">
        <v>136</v>
      </c>
      <c r="O135" s="26">
        <v>2</v>
      </c>
      <c r="R135" t="s">
        <v>595</v>
      </c>
      <c r="S135" s="26">
        <v>6</v>
      </c>
      <c r="U135" t="s">
        <v>1471</v>
      </c>
      <c r="V135" t="s">
        <v>1448</v>
      </c>
      <c r="W135" t="s">
        <v>461</v>
      </c>
      <c r="X135" s="26">
        <v>20</v>
      </c>
    </row>
    <row r="136" spans="1:24" hidden="1" x14ac:dyDescent="0.35">
      <c r="A136">
        <f t="shared" si="5"/>
        <v>135</v>
      </c>
      <c r="B136">
        <v>2003</v>
      </c>
      <c r="C136" t="s">
        <v>109</v>
      </c>
      <c r="D136" t="s">
        <v>45</v>
      </c>
      <c r="E136" t="s">
        <v>1429</v>
      </c>
      <c r="G136" s="2">
        <v>29</v>
      </c>
      <c r="H136" t="s">
        <v>1279</v>
      </c>
      <c r="I136" t="s">
        <v>61</v>
      </c>
      <c r="J136" s="11">
        <v>491.8445115403689</v>
      </c>
      <c r="K136" t="str">
        <f t="shared" si="4"/>
        <v>Len Marciano</v>
      </c>
      <c r="M136" t="s">
        <v>839</v>
      </c>
      <c r="N136" t="s">
        <v>271</v>
      </c>
      <c r="O136" s="26">
        <v>1</v>
      </c>
      <c r="R136" t="s">
        <v>1020</v>
      </c>
      <c r="S136" s="26">
        <v>1</v>
      </c>
      <c r="U136" t="s">
        <v>1647</v>
      </c>
      <c r="V136" t="s">
        <v>267</v>
      </c>
      <c r="W136" t="s">
        <v>771</v>
      </c>
      <c r="X136" s="26">
        <v>1</v>
      </c>
    </row>
    <row r="137" spans="1:24" hidden="1" x14ac:dyDescent="0.35">
      <c r="A137">
        <f t="shared" si="5"/>
        <v>136</v>
      </c>
      <c r="B137">
        <v>2003</v>
      </c>
      <c r="C137" t="s">
        <v>109</v>
      </c>
      <c r="D137" t="s">
        <v>45</v>
      </c>
      <c r="E137" t="s">
        <v>1429</v>
      </c>
      <c r="G137" s="2">
        <v>30</v>
      </c>
      <c r="H137" t="s">
        <v>220</v>
      </c>
      <c r="I137" t="s">
        <v>421</v>
      </c>
      <c r="J137" s="11">
        <v>477.1212547196626</v>
      </c>
      <c r="K137" t="str">
        <f t="shared" si="4"/>
        <v>Bill Chen</v>
      </c>
      <c r="M137" t="s">
        <v>1354</v>
      </c>
      <c r="N137" t="s">
        <v>1355</v>
      </c>
      <c r="O137" s="26">
        <v>2</v>
      </c>
      <c r="Q137" t="s">
        <v>1448</v>
      </c>
      <c r="R137" t="s">
        <v>461</v>
      </c>
      <c r="S137" s="26">
        <v>20</v>
      </c>
      <c r="U137" t="s">
        <v>1560</v>
      </c>
      <c r="V137" t="s">
        <v>267</v>
      </c>
      <c r="W137" t="s">
        <v>608</v>
      </c>
      <c r="X137" s="26">
        <v>7</v>
      </c>
    </row>
    <row r="138" spans="1:24" hidden="1" x14ac:dyDescent="0.35">
      <c r="A138">
        <f t="shared" si="5"/>
        <v>137</v>
      </c>
      <c r="B138">
        <v>2003</v>
      </c>
      <c r="C138" t="s">
        <v>109</v>
      </c>
      <c r="D138" t="s">
        <v>45</v>
      </c>
      <c r="E138" t="s">
        <v>1429</v>
      </c>
      <c r="G138" s="2">
        <v>31</v>
      </c>
      <c r="H138" t="s">
        <v>1387</v>
      </c>
      <c r="I138" t="s">
        <v>391</v>
      </c>
      <c r="J138" s="11">
        <v>462.88081560505236</v>
      </c>
      <c r="K138" t="str">
        <f t="shared" si="4"/>
        <v>Josh Schifter</v>
      </c>
      <c r="M138" t="s">
        <v>1727</v>
      </c>
      <c r="N138" t="s">
        <v>218</v>
      </c>
      <c r="O138" s="26">
        <v>1</v>
      </c>
      <c r="Q138" t="s">
        <v>267</v>
      </c>
      <c r="R138" t="s">
        <v>771</v>
      </c>
      <c r="S138" s="26">
        <v>1</v>
      </c>
      <c r="U138" t="s">
        <v>1242</v>
      </c>
      <c r="V138" t="s">
        <v>267</v>
      </c>
      <c r="W138" t="s">
        <v>821</v>
      </c>
      <c r="X138" s="26">
        <v>2</v>
      </c>
    </row>
    <row r="139" spans="1:24" hidden="1" x14ac:dyDescent="0.35">
      <c r="A139">
        <f t="shared" si="5"/>
        <v>138</v>
      </c>
      <c r="B139">
        <v>2003</v>
      </c>
      <c r="C139" t="s">
        <v>109</v>
      </c>
      <c r="D139" t="s">
        <v>45</v>
      </c>
      <c r="E139" t="s">
        <v>1429</v>
      </c>
      <c r="G139" s="2">
        <v>32</v>
      </c>
      <c r="H139" t="s">
        <v>1389</v>
      </c>
      <c r="I139" t="s">
        <v>1390</v>
      </c>
      <c r="J139" s="11">
        <v>449.09253111941894</v>
      </c>
      <c r="K139" t="str">
        <f t="shared" si="4"/>
        <v>Bert Hackney</v>
      </c>
      <c r="M139" t="s">
        <v>380</v>
      </c>
      <c r="N139" t="s">
        <v>381</v>
      </c>
      <c r="O139" s="26">
        <v>4</v>
      </c>
      <c r="R139" t="s">
        <v>608</v>
      </c>
      <c r="S139" s="26">
        <v>7</v>
      </c>
      <c r="U139" t="s">
        <v>1618</v>
      </c>
      <c r="V139" t="s">
        <v>521</v>
      </c>
      <c r="W139" t="s">
        <v>1102</v>
      </c>
      <c r="X139" s="26">
        <v>4</v>
      </c>
    </row>
    <row r="140" spans="1:24" hidden="1" x14ac:dyDescent="0.35">
      <c r="A140">
        <f t="shared" si="5"/>
        <v>139</v>
      </c>
      <c r="B140">
        <v>2003</v>
      </c>
      <c r="C140" t="s">
        <v>109</v>
      </c>
      <c r="D140" t="s">
        <v>45</v>
      </c>
      <c r="E140" t="s">
        <v>1429</v>
      </c>
      <c r="G140" s="2">
        <v>33</v>
      </c>
      <c r="H140" t="s">
        <v>251</v>
      </c>
      <c r="I140" t="s">
        <v>252</v>
      </c>
      <c r="J140" s="11">
        <v>435.72856956143744</v>
      </c>
      <c r="K140" t="str">
        <f t="shared" si="4"/>
        <v>Linda Lewis</v>
      </c>
      <c r="M140" t="s">
        <v>206</v>
      </c>
      <c r="N140" t="s">
        <v>207</v>
      </c>
      <c r="O140" s="26">
        <v>9</v>
      </c>
      <c r="R140" t="s">
        <v>821</v>
      </c>
      <c r="S140" s="26">
        <v>2</v>
      </c>
      <c r="U140" t="s">
        <v>685</v>
      </c>
      <c r="V140" t="s">
        <v>521</v>
      </c>
      <c r="W140" t="s">
        <v>684</v>
      </c>
      <c r="X140" s="26">
        <v>7</v>
      </c>
    </row>
    <row r="141" spans="1:24" hidden="1" x14ac:dyDescent="0.35">
      <c r="A141">
        <f t="shared" si="5"/>
        <v>140</v>
      </c>
      <c r="B141">
        <v>2003</v>
      </c>
      <c r="C141" t="s">
        <v>109</v>
      </c>
      <c r="D141" t="s">
        <v>45</v>
      </c>
      <c r="E141" t="s">
        <v>1429</v>
      </c>
      <c r="G141" s="2">
        <v>34</v>
      </c>
      <c r="H141" t="s">
        <v>1021</v>
      </c>
      <c r="I141" t="s">
        <v>1022</v>
      </c>
      <c r="J141" s="11">
        <v>422.76359239706983</v>
      </c>
      <c r="K141" t="str">
        <f t="shared" si="4"/>
        <v>Mitch Firestone</v>
      </c>
      <c r="M141" t="s">
        <v>53</v>
      </c>
      <c r="N141" t="s">
        <v>54</v>
      </c>
      <c r="O141" s="26">
        <v>10</v>
      </c>
      <c r="Q141" t="s">
        <v>521</v>
      </c>
      <c r="R141" t="s">
        <v>1102</v>
      </c>
      <c r="S141" s="26">
        <v>4</v>
      </c>
      <c r="U141" t="s">
        <v>522</v>
      </c>
      <c r="V141" t="s">
        <v>521</v>
      </c>
      <c r="W141" t="s">
        <v>387</v>
      </c>
      <c r="X141" s="26">
        <v>9</v>
      </c>
    </row>
    <row r="142" spans="1:24" hidden="1" x14ac:dyDescent="0.35">
      <c r="A142">
        <f t="shared" si="5"/>
        <v>141</v>
      </c>
      <c r="B142">
        <v>2003</v>
      </c>
      <c r="C142" t="s">
        <v>109</v>
      </c>
      <c r="D142" t="s">
        <v>45</v>
      </c>
      <c r="E142" t="s">
        <v>1429</v>
      </c>
      <c r="G142" s="2">
        <v>35</v>
      </c>
      <c r="H142" t="s">
        <v>1257</v>
      </c>
      <c r="I142" t="s">
        <v>13</v>
      </c>
      <c r="J142" s="11">
        <v>410.17446508904931</v>
      </c>
      <c r="K142" t="str">
        <f t="shared" si="4"/>
        <v>Tom Snow</v>
      </c>
      <c r="M142" t="s">
        <v>824</v>
      </c>
      <c r="N142" t="s">
        <v>65</v>
      </c>
      <c r="O142" s="26">
        <v>2</v>
      </c>
      <c r="R142" t="s">
        <v>684</v>
      </c>
      <c r="S142" s="26">
        <v>7</v>
      </c>
      <c r="U142" t="s">
        <v>619</v>
      </c>
      <c r="V142" t="s">
        <v>521</v>
      </c>
      <c r="W142" t="s">
        <v>618</v>
      </c>
      <c r="X142" s="26">
        <v>9</v>
      </c>
    </row>
    <row r="143" spans="1:24" hidden="1" x14ac:dyDescent="0.35">
      <c r="A143">
        <f t="shared" si="5"/>
        <v>142</v>
      </c>
      <c r="B143">
        <v>2003</v>
      </c>
      <c r="C143" t="s">
        <v>109</v>
      </c>
      <c r="D143" t="s">
        <v>45</v>
      </c>
      <c r="E143" t="s">
        <v>1429</v>
      </c>
      <c r="G143" s="2">
        <v>36</v>
      </c>
      <c r="H143" t="s">
        <v>731</v>
      </c>
      <c r="I143" t="s">
        <v>732</v>
      </c>
      <c r="J143" s="11">
        <v>397.94000867203772</v>
      </c>
      <c r="K143" t="str">
        <f t="shared" si="4"/>
        <v>Lauri Calkins</v>
      </c>
      <c r="M143" t="s">
        <v>436</v>
      </c>
      <c r="N143" t="s">
        <v>16</v>
      </c>
      <c r="O143" s="26">
        <v>8</v>
      </c>
      <c r="R143" t="s">
        <v>387</v>
      </c>
      <c r="S143" s="26">
        <v>9</v>
      </c>
      <c r="U143" t="s">
        <v>1700</v>
      </c>
      <c r="V143" t="s">
        <v>1343</v>
      </c>
      <c r="W143" t="s">
        <v>1342</v>
      </c>
      <c r="X143" s="26">
        <v>1</v>
      </c>
    </row>
    <row r="144" spans="1:24" hidden="1" x14ac:dyDescent="0.35">
      <c r="A144">
        <f t="shared" si="5"/>
        <v>143</v>
      </c>
      <c r="B144">
        <v>2003</v>
      </c>
      <c r="C144" t="s">
        <v>109</v>
      </c>
      <c r="D144" t="s">
        <v>45</v>
      </c>
      <c r="E144" t="s">
        <v>1429</v>
      </c>
      <c r="G144" s="2">
        <v>37</v>
      </c>
      <c r="H144" t="s">
        <v>762</v>
      </c>
      <c r="I144" t="s">
        <v>153</v>
      </c>
      <c r="J144" s="11">
        <v>386.04078537232999</v>
      </c>
      <c r="K144" t="str">
        <f t="shared" si="4"/>
        <v>Stephen Carbonara</v>
      </c>
      <c r="N144" t="s">
        <v>2569</v>
      </c>
      <c r="O144" s="26">
        <v>1</v>
      </c>
      <c r="R144" t="s">
        <v>618</v>
      </c>
      <c r="S144" s="26">
        <v>9</v>
      </c>
      <c r="U144" t="s">
        <v>176</v>
      </c>
      <c r="V144" t="s">
        <v>175</v>
      </c>
      <c r="W144" t="s">
        <v>174</v>
      </c>
      <c r="X144" s="26">
        <v>5</v>
      </c>
    </row>
    <row r="145" spans="1:24" hidden="1" x14ac:dyDescent="0.35">
      <c r="A145">
        <f t="shared" si="5"/>
        <v>144</v>
      </c>
      <c r="B145">
        <v>2003</v>
      </c>
      <c r="C145" t="s">
        <v>109</v>
      </c>
      <c r="D145" t="s">
        <v>45</v>
      </c>
      <c r="E145" t="s">
        <v>1429</v>
      </c>
      <c r="G145" s="2">
        <v>38</v>
      </c>
      <c r="H145" t="s">
        <v>1392</v>
      </c>
      <c r="I145" t="s">
        <v>1393</v>
      </c>
      <c r="J145" s="11">
        <v>374.45891282251489</v>
      </c>
      <c r="K145" t="str">
        <f t="shared" si="4"/>
        <v>Ira Pilser</v>
      </c>
      <c r="M145" t="s">
        <v>580</v>
      </c>
      <c r="N145" t="s">
        <v>662</v>
      </c>
      <c r="O145" s="26">
        <v>1</v>
      </c>
      <c r="Q145" t="s">
        <v>1343</v>
      </c>
      <c r="R145" t="s">
        <v>1342</v>
      </c>
      <c r="S145" s="26">
        <v>1</v>
      </c>
      <c r="U145" t="s">
        <v>869</v>
      </c>
      <c r="V145" t="s">
        <v>63</v>
      </c>
      <c r="W145" t="s">
        <v>868</v>
      </c>
      <c r="X145" s="26">
        <v>6</v>
      </c>
    </row>
    <row r="146" spans="1:24" hidden="1" x14ac:dyDescent="0.35">
      <c r="A146">
        <f t="shared" si="5"/>
        <v>145</v>
      </c>
      <c r="B146">
        <v>2003</v>
      </c>
      <c r="C146" t="s">
        <v>109</v>
      </c>
      <c r="D146" t="s">
        <v>45</v>
      </c>
      <c r="E146" t="s">
        <v>1429</v>
      </c>
      <c r="G146" s="2">
        <v>39</v>
      </c>
      <c r="H146" t="s">
        <v>2539</v>
      </c>
      <c r="I146" t="s">
        <v>28</v>
      </c>
      <c r="J146" s="11">
        <v>363.17790241282586</v>
      </c>
      <c r="K146" t="str">
        <f t="shared" si="4"/>
        <v>Chris O’Connor</v>
      </c>
      <c r="N146" t="s">
        <v>153</v>
      </c>
      <c r="O146" s="26">
        <v>4</v>
      </c>
      <c r="Q146" t="s">
        <v>175</v>
      </c>
      <c r="R146" t="s">
        <v>174</v>
      </c>
      <c r="S146" s="26">
        <v>5</v>
      </c>
      <c r="U146" t="s">
        <v>1539</v>
      </c>
      <c r="V146" t="s">
        <v>538</v>
      </c>
      <c r="W146" t="s">
        <v>537</v>
      </c>
      <c r="X146" s="26">
        <v>9</v>
      </c>
    </row>
    <row r="147" spans="1:24" hidden="1" x14ac:dyDescent="0.35">
      <c r="A147">
        <f t="shared" si="5"/>
        <v>146</v>
      </c>
      <c r="B147">
        <v>2003</v>
      </c>
      <c r="C147" t="s">
        <v>109</v>
      </c>
      <c r="D147" t="s">
        <v>45</v>
      </c>
      <c r="E147" t="s">
        <v>1429</v>
      </c>
      <c r="G147" s="2">
        <v>40</v>
      </c>
      <c r="H147" t="s">
        <v>268</v>
      </c>
      <c r="I147" t="s">
        <v>269</v>
      </c>
      <c r="J147" s="11">
        <v>352.1825181113627</v>
      </c>
      <c r="K147" t="str">
        <f t="shared" si="4"/>
        <v>Keith Fichtemaier</v>
      </c>
      <c r="M147" t="s">
        <v>1048</v>
      </c>
      <c r="N147" t="s">
        <v>1049</v>
      </c>
      <c r="O147" s="26">
        <v>1</v>
      </c>
      <c r="Q147" t="s">
        <v>63</v>
      </c>
      <c r="R147" t="s">
        <v>868</v>
      </c>
      <c r="S147" s="26">
        <v>6</v>
      </c>
      <c r="U147" t="s">
        <v>369</v>
      </c>
      <c r="V147" t="s">
        <v>368</v>
      </c>
      <c r="W147" t="s">
        <v>169</v>
      </c>
      <c r="X147" s="26">
        <v>2</v>
      </c>
    </row>
    <row r="148" spans="1:24" hidden="1" x14ac:dyDescent="0.35">
      <c r="A148">
        <f t="shared" si="5"/>
        <v>147</v>
      </c>
      <c r="B148">
        <v>2003</v>
      </c>
      <c r="C148" t="s">
        <v>109</v>
      </c>
      <c r="D148" t="s">
        <v>45</v>
      </c>
      <c r="E148" t="s">
        <v>1429</v>
      </c>
      <c r="G148" s="2">
        <v>41</v>
      </c>
      <c r="H148" t="s">
        <v>1146</v>
      </c>
      <c r="I148" t="s">
        <v>79</v>
      </c>
      <c r="J148" s="11">
        <v>341.45865271958951</v>
      </c>
      <c r="K148" t="str">
        <f t="shared" si="4"/>
        <v>Kevin Suffecool</v>
      </c>
      <c r="M148" t="s">
        <v>164</v>
      </c>
      <c r="N148" t="s">
        <v>165</v>
      </c>
      <c r="O148" s="26">
        <v>2</v>
      </c>
      <c r="Q148" t="s">
        <v>538</v>
      </c>
      <c r="R148" t="s">
        <v>537</v>
      </c>
      <c r="S148" s="26">
        <v>9</v>
      </c>
      <c r="U148" t="s">
        <v>669</v>
      </c>
      <c r="V148" t="s">
        <v>668</v>
      </c>
      <c r="W148" t="s">
        <v>667</v>
      </c>
      <c r="X148" s="26">
        <v>1</v>
      </c>
    </row>
    <row r="149" spans="1:24" hidden="1" x14ac:dyDescent="0.35">
      <c r="A149">
        <f t="shared" si="5"/>
        <v>148</v>
      </c>
      <c r="B149">
        <v>2003</v>
      </c>
      <c r="C149" t="s">
        <v>109</v>
      </c>
      <c r="D149" t="s">
        <v>45</v>
      </c>
      <c r="E149" t="s">
        <v>1429</v>
      </c>
      <c r="G149" s="2">
        <v>42</v>
      </c>
      <c r="H149" t="s">
        <v>1308</v>
      </c>
      <c r="I149" t="s">
        <v>1309</v>
      </c>
      <c r="J149" s="11">
        <v>330.99321904142442</v>
      </c>
      <c r="K149" t="str">
        <f t="shared" si="4"/>
        <v>Edward Pizzarello</v>
      </c>
      <c r="M149" t="s">
        <v>281</v>
      </c>
      <c r="N149" t="s">
        <v>282</v>
      </c>
      <c r="O149" s="26">
        <v>14</v>
      </c>
      <c r="Q149" t="s">
        <v>368</v>
      </c>
      <c r="R149" t="s">
        <v>169</v>
      </c>
      <c r="S149" s="26">
        <v>2</v>
      </c>
      <c r="U149" t="s">
        <v>1704</v>
      </c>
      <c r="V149" t="s">
        <v>451</v>
      </c>
      <c r="W149" t="s">
        <v>158</v>
      </c>
      <c r="X149" s="26">
        <v>1</v>
      </c>
    </row>
    <row r="150" spans="1:24" hidden="1" x14ac:dyDescent="0.35">
      <c r="A150">
        <f t="shared" si="5"/>
        <v>149</v>
      </c>
      <c r="B150">
        <v>2003</v>
      </c>
      <c r="C150" t="s">
        <v>109</v>
      </c>
      <c r="D150" t="s">
        <v>45</v>
      </c>
      <c r="E150" t="s">
        <v>1429</v>
      </c>
      <c r="G150" s="2">
        <v>43</v>
      </c>
      <c r="H150" t="s">
        <v>273</v>
      </c>
      <c r="I150" t="s">
        <v>79</v>
      </c>
      <c r="J150" s="11">
        <v>320.77405385973856</v>
      </c>
      <c r="K150" t="str">
        <f t="shared" si="4"/>
        <v>Kevin Maurer</v>
      </c>
      <c r="M150" t="s">
        <v>1042</v>
      </c>
      <c r="N150" t="s">
        <v>38</v>
      </c>
      <c r="O150" s="26">
        <v>1</v>
      </c>
      <c r="Q150" t="s">
        <v>668</v>
      </c>
      <c r="R150" t="s">
        <v>667</v>
      </c>
      <c r="S150" s="26">
        <v>1</v>
      </c>
      <c r="U150" t="s">
        <v>647</v>
      </c>
      <c r="V150" t="s">
        <v>451</v>
      </c>
      <c r="W150" t="s">
        <v>646</v>
      </c>
      <c r="X150" s="26">
        <v>1</v>
      </c>
    </row>
    <row r="151" spans="1:24" hidden="1" x14ac:dyDescent="0.35">
      <c r="A151">
        <f t="shared" si="5"/>
        <v>150</v>
      </c>
      <c r="B151">
        <v>2003</v>
      </c>
      <c r="C151" t="s">
        <v>109</v>
      </c>
      <c r="D151" t="s">
        <v>45</v>
      </c>
      <c r="E151" t="s">
        <v>1429</v>
      </c>
      <c r="G151" s="2">
        <v>44</v>
      </c>
      <c r="H151" t="s">
        <v>459</v>
      </c>
      <c r="I151" t="s">
        <v>136</v>
      </c>
      <c r="J151" s="11">
        <v>310.78983295313753</v>
      </c>
      <c r="K151" t="str">
        <f t="shared" si="4"/>
        <v>John Bonaguro</v>
      </c>
      <c r="M151" t="s">
        <v>972</v>
      </c>
      <c r="N151" t="s">
        <v>81</v>
      </c>
      <c r="O151" s="26">
        <v>5</v>
      </c>
      <c r="Q151" t="s">
        <v>451</v>
      </c>
      <c r="R151" t="s">
        <v>158</v>
      </c>
      <c r="S151" s="26">
        <v>1</v>
      </c>
      <c r="U151" t="s">
        <v>539</v>
      </c>
      <c r="V151" t="s">
        <v>451</v>
      </c>
      <c r="W151" t="s">
        <v>332</v>
      </c>
      <c r="X151" s="26">
        <v>4</v>
      </c>
    </row>
    <row r="152" spans="1:24" hidden="1" x14ac:dyDescent="0.35">
      <c r="A152">
        <f t="shared" si="5"/>
        <v>151</v>
      </c>
      <c r="B152">
        <v>2003</v>
      </c>
      <c r="C152" t="s">
        <v>109</v>
      </c>
      <c r="D152" t="s">
        <v>45</v>
      </c>
      <c r="E152" t="s">
        <v>1429</v>
      </c>
      <c r="G152" s="2">
        <v>45</v>
      </c>
      <c r="H152" t="s">
        <v>248</v>
      </c>
      <c r="I152" t="s">
        <v>249</v>
      </c>
      <c r="J152" s="11">
        <v>301.02999566398125</v>
      </c>
      <c r="K152" t="str">
        <f t="shared" si="4"/>
        <v>Ross Poppel</v>
      </c>
      <c r="M152" t="s">
        <v>558</v>
      </c>
      <c r="N152" t="s">
        <v>79</v>
      </c>
      <c r="O152" s="26">
        <v>8</v>
      </c>
      <c r="R152" t="s">
        <v>646</v>
      </c>
      <c r="S152" s="26">
        <v>1</v>
      </c>
      <c r="U152" t="s">
        <v>292</v>
      </c>
      <c r="V152" t="s">
        <v>73</v>
      </c>
      <c r="W152" t="s">
        <v>72</v>
      </c>
      <c r="X152" s="26">
        <v>24</v>
      </c>
    </row>
    <row r="153" spans="1:24" hidden="1" x14ac:dyDescent="0.35">
      <c r="A153">
        <f t="shared" si="5"/>
        <v>152</v>
      </c>
      <c r="B153">
        <v>2003</v>
      </c>
      <c r="C153" t="s">
        <v>109</v>
      </c>
      <c r="D153" t="s">
        <v>45</v>
      </c>
      <c r="E153" t="s">
        <v>1429</v>
      </c>
      <c r="G153" s="2">
        <v>46</v>
      </c>
      <c r="H153" t="s">
        <v>672</v>
      </c>
      <c r="I153" t="s">
        <v>673</v>
      </c>
      <c r="J153" s="11">
        <v>291.48467775775089</v>
      </c>
      <c r="K153" t="str">
        <f t="shared" si="4"/>
        <v>Jazbo Burns</v>
      </c>
      <c r="M153" t="s">
        <v>876</v>
      </c>
      <c r="N153" t="s">
        <v>480</v>
      </c>
      <c r="O153" s="26">
        <v>1</v>
      </c>
      <c r="R153" t="s">
        <v>332</v>
      </c>
      <c r="S153" s="26">
        <v>4</v>
      </c>
      <c r="U153" t="s">
        <v>728</v>
      </c>
      <c r="V153" t="s">
        <v>73</v>
      </c>
      <c r="W153" t="s">
        <v>727</v>
      </c>
      <c r="X153" s="26">
        <v>1</v>
      </c>
    </row>
    <row r="154" spans="1:24" hidden="1" x14ac:dyDescent="0.35">
      <c r="A154">
        <f t="shared" si="5"/>
        <v>153</v>
      </c>
      <c r="B154">
        <v>2003</v>
      </c>
      <c r="C154" t="s">
        <v>109</v>
      </c>
      <c r="D154" t="s">
        <v>45</v>
      </c>
      <c r="E154" t="s">
        <v>1429</v>
      </c>
      <c r="G154" s="2">
        <v>47</v>
      </c>
      <c r="H154" t="s">
        <v>1038</v>
      </c>
      <c r="I154" t="s">
        <v>28</v>
      </c>
      <c r="J154" s="11">
        <v>282.14465150360746</v>
      </c>
      <c r="K154" t="str">
        <f t="shared" si="4"/>
        <v>Chris Raimondi</v>
      </c>
      <c r="M154" t="s">
        <v>1446</v>
      </c>
      <c r="N154" t="s">
        <v>1447</v>
      </c>
      <c r="O154" s="26">
        <v>1</v>
      </c>
      <c r="Q154" t="s">
        <v>73</v>
      </c>
      <c r="R154" t="s">
        <v>72</v>
      </c>
      <c r="S154" s="26">
        <v>24</v>
      </c>
      <c r="U154" t="s">
        <v>2485</v>
      </c>
      <c r="V154" t="s">
        <v>2484</v>
      </c>
      <c r="W154" t="s">
        <v>2483</v>
      </c>
      <c r="X154" s="26">
        <v>1</v>
      </c>
    </row>
    <row r="155" spans="1:24" hidden="1" x14ac:dyDescent="0.35">
      <c r="A155">
        <f t="shared" si="5"/>
        <v>154</v>
      </c>
      <c r="B155">
        <v>2003</v>
      </c>
      <c r="C155" t="s">
        <v>109</v>
      </c>
      <c r="D155" t="s">
        <v>45</v>
      </c>
      <c r="E155" t="s">
        <v>1429</v>
      </c>
      <c r="G155" s="2">
        <v>48</v>
      </c>
      <c r="H155" t="s">
        <v>1223</v>
      </c>
      <c r="I155" t="s">
        <v>65</v>
      </c>
      <c r="J155" s="11">
        <v>273.00127206373782</v>
      </c>
      <c r="K155" t="str">
        <f t="shared" si="4"/>
        <v>Steve Zang</v>
      </c>
      <c r="M155" t="s">
        <v>795</v>
      </c>
      <c r="N155" t="s">
        <v>159</v>
      </c>
      <c r="O155" s="26">
        <v>1</v>
      </c>
      <c r="R155" t="s">
        <v>727</v>
      </c>
      <c r="S155" s="26">
        <v>1</v>
      </c>
      <c r="U155" t="s">
        <v>1155</v>
      </c>
      <c r="V155" t="s">
        <v>952</v>
      </c>
      <c r="W155" t="s">
        <v>1154</v>
      </c>
      <c r="X155" s="26">
        <v>2</v>
      </c>
    </row>
    <row r="156" spans="1:24" hidden="1" x14ac:dyDescent="0.35">
      <c r="A156">
        <f t="shared" si="5"/>
        <v>155</v>
      </c>
      <c r="B156">
        <v>2003</v>
      </c>
      <c r="C156" t="s">
        <v>109</v>
      </c>
      <c r="D156" t="s">
        <v>45</v>
      </c>
      <c r="E156" t="s">
        <v>1429</v>
      </c>
      <c r="G156" s="2">
        <v>49</v>
      </c>
      <c r="H156" t="s">
        <v>234</v>
      </c>
      <c r="I156" t="s">
        <v>235</v>
      </c>
      <c r="J156" s="11">
        <v>264.04642941081136</v>
      </c>
      <c r="K156" t="str">
        <f t="shared" si="4"/>
        <v>Cary Flynn</v>
      </c>
      <c r="M156" t="s">
        <v>1512</v>
      </c>
      <c r="N156" t="s">
        <v>44</v>
      </c>
      <c r="O156" s="26">
        <v>1</v>
      </c>
      <c r="Q156" t="s">
        <v>2484</v>
      </c>
      <c r="R156" t="s">
        <v>2483</v>
      </c>
      <c r="S156" s="26">
        <v>1</v>
      </c>
      <c r="U156" t="s">
        <v>1117</v>
      </c>
      <c r="V156" t="s">
        <v>1116</v>
      </c>
      <c r="W156" t="s">
        <v>1115</v>
      </c>
      <c r="X156" s="26">
        <v>1</v>
      </c>
    </row>
    <row r="157" spans="1:24" hidden="1" x14ac:dyDescent="0.35">
      <c r="A157">
        <f t="shared" si="5"/>
        <v>156</v>
      </c>
      <c r="B157">
        <v>2003</v>
      </c>
      <c r="C157" t="s">
        <v>109</v>
      </c>
      <c r="D157" t="s">
        <v>45</v>
      </c>
      <c r="E157" t="s">
        <v>1429</v>
      </c>
      <c r="G157" s="2">
        <v>50</v>
      </c>
      <c r="H157" t="s">
        <v>1363</v>
      </c>
      <c r="I157" t="s">
        <v>1364</v>
      </c>
      <c r="J157" s="11">
        <v>255.27250510330623</v>
      </c>
      <c r="K157" t="str">
        <f t="shared" si="4"/>
        <v>Art Santella</v>
      </c>
      <c r="M157" t="s">
        <v>1123</v>
      </c>
      <c r="N157" t="s">
        <v>1124</v>
      </c>
      <c r="O157" s="26">
        <v>1</v>
      </c>
      <c r="Q157" t="s">
        <v>952</v>
      </c>
      <c r="R157" t="s">
        <v>1154</v>
      </c>
      <c r="S157" s="26">
        <v>2</v>
      </c>
      <c r="U157" t="s">
        <v>242</v>
      </c>
      <c r="V157" t="s">
        <v>241</v>
      </c>
      <c r="W157" t="s">
        <v>240</v>
      </c>
      <c r="X157" s="26">
        <v>4</v>
      </c>
    </row>
    <row r="158" spans="1:24" hidden="1" x14ac:dyDescent="0.35">
      <c r="A158">
        <f t="shared" si="5"/>
        <v>157</v>
      </c>
      <c r="B158">
        <v>2003</v>
      </c>
      <c r="C158" t="s">
        <v>109</v>
      </c>
      <c r="D158" t="s">
        <v>45</v>
      </c>
      <c r="E158" t="s">
        <v>1429</v>
      </c>
      <c r="G158" s="2">
        <v>51</v>
      </c>
      <c r="H158" t="s">
        <v>1227</v>
      </c>
      <c r="I158" t="s">
        <v>153</v>
      </c>
      <c r="J158" s="11">
        <v>246.67233334138871</v>
      </c>
      <c r="K158" t="str">
        <f t="shared" si="4"/>
        <v>Stephen Benton</v>
      </c>
      <c r="M158" t="s">
        <v>1129</v>
      </c>
      <c r="N158" t="s">
        <v>492</v>
      </c>
      <c r="O158" s="26">
        <v>1</v>
      </c>
      <c r="Q158" t="s">
        <v>1116</v>
      </c>
      <c r="R158" t="s">
        <v>1115</v>
      </c>
      <c r="S158" s="26">
        <v>1</v>
      </c>
      <c r="U158" t="s">
        <v>840</v>
      </c>
      <c r="V158" t="s">
        <v>271</v>
      </c>
      <c r="W158" t="s">
        <v>839</v>
      </c>
      <c r="X158" s="26">
        <v>1</v>
      </c>
    </row>
    <row r="159" spans="1:24" hidden="1" x14ac:dyDescent="0.35">
      <c r="A159">
        <f t="shared" si="5"/>
        <v>158</v>
      </c>
      <c r="B159">
        <v>2003</v>
      </c>
      <c r="C159" t="s">
        <v>109</v>
      </c>
      <c r="D159" t="s">
        <v>45</v>
      </c>
      <c r="E159" t="s">
        <v>1429</v>
      </c>
      <c r="G159" s="2">
        <v>52</v>
      </c>
      <c r="H159" t="s">
        <v>1219</v>
      </c>
      <c r="I159" t="s">
        <v>1220</v>
      </c>
      <c r="J159" s="11">
        <v>238.23916580452575</v>
      </c>
      <c r="K159" t="str">
        <f t="shared" si="4"/>
        <v>Desmond Portano</v>
      </c>
      <c r="M159" t="s">
        <v>1978</v>
      </c>
      <c r="N159" t="s">
        <v>2489</v>
      </c>
      <c r="O159" s="26">
        <v>1</v>
      </c>
      <c r="Q159" t="s">
        <v>241</v>
      </c>
      <c r="R159" t="s">
        <v>240</v>
      </c>
      <c r="S159" s="26">
        <v>4</v>
      </c>
      <c r="U159" t="s">
        <v>272</v>
      </c>
      <c r="V159" t="s">
        <v>271</v>
      </c>
      <c r="W159" t="s">
        <v>86</v>
      </c>
      <c r="X159" s="26">
        <v>41</v>
      </c>
    </row>
    <row r="160" spans="1:24" hidden="1" x14ac:dyDescent="0.35">
      <c r="A160">
        <f t="shared" si="5"/>
        <v>159</v>
      </c>
      <c r="B160">
        <v>2003</v>
      </c>
      <c r="C160" t="s">
        <v>109</v>
      </c>
      <c r="D160" t="s">
        <v>45</v>
      </c>
      <c r="E160" t="s">
        <v>1429</v>
      </c>
      <c r="G160" s="2">
        <v>53</v>
      </c>
      <c r="H160" t="s">
        <v>1395</v>
      </c>
      <c r="I160" t="s">
        <v>782</v>
      </c>
      <c r="J160" s="11">
        <v>229.96663983853605</v>
      </c>
      <c r="K160" t="str">
        <f t="shared" si="4"/>
        <v>Dennis Bragg</v>
      </c>
      <c r="M160" t="s">
        <v>1413</v>
      </c>
      <c r="N160" t="s">
        <v>425</v>
      </c>
      <c r="O160" s="26">
        <v>1</v>
      </c>
      <c r="Q160" t="s">
        <v>271</v>
      </c>
      <c r="R160" t="s">
        <v>839</v>
      </c>
      <c r="S160" s="26">
        <v>1</v>
      </c>
      <c r="U160" t="s">
        <v>1534</v>
      </c>
      <c r="V160" t="s">
        <v>271</v>
      </c>
      <c r="W160" t="s">
        <v>1298</v>
      </c>
      <c r="X160" s="26">
        <v>4</v>
      </c>
    </row>
    <row r="161" spans="1:24" hidden="1" x14ac:dyDescent="0.35">
      <c r="A161">
        <f t="shared" si="5"/>
        <v>160</v>
      </c>
      <c r="B161">
        <v>2003</v>
      </c>
      <c r="C161" t="s">
        <v>109</v>
      </c>
      <c r="D161" t="s">
        <v>45</v>
      </c>
      <c r="E161" t="s">
        <v>1429</v>
      </c>
      <c r="G161" s="2">
        <v>54</v>
      </c>
      <c r="H161" t="s">
        <v>118</v>
      </c>
      <c r="I161" t="s">
        <v>415</v>
      </c>
      <c r="J161" s="11">
        <v>221.84874961635637</v>
      </c>
      <c r="K161" t="str">
        <f t="shared" si="4"/>
        <v>Pete Segal</v>
      </c>
      <c r="M161" t="s">
        <v>1032</v>
      </c>
      <c r="N161" t="s">
        <v>1033</v>
      </c>
      <c r="O161" s="26">
        <v>1</v>
      </c>
      <c r="R161" t="s">
        <v>86</v>
      </c>
      <c r="S161" s="26">
        <v>41</v>
      </c>
      <c r="U161" t="s">
        <v>1025</v>
      </c>
      <c r="V161" t="s">
        <v>271</v>
      </c>
      <c r="W161" t="s">
        <v>1024</v>
      </c>
      <c r="X161" s="26">
        <v>2</v>
      </c>
    </row>
    <row r="162" spans="1:24" hidden="1" x14ac:dyDescent="0.35">
      <c r="A162">
        <f t="shared" si="5"/>
        <v>161</v>
      </c>
      <c r="B162">
        <v>2003</v>
      </c>
      <c r="C162" t="s">
        <v>109</v>
      </c>
      <c r="D162" t="s">
        <v>45</v>
      </c>
      <c r="E162" t="s">
        <v>1429</v>
      </c>
      <c r="G162" s="2">
        <v>55</v>
      </c>
      <c r="H162" t="s">
        <v>1222</v>
      </c>
      <c r="I162" t="s">
        <v>136</v>
      </c>
      <c r="J162" s="11">
        <v>213.8798199450811</v>
      </c>
      <c r="K162" t="str">
        <f t="shared" si="4"/>
        <v>John Fontinelli</v>
      </c>
      <c r="M162" t="s">
        <v>336</v>
      </c>
      <c r="N162" t="s">
        <v>337</v>
      </c>
      <c r="O162" s="26">
        <v>1</v>
      </c>
      <c r="R162" t="s">
        <v>1298</v>
      </c>
      <c r="S162" s="26">
        <v>4</v>
      </c>
      <c r="U162" t="s">
        <v>532</v>
      </c>
      <c r="V162" t="s">
        <v>271</v>
      </c>
      <c r="W162" t="s">
        <v>531</v>
      </c>
      <c r="X162" s="26">
        <v>14</v>
      </c>
    </row>
    <row r="163" spans="1:24" hidden="1" x14ac:dyDescent="0.35">
      <c r="A163">
        <f t="shared" si="5"/>
        <v>162</v>
      </c>
      <c r="B163">
        <v>2003</v>
      </c>
      <c r="C163" t="s">
        <v>109</v>
      </c>
      <c r="D163" t="s">
        <v>45</v>
      </c>
      <c r="E163" t="s">
        <v>1429</v>
      </c>
      <c r="G163" s="2">
        <v>56</v>
      </c>
      <c r="H163" t="s">
        <v>1397</v>
      </c>
      <c r="I163" t="s">
        <v>44</v>
      </c>
      <c r="J163" s="11">
        <v>206.05448243312452</v>
      </c>
      <c r="K163" t="str">
        <f t="shared" si="4"/>
        <v>Mike Debnam</v>
      </c>
      <c r="M163" t="s">
        <v>1053</v>
      </c>
      <c r="N163" t="s">
        <v>128</v>
      </c>
      <c r="O163" s="26">
        <v>5</v>
      </c>
      <c r="R163" t="s">
        <v>1024</v>
      </c>
      <c r="S163" s="26">
        <v>2</v>
      </c>
      <c r="U163" t="s">
        <v>1629</v>
      </c>
      <c r="V163" t="s">
        <v>64</v>
      </c>
      <c r="W163" t="s">
        <v>991</v>
      </c>
      <c r="X163" s="26">
        <v>1</v>
      </c>
    </row>
    <row r="164" spans="1:24" hidden="1" x14ac:dyDescent="0.35">
      <c r="A164">
        <f t="shared" si="5"/>
        <v>163</v>
      </c>
      <c r="B164">
        <v>2003</v>
      </c>
      <c r="C164" t="s">
        <v>109</v>
      </c>
      <c r="D164" t="s">
        <v>45</v>
      </c>
      <c r="E164" t="s">
        <v>1429</v>
      </c>
      <c r="G164" s="2">
        <v>57</v>
      </c>
      <c r="H164" t="s">
        <v>70</v>
      </c>
      <c r="I164" t="s">
        <v>71</v>
      </c>
      <c r="J164" s="11">
        <v>198.36765376683351</v>
      </c>
      <c r="K164" t="str">
        <f t="shared" si="4"/>
        <v>Scott Byron</v>
      </c>
      <c r="M164" t="s">
        <v>1311</v>
      </c>
      <c r="N164" t="s">
        <v>16</v>
      </c>
      <c r="O164" s="26">
        <v>6</v>
      </c>
      <c r="R164" t="s">
        <v>531</v>
      </c>
      <c r="S164" s="26">
        <v>14</v>
      </c>
      <c r="U164" t="s">
        <v>1569</v>
      </c>
      <c r="V164" t="s">
        <v>64</v>
      </c>
      <c r="W164" t="s">
        <v>1059</v>
      </c>
      <c r="X164" s="26">
        <v>1</v>
      </c>
    </row>
    <row r="165" spans="1:24" hidden="1" x14ac:dyDescent="0.35">
      <c r="A165">
        <f t="shared" si="5"/>
        <v>164</v>
      </c>
      <c r="B165">
        <v>2003</v>
      </c>
      <c r="C165" t="s">
        <v>109</v>
      </c>
      <c r="D165" t="s">
        <v>45</v>
      </c>
      <c r="E165" t="s">
        <v>1429</v>
      </c>
      <c r="G165" s="2">
        <v>58</v>
      </c>
      <c r="H165" t="s">
        <v>1367</v>
      </c>
      <c r="I165" t="s">
        <v>1368</v>
      </c>
      <c r="J165" s="11">
        <v>190.81451587638765</v>
      </c>
      <c r="K165" t="str">
        <f t="shared" si="4"/>
        <v>Nels Lober</v>
      </c>
      <c r="M165" t="s">
        <v>939</v>
      </c>
      <c r="N165" t="s">
        <v>98</v>
      </c>
      <c r="O165" s="26">
        <v>1</v>
      </c>
      <c r="Q165" t="s">
        <v>64</v>
      </c>
      <c r="R165" t="s">
        <v>50</v>
      </c>
      <c r="S165" s="26">
        <v>1</v>
      </c>
      <c r="U165" t="s">
        <v>1697</v>
      </c>
      <c r="V165" t="s">
        <v>356</v>
      </c>
      <c r="W165" t="s">
        <v>355</v>
      </c>
      <c r="X165" s="26">
        <v>1</v>
      </c>
    </row>
    <row r="166" spans="1:24" hidden="1" x14ac:dyDescent="0.35">
      <c r="A166">
        <f t="shared" si="5"/>
        <v>165</v>
      </c>
      <c r="B166">
        <v>2003</v>
      </c>
      <c r="C166" t="s">
        <v>109</v>
      </c>
      <c r="D166" t="s">
        <v>45</v>
      </c>
      <c r="E166" t="s">
        <v>1429</v>
      </c>
      <c r="G166" s="2">
        <v>59</v>
      </c>
      <c r="H166" t="s">
        <v>950</v>
      </c>
      <c r="I166" t="s">
        <v>142</v>
      </c>
      <c r="J166" s="11">
        <v>183.39049779718076</v>
      </c>
      <c r="K166" t="str">
        <f t="shared" si="4"/>
        <v>Matt Treasure</v>
      </c>
      <c r="M166" t="s">
        <v>449</v>
      </c>
      <c r="N166" t="s">
        <v>450</v>
      </c>
      <c r="O166" s="26">
        <v>1</v>
      </c>
      <c r="R166" t="s">
        <v>991</v>
      </c>
      <c r="S166" s="26">
        <v>1</v>
      </c>
      <c r="U166" t="s">
        <v>1596</v>
      </c>
      <c r="V166" t="s">
        <v>515</v>
      </c>
      <c r="W166" t="s">
        <v>514</v>
      </c>
      <c r="X166" s="26">
        <v>5</v>
      </c>
    </row>
    <row r="167" spans="1:24" hidden="1" x14ac:dyDescent="0.35">
      <c r="A167">
        <f t="shared" si="5"/>
        <v>166</v>
      </c>
      <c r="B167">
        <v>2003</v>
      </c>
      <c r="C167" t="s">
        <v>109</v>
      </c>
      <c r="D167" t="s">
        <v>45</v>
      </c>
      <c r="E167" t="s">
        <v>1429</v>
      </c>
      <c r="G167" s="2">
        <v>60</v>
      </c>
      <c r="H167" t="s">
        <v>580</v>
      </c>
      <c r="I167" t="s">
        <v>662</v>
      </c>
      <c r="J167" s="11">
        <v>176.09125905568135</v>
      </c>
      <c r="K167" t="str">
        <f t="shared" si="4"/>
        <v>Jonathan Cohen</v>
      </c>
      <c r="M167" t="s">
        <v>472</v>
      </c>
      <c r="N167" t="s">
        <v>473</v>
      </c>
      <c r="O167" s="26">
        <v>4</v>
      </c>
      <c r="R167" t="s">
        <v>1059</v>
      </c>
      <c r="S167" s="26">
        <v>1</v>
      </c>
      <c r="U167" t="s">
        <v>1688</v>
      </c>
      <c r="V167" t="s">
        <v>1299</v>
      </c>
      <c r="W167" t="s">
        <v>906</v>
      </c>
      <c r="X167" s="26">
        <v>1</v>
      </c>
    </row>
    <row r="168" spans="1:24" hidden="1" x14ac:dyDescent="0.35">
      <c r="A168">
        <f t="shared" si="5"/>
        <v>167</v>
      </c>
      <c r="B168">
        <v>2003</v>
      </c>
      <c r="C168" t="s">
        <v>109</v>
      </c>
      <c r="D168" t="s">
        <v>45</v>
      </c>
      <c r="E168" t="s">
        <v>1429</v>
      </c>
      <c r="G168" s="2">
        <v>61</v>
      </c>
      <c r="H168" t="s">
        <v>1400</v>
      </c>
      <c r="I168" t="s">
        <v>232</v>
      </c>
      <c r="J168" s="11">
        <v>168.91267442855784</v>
      </c>
      <c r="K168" t="str">
        <f t="shared" si="4"/>
        <v>Adam Klatzkin</v>
      </c>
      <c r="M168" t="s">
        <v>35</v>
      </c>
      <c r="N168" t="s">
        <v>36</v>
      </c>
      <c r="O168" s="26">
        <v>27</v>
      </c>
      <c r="Q168" t="s">
        <v>356</v>
      </c>
      <c r="R168" t="s">
        <v>355</v>
      </c>
      <c r="S168" s="26">
        <v>1</v>
      </c>
      <c r="U168" t="s">
        <v>1416</v>
      </c>
      <c r="V168" t="s">
        <v>196</v>
      </c>
      <c r="W168" t="s">
        <v>1415</v>
      </c>
      <c r="X168" s="26">
        <v>1</v>
      </c>
    </row>
    <row r="169" spans="1:24" hidden="1" x14ac:dyDescent="0.35">
      <c r="A169">
        <f t="shared" si="5"/>
        <v>168</v>
      </c>
      <c r="B169">
        <v>2003</v>
      </c>
      <c r="C169" t="s">
        <v>109</v>
      </c>
      <c r="D169" t="s">
        <v>45</v>
      </c>
      <c r="E169" t="s">
        <v>1429</v>
      </c>
      <c r="G169" s="2">
        <v>62</v>
      </c>
      <c r="H169" t="s">
        <v>1144</v>
      </c>
      <c r="I169" t="s">
        <v>44</v>
      </c>
      <c r="J169" s="11">
        <v>161.85081994107108</v>
      </c>
      <c r="K169" t="str">
        <f t="shared" si="4"/>
        <v>Mike Schmidt</v>
      </c>
      <c r="M169" t="s">
        <v>1438</v>
      </c>
      <c r="N169" t="s">
        <v>982</v>
      </c>
      <c r="O169" s="26">
        <v>1</v>
      </c>
      <c r="Q169" t="s">
        <v>515</v>
      </c>
      <c r="R169" t="s">
        <v>514</v>
      </c>
      <c r="S169" s="26">
        <v>5</v>
      </c>
      <c r="U169" t="s">
        <v>2339</v>
      </c>
      <c r="V169" t="s">
        <v>196</v>
      </c>
      <c r="W169" t="s">
        <v>1174</v>
      </c>
      <c r="X169" s="26">
        <v>2</v>
      </c>
    </row>
    <row r="170" spans="1:24" hidden="1" x14ac:dyDescent="0.35">
      <c r="A170">
        <f t="shared" si="5"/>
        <v>169</v>
      </c>
      <c r="B170">
        <v>2003</v>
      </c>
      <c r="C170" t="s">
        <v>109</v>
      </c>
      <c r="D170" t="s">
        <v>45</v>
      </c>
      <c r="E170" t="s">
        <v>1429</v>
      </c>
      <c r="G170" s="2">
        <v>63</v>
      </c>
      <c r="H170" t="s">
        <v>850</v>
      </c>
      <c r="I170" t="s">
        <v>851</v>
      </c>
      <c r="J170" s="11">
        <v>154.9019599857433</v>
      </c>
      <c r="K170" t="str">
        <f t="shared" si="4"/>
        <v>Mordecai Schwartz</v>
      </c>
      <c r="M170" t="s">
        <v>64</v>
      </c>
      <c r="N170" t="s">
        <v>65</v>
      </c>
      <c r="O170" s="26">
        <v>48</v>
      </c>
      <c r="Q170" t="s">
        <v>1299</v>
      </c>
      <c r="R170" t="s">
        <v>906</v>
      </c>
      <c r="S170" s="26">
        <v>1</v>
      </c>
      <c r="U170" t="s">
        <v>1532</v>
      </c>
      <c r="V170" t="s">
        <v>196</v>
      </c>
      <c r="W170" t="s">
        <v>542</v>
      </c>
      <c r="X170" s="26">
        <v>4</v>
      </c>
    </row>
    <row r="171" spans="1:24" hidden="1" x14ac:dyDescent="0.35">
      <c r="A171">
        <f t="shared" si="5"/>
        <v>170</v>
      </c>
      <c r="B171">
        <v>2003</v>
      </c>
      <c r="C171" t="s">
        <v>109</v>
      </c>
      <c r="D171" t="s">
        <v>45</v>
      </c>
      <c r="E171" t="s">
        <v>1429</v>
      </c>
      <c r="G171" s="2">
        <v>64</v>
      </c>
      <c r="H171" t="s">
        <v>1080</v>
      </c>
      <c r="I171" t="s">
        <v>25</v>
      </c>
      <c r="J171" s="11">
        <v>148.06253545543791</v>
      </c>
      <c r="K171" t="str">
        <f t="shared" si="4"/>
        <v>Russell Rosenblum</v>
      </c>
      <c r="M171" t="s">
        <v>424</v>
      </c>
      <c r="N171" t="s">
        <v>425</v>
      </c>
      <c r="O171" s="26">
        <v>1</v>
      </c>
      <c r="Q171" t="s">
        <v>196</v>
      </c>
      <c r="R171" t="s">
        <v>1415</v>
      </c>
      <c r="S171" s="26">
        <v>1</v>
      </c>
      <c r="U171" t="s">
        <v>1572</v>
      </c>
      <c r="V171" t="s">
        <v>196</v>
      </c>
      <c r="W171" t="s">
        <v>1233</v>
      </c>
      <c r="X171" s="26">
        <v>1</v>
      </c>
    </row>
    <row r="172" spans="1:24" hidden="1" x14ac:dyDescent="0.35">
      <c r="A172">
        <f t="shared" si="5"/>
        <v>171</v>
      </c>
      <c r="B172">
        <v>2003</v>
      </c>
      <c r="C172" t="s">
        <v>109</v>
      </c>
      <c r="D172" t="s">
        <v>45</v>
      </c>
      <c r="E172" t="s">
        <v>1429</v>
      </c>
      <c r="G172" s="2">
        <v>65</v>
      </c>
      <c r="H172" t="s">
        <v>656</v>
      </c>
      <c r="I172" t="s">
        <v>1402</v>
      </c>
      <c r="J172" s="11">
        <v>141.32915279646951</v>
      </c>
      <c r="K172" t="str">
        <f t="shared" si="4"/>
        <v>John Charles Taylor</v>
      </c>
      <c r="M172" t="s">
        <v>16</v>
      </c>
      <c r="N172" t="s">
        <v>59</v>
      </c>
      <c r="O172" s="26">
        <v>26</v>
      </c>
      <c r="R172" t="s">
        <v>1174</v>
      </c>
      <c r="S172" s="26">
        <v>2</v>
      </c>
      <c r="U172" t="s">
        <v>2468</v>
      </c>
      <c r="V172" t="s">
        <v>196</v>
      </c>
      <c r="W172" t="s">
        <v>2467</v>
      </c>
      <c r="X172" s="26">
        <v>1</v>
      </c>
    </row>
    <row r="173" spans="1:24" hidden="1" x14ac:dyDescent="0.35">
      <c r="A173">
        <f t="shared" si="5"/>
        <v>172</v>
      </c>
      <c r="B173">
        <v>2003</v>
      </c>
      <c r="C173" t="s">
        <v>109</v>
      </c>
      <c r="D173" t="s">
        <v>45</v>
      </c>
      <c r="E173" t="s">
        <v>1429</v>
      </c>
      <c r="G173" s="2">
        <v>66</v>
      </c>
      <c r="H173" t="s">
        <v>1404</v>
      </c>
      <c r="I173" t="s">
        <v>142</v>
      </c>
      <c r="J173" s="11">
        <v>134.69857389745621</v>
      </c>
      <c r="K173" t="str">
        <f t="shared" si="4"/>
        <v>Matt Kirisits</v>
      </c>
      <c r="M173" t="s">
        <v>2317</v>
      </c>
      <c r="N173" t="s">
        <v>799</v>
      </c>
      <c r="O173" s="26">
        <v>1</v>
      </c>
      <c r="R173" t="s">
        <v>542</v>
      </c>
      <c r="S173" s="26">
        <v>4</v>
      </c>
      <c r="U173" t="s">
        <v>1472</v>
      </c>
      <c r="V173" t="s">
        <v>196</v>
      </c>
      <c r="W173" t="s">
        <v>1239</v>
      </c>
      <c r="X173" s="26">
        <v>1</v>
      </c>
    </row>
    <row r="174" spans="1:24" hidden="1" x14ac:dyDescent="0.35">
      <c r="A174">
        <f t="shared" si="5"/>
        <v>173</v>
      </c>
      <c r="B174">
        <v>2003</v>
      </c>
      <c r="C174" t="s">
        <v>109</v>
      </c>
      <c r="D174" t="s">
        <v>45</v>
      </c>
      <c r="E174" t="s">
        <v>1429</v>
      </c>
      <c r="G174" s="2">
        <v>67</v>
      </c>
      <c r="H174" t="s">
        <v>238</v>
      </c>
      <c r="I174" t="s">
        <v>375</v>
      </c>
      <c r="J174" s="11">
        <v>128.16770673849854</v>
      </c>
      <c r="K174" t="str">
        <f t="shared" si="4"/>
        <v>Jessica Kuznick</v>
      </c>
      <c r="M174" t="s">
        <v>1301</v>
      </c>
      <c r="N174" t="s">
        <v>384</v>
      </c>
      <c r="O174" s="26">
        <v>1</v>
      </c>
      <c r="R174" t="s">
        <v>1233</v>
      </c>
      <c r="S174" s="26">
        <v>1</v>
      </c>
      <c r="U174" t="s">
        <v>197</v>
      </c>
      <c r="V174" t="s">
        <v>196</v>
      </c>
      <c r="W174" t="s">
        <v>195</v>
      </c>
      <c r="X174" s="26">
        <v>19</v>
      </c>
    </row>
    <row r="175" spans="1:24" hidden="1" x14ac:dyDescent="0.35">
      <c r="A175">
        <f t="shared" si="5"/>
        <v>174</v>
      </c>
      <c r="B175">
        <v>2003</v>
      </c>
      <c r="C175" t="s">
        <v>109</v>
      </c>
      <c r="D175" t="s">
        <v>45</v>
      </c>
      <c r="E175" t="s">
        <v>1429</v>
      </c>
      <c r="G175" s="2">
        <v>68</v>
      </c>
      <c r="H175" t="s">
        <v>711</v>
      </c>
      <c r="I175" t="s">
        <v>85</v>
      </c>
      <c r="J175" s="11">
        <v>121.73359673308859</v>
      </c>
      <c r="K175" t="str">
        <f t="shared" si="4"/>
        <v>Patrick Kirwan</v>
      </c>
      <c r="N175" t="s">
        <v>136</v>
      </c>
      <c r="O175" s="26">
        <v>3</v>
      </c>
      <c r="R175" t="s">
        <v>2467</v>
      </c>
      <c r="S175" s="26">
        <v>1</v>
      </c>
      <c r="U175" t="s">
        <v>722</v>
      </c>
      <c r="V175" t="s">
        <v>196</v>
      </c>
      <c r="W175" t="s">
        <v>721</v>
      </c>
      <c r="X175" s="26">
        <v>1</v>
      </c>
    </row>
    <row r="176" spans="1:24" hidden="1" x14ac:dyDescent="0.35">
      <c r="A176">
        <f t="shared" si="5"/>
        <v>175</v>
      </c>
      <c r="B176">
        <v>2003</v>
      </c>
      <c r="C176" t="s">
        <v>109</v>
      </c>
      <c r="D176" t="s">
        <v>45</v>
      </c>
      <c r="E176" t="s">
        <v>1429</v>
      </c>
      <c r="G176" s="2">
        <v>69</v>
      </c>
      <c r="H176" t="s">
        <v>567</v>
      </c>
      <c r="I176" t="s">
        <v>568</v>
      </c>
      <c r="J176" s="11">
        <v>115.39341870206977</v>
      </c>
      <c r="K176" t="str">
        <f t="shared" si="4"/>
        <v>Glenn Nickerson</v>
      </c>
      <c r="N176" t="s">
        <v>44</v>
      </c>
      <c r="O176" s="26">
        <v>1</v>
      </c>
      <c r="R176" t="s">
        <v>1239</v>
      </c>
      <c r="S176" s="26">
        <v>1</v>
      </c>
      <c r="U176" t="s">
        <v>1046</v>
      </c>
      <c r="V176" t="s">
        <v>16</v>
      </c>
      <c r="W176" t="s">
        <v>1045</v>
      </c>
      <c r="X176" s="26">
        <v>2</v>
      </c>
    </row>
    <row r="177" spans="1:24" hidden="1" x14ac:dyDescent="0.35">
      <c r="A177">
        <f t="shared" si="5"/>
        <v>176</v>
      </c>
      <c r="B177">
        <v>2003</v>
      </c>
      <c r="C177" t="s">
        <v>109</v>
      </c>
      <c r="D177" t="s">
        <v>45</v>
      </c>
      <c r="E177" t="s">
        <v>1429</v>
      </c>
      <c r="G177" s="2">
        <v>70</v>
      </c>
      <c r="H177" t="s">
        <v>1020</v>
      </c>
      <c r="I177" t="s">
        <v>205</v>
      </c>
      <c r="J177" s="11">
        <v>109.14446942506805</v>
      </c>
      <c r="K177" t="str">
        <f t="shared" si="4"/>
        <v>Ron Wilson</v>
      </c>
      <c r="M177" t="s">
        <v>1175</v>
      </c>
      <c r="N177" t="s">
        <v>65</v>
      </c>
      <c r="O177" s="26">
        <v>2</v>
      </c>
      <c r="R177" t="s">
        <v>195</v>
      </c>
      <c r="S177" s="26">
        <v>19</v>
      </c>
      <c r="U177" t="s">
        <v>1542</v>
      </c>
      <c r="V177" t="s">
        <v>16</v>
      </c>
      <c r="W177" t="s">
        <v>31</v>
      </c>
      <c r="X177" s="26">
        <v>11</v>
      </c>
    </row>
    <row r="178" spans="1:24" hidden="1" x14ac:dyDescent="0.35">
      <c r="A178">
        <f t="shared" si="5"/>
        <v>177</v>
      </c>
      <c r="B178">
        <v>2003</v>
      </c>
      <c r="C178" t="s">
        <v>109</v>
      </c>
      <c r="D178" t="s">
        <v>45</v>
      </c>
      <c r="E178" t="s">
        <v>1429</v>
      </c>
      <c r="G178" s="2">
        <v>71</v>
      </c>
      <c r="H178" t="s">
        <v>1376</v>
      </c>
      <c r="I178" t="s">
        <v>119</v>
      </c>
      <c r="J178" s="11">
        <v>102.98416072024975</v>
      </c>
      <c r="K178" t="str">
        <f t="shared" si="4"/>
        <v>Peter Edivan</v>
      </c>
      <c r="M178" t="s">
        <v>1397</v>
      </c>
      <c r="N178" t="s">
        <v>44</v>
      </c>
      <c r="O178" s="26">
        <v>1</v>
      </c>
      <c r="R178" t="s">
        <v>721</v>
      </c>
      <c r="S178" s="26">
        <v>1</v>
      </c>
      <c r="U178" t="s">
        <v>2455</v>
      </c>
      <c r="V178" t="s">
        <v>16</v>
      </c>
      <c r="W178" t="s">
        <v>947</v>
      </c>
      <c r="X178" s="26">
        <v>1</v>
      </c>
    </row>
    <row r="179" spans="1:24" hidden="1" x14ac:dyDescent="0.35">
      <c r="A179">
        <f t="shared" si="5"/>
        <v>178</v>
      </c>
      <c r="B179">
        <v>2003</v>
      </c>
      <c r="C179" t="s">
        <v>109</v>
      </c>
      <c r="D179" t="s">
        <v>45</v>
      </c>
      <c r="E179" t="s">
        <v>1429</v>
      </c>
      <c r="G179" s="2">
        <v>72</v>
      </c>
      <c r="H179" t="s">
        <v>111</v>
      </c>
      <c r="I179" t="s">
        <v>16</v>
      </c>
      <c r="J179" s="11">
        <v>96.910013008056467</v>
      </c>
      <c r="K179" t="str">
        <f t="shared" si="4"/>
        <v>David Fruchter</v>
      </c>
      <c r="M179" t="s">
        <v>1133</v>
      </c>
      <c r="N179" t="s">
        <v>779</v>
      </c>
      <c r="O179" s="26">
        <v>2</v>
      </c>
      <c r="Q179" t="s">
        <v>16</v>
      </c>
      <c r="R179" t="s">
        <v>1045</v>
      </c>
      <c r="S179" s="26">
        <v>2</v>
      </c>
      <c r="U179" t="s">
        <v>560</v>
      </c>
      <c r="V179" t="s">
        <v>16</v>
      </c>
      <c r="W179" t="s">
        <v>436</v>
      </c>
      <c r="X179" s="26">
        <v>8</v>
      </c>
    </row>
    <row r="180" spans="1:24" hidden="1" x14ac:dyDescent="0.35">
      <c r="A180">
        <f t="shared" si="5"/>
        <v>179</v>
      </c>
      <c r="B180">
        <v>2003</v>
      </c>
      <c r="C180" t="s">
        <v>109</v>
      </c>
      <c r="D180" t="s">
        <v>45</v>
      </c>
      <c r="E180" t="s">
        <v>1429</v>
      </c>
      <c r="G180" s="2">
        <v>73</v>
      </c>
      <c r="H180" t="s">
        <v>1092</v>
      </c>
      <c r="I180" t="s">
        <v>1093</v>
      </c>
      <c r="J180" s="11">
        <v>90.919649318869091</v>
      </c>
      <c r="K180" t="str">
        <f t="shared" si="4"/>
        <v>Al Weber</v>
      </c>
      <c r="M180" t="s">
        <v>383</v>
      </c>
      <c r="N180" t="s">
        <v>384</v>
      </c>
      <c r="O180" s="26">
        <v>11</v>
      </c>
      <c r="R180" t="s">
        <v>31</v>
      </c>
      <c r="S180" s="26">
        <v>11</v>
      </c>
      <c r="U180" t="s">
        <v>1312</v>
      </c>
      <c r="V180" t="s">
        <v>16</v>
      </c>
      <c r="W180" t="s">
        <v>1311</v>
      </c>
      <c r="X180" s="26">
        <v>6</v>
      </c>
    </row>
    <row r="181" spans="1:24" hidden="1" x14ac:dyDescent="0.35">
      <c r="A181">
        <f t="shared" si="5"/>
        <v>180</v>
      </c>
      <c r="B181">
        <v>2003</v>
      </c>
      <c r="C181" t="s">
        <v>109</v>
      </c>
      <c r="D181" t="s">
        <v>45</v>
      </c>
      <c r="E181" t="s">
        <v>1429</v>
      </c>
      <c r="G181" s="2">
        <v>74</v>
      </c>
      <c r="H181" t="s">
        <v>1266</v>
      </c>
      <c r="I181" t="s">
        <v>1267</v>
      </c>
      <c r="J181" s="11">
        <v>85.010789708348739</v>
      </c>
      <c r="K181" t="str">
        <f t="shared" si="4"/>
        <v>Phil Vogel</v>
      </c>
      <c r="M181" t="s">
        <v>956</v>
      </c>
      <c r="N181" t="s">
        <v>13</v>
      </c>
      <c r="O181" s="26">
        <v>2</v>
      </c>
      <c r="R181" t="s">
        <v>947</v>
      </c>
      <c r="S181" s="26">
        <v>1</v>
      </c>
      <c r="U181" t="s">
        <v>112</v>
      </c>
      <c r="V181" t="s">
        <v>16</v>
      </c>
      <c r="W181" t="s">
        <v>111</v>
      </c>
      <c r="X181" s="26">
        <v>18</v>
      </c>
    </row>
    <row r="182" spans="1:24" hidden="1" x14ac:dyDescent="0.35">
      <c r="A182">
        <f t="shared" si="5"/>
        <v>181</v>
      </c>
      <c r="B182">
        <v>2003</v>
      </c>
      <c r="C182" t="s">
        <v>109</v>
      </c>
      <c r="D182" t="s">
        <v>45</v>
      </c>
      <c r="E182" t="s">
        <v>1429</v>
      </c>
      <c r="G182" s="2">
        <v>75</v>
      </c>
      <c r="H182" t="s">
        <v>1371</v>
      </c>
      <c r="I182" t="s">
        <v>1372</v>
      </c>
      <c r="J182" s="11">
        <v>79.181246047624882</v>
      </c>
      <c r="K182" t="str">
        <f t="shared" si="4"/>
        <v>Bo Toft</v>
      </c>
      <c r="M182" t="s">
        <v>756</v>
      </c>
      <c r="N182" t="s">
        <v>757</v>
      </c>
      <c r="O182" s="26">
        <v>1</v>
      </c>
      <c r="R182" t="s">
        <v>436</v>
      </c>
      <c r="S182" s="26">
        <v>8</v>
      </c>
      <c r="U182" t="s">
        <v>626</v>
      </c>
      <c r="V182" t="s">
        <v>16</v>
      </c>
      <c r="W182" t="s">
        <v>625</v>
      </c>
      <c r="X182" s="26">
        <v>2</v>
      </c>
    </row>
    <row r="183" spans="1:24" hidden="1" x14ac:dyDescent="0.35">
      <c r="A183">
        <f t="shared" si="5"/>
        <v>182</v>
      </c>
      <c r="B183">
        <v>2003</v>
      </c>
      <c r="C183" t="s">
        <v>109</v>
      </c>
      <c r="D183" t="s">
        <v>45</v>
      </c>
      <c r="E183" t="s">
        <v>1429</v>
      </c>
      <c r="G183" s="2">
        <v>76</v>
      </c>
      <c r="H183" t="s">
        <v>14</v>
      </c>
      <c r="I183" t="s">
        <v>11</v>
      </c>
      <c r="J183" s="11">
        <v>73.428917158533608</v>
      </c>
      <c r="K183" t="str">
        <f t="shared" si="4"/>
        <v>Paul McMullin</v>
      </c>
      <c r="M183" t="s">
        <v>642</v>
      </c>
      <c r="N183" t="s">
        <v>136</v>
      </c>
      <c r="O183" s="26">
        <v>7</v>
      </c>
      <c r="R183" t="s">
        <v>1311</v>
      </c>
      <c r="S183" s="26">
        <v>6</v>
      </c>
      <c r="U183" t="s">
        <v>1065</v>
      </c>
      <c r="V183" t="s">
        <v>16</v>
      </c>
      <c r="W183" t="s">
        <v>94</v>
      </c>
      <c r="X183" s="26">
        <v>3</v>
      </c>
    </row>
    <row r="184" spans="1:24" hidden="1" x14ac:dyDescent="0.35">
      <c r="A184">
        <f t="shared" si="5"/>
        <v>183</v>
      </c>
      <c r="B184">
        <v>2003</v>
      </c>
      <c r="C184" t="s">
        <v>109</v>
      </c>
      <c r="D184" t="s">
        <v>45</v>
      </c>
      <c r="E184" t="s">
        <v>1429</v>
      </c>
      <c r="G184" s="2">
        <v>77</v>
      </c>
      <c r="H184" t="s">
        <v>19</v>
      </c>
      <c r="I184" t="s">
        <v>20</v>
      </c>
      <c r="J184" s="11">
        <v>67.751784266843146</v>
      </c>
      <c r="K184" t="str">
        <f t="shared" si="4"/>
        <v>Barry Kornspan</v>
      </c>
      <c r="M184" t="s">
        <v>166</v>
      </c>
      <c r="N184" t="s">
        <v>167</v>
      </c>
      <c r="O184" s="26">
        <v>1</v>
      </c>
      <c r="R184" t="s">
        <v>111</v>
      </c>
      <c r="S184" s="26">
        <v>18</v>
      </c>
      <c r="U184" t="s">
        <v>1070</v>
      </c>
      <c r="V184" t="s">
        <v>16</v>
      </c>
      <c r="W184" t="s">
        <v>1069</v>
      </c>
      <c r="X184" s="26">
        <v>4</v>
      </c>
    </row>
    <row r="185" spans="1:24" hidden="1" x14ac:dyDescent="0.35">
      <c r="A185">
        <f t="shared" si="5"/>
        <v>184</v>
      </c>
      <c r="B185">
        <v>2003</v>
      </c>
      <c r="C185" t="s">
        <v>109</v>
      </c>
      <c r="D185" t="s">
        <v>45</v>
      </c>
      <c r="E185" t="s">
        <v>1429</v>
      </c>
      <c r="G185" s="2">
        <v>78</v>
      </c>
      <c r="H185" t="s">
        <v>890</v>
      </c>
      <c r="I185" t="s">
        <v>81</v>
      </c>
      <c r="J185" s="11">
        <v>62.147906748844626</v>
      </c>
      <c r="K185" t="str">
        <f t="shared" si="4"/>
        <v>Don Perry</v>
      </c>
      <c r="M185" t="s">
        <v>603</v>
      </c>
      <c r="N185" t="s">
        <v>604</v>
      </c>
      <c r="O185" s="26">
        <v>8</v>
      </c>
      <c r="R185" t="s">
        <v>625</v>
      </c>
      <c r="S185" s="26">
        <v>2</v>
      </c>
      <c r="U185" t="s">
        <v>152</v>
      </c>
      <c r="V185" t="s">
        <v>16</v>
      </c>
      <c r="W185" t="s">
        <v>151</v>
      </c>
      <c r="X185" s="26">
        <v>6</v>
      </c>
    </row>
    <row r="186" spans="1:24" hidden="1" x14ac:dyDescent="0.35">
      <c r="A186">
        <f t="shared" si="5"/>
        <v>185</v>
      </c>
      <c r="B186">
        <v>2003</v>
      </c>
      <c r="C186" t="s">
        <v>109</v>
      </c>
      <c r="D186" t="s">
        <v>45</v>
      </c>
      <c r="E186" t="s">
        <v>1429</v>
      </c>
      <c r="G186" s="2">
        <v>79</v>
      </c>
      <c r="H186" t="s">
        <v>475</v>
      </c>
      <c r="I186" t="s">
        <v>887</v>
      </c>
      <c r="J186" s="11">
        <v>56.615418148883599</v>
      </c>
      <c r="K186" t="str">
        <f t="shared" si="4"/>
        <v>Chic Natkins</v>
      </c>
      <c r="M186" t="s">
        <v>1017</v>
      </c>
      <c r="N186" t="s">
        <v>1018</v>
      </c>
      <c r="O186" s="26">
        <v>2</v>
      </c>
      <c r="R186" t="s">
        <v>94</v>
      </c>
      <c r="S186" s="26">
        <v>3</v>
      </c>
      <c r="U186" t="s">
        <v>743</v>
      </c>
      <c r="V186" t="s">
        <v>16</v>
      </c>
      <c r="W186" t="s">
        <v>742</v>
      </c>
      <c r="X186" s="26">
        <v>2</v>
      </c>
    </row>
    <row r="187" spans="1:24" hidden="1" x14ac:dyDescent="0.35">
      <c r="A187">
        <f t="shared" si="5"/>
        <v>186</v>
      </c>
      <c r="B187">
        <v>2003</v>
      </c>
      <c r="C187" t="s">
        <v>109</v>
      </c>
      <c r="D187" t="s">
        <v>45</v>
      </c>
      <c r="E187" t="s">
        <v>1429</v>
      </c>
      <c r="G187" s="2">
        <v>80</v>
      </c>
      <c r="H187" t="s">
        <v>1311</v>
      </c>
      <c r="I187" t="s">
        <v>16</v>
      </c>
      <c r="J187" s="11">
        <v>51.152522447381443</v>
      </c>
      <c r="K187" t="str">
        <f t="shared" si="4"/>
        <v>David Croson</v>
      </c>
      <c r="M187" t="s">
        <v>1150</v>
      </c>
      <c r="N187" t="s">
        <v>136</v>
      </c>
      <c r="O187" s="26">
        <v>1</v>
      </c>
      <c r="R187" t="s">
        <v>1069</v>
      </c>
      <c r="S187" s="26">
        <v>4</v>
      </c>
      <c r="U187" t="s">
        <v>147</v>
      </c>
      <c r="V187" t="s">
        <v>16</v>
      </c>
      <c r="W187" t="s">
        <v>15</v>
      </c>
      <c r="X187" s="26">
        <v>24</v>
      </c>
    </row>
    <row r="188" spans="1:24" hidden="1" x14ac:dyDescent="0.35">
      <c r="A188">
        <f t="shared" si="5"/>
        <v>187</v>
      </c>
      <c r="B188">
        <v>2003</v>
      </c>
      <c r="C188" t="s">
        <v>109</v>
      </c>
      <c r="D188" t="s">
        <v>45</v>
      </c>
      <c r="E188" t="s">
        <v>1429</v>
      </c>
      <c r="G188" s="2">
        <v>81</v>
      </c>
      <c r="H188" t="s">
        <v>1406</v>
      </c>
      <c r="I188" t="s">
        <v>1267</v>
      </c>
      <c r="J188" s="11">
        <v>45.757490560675237</v>
      </c>
      <c r="K188" t="str">
        <f t="shared" si="4"/>
        <v>Phil Turcotte</v>
      </c>
      <c r="M188" t="s">
        <v>2408</v>
      </c>
      <c r="N188" t="s">
        <v>25</v>
      </c>
      <c r="O188" s="26">
        <v>2</v>
      </c>
      <c r="R188" t="s">
        <v>151</v>
      </c>
      <c r="S188" s="26">
        <v>6</v>
      </c>
      <c r="U188" t="s">
        <v>239</v>
      </c>
      <c r="V188" t="s">
        <v>16</v>
      </c>
      <c r="W188" t="s">
        <v>238</v>
      </c>
      <c r="X188" s="26">
        <v>30</v>
      </c>
    </row>
    <row r="189" spans="1:24" hidden="1" x14ac:dyDescent="0.35">
      <c r="A189">
        <f t="shared" si="5"/>
        <v>188</v>
      </c>
      <c r="B189">
        <v>2003</v>
      </c>
      <c r="C189" t="s">
        <v>109</v>
      </c>
      <c r="D189" t="s">
        <v>45</v>
      </c>
      <c r="E189" t="s">
        <v>1429</v>
      </c>
      <c r="G189" s="2">
        <v>82</v>
      </c>
      <c r="H189" t="s">
        <v>862</v>
      </c>
      <c r="I189" t="s">
        <v>117</v>
      </c>
      <c r="J189" s="11">
        <v>40.428657055608276</v>
      </c>
      <c r="K189" t="str">
        <f t="shared" si="4"/>
        <v>Thomas Kelley</v>
      </c>
      <c r="M189" t="s">
        <v>945</v>
      </c>
      <c r="N189" t="s">
        <v>946</v>
      </c>
      <c r="O189" s="26">
        <v>8</v>
      </c>
      <c r="R189" t="s">
        <v>742</v>
      </c>
      <c r="S189" s="26">
        <v>2</v>
      </c>
      <c r="U189" t="s">
        <v>278</v>
      </c>
      <c r="V189" t="s">
        <v>16</v>
      </c>
      <c r="W189" t="s">
        <v>277</v>
      </c>
      <c r="X189" s="26">
        <v>28</v>
      </c>
    </row>
    <row r="190" spans="1:24" hidden="1" x14ac:dyDescent="0.35">
      <c r="A190">
        <f t="shared" si="5"/>
        <v>189</v>
      </c>
      <c r="B190">
        <v>2003</v>
      </c>
      <c r="C190" t="s">
        <v>109</v>
      </c>
      <c r="D190" t="s">
        <v>45</v>
      </c>
      <c r="E190" t="s">
        <v>1429</v>
      </c>
      <c r="G190" s="2">
        <v>83</v>
      </c>
      <c r="H190" t="s">
        <v>130</v>
      </c>
      <c r="I190" t="s">
        <v>131</v>
      </c>
      <c r="J190" s="11">
        <v>35.164417063251022</v>
      </c>
      <c r="K190" t="str">
        <f t="shared" si="4"/>
        <v>Alan Stuart</v>
      </c>
      <c r="M190" t="s">
        <v>989</v>
      </c>
      <c r="N190" t="s">
        <v>215</v>
      </c>
      <c r="O190" s="26">
        <v>1</v>
      </c>
      <c r="R190" t="s">
        <v>15</v>
      </c>
      <c r="S190" s="26">
        <v>24</v>
      </c>
      <c r="U190" t="s">
        <v>1626</v>
      </c>
      <c r="V190" t="s">
        <v>16</v>
      </c>
      <c r="W190" t="s">
        <v>128</v>
      </c>
      <c r="X190" s="26">
        <v>2</v>
      </c>
    </row>
    <row r="191" spans="1:24" hidden="1" x14ac:dyDescent="0.35">
      <c r="A191">
        <f t="shared" si="5"/>
        <v>190</v>
      </c>
      <c r="B191">
        <v>2003</v>
      </c>
      <c r="C191" t="s">
        <v>109</v>
      </c>
      <c r="D191" t="s">
        <v>45</v>
      </c>
      <c r="E191" t="s">
        <v>1429</v>
      </c>
      <c r="G191" s="2">
        <v>84</v>
      </c>
      <c r="H191" t="s">
        <v>554</v>
      </c>
      <c r="I191" t="s">
        <v>846</v>
      </c>
      <c r="J191" s="11">
        <v>29.963223377443391</v>
      </c>
      <c r="K191" t="str">
        <f t="shared" si="4"/>
        <v>Donald Hemstock</v>
      </c>
      <c r="M191" t="s">
        <v>48</v>
      </c>
      <c r="N191" t="s">
        <v>49</v>
      </c>
      <c r="O191" s="26">
        <v>11</v>
      </c>
      <c r="R191" t="s">
        <v>238</v>
      </c>
      <c r="S191" s="26">
        <v>30</v>
      </c>
      <c r="U191" t="s">
        <v>1098</v>
      </c>
      <c r="V191" t="s">
        <v>16</v>
      </c>
      <c r="W191" t="s">
        <v>1097</v>
      </c>
      <c r="X191" s="26">
        <v>3</v>
      </c>
    </row>
    <row r="192" spans="1:24" hidden="1" x14ac:dyDescent="0.35">
      <c r="A192">
        <f t="shared" si="5"/>
        <v>191</v>
      </c>
      <c r="B192">
        <v>2003</v>
      </c>
      <c r="C192" t="s">
        <v>109</v>
      </c>
      <c r="D192" t="s">
        <v>45</v>
      </c>
      <c r="E192" t="s">
        <v>1429</v>
      </c>
      <c r="G192" s="2">
        <v>85</v>
      </c>
      <c r="H192" t="s">
        <v>866</v>
      </c>
      <c r="I192" t="s">
        <v>142</v>
      </c>
      <c r="J192" s="11">
        <v>24.82358372503235</v>
      </c>
      <c r="K192" t="str">
        <f t="shared" si="4"/>
        <v>Matt Matros</v>
      </c>
      <c r="M192" t="s">
        <v>781</v>
      </c>
      <c r="N192" t="s">
        <v>782</v>
      </c>
      <c r="O192" s="26">
        <v>2</v>
      </c>
      <c r="R192" t="s">
        <v>277</v>
      </c>
      <c r="S192" s="26">
        <v>28</v>
      </c>
      <c r="U192" t="s">
        <v>1535</v>
      </c>
      <c r="V192" t="s">
        <v>16</v>
      </c>
      <c r="W192" t="s">
        <v>294</v>
      </c>
      <c r="X192" s="26">
        <v>30</v>
      </c>
    </row>
    <row r="193" spans="1:24" hidden="1" x14ac:dyDescent="0.35">
      <c r="A193">
        <f t="shared" si="5"/>
        <v>192</v>
      </c>
      <c r="B193">
        <v>2003</v>
      </c>
      <c r="C193" t="s">
        <v>109</v>
      </c>
      <c r="D193" t="s">
        <v>45</v>
      </c>
      <c r="E193" t="s">
        <v>1429</v>
      </c>
      <c r="G193" s="2">
        <v>86</v>
      </c>
      <c r="H193" t="s">
        <v>161</v>
      </c>
      <c r="I193" t="s">
        <v>162</v>
      </c>
      <c r="J193" s="11">
        <v>19.744058195757308</v>
      </c>
      <c r="K193" t="str">
        <f t="shared" si="4"/>
        <v>Tracy Becker</v>
      </c>
      <c r="M193" t="s">
        <v>417</v>
      </c>
      <c r="N193" t="s">
        <v>416</v>
      </c>
      <c r="O193" s="26">
        <v>1</v>
      </c>
      <c r="R193" t="s">
        <v>128</v>
      </c>
      <c r="S193" s="26">
        <v>2</v>
      </c>
      <c r="U193" t="s">
        <v>671</v>
      </c>
      <c r="V193" t="s">
        <v>16</v>
      </c>
      <c r="W193" t="s">
        <v>670</v>
      </c>
      <c r="X193" s="26">
        <v>1</v>
      </c>
    </row>
    <row r="194" spans="1:24" hidden="1" x14ac:dyDescent="0.35">
      <c r="A194">
        <f t="shared" si="5"/>
        <v>193</v>
      </c>
      <c r="B194">
        <v>2003</v>
      </c>
      <c r="C194" t="s">
        <v>109</v>
      </c>
      <c r="D194" t="s">
        <v>45</v>
      </c>
      <c r="E194" t="s">
        <v>1429</v>
      </c>
      <c r="G194" s="2">
        <v>87</v>
      </c>
      <c r="H194" t="s">
        <v>86</v>
      </c>
      <c r="I194" t="s">
        <v>87</v>
      </c>
      <c r="J194" s="11">
        <v>14.723256820706521</v>
      </c>
      <c r="K194" t="str">
        <f t="shared" ref="K194:K257" si="6">I194&amp;" "&amp;H194</f>
        <v>Stevan Goldman</v>
      </c>
      <c r="M194" t="s">
        <v>1376</v>
      </c>
      <c r="N194" t="s">
        <v>119</v>
      </c>
      <c r="O194" s="26">
        <v>2</v>
      </c>
      <c r="R194" t="s">
        <v>1097</v>
      </c>
      <c r="S194" s="26">
        <v>3</v>
      </c>
      <c r="U194" t="s">
        <v>2272</v>
      </c>
      <c r="V194" t="s">
        <v>16</v>
      </c>
      <c r="W194" t="s">
        <v>1278</v>
      </c>
      <c r="X194" s="26">
        <v>1</v>
      </c>
    </row>
    <row r="195" spans="1:24" hidden="1" x14ac:dyDescent="0.35">
      <c r="A195">
        <f t="shared" si="5"/>
        <v>194</v>
      </c>
      <c r="B195">
        <v>2003</v>
      </c>
      <c r="C195" t="s">
        <v>109</v>
      </c>
      <c r="D195" t="s">
        <v>45</v>
      </c>
      <c r="E195" t="s">
        <v>1429</v>
      </c>
      <c r="G195" s="2">
        <v>88</v>
      </c>
      <c r="H195" t="s">
        <v>366</v>
      </c>
      <c r="I195" t="s">
        <v>61</v>
      </c>
      <c r="J195" s="11">
        <v>9.7598372891563034</v>
      </c>
      <c r="K195" t="str">
        <f t="shared" si="6"/>
        <v>Len Greenberg</v>
      </c>
      <c r="M195" t="s">
        <v>1217</v>
      </c>
      <c r="N195" t="s">
        <v>1218</v>
      </c>
      <c r="O195" s="26">
        <v>6</v>
      </c>
      <c r="R195" t="s">
        <v>294</v>
      </c>
      <c r="S195" s="26">
        <v>30</v>
      </c>
      <c r="U195" t="s">
        <v>1325</v>
      </c>
      <c r="V195" t="s">
        <v>16</v>
      </c>
      <c r="W195" t="s">
        <v>1199</v>
      </c>
      <c r="X195" s="26">
        <v>4</v>
      </c>
    </row>
    <row r="196" spans="1:24" hidden="1" x14ac:dyDescent="0.35">
      <c r="A196">
        <f t="shared" ref="A196:A259" si="7">A195+1</f>
        <v>195</v>
      </c>
      <c r="B196">
        <v>2003</v>
      </c>
      <c r="C196" t="s">
        <v>109</v>
      </c>
      <c r="D196" t="s">
        <v>45</v>
      </c>
      <c r="E196" t="s">
        <v>1429</v>
      </c>
      <c r="G196" s="2">
        <v>89</v>
      </c>
      <c r="H196" t="s">
        <v>981</v>
      </c>
      <c r="I196" t="s">
        <v>982</v>
      </c>
      <c r="J196" s="11">
        <v>4.8525027944121835</v>
      </c>
      <c r="K196" t="str">
        <f t="shared" si="6"/>
        <v>Jerry Gerner</v>
      </c>
      <c r="M196" t="s">
        <v>100</v>
      </c>
      <c r="N196" t="s">
        <v>52</v>
      </c>
      <c r="O196" s="26">
        <v>21</v>
      </c>
      <c r="R196" t="s">
        <v>670</v>
      </c>
      <c r="S196" s="26">
        <v>1</v>
      </c>
      <c r="U196" t="s">
        <v>1282</v>
      </c>
      <c r="V196" t="s">
        <v>16</v>
      </c>
      <c r="W196" t="s">
        <v>1281</v>
      </c>
      <c r="X196" s="26">
        <v>1</v>
      </c>
    </row>
    <row r="197" spans="1:24" hidden="1" x14ac:dyDescent="0.35">
      <c r="A197">
        <f t="shared" si="7"/>
        <v>196</v>
      </c>
      <c r="B197">
        <v>2003</v>
      </c>
      <c r="C197" t="s">
        <v>109</v>
      </c>
      <c r="D197" t="s">
        <v>45</v>
      </c>
      <c r="E197" t="s">
        <v>1429</v>
      </c>
      <c r="G197" s="2">
        <v>90</v>
      </c>
      <c r="H197" t="s">
        <v>831</v>
      </c>
      <c r="I197" t="s">
        <v>384</v>
      </c>
      <c r="J197" s="11">
        <v>0</v>
      </c>
      <c r="K197" t="str">
        <f t="shared" si="6"/>
        <v>Jeff Woods</v>
      </c>
      <c r="M197" t="s">
        <v>2440</v>
      </c>
      <c r="N197" t="s">
        <v>2441</v>
      </c>
      <c r="O197" s="26">
        <v>1</v>
      </c>
      <c r="R197" t="s">
        <v>1278</v>
      </c>
      <c r="S197" s="26">
        <v>1</v>
      </c>
      <c r="U197" t="s">
        <v>1108</v>
      </c>
      <c r="V197" t="s">
        <v>16</v>
      </c>
      <c r="W197" t="s">
        <v>25</v>
      </c>
      <c r="X197" s="26">
        <v>1</v>
      </c>
    </row>
    <row r="198" spans="1:24" hidden="1" x14ac:dyDescent="0.35">
      <c r="A198">
        <f t="shared" si="7"/>
        <v>197</v>
      </c>
      <c r="B198">
        <v>2003</v>
      </c>
      <c r="C198" t="s">
        <v>263</v>
      </c>
      <c r="D198" t="s">
        <v>1408</v>
      </c>
      <c r="E198" t="s">
        <v>1430</v>
      </c>
      <c r="G198" s="2">
        <v>1</v>
      </c>
      <c r="H198" t="s">
        <v>273</v>
      </c>
      <c r="I198" t="s">
        <v>218</v>
      </c>
      <c r="J198" s="11">
        <v>1919.078092376074</v>
      </c>
      <c r="K198" t="str">
        <f t="shared" si="6"/>
        <v>Michael Maurer</v>
      </c>
      <c r="M198" t="s">
        <v>433</v>
      </c>
      <c r="N198" t="s">
        <v>434</v>
      </c>
      <c r="O198" s="26">
        <v>7</v>
      </c>
      <c r="R198" t="s">
        <v>1199</v>
      </c>
      <c r="S198" s="26">
        <v>4</v>
      </c>
      <c r="U198" t="s">
        <v>280</v>
      </c>
      <c r="V198" t="s">
        <v>16</v>
      </c>
      <c r="W198" t="s">
        <v>279</v>
      </c>
      <c r="X198" s="26">
        <v>5</v>
      </c>
    </row>
    <row r="199" spans="1:24" hidden="1" x14ac:dyDescent="0.35">
      <c r="A199">
        <f t="shared" si="7"/>
        <v>198</v>
      </c>
      <c r="B199">
        <v>2003</v>
      </c>
      <c r="C199" t="s">
        <v>263</v>
      </c>
      <c r="D199" t="s">
        <v>1408</v>
      </c>
      <c r="E199" t="s">
        <v>1430</v>
      </c>
      <c r="G199" s="2">
        <v>2</v>
      </c>
      <c r="H199" t="s">
        <v>1234</v>
      </c>
      <c r="I199" t="s">
        <v>890</v>
      </c>
      <c r="J199" s="11">
        <v>1618.0480967120927</v>
      </c>
      <c r="K199" t="str">
        <f t="shared" si="6"/>
        <v>Perry Friedman</v>
      </c>
      <c r="M199" t="s">
        <v>827</v>
      </c>
      <c r="N199" t="s">
        <v>52</v>
      </c>
      <c r="O199" s="26">
        <v>2</v>
      </c>
      <c r="R199" t="s">
        <v>1281</v>
      </c>
      <c r="S199" s="26">
        <v>1</v>
      </c>
      <c r="U199" t="s">
        <v>2473</v>
      </c>
      <c r="V199" t="s">
        <v>16</v>
      </c>
      <c r="W199" t="s">
        <v>2472</v>
      </c>
      <c r="X199" s="26">
        <v>1</v>
      </c>
    </row>
    <row r="200" spans="1:24" hidden="1" x14ac:dyDescent="0.35">
      <c r="A200">
        <f t="shared" si="7"/>
        <v>199</v>
      </c>
      <c r="B200">
        <v>2003</v>
      </c>
      <c r="C200" t="s">
        <v>263</v>
      </c>
      <c r="D200" t="s">
        <v>1408</v>
      </c>
      <c r="E200" t="s">
        <v>1430</v>
      </c>
      <c r="G200" s="2">
        <v>3</v>
      </c>
      <c r="H200" t="s">
        <v>764</v>
      </c>
      <c r="I200" t="s">
        <v>901</v>
      </c>
      <c r="J200" s="11">
        <v>1441.9568376564116</v>
      </c>
      <c r="K200" t="str">
        <f t="shared" si="6"/>
        <v>Jerrod Ankenman</v>
      </c>
      <c r="M200" t="s">
        <v>1317</v>
      </c>
      <c r="N200" t="s">
        <v>1318</v>
      </c>
      <c r="O200" s="26">
        <v>2</v>
      </c>
      <c r="R200" t="s">
        <v>25</v>
      </c>
      <c r="S200" s="26">
        <v>1</v>
      </c>
      <c r="U200" t="s">
        <v>1370</v>
      </c>
      <c r="V200" t="s">
        <v>16</v>
      </c>
      <c r="W200" t="s">
        <v>656</v>
      </c>
      <c r="X200" s="26">
        <v>5</v>
      </c>
    </row>
    <row r="201" spans="1:24" hidden="1" x14ac:dyDescent="0.35">
      <c r="A201">
        <f t="shared" si="7"/>
        <v>200</v>
      </c>
      <c r="B201">
        <v>2003</v>
      </c>
      <c r="C201" t="s">
        <v>263</v>
      </c>
      <c r="D201" t="s">
        <v>1408</v>
      </c>
      <c r="E201" t="s">
        <v>1430</v>
      </c>
      <c r="G201" s="2">
        <v>4</v>
      </c>
      <c r="H201" t="s">
        <v>618</v>
      </c>
      <c r="I201" t="s">
        <v>521</v>
      </c>
      <c r="J201" s="11">
        <v>1317.0181010481117</v>
      </c>
      <c r="K201" t="str">
        <f t="shared" si="6"/>
        <v>Chuck Weinstock</v>
      </c>
      <c r="M201" t="s">
        <v>885</v>
      </c>
      <c r="N201" t="s">
        <v>136</v>
      </c>
      <c r="O201" s="26">
        <v>1</v>
      </c>
      <c r="R201" t="s">
        <v>279</v>
      </c>
      <c r="S201" s="26">
        <v>5</v>
      </c>
      <c r="U201" t="s">
        <v>1473</v>
      </c>
      <c r="V201" t="s">
        <v>16</v>
      </c>
      <c r="W201" t="s">
        <v>1452</v>
      </c>
      <c r="X201" s="26">
        <v>2</v>
      </c>
    </row>
    <row r="202" spans="1:24" hidden="1" x14ac:dyDescent="0.35">
      <c r="A202">
        <f t="shared" si="7"/>
        <v>201</v>
      </c>
      <c r="B202">
        <v>2003</v>
      </c>
      <c r="C202" t="s">
        <v>263</v>
      </c>
      <c r="D202" t="s">
        <v>1408</v>
      </c>
      <c r="E202" t="s">
        <v>1430</v>
      </c>
      <c r="G202" s="2">
        <v>5</v>
      </c>
      <c r="H202" t="s">
        <v>88</v>
      </c>
      <c r="I202" t="s">
        <v>89</v>
      </c>
      <c r="J202" s="11">
        <v>1220.108088040055</v>
      </c>
      <c r="K202" t="str">
        <f t="shared" si="6"/>
        <v>Ken Kubey</v>
      </c>
      <c r="M202" t="s">
        <v>124</v>
      </c>
      <c r="N202" t="s">
        <v>125</v>
      </c>
      <c r="O202" s="26">
        <v>4</v>
      </c>
      <c r="R202" t="s">
        <v>2472</v>
      </c>
      <c r="S202" s="26">
        <v>1</v>
      </c>
      <c r="U202" t="s">
        <v>622</v>
      </c>
      <c r="V202" t="s">
        <v>16</v>
      </c>
      <c r="W202" t="s">
        <v>621</v>
      </c>
      <c r="X202" s="26">
        <v>4</v>
      </c>
    </row>
    <row r="203" spans="1:24" hidden="1" x14ac:dyDescent="0.35">
      <c r="A203">
        <f t="shared" si="7"/>
        <v>202</v>
      </c>
      <c r="B203">
        <v>2003</v>
      </c>
      <c r="C203" t="s">
        <v>263</v>
      </c>
      <c r="D203" t="s">
        <v>1408</v>
      </c>
      <c r="E203" t="s">
        <v>1430</v>
      </c>
      <c r="G203" s="2">
        <v>6</v>
      </c>
      <c r="H203" t="s">
        <v>310</v>
      </c>
      <c r="I203" t="s">
        <v>119</v>
      </c>
      <c r="J203" s="11">
        <v>1140.9268419924304</v>
      </c>
      <c r="K203" t="str">
        <f t="shared" si="6"/>
        <v>Peter Caldes</v>
      </c>
      <c r="M203" t="s">
        <v>801</v>
      </c>
      <c r="N203" t="s">
        <v>200</v>
      </c>
      <c r="O203" s="26">
        <v>4</v>
      </c>
      <c r="R203" t="s">
        <v>656</v>
      </c>
      <c r="S203" s="26">
        <v>5</v>
      </c>
      <c r="U203" t="s">
        <v>2392</v>
      </c>
      <c r="V203" t="s">
        <v>16</v>
      </c>
      <c r="W203" t="s">
        <v>2391</v>
      </c>
      <c r="X203" s="26">
        <v>1</v>
      </c>
    </row>
    <row r="204" spans="1:24" hidden="1" x14ac:dyDescent="0.35">
      <c r="A204">
        <f t="shared" si="7"/>
        <v>203</v>
      </c>
      <c r="B204">
        <v>2003</v>
      </c>
      <c r="C204" t="s">
        <v>263</v>
      </c>
      <c r="D204" t="s">
        <v>1408</v>
      </c>
      <c r="E204" t="s">
        <v>1430</v>
      </c>
      <c r="G204" s="2">
        <v>7</v>
      </c>
      <c r="H204" t="s">
        <v>23</v>
      </c>
      <c r="I204" t="s">
        <v>13</v>
      </c>
      <c r="J204" s="11">
        <v>1073.9800523618173</v>
      </c>
      <c r="K204" t="str">
        <f t="shared" si="6"/>
        <v>Tom Hummel</v>
      </c>
      <c r="M204" t="s">
        <v>1161</v>
      </c>
      <c r="N204" t="s">
        <v>1162</v>
      </c>
      <c r="O204" s="26">
        <v>1</v>
      </c>
      <c r="R204" t="s">
        <v>1452</v>
      </c>
      <c r="S204" s="26">
        <v>2</v>
      </c>
      <c r="U204" t="s">
        <v>1474</v>
      </c>
      <c r="V204" t="s">
        <v>101</v>
      </c>
      <c r="W204" t="s">
        <v>99</v>
      </c>
      <c r="X204" s="26">
        <v>29</v>
      </c>
    </row>
    <row r="205" spans="1:24" hidden="1" x14ac:dyDescent="0.35">
      <c r="A205">
        <f t="shared" si="7"/>
        <v>204</v>
      </c>
      <c r="B205">
        <v>2003</v>
      </c>
      <c r="C205" t="s">
        <v>263</v>
      </c>
      <c r="D205" t="s">
        <v>1408</v>
      </c>
      <c r="E205" t="s">
        <v>1430</v>
      </c>
      <c r="G205" s="2">
        <v>8</v>
      </c>
      <c r="H205" t="s">
        <v>1298</v>
      </c>
      <c r="I205" t="s">
        <v>271</v>
      </c>
      <c r="J205" s="11">
        <v>1015.9881053841304</v>
      </c>
      <c r="K205" t="str">
        <f t="shared" si="6"/>
        <v>Dan Loncarcic</v>
      </c>
      <c r="M205" t="s">
        <v>1064</v>
      </c>
      <c r="N205" t="s">
        <v>139</v>
      </c>
      <c r="O205" s="26">
        <v>1</v>
      </c>
      <c r="R205" t="s">
        <v>621</v>
      </c>
      <c r="S205" s="26">
        <v>4</v>
      </c>
      <c r="U205" t="s">
        <v>1419</v>
      </c>
      <c r="V205" t="s">
        <v>101</v>
      </c>
      <c r="W205" t="s">
        <v>1418</v>
      </c>
      <c r="X205" s="26">
        <v>1</v>
      </c>
    </row>
    <row r="206" spans="1:24" hidden="1" x14ac:dyDescent="0.35">
      <c r="A206">
        <f t="shared" si="7"/>
        <v>205</v>
      </c>
      <c r="B206">
        <v>2003</v>
      </c>
      <c r="C206" t="s">
        <v>263</v>
      </c>
      <c r="D206" t="s">
        <v>509</v>
      </c>
      <c r="E206" t="s">
        <v>509</v>
      </c>
      <c r="G206" s="2">
        <v>1</v>
      </c>
      <c r="H206" t="s">
        <v>268</v>
      </c>
      <c r="I206" t="s">
        <v>269</v>
      </c>
      <c r="J206" s="11">
        <v>1939.5192526186186</v>
      </c>
      <c r="K206" t="str">
        <f t="shared" si="6"/>
        <v>Keith Fichtemaier</v>
      </c>
      <c r="M206" t="s">
        <v>268</v>
      </c>
      <c r="N206" t="s">
        <v>269</v>
      </c>
      <c r="O206" s="26">
        <v>16</v>
      </c>
      <c r="R206" t="s">
        <v>2391</v>
      </c>
      <c r="S206" s="26">
        <v>1</v>
      </c>
      <c r="U206" t="s">
        <v>184</v>
      </c>
      <c r="V206" t="s">
        <v>101</v>
      </c>
      <c r="W206" t="s">
        <v>183</v>
      </c>
      <c r="X206" s="26">
        <v>8</v>
      </c>
    </row>
    <row r="207" spans="1:24" hidden="1" x14ac:dyDescent="0.35">
      <c r="A207">
        <f t="shared" si="7"/>
        <v>206</v>
      </c>
      <c r="B207">
        <v>2003</v>
      </c>
      <c r="C207" t="s">
        <v>263</v>
      </c>
      <c r="D207" t="s">
        <v>509</v>
      </c>
      <c r="E207" t="s">
        <v>509</v>
      </c>
      <c r="G207" s="2">
        <v>2</v>
      </c>
      <c r="H207" t="s">
        <v>1235</v>
      </c>
      <c r="I207" t="s">
        <v>131</v>
      </c>
      <c r="J207" s="11">
        <v>1638.4892569546373</v>
      </c>
      <c r="K207" t="str">
        <f t="shared" si="6"/>
        <v>Alan Tiger</v>
      </c>
      <c r="M207" t="s">
        <v>1021</v>
      </c>
      <c r="N207" t="s">
        <v>1022</v>
      </c>
      <c r="O207" s="26">
        <v>5</v>
      </c>
      <c r="Q207" t="s">
        <v>101</v>
      </c>
      <c r="R207" t="s">
        <v>99</v>
      </c>
      <c r="S207" s="26">
        <v>29</v>
      </c>
      <c r="U207" t="s">
        <v>688</v>
      </c>
      <c r="V207" t="s">
        <v>687</v>
      </c>
      <c r="W207" t="s">
        <v>686</v>
      </c>
      <c r="X207" s="26">
        <v>2</v>
      </c>
    </row>
    <row r="208" spans="1:24" hidden="1" x14ac:dyDescent="0.35">
      <c r="A208">
        <f t="shared" si="7"/>
        <v>207</v>
      </c>
      <c r="B208">
        <v>2003</v>
      </c>
      <c r="C208" t="s">
        <v>263</v>
      </c>
      <c r="D208" t="s">
        <v>509</v>
      </c>
      <c r="E208" t="s">
        <v>509</v>
      </c>
      <c r="G208" s="2">
        <v>3</v>
      </c>
      <c r="H208" t="s">
        <v>965</v>
      </c>
      <c r="I208" t="s">
        <v>44</v>
      </c>
      <c r="J208" s="11">
        <v>1462.3979978989562</v>
      </c>
      <c r="K208" t="str">
        <f t="shared" si="6"/>
        <v>Mike McBride</v>
      </c>
      <c r="M208" t="s">
        <v>291</v>
      </c>
      <c r="N208" t="s">
        <v>11</v>
      </c>
      <c r="O208" s="26">
        <v>1</v>
      </c>
      <c r="R208" t="s">
        <v>1418</v>
      </c>
      <c r="S208" s="26">
        <v>1</v>
      </c>
      <c r="U208" t="s">
        <v>881</v>
      </c>
      <c r="V208" t="s">
        <v>687</v>
      </c>
      <c r="W208" t="s">
        <v>880</v>
      </c>
      <c r="X208" s="26">
        <v>1</v>
      </c>
    </row>
    <row r="209" spans="1:24" hidden="1" x14ac:dyDescent="0.35">
      <c r="A209">
        <f t="shared" si="7"/>
        <v>208</v>
      </c>
      <c r="B209">
        <v>2003</v>
      </c>
      <c r="C209" t="s">
        <v>263</v>
      </c>
      <c r="D209" t="s">
        <v>509</v>
      </c>
      <c r="E209" t="s">
        <v>509</v>
      </c>
      <c r="G209" s="2">
        <v>4</v>
      </c>
      <c r="H209" t="s">
        <v>1410</v>
      </c>
      <c r="I209" t="s">
        <v>1411</v>
      </c>
      <c r="J209" s="11">
        <v>1337.4592612906563</v>
      </c>
      <c r="K209" t="str">
        <f t="shared" si="6"/>
        <v>Shelly Louie</v>
      </c>
      <c r="M209" t="s">
        <v>678</v>
      </c>
      <c r="N209" t="s">
        <v>136</v>
      </c>
      <c r="O209" s="26">
        <v>3</v>
      </c>
      <c r="R209" t="s">
        <v>183</v>
      </c>
      <c r="S209" s="26">
        <v>8</v>
      </c>
      <c r="U209" t="s">
        <v>2493</v>
      </c>
      <c r="V209" t="s">
        <v>782</v>
      </c>
      <c r="W209" t="s">
        <v>2454</v>
      </c>
      <c r="X209" s="26">
        <v>1</v>
      </c>
    </row>
    <row r="210" spans="1:24" hidden="1" x14ac:dyDescent="0.35">
      <c r="A210">
        <f t="shared" si="7"/>
        <v>209</v>
      </c>
      <c r="B210">
        <v>2003</v>
      </c>
      <c r="C210" t="s">
        <v>263</v>
      </c>
      <c r="D210" t="s">
        <v>509</v>
      </c>
      <c r="E210" t="s">
        <v>509</v>
      </c>
      <c r="G210" s="2">
        <v>5</v>
      </c>
      <c r="H210" t="s">
        <v>304</v>
      </c>
      <c r="I210" t="s">
        <v>1411</v>
      </c>
      <c r="J210" s="11">
        <v>1240.5492482825996</v>
      </c>
      <c r="K210" t="str">
        <f t="shared" si="6"/>
        <v>Shelly Pierce</v>
      </c>
      <c r="M210" t="s">
        <v>234</v>
      </c>
      <c r="N210" t="s">
        <v>235</v>
      </c>
      <c r="O210" s="26">
        <v>4</v>
      </c>
      <c r="Q210" t="s">
        <v>687</v>
      </c>
      <c r="R210" t="s">
        <v>686</v>
      </c>
      <c r="S210" s="26">
        <v>2</v>
      </c>
      <c r="U210" t="s">
        <v>1396</v>
      </c>
      <c r="V210" t="s">
        <v>782</v>
      </c>
      <c r="W210" t="s">
        <v>1395</v>
      </c>
      <c r="X210" s="26">
        <v>1</v>
      </c>
    </row>
    <row r="211" spans="1:24" hidden="1" x14ac:dyDescent="0.35">
      <c r="A211">
        <f t="shared" si="7"/>
        <v>210</v>
      </c>
      <c r="B211">
        <v>2003</v>
      </c>
      <c r="C211" t="s">
        <v>263</v>
      </c>
      <c r="D211" t="s">
        <v>509</v>
      </c>
      <c r="E211" t="s">
        <v>509</v>
      </c>
      <c r="G211" s="2">
        <v>6</v>
      </c>
      <c r="H211" t="s">
        <v>128</v>
      </c>
      <c r="I211" t="s">
        <v>443</v>
      </c>
      <c r="J211" s="11">
        <v>1161.3680022349749</v>
      </c>
      <c r="K211" t="str">
        <f t="shared" si="6"/>
        <v>Ming Lee</v>
      </c>
      <c r="M211" t="s">
        <v>1293</v>
      </c>
      <c r="N211" t="s">
        <v>58</v>
      </c>
      <c r="O211" s="26">
        <v>1</v>
      </c>
      <c r="R211" t="s">
        <v>880</v>
      </c>
      <c r="S211" s="26">
        <v>1</v>
      </c>
      <c r="U211" t="s">
        <v>783</v>
      </c>
      <c r="V211" t="s">
        <v>782</v>
      </c>
      <c r="W211" t="s">
        <v>781</v>
      </c>
      <c r="X211" s="26">
        <v>2</v>
      </c>
    </row>
    <row r="212" spans="1:24" hidden="1" x14ac:dyDescent="0.35">
      <c r="A212">
        <f t="shared" si="7"/>
        <v>211</v>
      </c>
      <c r="B212">
        <v>2003</v>
      </c>
      <c r="C212" t="s">
        <v>263</v>
      </c>
      <c r="D212" t="s">
        <v>509</v>
      </c>
      <c r="E212" t="s">
        <v>509</v>
      </c>
      <c r="G212" s="2">
        <v>7</v>
      </c>
      <c r="H212" t="s">
        <v>22</v>
      </c>
      <c r="I212" t="s">
        <v>181</v>
      </c>
      <c r="J212" s="11">
        <v>1094.4212126043617</v>
      </c>
      <c r="K212" t="str">
        <f t="shared" si="6"/>
        <v>Aaron Rich</v>
      </c>
      <c r="M212" t="s">
        <v>1222</v>
      </c>
      <c r="N212" t="s">
        <v>136</v>
      </c>
      <c r="O212" s="26">
        <v>3</v>
      </c>
      <c r="Q212" t="s">
        <v>782</v>
      </c>
      <c r="R212" t="s">
        <v>2454</v>
      </c>
      <c r="S212" s="26">
        <v>1</v>
      </c>
      <c r="U212" t="s">
        <v>2419</v>
      </c>
      <c r="V212" t="s">
        <v>782</v>
      </c>
      <c r="W212" t="s">
        <v>2418</v>
      </c>
      <c r="X212" s="26">
        <v>3</v>
      </c>
    </row>
    <row r="213" spans="1:24" hidden="1" x14ac:dyDescent="0.35">
      <c r="A213">
        <f t="shared" si="7"/>
        <v>212</v>
      </c>
      <c r="B213">
        <v>2003</v>
      </c>
      <c r="C213" t="s">
        <v>263</v>
      </c>
      <c r="D213" t="s">
        <v>509</v>
      </c>
      <c r="E213" t="s">
        <v>509</v>
      </c>
      <c r="G213" s="2">
        <v>8</v>
      </c>
      <c r="H213" t="s">
        <v>332</v>
      </c>
      <c r="I213" t="s">
        <v>451</v>
      </c>
      <c r="J213" s="11">
        <v>1036.429265626675</v>
      </c>
      <c r="K213" t="str">
        <f t="shared" si="6"/>
        <v>Connie Kellers</v>
      </c>
      <c r="M213" t="s">
        <v>623</v>
      </c>
      <c r="N213" t="s">
        <v>65</v>
      </c>
      <c r="O213" s="26">
        <v>6</v>
      </c>
      <c r="R213" t="s">
        <v>1395</v>
      </c>
      <c r="S213" s="26">
        <v>1</v>
      </c>
      <c r="U213" t="s">
        <v>1475</v>
      </c>
      <c r="V213" t="s">
        <v>782</v>
      </c>
      <c r="W213" t="s">
        <v>1224</v>
      </c>
      <c r="X213" s="26">
        <v>1</v>
      </c>
    </row>
    <row r="214" spans="1:24" hidden="1" x14ac:dyDescent="0.35">
      <c r="A214">
        <f t="shared" si="7"/>
        <v>213</v>
      </c>
      <c r="B214">
        <v>2003</v>
      </c>
      <c r="C214" t="s">
        <v>263</v>
      </c>
      <c r="D214" t="s">
        <v>509</v>
      </c>
      <c r="E214" t="s">
        <v>509</v>
      </c>
      <c r="G214" s="2">
        <v>9</v>
      </c>
      <c r="H214" t="s">
        <v>1170</v>
      </c>
      <c r="I214" t="s">
        <v>1171</v>
      </c>
      <c r="J214" s="11">
        <v>985.27674317929359</v>
      </c>
      <c r="K214" t="str">
        <f t="shared" si="6"/>
        <v>Walter Hunt</v>
      </c>
      <c r="M214" t="s">
        <v>689</v>
      </c>
      <c r="N214" t="s">
        <v>61</v>
      </c>
      <c r="O214" s="26">
        <v>6</v>
      </c>
      <c r="R214" t="s">
        <v>781</v>
      </c>
      <c r="S214" s="26">
        <v>2</v>
      </c>
      <c r="U214" t="s">
        <v>990</v>
      </c>
      <c r="V214" t="s">
        <v>215</v>
      </c>
      <c r="W214" t="s">
        <v>989</v>
      </c>
      <c r="X214" s="26">
        <v>1</v>
      </c>
    </row>
    <row r="215" spans="1:24" hidden="1" x14ac:dyDescent="0.35">
      <c r="A215">
        <f t="shared" si="7"/>
        <v>214</v>
      </c>
      <c r="B215">
        <v>2003</v>
      </c>
      <c r="C215" t="s">
        <v>263</v>
      </c>
      <c r="D215" t="s">
        <v>45</v>
      </c>
      <c r="E215" t="s">
        <v>1429</v>
      </c>
      <c r="G215" s="2">
        <v>1</v>
      </c>
      <c r="H215" t="s">
        <v>715</v>
      </c>
      <c r="I215" t="s">
        <v>11</v>
      </c>
      <c r="J215" s="11">
        <v>2255.2725051033062</v>
      </c>
      <c r="K215" t="str">
        <f t="shared" si="6"/>
        <v>Paul Person</v>
      </c>
      <c r="M215" t="s">
        <v>614</v>
      </c>
      <c r="N215" t="s">
        <v>136</v>
      </c>
      <c r="O215" s="26">
        <v>1</v>
      </c>
      <c r="R215" t="s">
        <v>2418</v>
      </c>
      <c r="S215" s="26">
        <v>3</v>
      </c>
      <c r="U215" t="s">
        <v>1543</v>
      </c>
      <c r="V215" t="s">
        <v>215</v>
      </c>
      <c r="W215" t="s">
        <v>214</v>
      </c>
      <c r="X215" s="26">
        <v>5</v>
      </c>
    </row>
    <row r="216" spans="1:24" hidden="1" x14ac:dyDescent="0.35">
      <c r="A216">
        <f t="shared" si="7"/>
        <v>215</v>
      </c>
      <c r="B216">
        <v>2003</v>
      </c>
      <c r="C216" t="s">
        <v>263</v>
      </c>
      <c r="D216" t="s">
        <v>45</v>
      </c>
      <c r="E216" t="s">
        <v>1429</v>
      </c>
      <c r="G216" s="2">
        <v>2</v>
      </c>
      <c r="H216" t="s">
        <v>226</v>
      </c>
      <c r="I216" t="s">
        <v>227</v>
      </c>
      <c r="J216" s="11">
        <v>1954.2425094393247</v>
      </c>
      <c r="K216" t="str">
        <f t="shared" si="6"/>
        <v>Patti Beadles</v>
      </c>
      <c r="M216" t="s">
        <v>50</v>
      </c>
      <c r="N216" t="s">
        <v>64</v>
      </c>
      <c r="O216" s="26">
        <v>1</v>
      </c>
      <c r="R216" t="s">
        <v>1224</v>
      </c>
      <c r="S216" s="26">
        <v>1</v>
      </c>
      <c r="U216" t="s">
        <v>611</v>
      </c>
      <c r="V216" t="s">
        <v>610</v>
      </c>
      <c r="W216" t="s">
        <v>609</v>
      </c>
      <c r="X216" s="26">
        <v>9</v>
      </c>
    </row>
    <row r="217" spans="1:24" hidden="1" x14ac:dyDescent="0.35">
      <c r="A217">
        <f t="shared" si="7"/>
        <v>216</v>
      </c>
      <c r="B217">
        <v>2003</v>
      </c>
      <c r="C217" t="s">
        <v>263</v>
      </c>
      <c r="D217" t="s">
        <v>45</v>
      </c>
      <c r="E217" t="s">
        <v>1429</v>
      </c>
      <c r="G217" s="2">
        <v>3</v>
      </c>
      <c r="H217" t="s">
        <v>1301</v>
      </c>
      <c r="I217" t="s">
        <v>136</v>
      </c>
      <c r="J217" s="11">
        <v>1778.1512503836436</v>
      </c>
      <c r="K217" t="str">
        <f t="shared" si="6"/>
        <v>John Davis</v>
      </c>
      <c r="N217" t="s">
        <v>25</v>
      </c>
      <c r="O217" s="26">
        <v>44</v>
      </c>
      <c r="Q217" t="s">
        <v>215</v>
      </c>
      <c r="R217" t="s">
        <v>989</v>
      </c>
      <c r="S217" s="26">
        <v>1</v>
      </c>
      <c r="U217" t="s">
        <v>1256</v>
      </c>
      <c r="V217" t="s">
        <v>1220</v>
      </c>
      <c r="W217" t="s">
        <v>1219</v>
      </c>
      <c r="X217" s="26">
        <v>6</v>
      </c>
    </row>
    <row r="218" spans="1:24" hidden="1" x14ac:dyDescent="0.35">
      <c r="A218">
        <f t="shared" si="7"/>
        <v>217</v>
      </c>
      <c r="B218">
        <v>2003</v>
      </c>
      <c r="C218" t="s">
        <v>263</v>
      </c>
      <c r="D218" t="s">
        <v>45</v>
      </c>
      <c r="E218" t="s">
        <v>1429</v>
      </c>
      <c r="G218" s="2">
        <v>4</v>
      </c>
      <c r="H218" t="s">
        <v>1413</v>
      </c>
      <c r="I218" t="s">
        <v>425</v>
      </c>
      <c r="J218" s="11">
        <v>1653.2125137753435</v>
      </c>
      <c r="K218" t="str">
        <f t="shared" si="6"/>
        <v>Tony Corral</v>
      </c>
      <c r="M218" t="s">
        <v>1285</v>
      </c>
      <c r="N218" t="s">
        <v>1286</v>
      </c>
      <c r="O218" s="26">
        <v>1</v>
      </c>
      <c r="R218" t="s">
        <v>214</v>
      </c>
      <c r="S218" s="26">
        <v>5</v>
      </c>
      <c r="U218" t="s">
        <v>2291</v>
      </c>
      <c r="V218" t="s">
        <v>2282</v>
      </c>
      <c r="W218" t="s">
        <v>2281</v>
      </c>
      <c r="X218" s="26">
        <v>4</v>
      </c>
    </row>
    <row r="219" spans="1:24" hidden="1" x14ac:dyDescent="0.35">
      <c r="A219">
        <f t="shared" si="7"/>
        <v>218</v>
      </c>
      <c r="B219">
        <v>2003</v>
      </c>
      <c r="C219" t="s">
        <v>263</v>
      </c>
      <c r="D219" t="s">
        <v>45</v>
      </c>
      <c r="E219" t="s">
        <v>1429</v>
      </c>
      <c r="G219" s="2">
        <v>5</v>
      </c>
      <c r="H219" t="s">
        <v>237</v>
      </c>
      <c r="I219" t="s">
        <v>13</v>
      </c>
      <c r="J219" s="11">
        <v>1556.3025007672873</v>
      </c>
      <c r="K219" t="str">
        <f t="shared" si="6"/>
        <v>Tom Goodwin</v>
      </c>
      <c r="M219" t="s">
        <v>1131</v>
      </c>
      <c r="N219" t="s">
        <v>404</v>
      </c>
      <c r="O219" s="26">
        <v>3</v>
      </c>
      <c r="Q219" t="s">
        <v>610</v>
      </c>
      <c r="R219" t="s">
        <v>609</v>
      </c>
      <c r="S219" s="26">
        <v>9</v>
      </c>
      <c r="U219" t="s">
        <v>677</v>
      </c>
      <c r="V219" t="s">
        <v>676</v>
      </c>
      <c r="W219" t="s">
        <v>585</v>
      </c>
      <c r="X219" s="26">
        <v>4</v>
      </c>
    </row>
    <row r="220" spans="1:24" hidden="1" x14ac:dyDescent="0.35">
      <c r="A220">
        <f t="shared" si="7"/>
        <v>219</v>
      </c>
      <c r="B220">
        <v>2003</v>
      </c>
      <c r="C220" t="s">
        <v>263</v>
      </c>
      <c r="D220" t="s">
        <v>45</v>
      </c>
      <c r="E220" t="s">
        <v>1429</v>
      </c>
      <c r="G220" s="2">
        <v>6</v>
      </c>
      <c r="H220" t="s">
        <v>1313</v>
      </c>
      <c r="I220" t="s">
        <v>139</v>
      </c>
      <c r="J220" s="11">
        <v>1477.1212547196624</v>
      </c>
      <c r="K220" t="str">
        <f t="shared" si="6"/>
        <v>Mark Kolstad</v>
      </c>
      <c r="M220" t="s">
        <v>1252</v>
      </c>
      <c r="N220" t="s">
        <v>1253</v>
      </c>
      <c r="O220" s="26">
        <v>1</v>
      </c>
      <c r="Q220" t="s">
        <v>1220</v>
      </c>
      <c r="R220" t="s">
        <v>1219</v>
      </c>
      <c r="S220" s="26">
        <v>6</v>
      </c>
      <c r="U220" t="s">
        <v>1680</v>
      </c>
      <c r="V220" t="s">
        <v>1149</v>
      </c>
      <c r="W220" t="s">
        <v>799</v>
      </c>
      <c r="X220" s="26">
        <v>1</v>
      </c>
    </row>
    <row r="221" spans="1:24" hidden="1" x14ac:dyDescent="0.35">
      <c r="A221">
        <f t="shared" si="7"/>
        <v>220</v>
      </c>
      <c r="B221">
        <v>2003</v>
      </c>
      <c r="C221" t="s">
        <v>263</v>
      </c>
      <c r="D221" t="s">
        <v>45</v>
      </c>
      <c r="E221" t="s">
        <v>1429</v>
      </c>
      <c r="G221" s="2">
        <v>7</v>
      </c>
      <c r="H221" t="s">
        <v>1415</v>
      </c>
      <c r="I221" t="s">
        <v>196</v>
      </c>
      <c r="J221" s="11">
        <v>1410.1744650890491</v>
      </c>
      <c r="K221" t="str">
        <f t="shared" si="6"/>
        <v>Dave Marshall</v>
      </c>
      <c r="M221" t="s">
        <v>1337</v>
      </c>
      <c r="N221" t="s">
        <v>1338</v>
      </c>
      <c r="O221" s="26">
        <v>3</v>
      </c>
      <c r="Q221" t="s">
        <v>2282</v>
      </c>
      <c r="R221" t="s">
        <v>2281</v>
      </c>
      <c r="S221" s="26">
        <v>4</v>
      </c>
      <c r="U221" t="s">
        <v>1661</v>
      </c>
      <c r="V221" t="s">
        <v>165</v>
      </c>
      <c r="W221" t="s">
        <v>164</v>
      </c>
      <c r="X221" s="26">
        <v>2</v>
      </c>
    </row>
    <row r="222" spans="1:24" hidden="1" x14ac:dyDescent="0.35">
      <c r="A222">
        <f t="shared" si="7"/>
        <v>221</v>
      </c>
      <c r="B222">
        <v>2003</v>
      </c>
      <c r="C222" t="s">
        <v>263</v>
      </c>
      <c r="D222" t="s">
        <v>45</v>
      </c>
      <c r="E222" t="s">
        <v>1429</v>
      </c>
      <c r="G222" s="2">
        <v>8</v>
      </c>
      <c r="H222" t="s">
        <v>390</v>
      </c>
      <c r="I222" t="s">
        <v>391</v>
      </c>
      <c r="J222" s="11">
        <v>1352.1825181113625</v>
      </c>
      <c r="K222" t="str">
        <f t="shared" si="6"/>
        <v>Josh Paley</v>
      </c>
      <c r="M222" t="s">
        <v>1520</v>
      </c>
      <c r="N222" t="s">
        <v>1521</v>
      </c>
      <c r="O222" s="26">
        <v>1</v>
      </c>
      <c r="Q222" t="s">
        <v>676</v>
      </c>
      <c r="R222" t="s">
        <v>585</v>
      </c>
      <c r="S222" s="26">
        <v>4</v>
      </c>
      <c r="U222" t="s">
        <v>1669</v>
      </c>
      <c r="V222" t="s">
        <v>81</v>
      </c>
      <c r="W222" t="s">
        <v>80</v>
      </c>
      <c r="X222" s="26">
        <v>4</v>
      </c>
    </row>
    <row r="223" spans="1:24" hidden="1" x14ac:dyDescent="0.35">
      <c r="A223">
        <f t="shared" si="7"/>
        <v>222</v>
      </c>
      <c r="B223">
        <v>2003</v>
      </c>
      <c r="C223" t="s">
        <v>263</v>
      </c>
      <c r="D223" t="s">
        <v>45</v>
      </c>
      <c r="E223" t="s">
        <v>1429</v>
      </c>
      <c r="G223" s="2">
        <v>9</v>
      </c>
      <c r="H223" t="s">
        <v>31</v>
      </c>
      <c r="I223" t="s">
        <v>32</v>
      </c>
      <c r="J223" s="11">
        <v>1301.0299956639813</v>
      </c>
      <c r="K223" t="str">
        <f t="shared" si="6"/>
        <v>Caryl Aronson</v>
      </c>
      <c r="M223" t="s">
        <v>1234</v>
      </c>
      <c r="N223" t="s">
        <v>890</v>
      </c>
      <c r="O223" s="26">
        <v>3</v>
      </c>
      <c r="Q223" t="s">
        <v>1149</v>
      </c>
      <c r="R223" t="s">
        <v>799</v>
      </c>
      <c r="S223" s="26">
        <v>1</v>
      </c>
      <c r="U223" t="s">
        <v>973</v>
      </c>
      <c r="V223" t="s">
        <v>81</v>
      </c>
      <c r="W223" t="s">
        <v>972</v>
      </c>
      <c r="X223" s="26">
        <v>5</v>
      </c>
    </row>
    <row r="224" spans="1:24" hidden="1" x14ac:dyDescent="0.35">
      <c r="A224">
        <f t="shared" si="7"/>
        <v>223</v>
      </c>
      <c r="B224">
        <v>2003</v>
      </c>
      <c r="C224" t="s">
        <v>263</v>
      </c>
      <c r="D224" t="s">
        <v>45</v>
      </c>
      <c r="E224" t="s">
        <v>1429</v>
      </c>
      <c r="G224" s="2">
        <v>10</v>
      </c>
      <c r="H224" t="s">
        <v>1418</v>
      </c>
      <c r="I224" t="s">
        <v>101</v>
      </c>
      <c r="J224" s="11">
        <v>1255.272505103306</v>
      </c>
      <c r="K224" t="str">
        <f t="shared" si="6"/>
        <v>Dean Waters</v>
      </c>
      <c r="M224" t="s">
        <v>111</v>
      </c>
      <c r="N224" t="s">
        <v>16</v>
      </c>
      <c r="O224" s="26">
        <v>18</v>
      </c>
      <c r="Q224" t="s">
        <v>2569</v>
      </c>
      <c r="R224" t="s">
        <v>436</v>
      </c>
      <c r="S224" s="26">
        <v>1</v>
      </c>
      <c r="U224" t="s">
        <v>1074</v>
      </c>
      <c r="V224" t="s">
        <v>81</v>
      </c>
      <c r="W224" t="s">
        <v>890</v>
      </c>
      <c r="X224" s="26">
        <v>5</v>
      </c>
    </row>
    <row r="225" spans="1:24" hidden="1" x14ac:dyDescent="0.35">
      <c r="A225">
        <f t="shared" si="7"/>
        <v>224</v>
      </c>
      <c r="B225">
        <v>2003</v>
      </c>
      <c r="C225" t="s">
        <v>263</v>
      </c>
      <c r="D225" t="s">
        <v>45</v>
      </c>
      <c r="E225" t="s">
        <v>1429</v>
      </c>
      <c r="G225" s="2">
        <v>11</v>
      </c>
      <c r="H225" t="s">
        <v>183</v>
      </c>
      <c r="I225" t="s">
        <v>11</v>
      </c>
      <c r="J225" s="11">
        <v>1213.879819945081</v>
      </c>
      <c r="K225" t="str">
        <f t="shared" si="6"/>
        <v>Paul White</v>
      </c>
      <c r="M225" t="s">
        <v>103</v>
      </c>
      <c r="N225" t="s">
        <v>104</v>
      </c>
      <c r="O225" s="26">
        <v>8</v>
      </c>
      <c r="Q225" t="s">
        <v>165</v>
      </c>
      <c r="R225" t="s">
        <v>164</v>
      </c>
      <c r="S225" s="26">
        <v>2</v>
      </c>
      <c r="U225" t="s">
        <v>303</v>
      </c>
      <c r="V225" t="s">
        <v>81</v>
      </c>
      <c r="W225" t="s">
        <v>302</v>
      </c>
      <c r="X225" s="26">
        <v>10</v>
      </c>
    </row>
    <row r="226" spans="1:24" hidden="1" x14ac:dyDescent="0.35">
      <c r="A226">
        <f t="shared" si="7"/>
        <v>225</v>
      </c>
      <c r="B226">
        <v>2003</v>
      </c>
      <c r="C226" t="s">
        <v>263</v>
      </c>
      <c r="D226" t="s">
        <v>45</v>
      </c>
      <c r="E226" t="s">
        <v>1429</v>
      </c>
      <c r="G226" s="2">
        <v>12</v>
      </c>
      <c r="H226" t="s">
        <v>898</v>
      </c>
      <c r="I226" t="s">
        <v>899</v>
      </c>
      <c r="J226" s="11">
        <v>1176.0912590556811</v>
      </c>
      <c r="K226" t="str">
        <f t="shared" si="6"/>
        <v>Harry Baldwin</v>
      </c>
      <c r="M226" t="s">
        <v>1437</v>
      </c>
      <c r="N226" t="s">
        <v>44</v>
      </c>
      <c r="O226" s="26">
        <v>12</v>
      </c>
      <c r="Q226" t="s">
        <v>81</v>
      </c>
      <c r="R226" t="s">
        <v>80</v>
      </c>
      <c r="S226" s="26">
        <v>4</v>
      </c>
      <c r="U226" t="s">
        <v>657</v>
      </c>
      <c r="V226" t="s">
        <v>81</v>
      </c>
      <c r="W226" t="s">
        <v>656</v>
      </c>
      <c r="X226" s="26">
        <v>4</v>
      </c>
    </row>
    <row r="227" spans="1:24" hidden="1" x14ac:dyDescent="0.35">
      <c r="A227">
        <f t="shared" si="7"/>
        <v>226</v>
      </c>
      <c r="B227">
        <v>2003</v>
      </c>
      <c r="C227" t="s">
        <v>263</v>
      </c>
      <c r="D227" t="s">
        <v>45</v>
      </c>
      <c r="E227" t="s">
        <v>1429</v>
      </c>
      <c r="G227" s="2">
        <v>13</v>
      </c>
      <c r="H227" t="s">
        <v>268</v>
      </c>
      <c r="I227" t="s">
        <v>269</v>
      </c>
      <c r="J227" s="11">
        <v>1141.3291527964693</v>
      </c>
      <c r="K227" t="str">
        <f t="shared" si="6"/>
        <v>Keith Fichtemaier</v>
      </c>
      <c r="M227" t="s">
        <v>1296</v>
      </c>
      <c r="N227" t="s">
        <v>190</v>
      </c>
      <c r="O227" s="26">
        <v>2</v>
      </c>
      <c r="R227" t="s">
        <v>972</v>
      </c>
      <c r="S227" s="26">
        <v>5</v>
      </c>
      <c r="U227" t="s">
        <v>988</v>
      </c>
      <c r="V227" t="s">
        <v>846</v>
      </c>
      <c r="W227" t="s">
        <v>554</v>
      </c>
      <c r="X227" s="26">
        <v>3</v>
      </c>
    </row>
    <row r="228" spans="1:24" hidden="1" x14ac:dyDescent="0.35">
      <c r="A228">
        <f t="shared" si="7"/>
        <v>227</v>
      </c>
      <c r="B228">
        <v>2003</v>
      </c>
      <c r="C228" t="s">
        <v>263</v>
      </c>
      <c r="D228" t="s">
        <v>45</v>
      </c>
      <c r="E228" t="s">
        <v>1429</v>
      </c>
      <c r="G228" s="2">
        <v>14</v>
      </c>
      <c r="H228" t="s">
        <v>958</v>
      </c>
      <c r="I228" t="s">
        <v>122</v>
      </c>
      <c r="J228" s="11">
        <v>1109.1444694250681</v>
      </c>
      <c r="K228" t="str">
        <f t="shared" si="6"/>
        <v>Andy Bloch</v>
      </c>
      <c r="M228" t="s">
        <v>1010</v>
      </c>
      <c r="N228" t="s">
        <v>1011</v>
      </c>
      <c r="O228" s="26">
        <v>1</v>
      </c>
      <c r="R228" t="s">
        <v>890</v>
      </c>
      <c r="S228" s="26">
        <v>5</v>
      </c>
      <c r="U228" t="s">
        <v>1614</v>
      </c>
      <c r="V228" t="s">
        <v>489</v>
      </c>
      <c r="W228" t="s">
        <v>116</v>
      </c>
      <c r="X228" s="26">
        <v>6</v>
      </c>
    </row>
    <row r="229" spans="1:24" hidden="1" x14ac:dyDescent="0.35">
      <c r="A229">
        <f t="shared" si="7"/>
        <v>228</v>
      </c>
      <c r="B229">
        <v>2003</v>
      </c>
      <c r="C229" t="s">
        <v>263</v>
      </c>
      <c r="D229" t="s">
        <v>45</v>
      </c>
      <c r="E229" t="s">
        <v>1429</v>
      </c>
      <c r="G229" s="2">
        <v>15</v>
      </c>
      <c r="H229" t="s">
        <v>629</v>
      </c>
      <c r="I229" t="s">
        <v>20</v>
      </c>
      <c r="J229" s="11">
        <v>1079.1812460476247</v>
      </c>
      <c r="K229" t="str">
        <f t="shared" si="6"/>
        <v>Barry Tanenbaum</v>
      </c>
      <c r="M229" t="s">
        <v>1177</v>
      </c>
      <c r="N229" t="s">
        <v>717</v>
      </c>
      <c r="O229" s="26">
        <v>5</v>
      </c>
      <c r="R229" t="s">
        <v>302</v>
      </c>
      <c r="S229" s="26">
        <v>10</v>
      </c>
      <c r="U229" t="s">
        <v>1043</v>
      </c>
      <c r="V229" t="s">
        <v>38</v>
      </c>
      <c r="W229" t="s">
        <v>1042</v>
      </c>
      <c r="X229" s="26">
        <v>1</v>
      </c>
    </row>
    <row r="230" spans="1:24" hidden="1" x14ac:dyDescent="0.35">
      <c r="A230">
        <f t="shared" si="7"/>
        <v>229</v>
      </c>
      <c r="B230">
        <v>2003</v>
      </c>
      <c r="C230" t="s">
        <v>263</v>
      </c>
      <c r="D230" t="s">
        <v>45</v>
      </c>
      <c r="E230" t="s">
        <v>1429</v>
      </c>
      <c r="G230" s="2">
        <v>16</v>
      </c>
      <c r="H230" t="s">
        <v>1421</v>
      </c>
      <c r="I230" t="s">
        <v>13</v>
      </c>
      <c r="J230" s="11">
        <v>1051.1525224473812</v>
      </c>
      <c r="K230" t="str">
        <f t="shared" si="6"/>
        <v>Tom McEvoy</v>
      </c>
      <c r="M230" t="s">
        <v>771</v>
      </c>
      <c r="N230" t="s">
        <v>267</v>
      </c>
      <c r="O230" s="26">
        <v>1</v>
      </c>
      <c r="R230" t="s">
        <v>656</v>
      </c>
      <c r="S230" s="26">
        <v>4</v>
      </c>
      <c r="U230" t="s">
        <v>1537</v>
      </c>
      <c r="V230" t="s">
        <v>38</v>
      </c>
      <c r="W230" t="s">
        <v>37</v>
      </c>
      <c r="X230" s="26">
        <v>22</v>
      </c>
    </row>
    <row r="231" spans="1:24" hidden="1" x14ac:dyDescent="0.35">
      <c r="A231">
        <f t="shared" si="7"/>
        <v>230</v>
      </c>
      <c r="B231">
        <v>2003</v>
      </c>
      <c r="C231" t="s">
        <v>263</v>
      </c>
      <c r="D231" t="s">
        <v>45</v>
      </c>
      <c r="E231" t="s">
        <v>1429</v>
      </c>
      <c r="G231" s="2">
        <v>17</v>
      </c>
      <c r="H231" t="s">
        <v>1423</v>
      </c>
      <c r="I231" t="s">
        <v>89</v>
      </c>
      <c r="J231" s="11">
        <v>1024.8235837250322</v>
      </c>
      <c r="K231" t="str">
        <f t="shared" si="6"/>
        <v>Ken Zarifes</v>
      </c>
      <c r="M231" t="s">
        <v>1445</v>
      </c>
      <c r="N231" t="s">
        <v>1011</v>
      </c>
      <c r="O231" s="26">
        <v>1</v>
      </c>
      <c r="Q231" t="s">
        <v>846</v>
      </c>
      <c r="R231" t="s">
        <v>80</v>
      </c>
      <c r="S231" s="26">
        <v>1</v>
      </c>
      <c r="U231" t="s">
        <v>1531</v>
      </c>
      <c r="V231" t="s">
        <v>38</v>
      </c>
      <c r="W231" t="s">
        <v>895</v>
      </c>
      <c r="X231" s="26">
        <v>2</v>
      </c>
    </row>
    <row r="232" spans="1:24" hidden="1" x14ac:dyDescent="0.35">
      <c r="A232">
        <f t="shared" si="7"/>
        <v>231</v>
      </c>
      <c r="B232">
        <v>2003</v>
      </c>
      <c r="C232" t="s">
        <v>263</v>
      </c>
      <c r="D232" t="s">
        <v>45</v>
      </c>
      <c r="E232" t="s">
        <v>1429</v>
      </c>
      <c r="G232" s="2">
        <v>18</v>
      </c>
      <c r="H232" t="s">
        <v>1425</v>
      </c>
      <c r="I232" t="s">
        <v>388</v>
      </c>
      <c r="J232" s="11">
        <v>1000</v>
      </c>
      <c r="K232" t="str">
        <f t="shared" si="6"/>
        <v>Charles Haynes</v>
      </c>
      <c r="N232" t="s">
        <v>1746</v>
      </c>
      <c r="O232" s="26">
        <v>3</v>
      </c>
      <c r="R232" t="s">
        <v>554</v>
      </c>
      <c r="S232" s="26">
        <v>3</v>
      </c>
      <c r="U232" t="s">
        <v>1559</v>
      </c>
      <c r="V232" t="s">
        <v>520</v>
      </c>
      <c r="W232" t="s">
        <v>519</v>
      </c>
      <c r="X232" s="26">
        <v>2</v>
      </c>
    </row>
    <row r="233" spans="1:24" hidden="1" x14ac:dyDescent="0.35">
      <c r="A233">
        <f t="shared" si="7"/>
        <v>232</v>
      </c>
      <c r="B233">
        <v>2003</v>
      </c>
      <c r="C233" t="s">
        <v>263</v>
      </c>
      <c r="D233" t="s">
        <v>110</v>
      </c>
      <c r="E233" t="s">
        <v>1430</v>
      </c>
      <c r="G233" s="2">
        <v>1</v>
      </c>
      <c r="H233" t="s">
        <v>821</v>
      </c>
      <c r="I233" t="s">
        <v>822</v>
      </c>
      <c r="J233" s="11">
        <v>2158.3624920952498</v>
      </c>
      <c r="K233" t="str">
        <f t="shared" si="6"/>
        <v>Gavin Smith</v>
      </c>
      <c r="M233" t="s">
        <v>260</v>
      </c>
      <c r="N233" t="s">
        <v>20</v>
      </c>
      <c r="O233" s="26">
        <v>2</v>
      </c>
      <c r="Q233" t="s">
        <v>489</v>
      </c>
      <c r="R233" t="s">
        <v>116</v>
      </c>
      <c r="S233" s="26">
        <v>6</v>
      </c>
      <c r="U233" t="s">
        <v>1290</v>
      </c>
      <c r="V233" t="s">
        <v>1289</v>
      </c>
      <c r="W233" t="s">
        <v>1288</v>
      </c>
      <c r="X233" s="26">
        <v>1</v>
      </c>
    </row>
    <row r="234" spans="1:24" hidden="1" x14ac:dyDescent="0.35">
      <c r="A234">
        <f t="shared" si="7"/>
        <v>233</v>
      </c>
      <c r="B234">
        <v>2003</v>
      </c>
      <c r="C234" t="s">
        <v>263</v>
      </c>
      <c r="D234" t="s">
        <v>110</v>
      </c>
      <c r="E234" t="s">
        <v>1430</v>
      </c>
      <c r="G234" s="2">
        <v>2</v>
      </c>
      <c r="H234" t="s">
        <v>299</v>
      </c>
      <c r="I234" t="s">
        <v>300</v>
      </c>
      <c r="J234" s="11">
        <v>1857.3324964312685</v>
      </c>
      <c r="K234" t="str">
        <f t="shared" si="6"/>
        <v>Gillian Groves</v>
      </c>
      <c r="M234" t="s">
        <v>437</v>
      </c>
      <c r="N234" t="s">
        <v>438</v>
      </c>
      <c r="O234" s="26">
        <v>1</v>
      </c>
      <c r="Q234" t="s">
        <v>38</v>
      </c>
      <c r="R234" t="s">
        <v>1042</v>
      </c>
      <c r="S234" s="26">
        <v>1</v>
      </c>
      <c r="U234" t="s">
        <v>834</v>
      </c>
      <c r="V234" t="s">
        <v>644</v>
      </c>
      <c r="W234" t="s">
        <v>645</v>
      </c>
      <c r="X234" s="26">
        <v>4</v>
      </c>
    </row>
    <row r="235" spans="1:24" hidden="1" x14ac:dyDescent="0.35">
      <c r="A235">
        <f t="shared" si="7"/>
        <v>234</v>
      </c>
      <c r="B235">
        <v>2003</v>
      </c>
      <c r="C235" t="s">
        <v>263</v>
      </c>
      <c r="D235" t="s">
        <v>110</v>
      </c>
      <c r="E235" t="s">
        <v>1430</v>
      </c>
      <c r="G235" s="2">
        <v>3</v>
      </c>
      <c r="H235" t="s">
        <v>1069</v>
      </c>
      <c r="I235" t="s">
        <v>16</v>
      </c>
      <c r="J235" s="11">
        <v>1681.2412373755874</v>
      </c>
      <c r="K235" t="str">
        <f t="shared" si="6"/>
        <v>David Huberman</v>
      </c>
      <c r="M235" t="s">
        <v>991</v>
      </c>
      <c r="N235" t="s">
        <v>64</v>
      </c>
      <c r="O235" s="26">
        <v>1</v>
      </c>
      <c r="R235" t="s">
        <v>37</v>
      </c>
      <c r="S235" s="26">
        <v>22</v>
      </c>
      <c r="U235" t="s">
        <v>805</v>
      </c>
      <c r="V235" t="s">
        <v>644</v>
      </c>
      <c r="W235" t="s">
        <v>804</v>
      </c>
      <c r="X235" s="26">
        <v>5</v>
      </c>
    </row>
    <row r="236" spans="1:24" hidden="1" x14ac:dyDescent="0.35">
      <c r="A236">
        <f t="shared" si="7"/>
        <v>235</v>
      </c>
      <c r="B236">
        <v>2003</v>
      </c>
      <c r="C236" t="s">
        <v>263</v>
      </c>
      <c r="D236" t="s">
        <v>110</v>
      </c>
      <c r="E236" t="s">
        <v>1430</v>
      </c>
      <c r="G236" s="2">
        <v>4</v>
      </c>
      <c r="H236" t="s">
        <v>268</v>
      </c>
      <c r="I236" t="s">
        <v>269</v>
      </c>
      <c r="J236" s="11">
        <v>1556.3025007672873</v>
      </c>
      <c r="K236" t="str">
        <f t="shared" si="6"/>
        <v>Keith Fichtemaier</v>
      </c>
      <c r="M236" t="s">
        <v>981</v>
      </c>
      <c r="N236" t="s">
        <v>982</v>
      </c>
      <c r="O236" s="26">
        <v>4</v>
      </c>
      <c r="R236" t="s">
        <v>895</v>
      </c>
      <c r="S236" s="26">
        <v>2</v>
      </c>
      <c r="U236" t="s">
        <v>535</v>
      </c>
      <c r="V236" t="s">
        <v>534</v>
      </c>
      <c r="W236" t="s">
        <v>533</v>
      </c>
      <c r="X236" s="26">
        <v>6</v>
      </c>
    </row>
    <row r="237" spans="1:24" hidden="1" x14ac:dyDescent="0.35">
      <c r="A237">
        <f t="shared" si="7"/>
        <v>236</v>
      </c>
      <c r="B237">
        <v>2003</v>
      </c>
      <c r="C237" t="s">
        <v>263</v>
      </c>
      <c r="D237" t="s">
        <v>110</v>
      </c>
      <c r="E237" t="s">
        <v>1430</v>
      </c>
      <c r="G237" s="2">
        <v>5</v>
      </c>
      <c r="H237" t="s">
        <v>216</v>
      </c>
      <c r="I237" t="s">
        <v>65</v>
      </c>
      <c r="J237" s="11">
        <v>1459.392487759231</v>
      </c>
      <c r="K237" t="str">
        <f t="shared" si="6"/>
        <v>Steve Watanabe</v>
      </c>
      <c r="M237" t="s">
        <v>55</v>
      </c>
      <c r="N237" t="s">
        <v>56</v>
      </c>
      <c r="O237" s="26">
        <v>5</v>
      </c>
      <c r="Q237" t="s">
        <v>520</v>
      </c>
      <c r="R237" t="s">
        <v>519</v>
      </c>
      <c r="S237" s="26">
        <v>2</v>
      </c>
      <c r="U237" t="s">
        <v>447</v>
      </c>
      <c r="V237" t="s">
        <v>446</v>
      </c>
      <c r="W237" t="s">
        <v>445</v>
      </c>
      <c r="X237" s="26">
        <v>8</v>
      </c>
    </row>
    <row r="238" spans="1:24" hidden="1" x14ac:dyDescent="0.35">
      <c r="A238">
        <f t="shared" si="7"/>
        <v>237</v>
      </c>
      <c r="B238">
        <v>2003</v>
      </c>
      <c r="C238" t="s">
        <v>263</v>
      </c>
      <c r="D238" t="s">
        <v>110</v>
      </c>
      <c r="E238" t="s">
        <v>1430</v>
      </c>
      <c r="G238" s="2">
        <v>6</v>
      </c>
      <c r="H238" t="s">
        <v>318</v>
      </c>
      <c r="I238" t="s">
        <v>44</v>
      </c>
      <c r="J238" s="11">
        <v>1380.2112417116061</v>
      </c>
      <c r="K238" t="str">
        <f t="shared" si="6"/>
        <v>Mike McManus</v>
      </c>
      <c r="M238" t="s">
        <v>710</v>
      </c>
      <c r="N238" t="s">
        <v>11</v>
      </c>
      <c r="O238" s="26">
        <v>1</v>
      </c>
      <c r="Q238" t="s">
        <v>1289</v>
      </c>
      <c r="R238" t="s">
        <v>1288</v>
      </c>
      <c r="S238" s="26">
        <v>1</v>
      </c>
      <c r="U238" t="s">
        <v>1310</v>
      </c>
      <c r="V238" t="s">
        <v>1309</v>
      </c>
      <c r="W238" t="s">
        <v>1308</v>
      </c>
      <c r="X238" s="26">
        <v>2</v>
      </c>
    </row>
    <row r="239" spans="1:24" hidden="1" x14ac:dyDescent="0.35">
      <c r="A239">
        <f t="shared" si="7"/>
        <v>238</v>
      </c>
      <c r="B239">
        <v>2003</v>
      </c>
      <c r="C239" t="s">
        <v>263</v>
      </c>
      <c r="D239" t="s">
        <v>110</v>
      </c>
      <c r="E239" t="s">
        <v>1430</v>
      </c>
      <c r="G239" s="2">
        <v>7</v>
      </c>
      <c r="H239" t="s">
        <v>664</v>
      </c>
      <c r="I239" t="s">
        <v>665</v>
      </c>
      <c r="J239" s="11">
        <v>1313.2644520809929</v>
      </c>
      <c r="K239" t="str">
        <f t="shared" si="6"/>
        <v>Robert Hwang</v>
      </c>
      <c r="M239" t="s">
        <v>1458</v>
      </c>
      <c r="N239" t="s">
        <v>67</v>
      </c>
      <c r="O239" s="26">
        <v>6</v>
      </c>
      <c r="Q239" t="s">
        <v>644</v>
      </c>
      <c r="R239" t="s">
        <v>645</v>
      </c>
      <c r="S239" s="26">
        <v>4</v>
      </c>
      <c r="U239" t="s">
        <v>2382</v>
      </c>
      <c r="V239" t="s">
        <v>1050</v>
      </c>
      <c r="W239" t="s">
        <v>1504</v>
      </c>
      <c r="X239" s="26">
        <v>5</v>
      </c>
    </row>
    <row r="240" spans="1:24" hidden="1" x14ac:dyDescent="0.35">
      <c r="A240">
        <f t="shared" si="7"/>
        <v>239</v>
      </c>
      <c r="B240">
        <v>2003</v>
      </c>
      <c r="C240" t="s">
        <v>263</v>
      </c>
      <c r="D240" t="s">
        <v>110</v>
      </c>
      <c r="E240" t="s">
        <v>1430</v>
      </c>
      <c r="G240" s="2">
        <v>8</v>
      </c>
      <c r="H240" t="s">
        <v>285</v>
      </c>
      <c r="I240" t="s">
        <v>119</v>
      </c>
      <c r="J240" s="11">
        <v>1255.2725051033062</v>
      </c>
      <c r="K240" t="str">
        <f t="shared" si="6"/>
        <v>Peter Secor</v>
      </c>
      <c r="M240" t="s">
        <v>1384</v>
      </c>
      <c r="N240" t="s">
        <v>1385</v>
      </c>
      <c r="O240" s="26">
        <v>1</v>
      </c>
      <c r="R240" t="s">
        <v>804</v>
      </c>
      <c r="S240" s="26">
        <v>5</v>
      </c>
      <c r="U240" t="s">
        <v>1107</v>
      </c>
      <c r="V240" t="s">
        <v>1106</v>
      </c>
      <c r="W240" t="s">
        <v>1105</v>
      </c>
      <c r="X240" s="26">
        <v>6</v>
      </c>
    </row>
    <row r="241" spans="1:24" hidden="1" x14ac:dyDescent="0.35">
      <c r="A241">
        <f t="shared" si="7"/>
        <v>240</v>
      </c>
      <c r="B241">
        <v>2003</v>
      </c>
      <c r="C241" t="s">
        <v>263</v>
      </c>
      <c r="D241" t="s">
        <v>110</v>
      </c>
      <c r="E241" t="s">
        <v>1430</v>
      </c>
      <c r="G241" s="2">
        <v>9</v>
      </c>
      <c r="H241" t="s">
        <v>1317</v>
      </c>
      <c r="I241" t="s">
        <v>1318</v>
      </c>
      <c r="J241" s="11">
        <v>1204.119982655925</v>
      </c>
      <c r="K241" t="str">
        <f t="shared" si="6"/>
        <v>Beth Even</v>
      </c>
      <c r="M241" t="s">
        <v>807</v>
      </c>
      <c r="N241" t="s">
        <v>808</v>
      </c>
      <c r="O241" s="26">
        <v>1</v>
      </c>
      <c r="Q241" t="s">
        <v>534</v>
      </c>
      <c r="R241" t="s">
        <v>533</v>
      </c>
      <c r="S241" s="26">
        <v>6</v>
      </c>
      <c r="U241" t="s">
        <v>1476</v>
      </c>
      <c r="V241" t="s">
        <v>1226</v>
      </c>
      <c r="W241" t="s">
        <v>1225</v>
      </c>
      <c r="X241" s="26">
        <v>1</v>
      </c>
    </row>
    <row r="242" spans="1:24" hidden="1" x14ac:dyDescent="0.35">
      <c r="A242">
        <f t="shared" si="7"/>
        <v>241</v>
      </c>
      <c r="B242">
        <v>2003</v>
      </c>
      <c r="C242" t="s">
        <v>893</v>
      </c>
      <c r="D242" t="s">
        <v>509</v>
      </c>
      <c r="E242" t="s">
        <v>509</v>
      </c>
      <c r="G242" s="2">
        <v>1</v>
      </c>
      <c r="H242" t="s">
        <v>50</v>
      </c>
      <c r="I242" t="s">
        <v>25</v>
      </c>
      <c r="J242" s="11">
        <v>1763.4279935629374</v>
      </c>
      <c r="K242" t="str">
        <f t="shared" si="6"/>
        <v>Russell Fox</v>
      </c>
      <c r="M242" t="s">
        <v>874</v>
      </c>
      <c r="N242" t="s">
        <v>136</v>
      </c>
      <c r="O242" s="26">
        <v>1</v>
      </c>
      <c r="Q242" t="s">
        <v>446</v>
      </c>
      <c r="R242" t="s">
        <v>445</v>
      </c>
      <c r="S242" s="26">
        <v>8</v>
      </c>
      <c r="U242" t="s">
        <v>790</v>
      </c>
      <c r="V242" t="s">
        <v>77</v>
      </c>
      <c r="W242" t="s">
        <v>789</v>
      </c>
      <c r="X242" s="26">
        <v>2</v>
      </c>
    </row>
    <row r="243" spans="1:24" hidden="1" x14ac:dyDescent="0.35">
      <c r="A243">
        <f t="shared" si="7"/>
        <v>242</v>
      </c>
      <c r="B243">
        <v>2003</v>
      </c>
      <c r="C243" t="s">
        <v>893</v>
      </c>
      <c r="D243" t="s">
        <v>509</v>
      </c>
      <c r="E243" t="s">
        <v>509</v>
      </c>
      <c r="G243" s="2">
        <v>2</v>
      </c>
      <c r="H243" t="s">
        <v>287</v>
      </c>
      <c r="I243" t="s">
        <v>125</v>
      </c>
      <c r="J243" s="11">
        <v>1462.3979978989562</v>
      </c>
      <c r="K243" t="str">
        <f t="shared" si="6"/>
        <v>Ronald Nutt</v>
      </c>
      <c r="M243" t="s">
        <v>1206</v>
      </c>
      <c r="N243" t="s">
        <v>159</v>
      </c>
      <c r="O243" s="26">
        <v>1</v>
      </c>
      <c r="Q243" t="s">
        <v>1309</v>
      </c>
      <c r="R243" t="s">
        <v>1308</v>
      </c>
      <c r="S243" s="26">
        <v>2</v>
      </c>
      <c r="U243" t="s">
        <v>1324</v>
      </c>
      <c r="V243" t="s">
        <v>77</v>
      </c>
      <c r="W243" t="s">
        <v>358</v>
      </c>
      <c r="X243" s="26">
        <v>2</v>
      </c>
    </row>
    <row r="244" spans="1:24" hidden="1" x14ac:dyDescent="0.35">
      <c r="A244">
        <f t="shared" si="7"/>
        <v>243</v>
      </c>
      <c r="B244">
        <v>2003</v>
      </c>
      <c r="C244" t="s">
        <v>893</v>
      </c>
      <c r="D244" t="s">
        <v>509</v>
      </c>
      <c r="E244" t="s">
        <v>509</v>
      </c>
      <c r="G244" s="2">
        <v>3</v>
      </c>
      <c r="H244" t="s">
        <v>285</v>
      </c>
      <c r="I244" t="s">
        <v>119</v>
      </c>
      <c r="J244" s="11">
        <v>1286.3067388432748</v>
      </c>
      <c r="K244" t="str">
        <f t="shared" si="6"/>
        <v>Peter Secor</v>
      </c>
      <c r="M244" t="s">
        <v>86</v>
      </c>
      <c r="N244" t="s">
        <v>393</v>
      </c>
      <c r="O244" s="26">
        <v>6</v>
      </c>
      <c r="Q244" t="s">
        <v>1050</v>
      </c>
      <c r="R244" t="s">
        <v>1504</v>
      </c>
      <c r="S244" s="26">
        <v>5</v>
      </c>
      <c r="U244" t="s">
        <v>1463</v>
      </c>
      <c r="V244" t="s">
        <v>77</v>
      </c>
      <c r="W244" t="s">
        <v>76</v>
      </c>
      <c r="X244" s="26">
        <v>4</v>
      </c>
    </row>
    <row r="245" spans="1:24" hidden="1" x14ac:dyDescent="0.35">
      <c r="A245">
        <f t="shared" si="7"/>
        <v>244</v>
      </c>
      <c r="B245">
        <v>2003</v>
      </c>
      <c r="C245" t="s">
        <v>893</v>
      </c>
      <c r="D245" t="s">
        <v>509</v>
      </c>
      <c r="E245" t="s">
        <v>509</v>
      </c>
      <c r="G245" s="2">
        <v>4</v>
      </c>
      <c r="H245" t="s">
        <v>895</v>
      </c>
      <c r="I245" t="s">
        <v>67</v>
      </c>
      <c r="J245" s="11">
        <v>1161.3680022349749</v>
      </c>
      <c r="K245" t="str">
        <f t="shared" si="6"/>
        <v>Bob Maher</v>
      </c>
      <c r="N245" t="s">
        <v>271</v>
      </c>
      <c r="O245" s="26">
        <v>41</v>
      </c>
      <c r="Q245" t="s">
        <v>1106</v>
      </c>
      <c r="R245" t="s">
        <v>1105</v>
      </c>
      <c r="S245" s="26">
        <v>6</v>
      </c>
      <c r="U245" t="s">
        <v>2477</v>
      </c>
      <c r="V245" t="s">
        <v>77</v>
      </c>
      <c r="W245" t="s">
        <v>2476</v>
      </c>
      <c r="X245" s="26">
        <v>7</v>
      </c>
    </row>
    <row r="246" spans="1:24" hidden="1" x14ac:dyDescent="0.35">
      <c r="A246">
        <f t="shared" si="7"/>
        <v>245</v>
      </c>
      <c r="B246">
        <v>2003</v>
      </c>
      <c r="C246" t="s">
        <v>893</v>
      </c>
      <c r="D246" t="s">
        <v>509</v>
      </c>
      <c r="E246" t="s">
        <v>509</v>
      </c>
      <c r="G246" s="2">
        <v>5</v>
      </c>
      <c r="H246" t="s">
        <v>377</v>
      </c>
      <c r="I246" t="s">
        <v>119</v>
      </c>
      <c r="J246" s="11">
        <v>1064.4579892269187</v>
      </c>
      <c r="K246" t="str">
        <f t="shared" si="6"/>
        <v>Peter Stephenson</v>
      </c>
      <c r="N246" t="s">
        <v>510</v>
      </c>
      <c r="O246" s="26">
        <v>9</v>
      </c>
      <c r="Q246" t="s">
        <v>1226</v>
      </c>
      <c r="R246" t="s">
        <v>1225</v>
      </c>
      <c r="S246" s="26">
        <v>1</v>
      </c>
      <c r="U246" t="s">
        <v>1477</v>
      </c>
      <c r="V246" t="s">
        <v>77</v>
      </c>
      <c r="W246" t="s">
        <v>412</v>
      </c>
      <c r="X246" s="26">
        <v>1</v>
      </c>
    </row>
    <row r="247" spans="1:24" hidden="1" x14ac:dyDescent="0.35">
      <c r="A247">
        <f t="shared" si="7"/>
        <v>246</v>
      </c>
      <c r="B247">
        <v>2003</v>
      </c>
      <c r="C247" t="s">
        <v>893</v>
      </c>
      <c r="D247" t="s">
        <v>509</v>
      </c>
      <c r="E247" t="s">
        <v>509</v>
      </c>
      <c r="G247" s="2">
        <v>6</v>
      </c>
      <c r="H247" t="s">
        <v>697</v>
      </c>
      <c r="I247" t="s">
        <v>200</v>
      </c>
      <c r="J247" s="11">
        <v>985.2767431792937</v>
      </c>
      <c r="K247" t="str">
        <f t="shared" si="6"/>
        <v>Rick Bevan</v>
      </c>
      <c r="N247" t="s">
        <v>87</v>
      </c>
      <c r="O247" s="26">
        <v>19</v>
      </c>
      <c r="Q247" t="s">
        <v>77</v>
      </c>
      <c r="R247" t="s">
        <v>789</v>
      </c>
      <c r="S247" s="26">
        <v>2</v>
      </c>
      <c r="U247" t="s">
        <v>1041</v>
      </c>
      <c r="V247" t="s">
        <v>77</v>
      </c>
      <c r="W247" t="s">
        <v>1040</v>
      </c>
      <c r="X247" s="26">
        <v>1</v>
      </c>
    </row>
    <row r="248" spans="1:24" hidden="1" x14ac:dyDescent="0.35">
      <c r="A248">
        <f t="shared" si="7"/>
        <v>247</v>
      </c>
      <c r="B248">
        <v>2003</v>
      </c>
      <c r="C248" t="s">
        <v>893</v>
      </c>
      <c r="D248" t="s">
        <v>509</v>
      </c>
      <c r="E248" t="s">
        <v>509</v>
      </c>
      <c r="G248" s="2">
        <v>7</v>
      </c>
      <c r="H248" t="s">
        <v>107</v>
      </c>
      <c r="I248" t="s">
        <v>108</v>
      </c>
      <c r="J248" s="11">
        <v>918.32995354868058</v>
      </c>
      <c r="K248" t="str">
        <f t="shared" si="6"/>
        <v>Kyle Minnis</v>
      </c>
      <c r="M248" t="s">
        <v>545</v>
      </c>
      <c r="N248" t="s">
        <v>159</v>
      </c>
      <c r="O248" s="26">
        <v>1</v>
      </c>
      <c r="R248" t="s">
        <v>358</v>
      </c>
      <c r="S248" s="26">
        <v>2</v>
      </c>
      <c r="U248" t="s">
        <v>503</v>
      </c>
      <c r="V248" t="s">
        <v>502</v>
      </c>
      <c r="W248" t="s">
        <v>501</v>
      </c>
      <c r="X248" s="26">
        <v>1</v>
      </c>
    </row>
    <row r="249" spans="1:24" hidden="1" x14ac:dyDescent="0.35">
      <c r="A249">
        <f t="shared" si="7"/>
        <v>248</v>
      </c>
      <c r="B249">
        <v>2003</v>
      </c>
      <c r="C249" t="s">
        <v>893</v>
      </c>
      <c r="D249" t="s">
        <v>509</v>
      </c>
      <c r="E249" t="s">
        <v>509</v>
      </c>
      <c r="G249" s="2">
        <v>8</v>
      </c>
      <c r="H249" t="s">
        <v>1102</v>
      </c>
      <c r="I249" t="s">
        <v>521</v>
      </c>
      <c r="J249" s="11">
        <v>860.3380065709938</v>
      </c>
      <c r="K249" t="str">
        <f t="shared" si="6"/>
        <v>Chuck Artigues</v>
      </c>
      <c r="N249" t="s">
        <v>425</v>
      </c>
      <c r="O249" s="26">
        <v>8</v>
      </c>
      <c r="R249" t="s">
        <v>76</v>
      </c>
      <c r="S249" s="26">
        <v>4</v>
      </c>
      <c r="U249" t="s">
        <v>1538</v>
      </c>
      <c r="V249" t="s">
        <v>516</v>
      </c>
      <c r="W249" t="s">
        <v>1459</v>
      </c>
      <c r="X249" s="26">
        <v>7</v>
      </c>
    </row>
    <row r="250" spans="1:24" hidden="1" x14ac:dyDescent="0.35">
      <c r="A250">
        <f t="shared" si="7"/>
        <v>249</v>
      </c>
      <c r="B250">
        <v>2003</v>
      </c>
      <c r="C250" t="s">
        <v>893</v>
      </c>
      <c r="D250" t="s">
        <v>509</v>
      </c>
      <c r="E250" t="s">
        <v>509</v>
      </c>
      <c r="G250" s="2">
        <v>9</v>
      </c>
      <c r="H250" t="s">
        <v>217</v>
      </c>
      <c r="I250" t="s">
        <v>218</v>
      </c>
      <c r="J250" s="11">
        <v>809.18548412361247</v>
      </c>
      <c r="K250" t="str">
        <f t="shared" si="6"/>
        <v>Michael Patterson</v>
      </c>
      <c r="M250" t="s">
        <v>398</v>
      </c>
      <c r="N250" t="s">
        <v>399</v>
      </c>
      <c r="O250" s="26">
        <v>6</v>
      </c>
      <c r="R250" t="s">
        <v>2476</v>
      </c>
      <c r="S250" s="26">
        <v>7</v>
      </c>
      <c r="U250" t="s">
        <v>936</v>
      </c>
      <c r="V250" t="s">
        <v>935</v>
      </c>
      <c r="W250" t="s">
        <v>799</v>
      </c>
      <c r="X250" s="26">
        <v>2</v>
      </c>
    </row>
    <row r="251" spans="1:24" hidden="1" x14ac:dyDescent="0.35">
      <c r="A251">
        <f t="shared" si="7"/>
        <v>250</v>
      </c>
      <c r="B251">
        <v>2003</v>
      </c>
      <c r="C251" t="s">
        <v>893</v>
      </c>
      <c r="D251" t="s">
        <v>509</v>
      </c>
      <c r="E251" t="s">
        <v>509</v>
      </c>
      <c r="G251" s="2">
        <v>10</v>
      </c>
      <c r="H251" t="s">
        <v>1103</v>
      </c>
      <c r="I251" t="s">
        <v>136</v>
      </c>
      <c r="J251" s="11">
        <v>763.42799356293733</v>
      </c>
      <c r="K251" t="str">
        <f t="shared" si="6"/>
        <v>John Reeves</v>
      </c>
      <c r="M251" t="s">
        <v>648</v>
      </c>
      <c r="N251" t="s">
        <v>649</v>
      </c>
      <c r="O251" s="26">
        <v>3</v>
      </c>
      <c r="R251" t="s">
        <v>412</v>
      </c>
      <c r="S251" s="26">
        <v>1</v>
      </c>
      <c r="U251" t="s">
        <v>1592</v>
      </c>
      <c r="V251" t="s">
        <v>1049</v>
      </c>
      <c r="W251" t="s">
        <v>1048</v>
      </c>
      <c r="X251" s="26">
        <v>1</v>
      </c>
    </row>
    <row r="252" spans="1:24" hidden="1" x14ac:dyDescent="0.35">
      <c r="A252">
        <f t="shared" si="7"/>
        <v>251</v>
      </c>
      <c r="B252">
        <v>2003</v>
      </c>
      <c r="C252" t="s">
        <v>893</v>
      </c>
      <c r="D252" t="s">
        <v>509</v>
      </c>
      <c r="E252" t="s">
        <v>509</v>
      </c>
      <c r="G252" s="2">
        <v>11</v>
      </c>
      <c r="H252" t="s">
        <v>629</v>
      </c>
      <c r="I252" t="s">
        <v>20</v>
      </c>
      <c r="J252" s="11">
        <v>722.03530840471217</v>
      </c>
      <c r="K252" t="str">
        <f t="shared" si="6"/>
        <v>Barry Tanenbaum</v>
      </c>
      <c r="N252" t="s">
        <v>528</v>
      </c>
      <c r="O252" s="26">
        <v>1</v>
      </c>
      <c r="R252" t="s">
        <v>1040</v>
      </c>
      <c r="S252" s="26">
        <v>1</v>
      </c>
      <c r="U252" t="s">
        <v>912</v>
      </c>
      <c r="V252" t="s">
        <v>911</v>
      </c>
      <c r="W252" t="s">
        <v>910</v>
      </c>
      <c r="X252" s="26">
        <v>3</v>
      </c>
    </row>
    <row r="253" spans="1:24" hidden="1" x14ac:dyDescent="0.35">
      <c r="A253">
        <f t="shared" si="7"/>
        <v>252</v>
      </c>
      <c r="B253">
        <v>2003</v>
      </c>
      <c r="C253" t="s">
        <v>893</v>
      </c>
      <c r="D253" t="s">
        <v>509</v>
      </c>
      <c r="E253" t="s">
        <v>509</v>
      </c>
      <c r="G253" s="2">
        <v>12</v>
      </c>
      <c r="H253" t="s">
        <v>1296</v>
      </c>
      <c r="I253" t="s">
        <v>190</v>
      </c>
      <c r="J253" s="11">
        <v>684.24674751531245</v>
      </c>
      <c r="K253" t="str">
        <f t="shared" si="6"/>
        <v>Gary Furness</v>
      </c>
      <c r="M253" t="s">
        <v>214</v>
      </c>
      <c r="N253" t="s">
        <v>215</v>
      </c>
      <c r="O253" s="26">
        <v>5</v>
      </c>
      <c r="Q253" t="s">
        <v>502</v>
      </c>
      <c r="R253" t="s">
        <v>501</v>
      </c>
      <c r="S253" s="26">
        <v>1</v>
      </c>
      <c r="U253" t="s">
        <v>1478</v>
      </c>
      <c r="V253" t="s">
        <v>353</v>
      </c>
      <c r="W253" t="s">
        <v>1210</v>
      </c>
      <c r="X253" s="26">
        <v>2</v>
      </c>
    </row>
    <row r="254" spans="1:24" hidden="1" x14ac:dyDescent="0.35">
      <c r="A254">
        <f t="shared" si="7"/>
        <v>253</v>
      </c>
      <c r="B254">
        <v>2003</v>
      </c>
      <c r="C254" t="s">
        <v>893</v>
      </c>
      <c r="D254" t="s">
        <v>509</v>
      </c>
      <c r="E254" t="s">
        <v>509</v>
      </c>
      <c r="G254" s="2">
        <v>13</v>
      </c>
      <c r="H254" t="s">
        <v>1298</v>
      </c>
      <c r="I254" t="s">
        <v>271</v>
      </c>
      <c r="J254" s="11">
        <v>649.48464125610064</v>
      </c>
      <c r="K254" t="str">
        <f t="shared" si="6"/>
        <v>Dan Loncarcic</v>
      </c>
      <c r="M254" t="s">
        <v>320</v>
      </c>
      <c r="N254" t="s">
        <v>321</v>
      </c>
      <c r="O254" s="26">
        <v>16</v>
      </c>
      <c r="Q254" t="s">
        <v>516</v>
      </c>
      <c r="R254" t="s">
        <v>1459</v>
      </c>
      <c r="S254" s="26">
        <v>7</v>
      </c>
      <c r="U254" t="s">
        <v>975</v>
      </c>
      <c r="V254" t="s">
        <v>353</v>
      </c>
      <c r="W254" t="s">
        <v>974</v>
      </c>
      <c r="X254" s="26">
        <v>4</v>
      </c>
    </row>
    <row r="255" spans="1:24" hidden="1" x14ac:dyDescent="0.35">
      <c r="A255">
        <f t="shared" si="7"/>
        <v>254</v>
      </c>
      <c r="B255">
        <v>2003</v>
      </c>
      <c r="C255" t="s">
        <v>893</v>
      </c>
      <c r="D255" t="s">
        <v>509</v>
      </c>
      <c r="E255" t="s">
        <v>509</v>
      </c>
      <c r="G255" s="2">
        <v>14</v>
      </c>
      <c r="H255" t="s">
        <v>318</v>
      </c>
      <c r="I255" t="s">
        <v>44</v>
      </c>
      <c r="J255" s="11">
        <v>617.29995788469932</v>
      </c>
      <c r="K255" t="str">
        <f t="shared" si="6"/>
        <v>Mike McManus</v>
      </c>
      <c r="M255" t="s">
        <v>357</v>
      </c>
      <c r="N255" t="s">
        <v>463</v>
      </c>
      <c r="O255" s="26">
        <v>6</v>
      </c>
      <c r="Q255" t="s">
        <v>935</v>
      </c>
      <c r="R255" t="s">
        <v>799</v>
      </c>
      <c r="S255" s="26">
        <v>2</v>
      </c>
      <c r="U255" t="s">
        <v>589</v>
      </c>
      <c r="V255" t="s">
        <v>353</v>
      </c>
      <c r="W255" t="s">
        <v>588</v>
      </c>
      <c r="X255" s="26">
        <v>12</v>
      </c>
    </row>
    <row r="256" spans="1:24" hidden="1" x14ac:dyDescent="0.35">
      <c r="A256">
        <f t="shared" si="7"/>
        <v>255</v>
      </c>
      <c r="B256">
        <v>2003</v>
      </c>
      <c r="C256" t="s">
        <v>893</v>
      </c>
      <c r="D256" t="s">
        <v>509</v>
      </c>
      <c r="E256" t="s">
        <v>509</v>
      </c>
      <c r="G256" s="2">
        <v>15</v>
      </c>
      <c r="H256" t="s">
        <v>906</v>
      </c>
      <c r="I256" t="s">
        <v>1299</v>
      </c>
      <c r="J256" s="11">
        <v>587.33673450725598</v>
      </c>
      <c r="K256" t="str">
        <f t="shared" si="6"/>
        <v>Darryl Osborne</v>
      </c>
      <c r="M256" t="s">
        <v>237</v>
      </c>
      <c r="N256" t="s">
        <v>13</v>
      </c>
      <c r="O256" s="26">
        <v>12</v>
      </c>
      <c r="Q256" t="s">
        <v>1049</v>
      </c>
      <c r="R256" t="s">
        <v>1048</v>
      </c>
      <c r="S256" s="26">
        <v>1</v>
      </c>
      <c r="U256" t="s">
        <v>1072</v>
      </c>
      <c r="V256" t="s">
        <v>353</v>
      </c>
      <c r="W256" t="s">
        <v>1071</v>
      </c>
      <c r="X256" s="26">
        <v>1</v>
      </c>
    </row>
    <row r="257" spans="1:24" hidden="1" x14ac:dyDescent="0.35">
      <c r="A257">
        <f t="shared" si="7"/>
        <v>256</v>
      </c>
      <c r="B257">
        <v>2003</v>
      </c>
      <c r="C257" t="s">
        <v>893</v>
      </c>
      <c r="D257" t="s">
        <v>509</v>
      </c>
      <c r="E257" t="s">
        <v>509</v>
      </c>
      <c r="G257" s="2">
        <v>16</v>
      </c>
      <c r="H257" t="s">
        <v>764</v>
      </c>
      <c r="I257" t="s">
        <v>901</v>
      </c>
      <c r="J257" s="11">
        <v>559.30801090701254</v>
      </c>
      <c r="K257" t="str">
        <f t="shared" si="6"/>
        <v>Jerrod Ankenman</v>
      </c>
      <c r="M257" t="s">
        <v>600</v>
      </c>
      <c r="N257" t="s">
        <v>142</v>
      </c>
      <c r="O257" s="26">
        <v>6</v>
      </c>
      <c r="Q257" t="s">
        <v>911</v>
      </c>
      <c r="R257" t="s">
        <v>910</v>
      </c>
      <c r="S257" s="26">
        <v>3</v>
      </c>
      <c r="U257" t="s">
        <v>1665</v>
      </c>
      <c r="V257" t="s">
        <v>353</v>
      </c>
      <c r="W257" t="s">
        <v>1208</v>
      </c>
      <c r="X257" s="26">
        <v>1</v>
      </c>
    </row>
    <row r="258" spans="1:24" hidden="1" x14ac:dyDescent="0.35">
      <c r="A258">
        <f t="shared" si="7"/>
        <v>257</v>
      </c>
      <c r="B258">
        <v>2003</v>
      </c>
      <c r="C258" t="s">
        <v>893</v>
      </c>
      <c r="D258" t="s">
        <v>509</v>
      </c>
      <c r="E258" t="s">
        <v>509</v>
      </c>
      <c r="G258" s="2">
        <v>17</v>
      </c>
      <c r="H258" t="s">
        <v>898</v>
      </c>
      <c r="I258" t="s">
        <v>899</v>
      </c>
      <c r="J258" s="11">
        <v>532.97907218466344</v>
      </c>
      <c r="K258" t="str">
        <f t="shared" ref="K258:K321" si="8">I258&amp;" "&amp;H258</f>
        <v>Harry Baldwin</v>
      </c>
      <c r="M258" t="s">
        <v>578</v>
      </c>
      <c r="N258" t="s">
        <v>480</v>
      </c>
      <c r="O258" s="26">
        <v>1</v>
      </c>
      <c r="Q258" t="s">
        <v>353</v>
      </c>
      <c r="R258" t="s">
        <v>1210</v>
      </c>
      <c r="S258" s="26">
        <v>2</v>
      </c>
      <c r="U258" t="s">
        <v>1668</v>
      </c>
      <c r="V258" t="s">
        <v>353</v>
      </c>
      <c r="W258" t="s">
        <v>566</v>
      </c>
      <c r="X258" s="26">
        <v>1</v>
      </c>
    </row>
    <row r="259" spans="1:24" hidden="1" x14ac:dyDescent="0.35">
      <c r="A259">
        <f t="shared" si="7"/>
        <v>258</v>
      </c>
      <c r="B259">
        <v>2003</v>
      </c>
      <c r="C259" t="s">
        <v>893</v>
      </c>
      <c r="D259" t="s">
        <v>509</v>
      </c>
      <c r="E259" t="s">
        <v>509</v>
      </c>
      <c r="G259" s="2">
        <v>18</v>
      </c>
      <c r="H259" t="s">
        <v>1069</v>
      </c>
      <c r="I259" t="s">
        <v>16</v>
      </c>
      <c r="J259" s="11">
        <v>508.15548845963133</v>
      </c>
      <c r="K259" t="str">
        <f t="shared" si="8"/>
        <v>David Huberman</v>
      </c>
      <c r="M259" t="s">
        <v>625</v>
      </c>
      <c r="N259" t="s">
        <v>16</v>
      </c>
      <c r="O259" s="26">
        <v>2</v>
      </c>
      <c r="R259" t="s">
        <v>974</v>
      </c>
      <c r="S259" s="26">
        <v>4</v>
      </c>
      <c r="U259" t="s">
        <v>354</v>
      </c>
      <c r="V259" t="s">
        <v>353</v>
      </c>
      <c r="W259" t="s">
        <v>352</v>
      </c>
      <c r="X259" s="26">
        <v>6</v>
      </c>
    </row>
    <row r="260" spans="1:24" hidden="1" x14ac:dyDescent="0.35">
      <c r="A260">
        <f t="shared" ref="A260:A323" si="9">A259+1</f>
        <v>259</v>
      </c>
      <c r="B260">
        <v>2003</v>
      </c>
      <c r="C260" t="s">
        <v>893</v>
      </c>
      <c r="D260" t="s">
        <v>509</v>
      </c>
      <c r="E260" t="s">
        <v>509</v>
      </c>
      <c r="G260" s="2">
        <v>19</v>
      </c>
      <c r="H260" t="s">
        <v>1013</v>
      </c>
      <c r="I260" t="s">
        <v>1456</v>
      </c>
      <c r="J260" s="11">
        <v>484.6743926101085</v>
      </c>
      <c r="K260" t="str">
        <f t="shared" si="8"/>
        <v>Shawna Madrigal</v>
      </c>
      <c r="N260" t="s">
        <v>662</v>
      </c>
      <c r="O260" s="26">
        <v>2</v>
      </c>
      <c r="R260" t="s">
        <v>588</v>
      </c>
      <c r="S260" s="26">
        <v>12</v>
      </c>
      <c r="U260" t="s">
        <v>844</v>
      </c>
      <c r="V260" t="s">
        <v>843</v>
      </c>
      <c r="W260" t="s">
        <v>277</v>
      </c>
      <c r="X260" s="26">
        <v>1</v>
      </c>
    </row>
    <row r="261" spans="1:24" hidden="1" x14ac:dyDescent="0.35">
      <c r="A261">
        <f t="shared" si="9"/>
        <v>260</v>
      </c>
      <c r="B261">
        <v>2003</v>
      </c>
      <c r="C261" t="s">
        <v>893</v>
      </c>
      <c r="D261" t="s">
        <v>509</v>
      </c>
      <c r="E261" t="s">
        <v>509</v>
      </c>
      <c r="G261" s="2">
        <v>20</v>
      </c>
      <c r="H261" t="s">
        <v>86</v>
      </c>
      <c r="I261" t="s">
        <v>271</v>
      </c>
      <c r="J261" s="11">
        <v>462.39799789895608</v>
      </c>
      <c r="K261" t="str">
        <f t="shared" si="8"/>
        <v>Dan Goldman</v>
      </c>
      <c r="M261" t="s">
        <v>366</v>
      </c>
      <c r="N261" t="s">
        <v>991</v>
      </c>
      <c r="O261" s="26">
        <v>1</v>
      </c>
      <c r="R261" t="s">
        <v>1071</v>
      </c>
      <c r="S261" s="26">
        <v>1</v>
      </c>
      <c r="U261" t="s">
        <v>1128</v>
      </c>
      <c r="V261" t="s">
        <v>843</v>
      </c>
      <c r="W261" t="s">
        <v>1127</v>
      </c>
      <c r="X261" s="26">
        <v>1</v>
      </c>
    </row>
    <row r="262" spans="1:24" hidden="1" x14ac:dyDescent="0.35">
      <c r="A262">
        <f t="shared" si="9"/>
        <v>261</v>
      </c>
      <c r="B262">
        <v>2003</v>
      </c>
      <c r="C262" t="s">
        <v>893</v>
      </c>
      <c r="D262" t="s">
        <v>1300</v>
      </c>
      <c r="E262" t="s">
        <v>1429</v>
      </c>
      <c r="G262" s="2">
        <v>1</v>
      </c>
      <c r="H262" t="s">
        <v>1301</v>
      </c>
      <c r="I262" t="s">
        <v>136</v>
      </c>
      <c r="J262" s="11">
        <v>1612.7838567197355</v>
      </c>
      <c r="K262" t="str">
        <f t="shared" si="8"/>
        <v>John Davis</v>
      </c>
      <c r="N262" t="s">
        <v>61</v>
      </c>
      <c r="O262" s="26">
        <v>28</v>
      </c>
      <c r="R262" t="s">
        <v>1208</v>
      </c>
      <c r="S262" s="26">
        <v>1</v>
      </c>
      <c r="U262" t="s">
        <v>2341</v>
      </c>
      <c r="V262" t="s">
        <v>1018</v>
      </c>
      <c r="W262" t="s">
        <v>1017</v>
      </c>
      <c r="X262" s="26">
        <v>2</v>
      </c>
    </row>
    <row r="263" spans="1:24" hidden="1" x14ac:dyDescent="0.35">
      <c r="A263">
        <f t="shared" si="9"/>
        <v>262</v>
      </c>
      <c r="B263">
        <v>2003</v>
      </c>
      <c r="C263" t="s">
        <v>893</v>
      </c>
      <c r="D263" t="s">
        <v>1300</v>
      </c>
      <c r="E263" t="s">
        <v>1429</v>
      </c>
      <c r="G263" s="2">
        <v>2</v>
      </c>
      <c r="H263" t="s">
        <v>1105</v>
      </c>
      <c r="I263" t="s">
        <v>1106</v>
      </c>
      <c r="J263" s="11">
        <v>1311.7538610557542</v>
      </c>
      <c r="K263" t="str">
        <f t="shared" si="8"/>
        <v>Ellis Starks</v>
      </c>
      <c r="M263" t="s">
        <v>1248</v>
      </c>
      <c r="N263" t="s">
        <v>864</v>
      </c>
      <c r="O263" s="26">
        <v>2</v>
      </c>
      <c r="R263" t="s">
        <v>566</v>
      </c>
      <c r="S263" s="26">
        <v>1</v>
      </c>
      <c r="U263" t="s">
        <v>2430</v>
      </c>
      <c r="V263" t="s">
        <v>2429</v>
      </c>
      <c r="W263" t="s">
        <v>2428</v>
      </c>
      <c r="X263" s="26">
        <v>2</v>
      </c>
    </row>
    <row r="264" spans="1:24" hidden="1" x14ac:dyDescent="0.35">
      <c r="A264">
        <f t="shared" si="9"/>
        <v>263</v>
      </c>
      <c r="B264">
        <v>2003</v>
      </c>
      <c r="C264" t="s">
        <v>893</v>
      </c>
      <c r="D264" t="s">
        <v>1300</v>
      </c>
      <c r="E264" t="s">
        <v>1429</v>
      </c>
      <c r="G264" s="2">
        <v>3</v>
      </c>
      <c r="H264" t="s">
        <v>83</v>
      </c>
      <c r="I264" t="s">
        <v>36</v>
      </c>
      <c r="J264" s="11">
        <v>1135.6626020000731</v>
      </c>
      <c r="K264" t="str">
        <f t="shared" si="8"/>
        <v>Nolan Hee</v>
      </c>
      <c r="M264" t="s">
        <v>2370</v>
      </c>
      <c r="N264" t="s">
        <v>139</v>
      </c>
      <c r="O264" s="26">
        <v>1</v>
      </c>
      <c r="R264" t="s">
        <v>352</v>
      </c>
      <c r="S264" s="26">
        <v>6</v>
      </c>
      <c r="U264" t="s">
        <v>1297</v>
      </c>
      <c r="V264" t="s">
        <v>190</v>
      </c>
      <c r="W264" t="s">
        <v>1296</v>
      </c>
      <c r="X264" s="26">
        <v>2</v>
      </c>
    </row>
    <row r="265" spans="1:24" hidden="1" x14ac:dyDescent="0.35">
      <c r="A265">
        <f t="shared" si="9"/>
        <v>264</v>
      </c>
      <c r="B265">
        <v>2003</v>
      </c>
      <c r="C265" t="s">
        <v>893</v>
      </c>
      <c r="D265" t="s">
        <v>1300</v>
      </c>
      <c r="E265" t="s">
        <v>1429</v>
      </c>
      <c r="G265" s="2">
        <v>4.5</v>
      </c>
      <c r="H265" t="s">
        <v>1303</v>
      </c>
      <c r="I265" t="s">
        <v>510</v>
      </c>
      <c r="J265" s="11">
        <v>959.57134294439174</v>
      </c>
      <c r="K265" t="str">
        <f t="shared" si="8"/>
        <v>Sharon Neeley</v>
      </c>
      <c r="M265" t="s">
        <v>1186</v>
      </c>
      <c r="N265" t="s">
        <v>1187</v>
      </c>
      <c r="O265" s="26">
        <v>1</v>
      </c>
      <c r="Q265" t="s">
        <v>843</v>
      </c>
      <c r="R265" t="s">
        <v>277</v>
      </c>
      <c r="S265" s="26">
        <v>1</v>
      </c>
      <c r="U265" t="s">
        <v>191</v>
      </c>
      <c r="V265" t="s">
        <v>190</v>
      </c>
      <c r="W265" t="s">
        <v>189</v>
      </c>
      <c r="X265" s="26">
        <v>4</v>
      </c>
    </row>
    <row r="266" spans="1:24" hidden="1" x14ac:dyDescent="0.35">
      <c r="A266">
        <f t="shared" si="9"/>
        <v>265</v>
      </c>
      <c r="B266">
        <v>2003</v>
      </c>
      <c r="C266" t="s">
        <v>893</v>
      </c>
      <c r="D266" t="s">
        <v>1300</v>
      </c>
      <c r="E266" t="s">
        <v>1429</v>
      </c>
      <c r="G266" s="2">
        <v>4.5</v>
      </c>
      <c r="H266" t="s">
        <v>304</v>
      </c>
      <c r="I266" t="s">
        <v>65</v>
      </c>
      <c r="J266" s="11">
        <v>959.57134294439174</v>
      </c>
      <c r="K266" t="str">
        <f t="shared" si="8"/>
        <v>Steve Pierce</v>
      </c>
      <c r="M266" t="s">
        <v>37</v>
      </c>
      <c r="N266" t="s">
        <v>38</v>
      </c>
      <c r="O266" s="26">
        <v>22</v>
      </c>
      <c r="R266" t="s">
        <v>1127</v>
      </c>
      <c r="S266" s="26">
        <v>1</v>
      </c>
      <c r="U266" t="s">
        <v>823</v>
      </c>
      <c r="V266" t="s">
        <v>822</v>
      </c>
      <c r="W266" t="s">
        <v>821</v>
      </c>
      <c r="X266" s="26">
        <v>8</v>
      </c>
    </row>
    <row r="267" spans="1:24" hidden="1" x14ac:dyDescent="0.35">
      <c r="A267">
        <f t="shared" si="9"/>
        <v>266</v>
      </c>
      <c r="B267">
        <v>2003</v>
      </c>
      <c r="C267" t="s">
        <v>893</v>
      </c>
      <c r="D267" t="s">
        <v>1300</v>
      </c>
      <c r="E267" t="s">
        <v>1429</v>
      </c>
      <c r="G267" s="2">
        <v>7</v>
      </c>
      <c r="H267" t="s">
        <v>898</v>
      </c>
      <c r="I267" t="s">
        <v>899</v>
      </c>
      <c r="J267" s="11">
        <v>767.6858167054786</v>
      </c>
      <c r="K267" t="str">
        <f t="shared" si="8"/>
        <v>Harry Baldwin</v>
      </c>
      <c r="M267" t="s">
        <v>204</v>
      </c>
      <c r="N267" t="s">
        <v>205</v>
      </c>
      <c r="O267" s="26">
        <v>39</v>
      </c>
      <c r="Q267" t="s">
        <v>1018</v>
      </c>
      <c r="R267" t="s">
        <v>1017</v>
      </c>
      <c r="S267" s="26">
        <v>2</v>
      </c>
      <c r="U267" t="s">
        <v>1682</v>
      </c>
      <c r="V267" t="s">
        <v>854</v>
      </c>
      <c r="W267" t="s">
        <v>853</v>
      </c>
      <c r="X267" s="26">
        <v>1</v>
      </c>
    </row>
    <row r="268" spans="1:24" hidden="1" x14ac:dyDescent="0.35">
      <c r="A268">
        <f t="shared" si="9"/>
        <v>267</v>
      </c>
      <c r="B268">
        <v>2003</v>
      </c>
      <c r="C268" t="s">
        <v>893</v>
      </c>
      <c r="D268" t="s">
        <v>1300</v>
      </c>
      <c r="E268" t="s">
        <v>1429</v>
      </c>
      <c r="G268" s="2">
        <v>7</v>
      </c>
      <c r="H268" t="s">
        <v>597</v>
      </c>
      <c r="I268" t="s">
        <v>598</v>
      </c>
      <c r="J268" s="11">
        <v>767.6858167054786</v>
      </c>
      <c r="K268" t="str">
        <f t="shared" si="8"/>
        <v>Lou Krieger</v>
      </c>
      <c r="M268" t="s">
        <v>836</v>
      </c>
      <c r="N268" t="s">
        <v>136</v>
      </c>
      <c r="O268" s="26">
        <v>11</v>
      </c>
      <c r="Q268" t="s">
        <v>2429</v>
      </c>
      <c r="R268" t="s">
        <v>2428</v>
      </c>
      <c r="S268" s="26">
        <v>2</v>
      </c>
      <c r="U268" t="s">
        <v>1132</v>
      </c>
      <c r="V268" t="s">
        <v>404</v>
      </c>
      <c r="W268" t="s">
        <v>1131</v>
      </c>
      <c r="X268" s="26">
        <v>3</v>
      </c>
    </row>
    <row r="269" spans="1:24" hidden="1" x14ac:dyDescent="0.35">
      <c r="A269">
        <f t="shared" si="9"/>
        <v>268</v>
      </c>
      <c r="B269">
        <v>2003</v>
      </c>
      <c r="C269" t="s">
        <v>893</v>
      </c>
      <c r="D269" t="s">
        <v>1300</v>
      </c>
      <c r="E269" t="s">
        <v>1429</v>
      </c>
      <c r="G269" s="2">
        <v>7</v>
      </c>
      <c r="H269" t="s">
        <v>1305</v>
      </c>
      <c r="I269" t="s">
        <v>1306</v>
      </c>
      <c r="J269" s="11">
        <v>767.6858167054786</v>
      </c>
      <c r="K269" t="str">
        <f t="shared" si="8"/>
        <v>Te-Kan Yin</v>
      </c>
      <c r="M269" t="s">
        <v>299</v>
      </c>
      <c r="N269" t="s">
        <v>300</v>
      </c>
      <c r="O269" s="26">
        <v>16</v>
      </c>
      <c r="Q269" t="s">
        <v>190</v>
      </c>
      <c r="R269" t="s">
        <v>1296</v>
      </c>
      <c r="S269" s="26">
        <v>2</v>
      </c>
      <c r="U269" t="s">
        <v>1585</v>
      </c>
      <c r="V269" t="s">
        <v>404</v>
      </c>
      <c r="W269" t="s">
        <v>405</v>
      </c>
      <c r="X269" s="26">
        <v>6</v>
      </c>
    </row>
    <row r="270" spans="1:24" hidden="1" x14ac:dyDescent="0.35">
      <c r="A270">
        <f t="shared" si="9"/>
        <v>269</v>
      </c>
      <c r="B270">
        <v>2003</v>
      </c>
      <c r="C270" t="s">
        <v>893</v>
      </c>
      <c r="D270" t="s">
        <v>1300</v>
      </c>
      <c r="E270" t="s">
        <v>1429</v>
      </c>
      <c r="G270" s="2">
        <v>10.5</v>
      </c>
      <c r="H270" t="s">
        <v>226</v>
      </c>
      <c r="I270" t="s">
        <v>227</v>
      </c>
      <c r="J270" s="11">
        <v>591.59455764979737</v>
      </c>
      <c r="K270" t="str">
        <f t="shared" si="8"/>
        <v>Patti Beadles</v>
      </c>
      <c r="M270" t="s">
        <v>1083</v>
      </c>
      <c r="N270" t="s">
        <v>927</v>
      </c>
      <c r="O270" s="26">
        <v>2</v>
      </c>
      <c r="R270" t="s">
        <v>189</v>
      </c>
      <c r="S270" s="26">
        <v>4</v>
      </c>
      <c r="U270" t="s">
        <v>315</v>
      </c>
      <c r="V270" t="s">
        <v>314</v>
      </c>
      <c r="W270" t="s">
        <v>313</v>
      </c>
      <c r="X270" s="26">
        <v>11</v>
      </c>
    </row>
    <row r="271" spans="1:24" hidden="1" x14ac:dyDescent="0.35">
      <c r="A271">
        <f t="shared" si="9"/>
        <v>270</v>
      </c>
      <c r="B271">
        <v>2003</v>
      </c>
      <c r="C271" t="s">
        <v>893</v>
      </c>
      <c r="D271" t="s">
        <v>1300</v>
      </c>
      <c r="E271" t="s">
        <v>1429</v>
      </c>
      <c r="G271" s="2">
        <v>10.5</v>
      </c>
      <c r="H271" t="s">
        <v>86</v>
      </c>
      <c r="I271" t="s">
        <v>87</v>
      </c>
      <c r="J271" s="11">
        <v>591.59455764979737</v>
      </c>
      <c r="K271" t="str">
        <f t="shared" si="8"/>
        <v>Stevan Goldman</v>
      </c>
      <c r="M271" t="s">
        <v>533</v>
      </c>
      <c r="N271" t="s">
        <v>534</v>
      </c>
      <c r="O271" s="26">
        <v>6</v>
      </c>
      <c r="Q271" t="s">
        <v>822</v>
      </c>
      <c r="R271" t="s">
        <v>821</v>
      </c>
      <c r="S271" s="26">
        <v>8</v>
      </c>
      <c r="U271" t="s">
        <v>572</v>
      </c>
      <c r="V271" t="s">
        <v>571</v>
      </c>
      <c r="W271" t="s">
        <v>570</v>
      </c>
      <c r="X271" s="26">
        <v>1</v>
      </c>
    </row>
    <row r="272" spans="1:24" hidden="1" x14ac:dyDescent="0.35">
      <c r="A272">
        <f t="shared" si="9"/>
        <v>271</v>
      </c>
      <c r="B272">
        <v>2003</v>
      </c>
      <c r="C272" t="s">
        <v>893</v>
      </c>
      <c r="D272" t="s">
        <v>1300</v>
      </c>
      <c r="E272" t="s">
        <v>1429</v>
      </c>
      <c r="G272" s="2">
        <v>10.5</v>
      </c>
      <c r="H272" t="s">
        <v>906</v>
      </c>
      <c r="I272" t="s">
        <v>44</v>
      </c>
      <c r="J272" s="11">
        <v>591.59455764979737</v>
      </c>
      <c r="K272" t="str">
        <f t="shared" si="8"/>
        <v>Mike Osborne</v>
      </c>
      <c r="M272" t="s">
        <v>158</v>
      </c>
      <c r="N272" t="s">
        <v>159</v>
      </c>
      <c r="O272" s="26">
        <v>7</v>
      </c>
      <c r="Q272" t="s">
        <v>854</v>
      </c>
      <c r="R272" t="s">
        <v>853</v>
      </c>
      <c r="S272" s="26">
        <v>1</v>
      </c>
      <c r="U272" t="s">
        <v>992</v>
      </c>
      <c r="V272" t="s">
        <v>991</v>
      </c>
      <c r="W272" t="s">
        <v>366</v>
      </c>
      <c r="X272" s="26">
        <v>1</v>
      </c>
    </row>
    <row r="273" spans="1:24" hidden="1" x14ac:dyDescent="0.35">
      <c r="A273">
        <f t="shared" si="9"/>
        <v>272</v>
      </c>
      <c r="B273">
        <v>2003</v>
      </c>
      <c r="C273" t="s">
        <v>893</v>
      </c>
      <c r="D273" t="s">
        <v>1300</v>
      </c>
      <c r="E273" t="s">
        <v>1429</v>
      </c>
      <c r="G273" s="2">
        <v>10.5</v>
      </c>
      <c r="H273" t="s">
        <v>595</v>
      </c>
      <c r="I273" t="s">
        <v>28</v>
      </c>
      <c r="J273" s="11">
        <v>591.59455764979737</v>
      </c>
      <c r="K273" t="str">
        <f t="shared" si="8"/>
        <v>Chris Straghalis</v>
      </c>
      <c r="N273" t="s">
        <v>451</v>
      </c>
      <c r="O273" s="26">
        <v>1</v>
      </c>
      <c r="Q273" t="s">
        <v>404</v>
      </c>
      <c r="R273" t="s">
        <v>1131</v>
      </c>
      <c r="S273" s="26">
        <v>3</v>
      </c>
      <c r="U273" t="s">
        <v>301</v>
      </c>
      <c r="V273" t="s">
        <v>300</v>
      </c>
      <c r="W273" t="s">
        <v>299</v>
      </c>
      <c r="X273" s="26">
        <v>16</v>
      </c>
    </row>
    <row r="274" spans="1:24" hidden="1" x14ac:dyDescent="0.35">
      <c r="A274">
        <f t="shared" si="9"/>
        <v>273</v>
      </c>
      <c r="B274">
        <v>2003</v>
      </c>
      <c r="C274" t="s">
        <v>893</v>
      </c>
      <c r="D274" t="s">
        <v>1300</v>
      </c>
      <c r="E274" t="s">
        <v>1429</v>
      </c>
      <c r="G274" s="2">
        <v>14.5</v>
      </c>
      <c r="H274" t="s">
        <v>764</v>
      </c>
      <c r="I274" t="s">
        <v>901</v>
      </c>
      <c r="J274" s="11">
        <v>451.41585448476064</v>
      </c>
      <c r="K274" t="str">
        <f t="shared" si="8"/>
        <v>Jerrod Ankenman</v>
      </c>
      <c r="M274" t="s">
        <v>1389</v>
      </c>
      <c r="N274" t="s">
        <v>1390</v>
      </c>
      <c r="O274" s="26">
        <v>1</v>
      </c>
      <c r="R274" t="s">
        <v>405</v>
      </c>
      <c r="S274" s="26">
        <v>6</v>
      </c>
      <c r="U274" t="s">
        <v>569</v>
      </c>
      <c r="V274" t="s">
        <v>568</v>
      </c>
      <c r="W274" t="s">
        <v>567</v>
      </c>
      <c r="X274" s="26">
        <v>4</v>
      </c>
    </row>
    <row r="275" spans="1:24" hidden="1" x14ac:dyDescent="0.35">
      <c r="A275">
        <f t="shared" si="9"/>
        <v>274</v>
      </c>
      <c r="B275">
        <v>2003</v>
      </c>
      <c r="C275" t="s">
        <v>893</v>
      </c>
      <c r="D275" t="s">
        <v>1300</v>
      </c>
      <c r="E275" t="s">
        <v>1429</v>
      </c>
      <c r="G275" s="2">
        <v>14.5</v>
      </c>
      <c r="H275" t="s">
        <v>910</v>
      </c>
      <c r="I275" t="s">
        <v>911</v>
      </c>
      <c r="J275" s="11">
        <v>451.41585448476064</v>
      </c>
      <c r="K275" t="str">
        <f t="shared" si="8"/>
        <v>Fern Chamberlain</v>
      </c>
      <c r="M275" t="s">
        <v>549</v>
      </c>
      <c r="N275" t="s">
        <v>44</v>
      </c>
      <c r="O275" s="26">
        <v>2</v>
      </c>
      <c r="Q275" t="s">
        <v>314</v>
      </c>
      <c r="R275" t="s">
        <v>313</v>
      </c>
      <c r="S275" s="26">
        <v>11</v>
      </c>
      <c r="U275" t="s">
        <v>655</v>
      </c>
      <c r="V275" t="s">
        <v>654</v>
      </c>
      <c r="W275" t="s">
        <v>653</v>
      </c>
      <c r="X275" s="26">
        <v>4</v>
      </c>
    </row>
    <row r="276" spans="1:24" hidden="1" x14ac:dyDescent="0.35">
      <c r="A276">
        <f t="shared" si="9"/>
        <v>275</v>
      </c>
      <c r="B276">
        <v>2003</v>
      </c>
      <c r="C276" t="s">
        <v>893</v>
      </c>
      <c r="D276" t="s">
        <v>1300</v>
      </c>
      <c r="E276" t="s">
        <v>1429</v>
      </c>
      <c r="G276" s="2">
        <v>14.5</v>
      </c>
      <c r="H276" t="s">
        <v>50</v>
      </c>
      <c r="I276" t="s">
        <v>25</v>
      </c>
      <c r="J276" s="11">
        <v>451.41585448476064</v>
      </c>
      <c r="K276" t="str">
        <f t="shared" si="8"/>
        <v>Russell Fox</v>
      </c>
      <c r="M276" t="s">
        <v>550</v>
      </c>
      <c r="N276" t="s">
        <v>44</v>
      </c>
      <c r="O276" s="26">
        <v>2</v>
      </c>
      <c r="Q276" t="s">
        <v>571</v>
      </c>
      <c r="R276" t="s">
        <v>570</v>
      </c>
      <c r="S276" s="26">
        <v>1</v>
      </c>
      <c r="U276" t="s">
        <v>1646</v>
      </c>
      <c r="V276" t="s">
        <v>654</v>
      </c>
      <c r="W276" t="s">
        <v>566</v>
      </c>
      <c r="X276" s="26">
        <v>1</v>
      </c>
    </row>
    <row r="277" spans="1:24" hidden="1" x14ac:dyDescent="0.35">
      <c r="A277">
        <f t="shared" si="9"/>
        <v>276</v>
      </c>
      <c r="B277">
        <v>2003</v>
      </c>
      <c r="C277" t="s">
        <v>893</v>
      </c>
      <c r="D277" t="s">
        <v>1300</v>
      </c>
      <c r="E277" t="s">
        <v>1429</v>
      </c>
      <c r="G277" s="2">
        <v>14.5</v>
      </c>
      <c r="H277" t="s">
        <v>1308</v>
      </c>
      <c r="I277" t="s">
        <v>1309</v>
      </c>
      <c r="J277" s="11">
        <v>451.41585448476064</v>
      </c>
      <c r="K277" t="str">
        <f t="shared" si="8"/>
        <v>Edward Pizzarello</v>
      </c>
      <c r="M277" t="s">
        <v>739</v>
      </c>
      <c r="N277" t="s">
        <v>740</v>
      </c>
      <c r="O277" s="26">
        <v>8</v>
      </c>
      <c r="Q277" t="s">
        <v>991</v>
      </c>
      <c r="R277" t="s">
        <v>366</v>
      </c>
      <c r="S277" s="26">
        <v>1</v>
      </c>
      <c r="U277" t="s">
        <v>1678</v>
      </c>
      <c r="V277" t="s">
        <v>1197</v>
      </c>
      <c r="W277" t="s">
        <v>1196</v>
      </c>
      <c r="X277" s="26">
        <v>1</v>
      </c>
    </row>
    <row r="278" spans="1:24" hidden="1" x14ac:dyDescent="0.35">
      <c r="A278">
        <f t="shared" si="9"/>
        <v>277</v>
      </c>
      <c r="B278">
        <v>2003</v>
      </c>
      <c r="C278" t="s">
        <v>893</v>
      </c>
      <c r="D278" t="s">
        <v>1300</v>
      </c>
      <c r="E278" t="s">
        <v>1429</v>
      </c>
      <c r="G278" s="2">
        <v>20.5</v>
      </c>
      <c r="H278" t="s">
        <v>231</v>
      </c>
      <c r="I278" t="s">
        <v>232</v>
      </c>
      <c r="J278" s="11">
        <v>301.02999566398125</v>
      </c>
      <c r="K278" t="str">
        <f t="shared" si="8"/>
        <v>Adam Bachrach</v>
      </c>
      <c r="M278" t="s">
        <v>1090</v>
      </c>
      <c r="N278" t="s">
        <v>13</v>
      </c>
      <c r="O278" s="26">
        <v>1</v>
      </c>
      <c r="Q278" t="s">
        <v>300</v>
      </c>
      <c r="R278" t="s">
        <v>299</v>
      </c>
      <c r="S278" s="26">
        <v>16</v>
      </c>
      <c r="U278" t="s">
        <v>1380</v>
      </c>
      <c r="V278" t="s">
        <v>1379</v>
      </c>
      <c r="W278" t="s">
        <v>799</v>
      </c>
      <c r="X278" s="26">
        <v>2</v>
      </c>
    </row>
    <row r="279" spans="1:24" hidden="1" x14ac:dyDescent="0.35">
      <c r="A279">
        <f t="shared" si="9"/>
        <v>278</v>
      </c>
      <c r="B279">
        <v>2003</v>
      </c>
      <c r="C279" t="s">
        <v>893</v>
      </c>
      <c r="D279" t="s">
        <v>1300</v>
      </c>
      <c r="E279" t="s">
        <v>1429</v>
      </c>
      <c r="G279" s="2">
        <v>20.5</v>
      </c>
      <c r="H279" t="s">
        <v>1311</v>
      </c>
      <c r="I279" t="s">
        <v>16</v>
      </c>
      <c r="J279" s="11">
        <v>301.02999566398125</v>
      </c>
      <c r="K279" t="str">
        <f t="shared" si="8"/>
        <v>David Croson</v>
      </c>
      <c r="M279" t="s">
        <v>1115</v>
      </c>
      <c r="N279" t="s">
        <v>1116</v>
      </c>
      <c r="O279" s="26">
        <v>1</v>
      </c>
      <c r="Q279" t="s">
        <v>568</v>
      </c>
      <c r="R279" t="s">
        <v>567</v>
      </c>
      <c r="S279" s="26">
        <v>4</v>
      </c>
      <c r="U279" t="s">
        <v>1326</v>
      </c>
      <c r="V279" t="s">
        <v>1195</v>
      </c>
      <c r="W279" t="s">
        <v>1194</v>
      </c>
      <c r="X279" s="26">
        <v>6</v>
      </c>
    </row>
    <row r="280" spans="1:24" hidden="1" x14ac:dyDescent="0.35">
      <c r="A280">
        <f t="shared" si="9"/>
        <v>279</v>
      </c>
      <c r="B280">
        <v>2003</v>
      </c>
      <c r="C280" t="s">
        <v>893</v>
      </c>
      <c r="D280" t="s">
        <v>1300</v>
      </c>
      <c r="E280" t="s">
        <v>1429</v>
      </c>
      <c r="G280" s="2">
        <v>20.5</v>
      </c>
      <c r="H280" t="s">
        <v>1296</v>
      </c>
      <c r="I280" t="s">
        <v>190</v>
      </c>
      <c r="J280" s="11">
        <v>301.02999566398125</v>
      </c>
      <c r="K280" t="str">
        <f t="shared" si="8"/>
        <v>Gary Furness</v>
      </c>
      <c r="M280" t="s">
        <v>428</v>
      </c>
      <c r="N280" t="s">
        <v>429</v>
      </c>
      <c r="O280" s="26">
        <v>2</v>
      </c>
      <c r="Q280" t="s">
        <v>654</v>
      </c>
      <c r="R280" t="s">
        <v>653</v>
      </c>
      <c r="S280" s="26">
        <v>4</v>
      </c>
      <c r="U280" t="s">
        <v>1673</v>
      </c>
      <c r="V280" t="s">
        <v>471</v>
      </c>
      <c r="W280" t="s">
        <v>470</v>
      </c>
      <c r="X280" s="26">
        <v>1</v>
      </c>
    </row>
    <row r="281" spans="1:24" hidden="1" x14ac:dyDescent="0.35">
      <c r="A281">
        <f t="shared" si="9"/>
        <v>280</v>
      </c>
      <c r="B281">
        <v>2003</v>
      </c>
      <c r="C281" t="s">
        <v>893</v>
      </c>
      <c r="D281" t="s">
        <v>1300</v>
      </c>
      <c r="E281" t="s">
        <v>1429</v>
      </c>
      <c r="G281" s="2">
        <v>20.5</v>
      </c>
      <c r="H281" t="s">
        <v>86</v>
      </c>
      <c r="I281" t="s">
        <v>271</v>
      </c>
      <c r="J281" s="11">
        <v>301.02999566398125</v>
      </c>
      <c r="K281" t="str">
        <f t="shared" si="8"/>
        <v>Dan Goldman</v>
      </c>
      <c r="N281" t="s">
        <v>729</v>
      </c>
      <c r="O281" s="26">
        <v>1</v>
      </c>
      <c r="R281" t="s">
        <v>566</v>
      </c>
      <c r="S281" s="26">
        <v>1</v>
      </c>
      <c r="U281" t="s">
        <v>921</v>
      </c>
      <c r="V281" t="s">
        <v>471</v>
      </c>
      <c r="W281" t="s">
        <v>660</v>
      </c>
      <c r="X281" s="26">
        <v>6</v>
      </c>
    </row>
    <row r="282" spans="1:24" hidden="1" x14ac:dyDescent="0.35">
      <c r="A282">
        <f t="shared" si="9"/>
        <v>281</v>
      </c>
      <c r="B282">
        <v>2003</v>
      </c>
      <c r="C282" t="s">
        <v>893</v>
      </c>
      <c r="D282" t="s">
        <v>1300</v>
      </c>
      <c r="E282" t="s">
        <v>1429</v>
      </c>
      <c r="G282" s="2">
        <v>20.5</v>
      </c>
      <c r="H282" t="s">
        <v>1313</v>
      </c>
      <c r="I282" t="s">
        <v>139</v>
      </c>
      <c r="J282" s="11">
        <v>301.02999566398125</v>
      </c>
      <c r="K282" t="str">
        <f t="shared" si="8"/>
        <v>Mark Kolstad</v>
      </c>
      <c r="M282" t="s">
        <v>439</v>
      </c>
      <c r="N282" t="s">
        <v>136</v>
      </c>
      <c r="O282" s="26">
        <v>3</v>
      </c>
      <c r="Q282" t="s">
        <v>1197</v>
      </c>
      <c r="R282" t="s">
        <v>1196</v>
      </c>
      <c r="S282" s="26">
        <v>1</v>
      </c>
      <c r="U282" t="s">
        <v>1554</v>
      </c>
      <c r="V282" t="s">
        <v>471</v>
      </c>
      <c r="W282" t="s">
        <v>820</v>
      </c>
      <c r="X282" s="26">
        <v>2</v>
      </c>
    </row>
    <row r="283" spans="1:24" hidden="1" x14ac:dyDescent="0.35">
      <c r="A283">
        <f t="shared" si="9"/>
        <v>282</v>
      </c>
      <c r="B283">
        <v>2003</v>
      </c>
      <c r="C283" t="s">
        <v>893</v>
      </c>
      <c r="D283" t="s">
        <v>1300</v>
      </c>
      <c r="E283" t="s">
        <v>1429</v>
      </c>
      <c r="G283" s="2">
        <v>20.5</v>
      </c>
      <c r="H283" t="s">
        <v>217</v>
      </c>
      <c r="I283" t="s">
        <v>218</v>
      </c>
      <c r="J283" s="11">
        <v>301.02999566398125</v>
      </c>
      <c r="K283" t="str">
        <f t="shared" si="8"/>
        <v>Michael Patterson</v>
      </c>
      <c r="M283" t="s">
        <v>2367</v>
      </c>
      <c r="N283" t="s">
        <v>232</v>
      </c>
      <c r="O283" s="26">
        <v>1</v>
      </c>
      <c r="Q283" t="s">
        <v>1379</v>
      </c>
      <c r="R283" t="s">
        <v>799</v>
      </c>
      <c r="S283" s="26">
        <v>2</v>
      </c>
      <c r="U283" t="s">
        <v>1079</v>
      </c>
      <c r="V283" t="s">
        <v>471</v>
      </c>
      <c r="W283" t="s">
        <v>1078</v>
      </c>
      <c r="X283" s="26">
        <v>5</v>
      </c>
    </row>
    <row r="284" spans="1:24" hidden="1" x14ac:dyDescent="0.35">
      <c r="A284">
        <f t="shared" si="9"/>
        <v>283</v>
      </c>
      <c r="B284">
        <v>2003</v>
      </c>
      <c r="C284" t="s">
        <v>893</v>
      </c>
      <c r="D284" t="s">
        <v>1300</v>
      </c>
      <c r="E284" t="s">
        <v>1429</v>
      </c>
      <c r="G284" s="2">
        <v>20.5</v>
      </c>
      <c r="H284" t="s">
        <v>1103</v>
      </c>
      <c r="I284" t="s">
        <v>136</v>
      </c>
      <c r="J284" s="11">
        <v>301.02999566398125</v>
      </c>
      <c r="K284" t="str">
        <f t="shared" si="8"/>
        <v>John Reeves</v>
      </c>
      <c r="M284" t="s">
        <v>490</v>
      </c>
      <c r="N284" t="s">
        <v>480</v>
      </c>
      <c r="O284" s="26">
        <v>6</v>
      </c>
      <c r="Q284" t="s">
        <v>1195</v>
      </c>
      <c r="R284" t="s">
        <v>1194</v>
      </c>
      <c r="S284" s="26">
        <v>6</v>
      </c>
      <c r="U284" t="s">
        <v>1479</v>
      </c>
      <c r="V284" t="s">
        <v>661</v>
      </c>
      <c r="W284" t="s">
        <v>1221</v>
      </c>
      <c r="X284" s="26">
        <v>1</v>
      </c>
    </row>
    <row r="285" spans="1:24" hidden="1" x14ac:dyDescent="0.35">
      <c r="A285">
        <f t="shared" si="9"/>
        <v>284</v>
      </c>
      <c r="B285">
        <v>2003</v>
      </c>
      <c r="C285" t="s">
        <v>893</v>
      </c>
      <c r="D285" t="s">
        <v>1300</v>
      </c>
      <c r="E285" t="s">
        <v>1429</v>
      </c>
      <c r="G285" s="2">
        <v>20.5</v>
      </c>
      <c r="H285" t="s">
        <v>629</v>
      </c>
      <c r="I285" t="s">
        <v>20</v>
      </c>
      <c r="J285" s="11">
        <v>301.02999566398125</v>
      </c>
      <c r="K285" t="str">
        <f t="shared" si="8"/>
        <v>Barry Tanenbaum</v>
      </c>
      <c r="N285" t="s">
        <v>2308</v>
      </c>
      <c r="O285" s="26">
        <v>1</v>
      </c>
      <c r="Q285" t="s">
        <v>471</v>
      </c>
      <c r="R285" t="s">
        <v>470</v>
      </c>
      <c r="S285" s="26">
        <v>1</v>
      </c>
      <c r="U285" t="s">
        <v>1480</v>
      </c>
      <c r="V285" t="s">
        <v>18</v>
      </c>
      <c r="W285" t="s">
        <v>17</v>
      </c>
      <c r="X285" s="26">
        <v>1</v>
      </c>
    </row>
    <row r="286" spans="1:24" hidden="1" x14ac:dyDescent="0.35">
      <c r="A286">
        <f t="shared" si="9"/>
        <v>285</v>
      </c>
      <c r="B286">
        <v>2003</v>
      </c>
      <c r="C286" t="s">
        <v>893</v>
      </c>
      <c r="D286" t="s">
        <v>1315</v>
      </c>
      <c r="E286" t="s">
        <v>133</v>
      </c>
      <c r="G286" s="2">
        <v>1</v>
      </c>
      <c r="H286" t="s">
        <v>231</v>
      </c>
      <c r="I286" t="s">
        <v>232</v>
      </c>
      <c r="J286" s="11">
        <v>1662.7578316815741</v>
      </c>
      <c r="K286" t="str">
        <f t="shared" si="8"/>
        <v>Adam Bachrach</v>
      </c>
      <c r="M286" t="s">
        <v>1026</v>
      </c>
      <c r="N286" t="s">
        <v>187</v>
      </c>
      <c r="O286" s="26">
        <v>1</v>
      </c>
      <c r="R286" t="s">
        <v>660</v>
      </c>
      <c r="S286" s="26">
        <v>6</v>
      </c>
      <c r="U286" t="s">
        <v>2538</v>
      </c>
      <c r="V286" t="s">
        <v>524</v>
      </c>
      <c r="W286" t="s">
        <v>1719</v>
      </c>
      <c r="X286" s="26">
        <v>22</v>
      </c>
    </row>
    <row r="287" spans="1:24" hidden="1" x14ac:dyDescent="0.35">
      <c r="A287">
        <f t="shared" si="9"/>
        <v>286</v>
      </c>
      <c r="B287">
        <v>2003</v>
      </c>
      <c r="C287" t="s">
        <v>893</v>
      </c>
      <c r="D287" t="s">
        <v>1315</v>
      </c>
      <c r="E287" t="s">
        <v>133</v>
      </c>
      <c r="G287" s="2">
        <v>2</v>
      </c>
      <c r="H287" t="s">
        <v>74</v>
      </c>
      <c r="I287" t="s">
        <v>75</v>
      </c>
      <c r="J287" s="11">
        <v>1361.7278360175928</v>
      </c>
      <c r="K287" t="str">
        <f t="shared" si="8"/>
        <v>Sabyl Landrum</v>
      </c>
      <c r="M287" t="s">
        <v>1333</v>
      </c>
      <c r="N287" t="s">
        <v>480</v>
      </c>
      <c r="O287" s="26">
        <v>5</v>
      </c>
      <c r="R287" t="s">
        <v>820</v>
      </c>
      <c r="S287" s="26">
        <v>2</v>
      </c>
      <c r="U287" t="s">
        <v>2492</v>
      </c>
      <c r="V287" t="s">
        <v>2452</v>
      </c>
      <c r="W287" t="s">
        <v>2451</v>
      </c>
      <c r="X287" s="26">
        <v>2</v>
      </c>
    </row>
    <row r="288" spans="1:24" hidden="1" x14ac:dyDescent="0.35">
      <c r="A288">
        <f t="shared" si="9"/>
        <v>287</v>
      </c>
      <c r="B288">
        <v>2003</v>
      </c>
      <c r="C288" t="s">
        <v>893</v>
      </c>
      <c r="D288" t="s">
        <v>1315</v>
      </c>
      <c r="E288" t="s">
        <v>133</v>
      </c>
      <c r="G288" s="2">
        <v>3</v>
      </c>
      <c r="H288" t="s">
        <v>442</v>
      </c>
      <c r="I288" t="s">
        <v>429</v>
      </c>
      <c r="J288" s="11">
        <v>1185.6365769619117</v>
      </c>
      <c r="K288" t="str">
        <f t="shared" si="8"/>
        <v>Mary Massey</v>
      </c>
      <c r="M288" t="s">
        <v>871</v>
      </c>
      <c r="N288" t="s">
        <v>872</v>
      </c>
      <c r="O288" s="26">
        <v>1</v>
      </c>
      <c r="R288" t="s">
        <v>1078</v>
      </c>
      <c r="S288" s="26">
        <v>5</v>
      </c>
      <c r="U288" t="s">
        <v>900</v>
      </c>
      <c r="V288" t="s">
        <v>899</v>
      </c>
      <c r="W288" t="s">
        <v>898</v>
      </c>
      <c r="X288" s="26">
        <v>6</v>
      </c>
    </row>
    <row r="289" spans="1:24" hidden="1" x14ac:dyDescent="0.35">
      <c r="A289">
        <f t="shared" si="9"/>
        <v>288</v>
      </c>
      <c r="B289">
        <v>2003</v>
      </c>
      <c r="C289" t="s">
        <v>893</v>
      </c>
      <c r="D289" t="s">
        <v>1315</v>
      </c>
      <c r="E289" t="s">
        <v>133</v>
      </c>
      <c r="G289" s="2">
        <v>4</v>
      </c>
      <c r="H289" t="s">
        <v>597</v>
      </c>
      <c r="I289" t="s">
        <v>598</v>
      </c>
      <c r="J289" s="11">
        <v>1060.6978403536118</v>
      </c>
      <c r="K289" t="str">
        <f t="shared" si="8"/>
        <v>Lou Krieger</v>
      </c>
      <c r="M289" t="s">
        <v>903</v>
      </c>
      <c r="N289" t="s">
        <v>71</v>
      </c>
      <c r="O289" s="26">
        <v>9</v>
      </c>
      <c r="Q289" t="s">
        <v>661</v>
      </c>
      <c r="R289" t="s">
        <v>1221</v>
      </c>
      <c r="S289" s="26">
        <v>1</v>
      </c>
      <c r="U289" t="s">
        <v>980</v>
      </c>
      <c r="V289" t="s">
        <v>979</v>
      </c>
      <c r="W289" t="s">
        <v>978</v>
      </c>
      <c r="X289" s="26">
        <v>1</v>
      </c>
    </row>
    <row r="290" spans="1:24" hidden="1" x14ac:dyDescent="0.35">
      <c r="A290">
        <f t="shared" si="9"/>
        <v>289</v>
      </c>
      <c r="B290">
        <v>2003</v>
      </c>
      <c r="C290" t="s">
        <v>893</v>
      </c>
      <c r="D290" t="s">
        <v>1315</v>
      </c>
      <c r="E290" t="s">
        <v>133</v>
      </c>
      <c r="G290" s="2">
        <v>5</v>
      </c>
      <c r="H290" t="s">
        <v>285</v>
      </c>
      <c r="I290" t="s">
        <v>119</v>
      </c>
      <c r="J290" s="11">
        <v>963.78782734555523</v>
      </c>
      <c r="K290" t="str">
        <f t="shared" si="8"/>
        <v>Peter Secor</v>
      </c>
      <c r="M290" t="s">
        <v>960</v>
      </c>
      <c r="N290" t="s">
        <v>136</v>
      </c>
      <c r="O290" s="26">
        <v>8</v>
      </c>
      <c r="Q290" t="s">
        <v>18</v>
      </c>
      <c r="R290" t="s">
        <v>17</v>
      </c>
      <c r="S290" s="26">
        <v>1</v>
      </c>
      <c r="U290" t="s">
        <v>1637</v>
      </c>
      <c r="V290" t="s">
        <v>350</v>
      </c>
      <c r="W290" t="s">
        <v>57</v>
      </c>
      <c r="X290" s="26">
        <v>3</v>
      </c>
    </row>
    <row r="291" spans="1:24" hidden="1" x14ac:dyDescent="0.35">
      <c r="A291">
        <f t="shared" si="9"/>
        <v>290</v>
      </c>
      <c r="B291">
        <v>2003</v>
      </c>
      <c r="C291" t="s">
        <v>893</v>
      </c>
      <c r="D291" t="s">
        <v>1315</v>
      </c>
      <c r="E291" t="s">
        <v>133</v>
      </c>
      <c r="G291" s="2">
        <v>6</v>
      </c>
      <c r="H291" t="s">
        <v>1301</v>
      </c>
      <c r="I291" t="s">
        <v>136</v>
      </c>
      <c r="J291" s="11">
        <v>884.60658129793046</v>
      </c>
      <c r="K291" t="str">
        <f t="shared" si="8"/>
        <v>John Davis</v>
      </c>
      <c r="M291" t="s">
        <v>1164</v>
      </c>
      <c r="N291" t="s">
        <v>139</v>
      </c>
      <c r="O291" s="26">
        <v>1</v>
      </c>
      <c r="Q291" t="s">
        <v>524</v>
      </c>
      <c r="R291" t="s">
        <v>1719</v>
      </c>
      <c r="S291" s="26">
        <v>22</v>
      </c>
      <c r="U291" t="s">
        <v>500</v>
      </c>
      <c r="V291" t="s">
        <v>406</v>
      </c>
      <c r="W291" t="s">
        <v>407</v>
      </c>
      <c r="X291" s="26">
        <v>11</v>
      </c>
    </row>
    <row r="292" spans="1:24" hidden="1" x14ac:dyDescent="0.35">
      <c r="A292">
        <f t="shared" si="9"/>
        <v>291</v>
      </c>
      <c r="B292">
        <v>2003</v>
      </c>
      <c r="C292" t="s">
        <v>893</v>
      </c>
      <c r="D292" t="s">
        <v>1315</v>
      </c>
      <c r="E292" t="s">
        <v>133</v>
      </c>
      <c r="G292" s="2">
        <v>7</v>
      </c>
      <c r="H292" t="s">
        <v>895</v>
      </c>
      <c r="I292" t="s">
        <v>67</v>
      </c>
      <c r="J292" s="11">
        <v>817.65979166731734</v>
      </c>
      <c r="K292" t="str">
        <f t="shared" si="8"/>
        <v>Bob Maher</v>
      </c>
      <c r="M292" t="s">
        <v>2432</v>
      </c>
      <c r="N292" t="s">
        <v>139</v>
      </c>
      <c r="O292" s="26">
        <v>7</v>
      </c>
      <c r="Q292" t="s">
        <v>2452</v>
      </c>
      <c r="R292" t="s">
        <v>2451</v>
      </c>
      <c r="S292" s="26">
        <v>2</v>
      </c>
      <c r="U292" t="s">
        <v>1642</v>
      </c>
      <c r="V292" t="s">
        <v>406</v>
      </c>
      <c r="W292" t="s">
        <v>953</v>
      </c>
      <c r="X292" s="26">
        <v>1</v>
      </c>
    </row>
    <row r="293" spans="1:24" hidden="1" x14ac:dyDescent="0.35">
      <c r="A293">
        <f t="shared" si="9"/>
        <v>292</v>
      </c>
      <c r="B293">
        <v>2003</v>
      </c>
      <c r="C293" t="s">
        <v>893</v>
      </c>
      <c r="D293" t="s">
        <v>1315</v>
      </c>
      <c r="E293" t="s">
        <v>133</v>
      </c>
      <c r="G293" s="2">
        <v>8</v>
      </c>
      <c r="H293" t="s">
        <v>595</v>
      </c>
      <c r="I293" t="s">
        <v>28</v>
      </c>
      <c r="J293" s="11">
        <v>759.66784468963056</v>
      </c>
      <c r="K293" t="str">
        <f t="shared" si="8"/>
        <v>Chris Straghalis</v>
      </c>
      <c r="M293" t="s">
        <v>1035</v>
      </c>
      <c r="N293" t="s">
        <v>142</v>
      </c>
      <c r="O293" s="26">
        <v>1</v>
      </c>
      <c r="Q293" t="s">
        <v>899</v>
      </c>
      <c r="R293" t="s">
        <v>898</v>
      </c>
      <c r="S293" s="26">
        <v>6</v>
      </c>
      <c r="U293" t="s">
        <v>1481</v>
      </c>
      <c r="V293" t="s">
        <v>408</v>
      </c>
      <c r="W293" t="s">
        <v>409</v>
      </c>
      <c r="X293" s="26">
        <v>1</v>
      </c>
    </row>
    <row r="294" spans="1:24" hidden="1" x14ac:dyDescent="0.35">
      <c r="A294">
        <f t="shared" si="9"/>
        <v>293</v>
      </c>
      <c r="B294">
        <v>2003</v>
      </c>
      <c r="C294" t="s">
        <v>893</v>
      </c>
      <c r="D294" t="s">
        <v>1315</v>
      </c>
      <c r="E294" t="s">
        <v>133</v>
      </c>
      <c r="G294" s="2">
        <v>9</v>
      </c>
      <c r="H294" t="s">
        <v>387</v>
      </c>
      <c r="I294" t="s">
        <v>521</v>
      </c>
      <c r="J294" s="11">
        <v>708.51532224224923</v>
      </c>
      <c r="K294" t="str">
        <f t="shared" si="8"/>
        <v>Chuck Humphrey</v>
      </c>
      <c r="M294" t="s">
        <v>1513</v>
      </c>
      <c r="N294" t="s">
        <v>1514</v>
      </c>
      <c r="O294" s="26">
        <v>2</v>
      </c>
      <c r="Q294" t="s">
        <v>979</v>
      </c>
      <c r="R294" t="s">
        <v>978</v>
      </c>
      <c r="S294" s="26">
        <v>1</v>
      </c>
      <c r="U294" t="s">
        <v>1394</v>
      </c>
      <c r="V294" t="s">
        <v>1393</v>
      </c>
      <c r="W294" t="s">
        <v>1392</v>
      </c>
      <c r="X294" s="26">
        <v>1</v>
      </c>
    </row>
    <row r="295" spans="1:24" hidden="1" x14ac:dyDescent="0.35">
      <c r="A295">
        <f t="shared" si="9"/>
        <v>294</v>
      </c>
      <c r="B295">
        <v>2003</v>
      </c>
      <c r="C295" t="s">
        <v>893</v>
      </c>
      <c r="D295" t="s">
        <v>1315</v>
      </c>
      <c r="E295" t="s">
        <v>133</v>
      </c>
      <c r="G295" s="2">
        <v>10</v>
      </c>
      <c r="H295" t="s">
        <v>83</v>
      </c>
      <c r="I295" t="s">
        <v>36</v>
      </c>
      <c r="J295" s="11">
        <v>662.75783168157409</v>
      </c>
      <c r="K295" t="str">
        <f t="shared" si="8"/>
        <v>Nolan Hee</v>
      </c>
      <c r="M295" t="s">
        <v>1425</v>
      </c>
      <c r="N295" t="s">
        <v>388</v>
      </c>
      <c r="O295" s="26">
        <v>1</v>
      </c>
      <c r="Q295" t="s">
        <v>350</v>
      </c>
      <c r="R295" t="s">
        <v>57</v>
      </c>
      <c r="S295" s="26">
        <v>3</v>
      </c>
      <c r="U295" t="s">
        <v>2312</v>
      </c>
      <c r="V295" t="s">
        <v>1393</v>
      </c>
      <c r="W295" t="s">
        <v>2311</v>
      </c>
      <c r="X295" s="26">
        <v>2</v>
      </c>
    </row>
    <row r="296" spans="1:24" hidden="1" x14ac:dyDescent="0.35">
      <c r="A296">
        <f t="shared" si="9"/>
        <v>295</v>
      </c>
      <c r="B296">
        <v>2003</v>
      </c>
      <c r="C296" t="s">
        <v>893</v>
      </c>
      <c r="D296" t="s">
        <v>1315</v>
      </c>
      <c r="E296" t="s">
        <v>133</v>
      </c>
      <c r="G296" s="2">
        <v>11</v>
      </c>
      <c r="H296" t="s">
        <v>217</v>
      </c>
      <c r="I296" t="s">
        <v>218</v>
      </c>
      <c r="J296" s="11">
        <v>621.36514652334893</v>
      </c>
      <c r="K296" t="str">
        <f t="shared" si="8"/>
        <v>Michael Patterson</v>
      </c>
      <c r="M296" t="s">
        <v>83</v>
      </c>
      <c r="N296" t="s">
        <v>36</v>
      </c>
      <c r="O296" s="26">
        <v>16</v>
      </c>
      <c r="Q296" t="s">
        <v>406</v>
      </c>
      <c r="R296" t="s">
        <v>407</v>
      </c>
      <c r="S296" s="26">
        <v>11</v>
      </c>
      <c r="U296" t="s">
        <v>695</v>
      </c>
      <c r="V296" t="s">
        <v>694</v>
      </c>
      <c r="W296" t="s">
        <v>306</v>
      </c>
      <c r="X296" s="26">
        <v>20</v>
      </c>
    </row>
    <row r="297" spans="1:24" hidden="1" x14ac:dyDescent="0.35">
      <c r="A297">
        <f t="shared" si="9"/>
        <v>296</v>
      </c>
      <c r="B297">
        <v>2003</v>
      </c>
      <c r="C297" t="s">
        <v>893</v>
      </c>
      <c r="D297" t="s">
        <v>1315</v>
      </c>
      <c r="E297" t="s">
        <v>133</v>
      </c>
      <c r="G297" s="2">
        <v>12</v>
      </c>
      <c r="H297" t="s">
        <v>1316</v>
      </c>
      <c r="I297" t="s">
        <v>665</v>
      </c>
      <c r="J297" s="11">
        <v>583.57658563394921</v>
      </c>
      <c r="K297" t="str">
        <f t="shared" si="8"/>
        <v>Robert Turner</v>
      </c>
      <c r="M297" t="s">
        <v>94</v>
      </c>
      <c r="N297" t="s">
        <v>16</v>
      </c>
      <c r="O297" s="26">
        <v>3</v>
      </c>
      <c r="R297" t="s">
        <v>953</v>
      </c>
      <c r="S297" s="26">
        <v>1</v>
      </c>
      <c r="U297" t="s">
        <v>1636</v>
      </c>
      <c r="V297" t="s">
        <v>1213</v>
      </c>
      <c r="W297" t="s">
        <v>1212</v>
      </c>
      <c r="X297" s="26">
        <v>1</v>
      </c>
    </row>
    <row r="298" spans="1:24" hidden="1" x14ac:dyDescent="0.35">
      <c r="A298">
        <f t="shared" si="9"/>
        <v>297</v>
      </c>
      <c r="B298">
        <v>2003</v>
      </c>
      <c r="C298" t="s">
        <v>893</v>
      </c>
      <c r="D298" t="s">
        <v>1315</v>
      </c>
      <c r="E298" t="s">
        <v>133</v>
      </c>
      <c r="G298" s="2">
        <v>13</v>
      </c>
      <c r="H298" t="s">
        <v>318</v>
      </c>
      <c r="I298" t="s">
        <v>44</v>
      </c>
      <c r="J298" s="11">
        <v>548.8144793747374</v>
      </c>
      <c r="K298" t="str">
        <f t="shared" si="8"/>
        <v>Mike McManus</v>
      </c>
      <c r="M298" t="s">
        <v>554</v>
      </c>
      <c r="N298" t="s">
        <v>846</v>
      </c>
      <c r="O298" s="26">
        <v>3</v>
      </c>
      <c r="Q298" t="s">
        <v>408</v>
      </c>
      <c r="R298" t="s">
        <v>409</v>
      </c>
      <c r="S298" s="26">
        <v>1</v>
      </c>
      <c r="U298" t="s">
        <v>1336</v>
      </c>
      <c r="V298" t="s">
        <v>1269</v>
      </c>
      <c r="W298" t="s">
        <v>1335</v>
      </c>
      <c r="X298" s="26">
        <v>3</v>
      </c>
    </row>
    <row r="299" spans="1:24" hidden="1" x14ac:dyDescent="0.35">
      <c r="A299">
        <f t="shared" si="9"/>
        <v>298</v>
      </c>
      <c r="B299">
        <v>2003</v>
      </c>
      <c r="C299" t="s">
        <v>893</v>
      </c>
      <c r="D299" t="s">
        <v>1315</v>
      </c>
      <c r="E299" t="s">
        <v>133</v>
      </c>
      <c r="G299" s="2">
        <v>14</v>
      </c>
      <c r="H299" t="s">
        <v>1317</v>
      </c>
      <c r="I299" t="s">
        <v>1318</v>
      </c>
      <c r="J299" s="11">
        <v>516.6297960033362</v>
      </c>
      <c r="K299" t="str">
        <f t="shared" si="8"/>
        <v>Beth Even</v>
      </c>
      <c r="M299" t="s">
        <v>2305</v>
      </c>
      <c r="N299" t="s">
        <v>2306</v>
      </c>
      <c r="O299" s="26">
        <v>4</v>
      </c>
      <c r="Q299" t="s">
        <v>1393</v>
      </c>
      <c r="R299" t="s">
        <v>1392</v>
      </c>
      <c r="S299" s="26">
        <v>1</v>
      </c>
      <c r="U299" t="s">
        <v>708</v>
      </c>
      <c r="V299" t="s">
        <v>480</v>
      </c>
      <c r="W299" t="s">
        <v>707</v>
      </c>
      <c r="X299" s="26">
        <v>2</v>
      </c>
    </row>
    <row r="300" spans="1:24" hidden="1" x14ac:dyDescent="0.35">
      <c r="A300">
        <f t="shared" si="9"/>
        <v>299</v>
      </c>
      <c r="B300">
        <v>2003</v>
      </c>
      <c r="C300" t="s">
        <v>893</v>
      </c>
      <c r="D300" t="s">
        <v>1315</v>
      </c>
      <c r="E300" t="s">
        <v>133</v>
      </c>
      <c r="G300" s="2">
        <v>15</v>
      </c>
      <c r="H300" t="s">
        <v>50</v>
      </c>
      <c r="I300" t="s">
        <v>25</v>
      </c>
      <c r="J300" s="11">
        <v>486.66657262589274</v>
      </c>
      <c r="K300" t="str">
        <f t="shared" si="8"/>
        <v>Russell Fox</v>
      </c>
      <c r="M300" t="s">
        <v>2336</v>
      </c>
      <c r="N300" t="s">
        <v>2337</v>
      </c>
      <c r="O300" s="26">
        <v>1</v>
      </c>
      <c r="R300" t="s">
        <v>2311</v>
      </c>
      <c r="S300" s="26">
        <v>2</v>
      </c>
      <c r="U300" t="s">
        <v>877</v>
      </c>
      <c r="V300" t="s">
        <v>480</v>
      </c>
      <c r="W300" t="s">
        <v>876</v>
      </c>
      <c r="X300" s="26">
        <v>1</v>
      </c>
    </row>
    <row r="301" spans="1:24" hidden="1" x14ac:dyDescent="0.35">
      <c r="A301">
        <f t="shared" si="9"/>
        <v>300</v>
      </c>
      <c r="B301">
        <v>2003</v>
      </c>
      <c r="C301" t="s">
        <v>893</v>
      </c>
      <c r="D301" t="s">
        <v>1315</v>
      </c>
      <c r="E301" t="s">
        <v>133</v>
      </c>
      <c r="G301" s="2">
        <v>16</v>
      </c>
      <c r="H301" t="s">
        <v>818</v>
      </c>
      <c r="I301" t="s">
        <v>65</v>
      </c>
      <c r="J301" s="11">
        <v>458.6378490256493</v>
      </c>
      <c r="K301" t="str">
        <f t="shared" si="8"/>
        <v>Steve Nissman</v>
      </c>
      <c r="M301" t="s">
        <v>574</v>
      </c>
      <c r="N301" t="s">
        <v>388</v>
      </c>
      <c r="O301" s="26">
        <v>2</v>
      </c>
      <c r="Q301" t="s">
        <v>694</v>
      </c>
      <c r="R301" t="s">
        <v>306</v>
      </c>
      <c r="S301" s="26">
        <v>20</v>
      </c>
      <c r="U301" t="s">
        <v>579</v>
      </c>
      <c r="V301" t="s">
        <v>480</v>
      </c>
      <c r="W301" t="s">
        <v>578</v>
      </c>
      <c r="X301" s="26">
        <v>1</v>
      </c>
    </row>
    <row r="302" spans="1:24" hidden="1" x14ac:dyDescent="0.35">
      <c r="A302">
        <f t="shared" si="9"/>
        <v>301</v>
      </c>
      <c r="B302">
        <v>2003</v>
      </c>
      <c r="C302" t="s">
        <v>893</v>
      </c>
      <c r="D302" t="s">
        <v>1315</v>
      </c>
      <c r="E302" t="s">
        <v>133</v>
      </c>
      <c r="G302" s="2">
        <v>17</v>
      </c>
      <c r="H302" t="s">
        <v>1298</v>
      </c>
      <c r="I302" t="s">
        <v>271</v>
      </c>
      <c r="J302" s="11">
        <v>432.30891030330019</v>
      </c>
      <c r="K302" t="str">
        <f t="shared" si="8"/>
        <v>Dan Loncarcic</v>
      </c>
      <c r="M302" t="s">
        <v>646</v>
      </c>
      <c r="N302" t="s">
        <v>451</v>
      </c>
      <c r="O302" s="26">
        <v>1</v>
      </c>
      <c r="Q302" t="s">
        <v>1213</v>
      </c>
      <c r="R302" t="s">
        <v>1212</v>
      </c>
      <c r="S302" s="26">
        <v>1</v>
      </c>
      <c r="U302" t="s">
        <v>1557</v>
      </c>
      <c r="V302" t="s">
        <v>480</v>
      </c>
      <c r="W302" t="s">
        <v>490</v>
      </c>
      <c r="X302" s="26">
        <v>6</v>
      </c>
    </row>
    <row r="303" spans="1:24" hidden="1" x14ac:dyDescent="0.35">
      <c r="A303">
        <f t="shared" si="9"/>
        <v>302</v>
      </c>
      <c r="B303">
        <v>2003</v>
      </c>
      <c r="C303" t="s">
        <v>893</v>
      </c>
      <c r="D303" t="s">
        <v>1315</v>
      </c>
      <c r="E303" t="s">
        <v>133</v>
      </c>
      <c r="G303" s="2">
        <v>18</v>
      </c>
      <c r="H303" t="s">
        <v>764</v>
      </c>
      <c r="I303" t="s">
        <v>901</v>
      </c>
      <c r="J303" s="11">
        <v>407.48532657826809</v>
      </c>
      <c r="K303" t="str">
        <f t="shared" si="8"/>
        <v>Jerrod Ankenman</v>
      </c>
      <c r="M303" t="s">
        <v>543</v>
      </c>
      <c r="N303" t="s">
        <v>67</v>
      </c>
      <c r="O303" s="26">
        <v>11</v>
      </c>
      <c r="Q303" t="s">
        <v>1269</v>
      </c>
      <c r="R303" t="s">
        <v>1335</v>
      </c>
      <c r="S303" s="26">
        <v>3</v>
      </c>
      <c r="U303" t="s">
        <v>1334</v>
      </c>
      <c r="V303" t="s">
        <v>480</v>
      </c>
      <c r="W303" t="s">
        <v>1333</v>
      </c>
      <c r="X303" s="26">
        <v>5</v>
      </c>
    </row>
    <row r="304" spans="1:24" hidden="1" x14ac:dyDescent="0.35">
      <c r="A304">
        <f t="shared" si="9"/>
        <v>303</v>
      </c>
      <c r="B304">
        <v>2003</v>
      </c>
      <c r="C304" t="s">
        <v>893</v>
      </c>
      <c r="D304" t="s">
        <v>1315</v>
      </c>
      <c r="E304" t="s">
        <v>133</v>
      </c>
      <c r="G304" s="2">
        <v>19</v>
      </c>
      <c r="H304" t="s">
        <v>1319</v>
      </c>
      <c r="I304" t="s">
        <v>119</v>
      </c>
      <c r="J304" s="11">
        <v>384.00423072874526</v>
      </c>
      <c r="K304" t="str">
        <f t="shared" si="8"/>
        <v>Peter Mikulen</v>
      </c>
      <c r="M304" t="s">
        <v>1230</v>
      </c>
      <c r="N304" t="s">
        <v>71</v>
      </c>
      <c r="O304" s="26">
        <v>1</v>
      </c>
      <c r="Q304" t="s">
        <v>480</v>
      </c>
      <c r="R304" t="s">
        <v>707</v>
      </c>
      <c r="S304" s="26">
        <v>2</v>
      </c>
      <c r="U304" t="s">
        <v>481</v>
      </c>
      <c r="V304" t="s">
        <v>480</v>
      </c>
      <c r="W304" t="s">
        <v>479</v>
      </c>
      <c r="X304" s="26">
        <v>2</v>
      </c>
    </row>
    <row r="305" spans="1:24" hidden="1" x14ac:dyDescent="0.35">
      <c r="A305">
        <f t="shared" si="9"/>
        <v>304</v>
      </c>
      <c r="B305">
        <v>2003</v>
      </c>
      <c r="C305" t="s">
        <v>893</v>
      </c>
      <c r="D305" t="s">
        <v>1315</v>
      </c>
      <c r="E305" t="s">
        <v>133</v>
      </c>
      <c r="G305" s="2">
        <v>20</v>
      </c>
      <c r="H305" t="s">
        <v>1102</v>
      </c>
      <c r="I305" t="s">
        <v>521</v>
      </c>
      <c r="J305" s="11">
        <v>361.72783601759284</v>
      </c>
      <c r="K305" t="str">
        <f t="shared" si="8"/>
        <v>Chuck Artigues</v>
      </c>
      <c r="M305" t="s">
        <v>1509</v>
      </c>
      <c r="N305" t="s">
        <v>1510</v>
      </c>
      <c r="O305" s="26">
        <v>1</v>
      </c>
      <c r="R305" t="s">
        <v>876</v>
      </c>
      <c r="S305" s="26">
        <v>1</v>
      </c>
      <c r="U305" t="s">
        <v>2683</v>
      </c>
      <c r="V305" t="s">
        <v>480</v>
      </c>
      <c r="W305" t="s">
        <v>57</v>
      </c>
      <c r="X305" s="26">
        <v>1</v>
      </c>
    </row>
    <row r="306" spans="1:24" hidden="1" x14ac:dyDescent="0.35">
      <c r="A306">
        <f t="shared" si="9"/>
        <v>305</v>
      </c>
      <c r="B306">
        <v>2003</v>
      </c>
      <c r="C306" t="s">
        <v>8</v>
      </c>
      <c r="D306" t="s">
        <v>995</v>
      </c>
      <c r="E306" t="s">
        <v>1430</v>
      </c>
      <c r="G306" s="2">
        <v>1</v>
      </c>
      <c r="H306" t="s">
        <v>958</v>
      </c>
      <c r="I306" t="s">
        <v>122</v>
      </c>
      <c r="J306" s="11">
        <v>1770.8520116421441</v>
      </c>
      <c r="K306" t="str">
        <f t="shared" si="8"/>
        <v>Andy Bloch</v>
      </c>
      <c r="M306" t="s">
        <v>441</v>
      </c>
      <c r="N306" t="s">
        <v>58</v>
      </c>
      <c r="O306" s="26">
        <v>5</v>
      </c>
      <c r="R306" t="s">
        <v>578</v>
      </c>
      <c r="S306" s="26">
        <v>1</v>
      </c>
      <c r="U306" t="s">
        <v>1674</v>
      </c>
      <c r="V306" t="s">
        <v>480</v>
      </c>
      <c r="W306" t="s">
        <v>774</v>
      </c>
      <c r="X306" s="26">
        <v>1</v>
      </c>
    </row>
    <row r="307" spans="1:24" hidden="1" x14ac:dyDescent="0.35">
      <c r="A307">
        <f t="shared" si="9"/>
        <v>306</v>
      </c>
      <c r="B307">
        <v>2003</v>
      </c>
      <c r="C307" t="s">
        <v>8</v>
      </c>
      <c r="D307" t="s">
        <v>995</v>
      </c>
      <c r="E307" t="s">
        <v>1430</v>
      </c>
      <c r="G307" s="2">
        <v>2</v>
      </c>
      <c r="H307" t="s">
        <v>19</v>
      </c>
      <c r="I307" t="s">
        <v>20</v>
      </c>
      <c r="J307" s="11">
        <v>1469.8220159781629</v>
      </c>
      <c r="K307" t="str">
        <f t="shared" si="8"/>
        <v>Barry Kornspan</v>
      </c>
      <c r="M307" t="s">
        <v>933</v>
      </c>
      <c r="N307" t="s">
        <v>119</v>
      </c>
      <c r="O307" s="26">
        <v>1</v>
      </c>
      <c r="R307" t="s">
        <v>490</v>
      </c>
      <c r="S307" s="26">
        <v>6</v>
      </c>
      <c r="U307" t="s">
        <v>1259</v>
      </c>
      <c r="V307" t="s">
        <v>480</v>
      </c>
      <c r="W307" t="s">
        <v>1126</v>
      </c>
      <c r="X307" s="26">
        <v>3</v>
      </c>
    </row>
    <row r="308" spans="1:24" hidden="1" x14ac:dyDescent="0.35">
      <c r="A308">
        <f t="shared" si="9"/>
        <v>307</v>
      </c>
      <c r="B308">
        <v>2003</v>
      </c>
      <c r="C308" t="s">
        <v>8</v>
      </c>
      <c r="D308" t="s">
        <v>995</v>
      </c>
      <c r="E308" t="s">
        <v>1430</v>
      </c>
      <c r="G308" s="2">
        <v>3</v>
      </c>
      <c r="H308" t="s">
        <v>821</v>
      </c>
      <c r="I308" t="s">
        <v>267</v>
      </c>
      <c r="J308" s="11">
        <v>1293.7307569224818</v>
      </c>
      <c r="K308" t="str">
        <f t="shared" si="8"/>
        <v>Christopher Smith</v>
      </c>
      <c r="M308" t="s">
        <v>929</v>
      </c>
      <c r="N308" t="s">
        <v>117</v>
      </c>
      <c r="O308" s="26">
        <v>1</v>
      </c>
      <c r="R308" t="s">
        <v>1333</v>
      </c>
      <c r="S308" s="26">
        <v>5</v>
      </c>
      <c r="U308" t="s">
        <v>1621</v>
      </c>
      <c r="V308" t="s">
        <v>1003</v>
      </c>
      <c r="W308" t="s">
        <v>304</v>
      </c>
      <c r="X308" s="26">
        <v>4</v>
      </c>
    </row>
    <row r="309" spans="1:24" hidden="1" x14ac:dyDescent="0.35">
      <c r="A309">
        <f t="shared" si="9"/>
        <v>308</v>
      </c>
      <c r="B309">
        <v>2003</v>
      </c>
      <c r="C309" t="s">
        <v>8</v>
      </c>
      <c r="D309" t="s">
        <v>995</v>
      </c>
      <c r="E309" t="s">
        <v>1430</v>
      </c>
      <c r="G309" s="2">
        <v>4</v>
      </c>
      <c r="H309" t="s">
        <v>821</v>
      </c>
      <c r="I309" t="s">
        <v>822</v>
      </c>
      <c r="J309" s="11">
        <v>1168.7920203141816</v>
      </c>
      <c r="K309" t="str">
        <f t="shared" si="8"/>
        <v>Gavin Smith</v>
      </c>
      <c r="M309" t="s">
        <v>2324</v>
      </c>
      <c r="N309" t="s">
        <v>2325</v>
      </c>
      <c r="O309" s="26">
        <v>1</v>
      </c>
      <c r="R309" t="s">
        <v>479</v>
      </c>
      <c r="S309" s="26">
        <v>2</v>
      </c>
      <c r="U309" t="s">
        <v>1604</v>
      </c>
      <c r="V309" t="s">
        <v>297</v>
      </c>
      <c r="W309" t="s">
        <v>296</v>
      </c>
      <c r="X309" s="26">
        <v>5</v>
      </c>
    </row>
    <row r="310" spans="1:24" hidden="1" x14ac:dyDescent="0.35">
      <c r="A310">
        <f t="shared" si="9"/>
        <v>309</v>
      </c>
      <c r="B310">
        <v>2003</v>
      </c>
      <c r="C310" t="s">
        <v>8</v>
      </c>
      <c r="D310" t="s">
        <v>995</v>
      </c>
      <c r="E310" t="s">
        <v>1430</v>
      </c>
      <c r="G310" s="2">
        <v>5</v>
      </c>
      <c r="H310" t="s">
        <v>984</v>
      </c>
      <c r="I310" t="s">
        <v>119</v>
      </c>
      <c r="J310" s="11">
        <v>1071.8820073061254</v>
      </c>
      <c r="K310" t="str">
        <f t="shared" si="8"/>
        <v>Peter Canning</v>
      </c>
      <c r="M310" t="s">
        <v>2323</v>
      </c>
      <c r="N310" t="s">
        <v>2383</v>
      </c>
      <c r="O310" s="26">
        <v>5</v>
      </c>
      <c r="R310" t="s">
        <v>57</v>
      </c>
      <c r="S310" s="26">
        <v>1</v>
      </c>
      <c r="U310" t="s">
        <v>2321</v>
      </c>
      <c r="V310" t="s">
        <v>2320</v>
      </c>
      <c r="W310" t="s">
        <v>525</v>
      </c>
      <c r="X310" s="26">
        <v>10</v>
      </c>
    </row>
    <row r="311" spans="1:24" hidden="1" x14ac:dyDescent="0.35">
      <c r="A311">
        <f t="shared" si="9"/>
        <v>310</v>
      </c>
      <c r="B311">
        <v>2003</v>
      </c>
      <c r="C311" t="s">
        <v>8</v>
      </c>
      <c r="D311" t="s">
        <v>995</v>
      </c>
      <c r="E311" t="s">
        <v>1430</v>
      </c>
      <c r="G311" s="2">
        <v>6</v>
      </c>
      <c r="H311" t="s">
        <v>465</v>
      </c>
      <c r="I311" t="s">
        <v>11</v>
      </c>
      <c r="J311" s="11">
        <v>992.70076125850062</v>
      </c>
      <c r="K311" t="str">
        <f t="shared" si="8"/>
        <v>Paul Sikorski</v>
      </c>
      <c r="M311" t="s">
        <v>2451</v>
      </c>
      <c r="N311" t="s">
        <v>2452</v>
      </c>
      <c r="O311" s="26">
        <v>2</v>
      </c>
      <c r="R311" t="s">
        <v>774</v>
      </c>
      <c r="S311" s="26">
        <v>1</v>
      </c>
      <c r="U311" t="s">
        <v>1031</v>
      </c>
      <c r="V311" t="s">
        <v>848</v>
      </c>
      <c r="W311" t="s">
        <v>1030</v>
      </c>
      <c r="X311" s="26">
        <v>1</v>
      </c>
    </row>
    <row r="312" spans="1:24" hidden="1" x14ac:dyDescent="0.35">
      <c r="A312">
        <f t="shared" si="9"/>
        <v>311</v>
      </c>
      <c r="B312">
        <v>2003</v>
      </c>
      <c r="C312" t="s">
        <v>8</v>
      </c>
      <c r="D312" t="s">
        <v>995</v>
      </c>
      <c r="E312" t="s">
        <v>1430</v>
      </c>
      <c r="G312" s="2">
        <v>7</v>
      </c>
      <c r="H312" t="s">
        <v>439</v>
      </c>
      <c r="I312" t="s">
        <v>136</v>
      </c>
      <c r="J312" s="11">
        <v>925.75397162788738</v>
      </c>
      <c r="K312" t="str">
        <f t="shared" si="8"/>
        <v>John Hallyburton</v>
      </c>
      <c r="M312" t="s">
        <v>1191</v>
      </c>
      <c r="N312" t="s">
        <v>11</v>
      </c>
      <c r="O312" s="26">
        <v>1</v>
      </c>
      <c r="R312" t="s">
        <v>1126</v>
      </c>
      <c r="S312" s="26">
        <v>3</v>
      </c>
      <c r="U312" t="s">
        <v>1652</v>
      </c>
      <c r="V312" t="s">
        <v>848</v>
      </c>
      <c r="W312" t="s">
        <v>1143</v>
      </c>
      <c r="X312" s="26">
        <v>1</v>
      </c>
    </row>
    <row r="313" spans="1:24" hidden="1" x14ac:dyDescent="0.35">
      <c r="A313">
        <f t="shared" si="9"/>
        <v>312</v>
      </c>
      <c r="B313">
        <v>2003</v>
      </c>
      <c r="C313" t="s">
        <v>8</v>
      </c>
      <c r="D313" t="s">
        <v>995</v>
      </c>
      <c r="E313" t="s">
        <v>1430</v>
      </c>
      <c r="G313" s="2">
        <v>8</v>
      </c>
      <c r="H313" t="s">
        <v>1080</v>
      </c>
      <c r="I313" t="s">
        <v>25</v>
      </c>
      <c r="J313" s="11">
        <v>867.76202465020071</v>
      </c>
      <c r="K313" t="str">
        <f t="shared" si="8"/>
        <v>Russell Rosenblum</v>
      </c>
      <c r="M313" t="s">
        <v>355</v>
      </c>
      <c r="N313" t="s">
        <v>356</v>
      </c>
      <c r="O313" s="26">
        <v>1</v>
      </c>
      <c r="Q313" t="s">
        <v>297</v>
      </c>
      <c r="R313" t="s">
        <v>296</v>
      </c>
      <c r="S313" s="26">
        <v>5</v>
      </c>
      <c r="U313" t="s">
        <v>1261</v>
      </c>
      <c r="V313" t="s">
        <v>848</v>
      </c>
      <c r="W313" t="s">
        <v>43</v>
      </c>
      <c r="X313" s="26">
        <v>2</v>
      </c>
    </row>
    <row r="314" spans="1:24" hidden="1" x14ac:dyDescent="0.35">
      <c r="A314">
        <f t="shared" si="9"/>
        <v>313</v>
      </c>
      <c r="B314">
        <v>2003</v>
      </c>
      <c r="C314" t="s">
        <v>8</v>
      </c>
      <c r="D314" t="s">
        <v>995</v>
      </c>
      <c r="E314" t="s">
        <v>1430</v>
      </c>
      <c r="G314" s="2">
        <v>9</v>
      </c>
      <c r="H314" t="s">
        <v>388</v>
      </c>
      <c r="I314" t="s">
        <v>200</v>
      </c>
      <c r="J314" s="11">
        <v>816.60950220281939</v>
      </c>
      <c r="K314" t="str">
        <f t="shared" si="8"/>
        <v>Rick Charles</v>
      </c>
      <c r="M314" t="s">
        <v>789</v>
      </c>
      <c r="N314" t="s">
        <v>77</v>
      </c>
      <c r="O314" s="26">
        <v>2</v>
      </c>
      <c r="Q314" t="s">
        <v>2320</v>
      </c>
      <c r="R314" t="s">
        <v>525</v>
      </c>
      <c r="S314" s="26">
        <v>10</v>
      </c>
      <c r="U314" t="s">
        <v>849</v>
      </c>
      <c r="V314" t="s">
        <v>848</v>
      </c>
      <c r="W314" t="s">
        <v>847</v>
      </c>
      <c r="X314" s="26">
        <v>1</v>
      </c>
    </row>
    <row r="315" spans="1:24" hidden="1" x14ac:dyDescent="0.35">
      <c r="A315">
        <f t="shared" si="9"/>
        <v>314</v>
      </c>
      <c r="B315">
        <v>2003</v>
      </c>
      <c r="C315" t="s">
        <v>8</v>
      </c>
      <c r="D315" t="s">
        <v>995</v>
      </c>
      <c r="E315" t="s">
        <v>1430</v>
      </c>
      <c r="G315" s="2">
        <v>10</v>
      </c>
      <c r="H315" t="s">
        <v>237</v>
      </c>
      <c r="I315" t="s">
        <v>13</v>
      </c>
      <c r="J315" s="11">
        <v>770.85201164214425</v>
      </c>
      <c r="K315" t="str">
        <f t="shared" si="8"/>
        <v>Tom Goodwin</v>
      </c>
      <c r="M315" t="s">
        <v>33</v>
      </c>
      <c r="N315" t="s">
        <v>34</v>
      </c>
      <c r="O315" s="26">
        <v>15</v>
      </c>
      <c r="Q315" t="s">
        <v>848</v>
      </c>
      <c r="R315" t="s">
        <v>1030</v>
      </c>
      <c r="S315" s="26">
        <v>1</v>
      </c>
      <c r="U315" t="s">
        <v>928</v>
      </c>
      <c r="V315" t="s">
        <v>927</v>
      </c>
      <c r="W315" t="s">
        <v>926</v>
      </c>
      <c r="X315" s="26">
        <v>1</v>
      </c>
    </row>
    <row r="316" spans="1:24" hidden="1" x14ac:dyDescent="0.35">
      <c r="A316">
        <f t="shared" si="9"/>
        <v>315</v>
      </c>
      <c r="B316">
        <v>2003</v>
      </c>
      <c r="C316" t="s">
        <v>8</v>
      </c>
      <c r="D316" t="s">
        <v>995</v>
      </c>
      <c r="E316" t="s">
        <v>1430</v>
      </c>
      <c r="G316" s="2">
        <v>11</v>
      </c>
      <c r="H316" t="s">
        <v>870</v>
      </c>
      <c r="I316" t="s">
        <v>528</v>
      </c>
      <c r="J316" s="11">
        <v>729.45932648391909</v>
      </c>
      <c r="K316" t="str">
        <f t="shared" si="8"/>
        <v>Tim Woodbury</v>
      </c>
      <c r="M316" t="s">
        <v>616</v>
      </c>
      <c r="N316" t="s">
        <v>131</v>
      </c>
      <c r="O316" s="26">
        <v>1</v>
      </c>
      <c r="R316" t="s">
        <v>1143</v>
      </c>
      <c r="S316" s="26">
        <v>1</v>
      </c>
      <c r="U316" t="s">
        <v>1084</v>
      </c>
      <c r="V316" t="s">
        <v>927</v>
      </c>
      <c r="W316" t="s">
        <v>1083</v>
      </c>
      <c r="X316" s="26">
        <v>2</v>
      </c>
    </row>
    <row r="317" spans="1:24" hidden="1" x14ac:dyDescent="0.35">
      <c r="A317">
        <f t="shared" si="9"/>
        <v>316</v>
      </c>
      <c r="B317">
        <v>2003</v>
      </c>
      <c r="C317" t="s">
        <v>8</v>
      </c>
      <c r="D317" t="s">
        <v>995</v>
      </c>
      <c r="E317" t="s">
        <v>1430</v>
      </c>
      <c r="G317" s="2">
        <v>12</v>
      </c>
      <c r="H317" t="s">
        <v>220</v>
      </c>
      <c r="I317" t="s">
        <v>421</v>
      </c>
      <c r="J317" s="11">
        <v>691.67076559451937</v>
      </c>
      <c r="K317" t="str">
        <f t="shared" si="8"/>
        <v>Bill Chen</v>
      </c>
      <c r="M317" t="s">
        <v>406</v>
      </c>
      <c r="N317" t="s">
        <v>808</v>
      </c>
      <c r="O317" s="26">
        <v>1</v>
      </c>
      <c r="R317" t="s">
        <v>43</v>
      </c>
      <c r="S317" s="26">
        <v>2</v>
      </c>
      <c r="U317" t="s">
        <v>1029</v>
      </c>
      <c r="V317" t="s">
        <v>927</v>
      </c>
      <c r="W317" t="s">
        <v>1028</v>
      </c>
      <c r="X317" s="26">
        <v>1</v>
      </c>
    </row>
    <row r="318" spans="1:24" hidden="1" x14ac:dyDescent="0.35">
      <c r="A318">
        <f t="shared" si="9"/>
        <v>317</v>
      </c>
      <c r="B318">
        <v>2003</v>
      </c>
      <c r="C318" t="s">
        <v>8</v>
      </c>
      <c r="D318" t="s">
        <v>995</v>
      </c>
      <c r="E318" t="s">
        <v>1430</v>
      </c>
      <c r="G318" s="2">
        <v>13</v>
      </c>
      <c r="H318" t="s">
        <v>70</v>
      </c>
      <c r="I318" t="s">
        <v>71</v>
      </c>
      <c r="J318" s="11">
        <v>656.90865933530756</v>
      </c>
      <c r="K318" t="str">
        <f t="shared" si="8"/>
        <v>Scott Byron</v>
      </c>
      <c r="M318" t="s">
        <v>1118</v>
      </c>
      <c r="N318" t="s">
        <v>1119</v>
      </c>
      <c r="O318" s="26">
        <v>1</v>
      </c>
      <c r="R318" t="s">
        <v>847</v>
      </c>
      <c r="S318" s="26">
        <v>1</v>
      </c>
      <c r="U318" t="s">
        <v>2687</v>
      </c>
      <c r="V318" t="s">
        <v>2435</v>
      </c>
      <c r="W318" t="s">
        <v>2434</v>
      </c>
      <c r="X318" s="26">
        <v>2</v>
      </c>
    </row>
    <row r="319" spans="1:24" hidden="1" x14ac:dyDescent="0.35">
      <c r="A319">
        <f t="shared" si="9"/>
        <v>318</v>
      </c>
      <c r="B319">
        <v>2003</v>
      </c>
      <c r="C319" t="s">
        <v>8</v>
      </c>
      <c r="D319" t="s">
        <v>995</v>
      </c>
      <c r="E319" t="s">
        <v>1430</v>
      </c>
      <c r="G319" s="2">
        <v>14</v>
      </c>
      <c r="H319" t="s">
        <v>588</v>
      </c>
      <c r="I319" t="s">
        <v>353</v>
      </c>
      <c r="J319" s="11">
        <v>624.72397596390624</v>
      </c>
      <c r="K319" t="str">
        <f t="shared" si="8"/>
        <v>Frank Bruegger</v>
      </c>
      <c r="M319" t="s">
        <v>1069</v>
      </c>
      <c r="N319" t="s">
        <v>16</v>
      </c>
      <c r="O319" s="26">
        <v>4</v>
      </c>
      <c r="Q319" t="s">
        <v>927</v>
      </c>
      <c r="R319" t="s">
        <v>926</v>
      </c>
      <c r="S319" s="26">
        <v>1</v>
      </c>
      <c r="U319" t="s">
        <v>674</v>
      </c>
      <c r="V319" t="s">
        <v>673</v>
      </c>
      <c r="W319" t="s">
        <v>672</v>
      </c>
      <c r="X319" s="26">
        <v>5</v>
      </c>
    </row>
    <row r="320" spans="1:24" hidden="1" x14ac:dyDescent="0.35">
      <c r="A320">
        <f t="shared" si="9"/>
        <v>319</v>
      </c>
      <c r="B320">
        <v>2003</v>
      </c>
      <c r="C320" t="s">
        <v>8</v>
      </c>
      <c r="D320" t="s">
        <v>995</v>
      </c>
      <c r="E320" t="s">
        <v>1430</v>
      </c>
      <c r="G320" s="2">
        <v>15</v>
      </c>
      <c r="H320" t="s">
        <v>1244</v>
      </c>
      <c r="I320" t="s">
        <v>324</v>
      </c>
      <c r="J320" s="11">
        <v>594.7607525864629</v>
      </c>
      <c r="K320" t="str">
        <f t="shared" si="8"/>
        <v>Andrew Richman</v>
      </c>
      <c r="M320" t="s">
        <v>1843</v>
      </c>
      <c r="N320" t="s">
        <v>282</v>
      </c>
      <c r="O320" s="26">
        <v>1</v>
      </c>
      <c r="R320" t="s">
        <v>1083</v>
      </c>
      <c r="S320" s="26">
        <v>2</v>
      </c>
      <c r="U320" t="s">
        <v>476</v>
      </c>
      <c r="V320" t="s">
        <v>59</v>
      </c>
      <c r="W320" t="s">
        <v>16</v>
      </c>
      <c r="X320" s="26">
        <v>26</v>
      </c>
    </row>
    <row r="321" spans="1:24" hidden="1" x14ac:dyDescent="0.35">
      <c r="A321">
        <f t="shared" si="9"/>
        <v>320</v>
      </c>
      <c r="B321">
        <v>2003</v>
      </c>
      <c r="C321" t="s">
        <v>8</v>
      </c>
      <c r="D321" t="s">
        <v>995</v>
      </c>
      <c r="E321" t="s">
        <v>1430</v>
      </c>
      <c r="G321" s="2">
        <v>16</v>
      </c>
      <c r="H321" t="s">
        <v>950</v>
      </c>
      <c r="I321" t="s">
        <v>142</v>
      </c>
      <c r="J321" s="11">
        <v>566.73202898621946</v>
      </c>
      <c r="K321" t="str">
        <f t="shared" si="8"/>
        <v>Matt Treasure</v>
      </c>
      <c r="M321" t="s">
        <v>265</v>
      </c>
      <c r="N321" t="s">
        <v>122</v>
      </c>
      <c r="O321" s="26">
        <v>2</v>
      </c>
      <c r="R321" t="s">
        <v>1028</v>
      </c>
      <c r="S321" s="26">
        <v>1</v>
      </c>
      <c r="U321" t="s">
        <v>458</v>
      </c>
      <c r="V321" t="s">
        <v>384</v>
      </c>
      <c r="W321" t="s">
        <v>457</v>
      </c>
      <c r="X321" s="26">
        <v>1</v>
      </c>
    </row>
    <row r="322" spans="1:24" hidden="1" x14ac:dyDescent="0.35">
      <c r="A322">
        <f t="shared" si="9"/>
        <v>321</v>
      </c>
      <c r="B322">
        <v>2003</v>
      </c>
      <c r="C322" t="s">
        <v>8</v>
      </c>
      <c r="D322" t="s">
        <v>995</v>
      </c>
      <c r="E322" t="s">
        <v>1430</v>
      </c>
      <c r="G322" s="2">
        <v>17</v>
      </c>
      <c r="H322" t="s">
        <v>656</v>
      </c>
      <c r="I322" t="s">
        <v>81</v>
      </c>
      <c r="J322" s="11">
        <v>540.40309026387035</v>
      </c>
      <c r="K322" t="str">
        <f t="shared" ref="K322:K385" si="10">I322&amp;" "&amp;H322</f>
        <v>Don Taylor</v>
      </c>
      <c r="N322" t="s">
        <v>139</v>
      </c>
      <c r="O322" s="26">
        <v>14</v>
      </c>
      <c r="Q322" t="s">
        <v>2435</v>
      </c>
      <c r="R322" t="s">
        <v>2434</v>
      </c>
      <c r="S322" s="26">
        <v>2</v>
      </c>
      <c r="U322" t="s">
        <v>2459</v>
      </c>
      <c r="V322" t="s">
        <v>384</v>
      </c>
      <c r="W322" t="s">
        <v>2458</v>
      </c>
      <c r="X322" s="26">
        <v>1</v>
      </c>
    </row>
    <row r="323" spans="1:24" hidden="1" x14ac:dyDescent="0.35">
      <c r="A323">
        <f t="shared" si="9"/>
        <v>322</v>
      </c>
      <c r="B323">
        <v>2003</v>
      </c>
      <c r="C323" t="s">
        <v>8</v>
      </c>
      <c r="D323" t="s">
        <v>995</v>
      </c>
      <c r="E323" t="s">
        <v>1430</v>
      </c>
      <c r="G323" s="2">
        <v>18</v>
      </c>
      <c r="H323" t="s">
        <v>1223</v>
      </c>
      <c r="I323" t="s">
        <v>65</v>
      </c>
      <c r="J323" s="11">
        <v>515.57950653883825</v>
      </c>
      <c r="K323" t="str">
        <f t="shared" si="10"/>
        <v>Steve Zang</v>
      </c>
      <c r="M323" t="s">
        <v>23</v>
      </c>
      <c r="N323" t="s">
        <v>13</v>
      </c>
      <c r="O323" s="26">
        <v>10</v>
      </c>
      <c r="Q323" t="s">
        <v>673</v>
      </c>
      <c r="R323" t="s">
        <v>672</v>
      </c>
      <c r="S323" s="26">
        <v>5</v>
      </c>
      <c r="U323" t="s">
        <v>892</v>
      </c>
      <c r="V323" t="s">
        <v>384</v>
      </c>
      <c r="W323" t="s">
        <v>731</v>
      </c>
      <c r="X323" s="26">
        <v>10</v>
      </c>
    </row>
    <row r="324" spans="1:24" hidden="1" x14ac:dyDescent="0.35">
      <c r="A324">
        <f t="shared" ref="A324:A387" si="11">A323+1</f>
        <v>323</v>
      </c>
      <c r="B324">
        <v>2003</v>
      </c>
      <c r="C324" t="s">
        <v>8</v>
      </c>
      <c r="D324" t="s">
        <v>995</v>
      </c>
      <c r="E324" t="s">
        <v>1430</v>
      </c>
      <c r="G324" s="2">
        <v>23</v>
      </c>
      <c r="H324" t="s">
        <v>653</v>
      </c>
      <c r="I324" t="s">
        <v>654</v>
      </c>
      <c r="J324" s="11">
        <v>409.12417562455141</v>
      </c>
      <c r="K324" t="str">
        <f t="shared" si="10"/>
        <v>Gloria Brown</v>
      </c>
      <c r="M324" t="s">
        <v>387</v>
      </c>
      <c r="N324" t="s">
        <v>521</v>
      </c>
      <c r="O324" s="26">
        <v>9</v>
      </c>
      <c r="Q324" t="s">
        <v>59</v>
      </c>
      <c r="R324" t="s">
        <v>16</v>
      </c>
      <c r="S324" s="26">
        <v>26</v>
      </c>
      <c r="U324" t="s">
        <v>385</v>
      </c>
      <c r="V324" t="s">
        <v>384</v>
      </c>
      <c r="W324" t="s">
        <v>383</v>
      </c>
      <c r="X324" s="26">
        <v>11</v>
      </c>
    </row>
    <row r="325" spans="1:24" hidden="1" x14ac:dyDescent="0.35">
      <c r="A325">
        <f t="shared" si="11"/>
        <v>324</v>
      </c>
      <c r="B325">
        <v>2003</v>
      </c>
      <c r="C325" t="s">
        <v>8</v>
      </c>
      <c r="D325" t="s">
        <v>995</v>
      </c>
      <c r="E325" t="s">
        <v>1430</v>
      </c>
      <c r="G325" s="2">
        <v>23</v>
      </c>
      <c r="H325" t="s">
        <v>731</v>
      </c>
      <c r="I325" t="s">
        <v>384</v>
      </c>
      <c r="J325" s="11">
        <v>409.12417562455141</v>
      </c>
      <c r="K325" t="str">
        <f t="shared" si="10"/>
        <v>Jeff Calkins</v>
      </c>
      <c r="M325" t="s">
        <v>1170</v>
      </c>
      <c r="N325" t="s">
        <v>1171</v>
      </c>
      <c r="O325" s="26">
        <v>2</v>
      </c>
      <c r="Q325" t="s">
        <v>384</v>
      </c>
      <c r="R325" t="s">
        <v>457</v>
      </c>
      <c r="S325" s="26">
        <v>1</v>
      </c>
      <c r="U325" t="s">
        <v>1561</v>
      </c>
      <c r="V325" t="s">
        <v>384</v>
      </c>
      <c r="W325" t="s">
        <v>1058</v>
      </c>
      <c r="X325" s="26">
        <v>1</v>
      </c>
    </row>
    <row r="326" spans="1:24" hidden="1" x14ac:dyDescent="0.35">
      <c r="A326">
        <f t="shared" si="11"/>
        <v>325</v>
      </c>
      <c r="B326">
        <v>2003</v>
      </c>
      <c r="C326" t="s">
        <v>8</v>
      </c>
      <c r="D326" t="s">
        <v>995</v>
      </c>
      <c r="E326" t="s">
        <v>1430</v>
      </c>
      <c r="G326" s="2">
        <v>23</v>
      </c>
      <c r="H326" t="s">
        <v>100</v>
      </c>
      <c r="I326" t="s">
        <v>52</v>
      </c>
      <c r="J326" s="11">
        <v>409.12417562455141</v>
      </c>
      <c r="K326" t="str">
        <f t="shared" si="10"/>
        <v>Steven Eisenstein</v>
      </c>
      <c r="M326" t="s">
        <v>976</v>
      </c>
      <c r="N326" t="s">
        <v>218</v>
      </c>
      <c r="O326" s="26">
        <v>2</v>
      </c>
      <c r="R326" t="s">
        <v>2458</v>
      </c>
      <c r="S326" s="26">
        <v>1</v>
      </c>
      <c r="U326" t="s">
        <v>1016</v>
      </c>
      <c r="V326" t="s">
        <v>384</v>
      </c>
      <c r="W326" t="s">
        <v>1015</v>
      </c>
      <c r="X326" s="26">
        <v>1</v>
      </c>
    </row>
    <row r="327" spans="1:24" hidden="1" x14ac:dyDescent="0.35">
      <c r="A327">
        <f t="shared" si="11"/>
        <v>326</v>
      </c>
      <c r="B327">
        <v>2003</v>
      </c>
      <c r="C327" t="s">
        <v>8</v>
      </c>
      <c r="D327" t="s">
        <v>995</v>
      </c>
      <c r="E327" t="s">
        <v>1430</v>
      </c>
      <c r="G327" s="2">
        <v>23</v>
      </c>
      <c r="H327" t="s">
        <v>1248</v>
      </c>
      <c r="I327" t="s">
        <v>864</v>
      </c>
      <c r="J327" s="11">
        <v>409.12417562455141</v>
      </c>
      <c r="K327" t="str">
        <f t="shared" si="10"/>
        <v>Bennett Greenstein</v>
      </c>
      <c r="M327" t="s">
        <v>664</v>
      </c>
      <c r="N327" t="s">
        <v>665</v>
      </c>
      <c r="O327" s="26">
        <v>5</v>
      </c>
      <c r="R327" t="s">
        <v>731</v>
      </c>
      <c r="S327" s="26">
        <v>10</v>
      </c>
      <c r="U327" t="s">
        <v>1482</v>
      </c>
      <c r="V327" t="s">
        <v>384</v>
      </c>
      <c r="W327" t="s">
        <v>1439</v>
      </c>
      <c r="X327" s="26">
        <v>3</v>
      </c>
    </row>
    <row r="328" spans="1:24" hidden="1" x14ac:dyDescent="0.35">
      <c r="A328">
        <f t="shared" si="11"/>
        <v>327</v>
      </c>
      <c r="B328">
        <v>2003</v>
      </c>
      <c r="C328" t="s">
        <v>8</v>
      </c>
      <c r="D328" t="s">
        <v>995</v>
      </c>
      <c r="E328" t="s">
        <v>1430</v>
      </c>
      <c r="G328" s="2">
        <v>23</v>
      </c>
      <c r="H328" t="s">
        <v>862</v>
      </c>
      <c r="I328" t="s">
        <v>117</v>
      </c>
      <c r="J328" s="11">
        <v>409.12417562455141</v>
      </c>
      <c r="K328" t="str">
        <f t="shared" si="10"/>
        <v>Thomas Kelley</v>
      </c>
      <c r="M328" t="s">
        <v>127</v>
      </c>
      <c r="N328" t="s">
        <v>128</v>
      </c>
      <c r="O328" s="26">
        <v>3</v>
      </c>
      <c r="R328" t="s">
        <v>1301</v>
      </c>
      <c r="S328" s="26">
        <v>1</v>
      </c>
      <c r="U328" t="s">
        <v>1483</v>
      </c>
      <c r="V328" t="s">
        <v>384</v>
      </c>
      <c r="W328" t="s">
        <v>1240</v>
      </c>
      <c r="X328" s="26">
        <v>1</v>
      </c>
    </row>
    <row r="329" spans="1:24" hidden="1" x14ac:dyDescent="0.35">
      <c r="A329">
        <f t="shared" si="11"/>
        <v>328</v>
      </c>
      <c r="B329">
        <v>2003</v>
      </c>
      <c r="C329" t="s">
        <v>8</v>
      </c>
      <c r="D329" t="s">
        <v>995</v>
      </c>
      <c r="E329" t="s">
        <v>1430</v>
      </c>
      <c r="G329" s="2">
        <v>23</v>
      </c>
      <c r="H329" t="s">
        <v>238</v>
      </c>
      <c r="I329" t="s">
        <v>375</v>
      </c>
      <c r="J329" s="11">
        <v>409.12417562455141</v>
      </c>
      <c r="K329" t="str">
        <f t="shared" si="10"/>
        <v>Jessica Kuznick</v>
      </c>
      <c r="M329" t="s">
        <v>72</v>
      </c>
      <c r="N329" t="s">
        <v>717</v>
      </c>
      <c r="O329" s="26">
        <v>1</v>
      </c>
      <c r="R329" t="s">
        <v>383</v>
      </c>
      <c r="S329" s="26">
        <v>11</v>
      </c>
      <c r="U329" t="s">
        <v>832</v>
      </c>
      <c r="V329" t="s">
        <v>384</v>
      </c>
      <c r="W329" t="s">
        <v>831</v>
      </c>
      <c r="X329" s="26">
        <v>5</v>
      </c>
    </row>
    <row r="330" spans="1:24" hidden="1" x14ac:dyDescent="0.35">
      <c r="A330">
        <f t="shared" si="11"/>
        <v>329</v>
      </c>
      <c r="B330">
        <v>2003</v>
      </c>
      <c r="C330" t="s">
        <v>8</v>
      </c>
      <c r="D330" t="s">
        <v>995</v>
      </c>
      <c r="E330" t="s">
        <v>1430</v>
      </c>
      <c r="G330" s="2">
        <v>23</v>
      </c>
      <c r="H330" t="s">
        <v>128</v>
      </c>
      <c r="I330" t="s">
        <v>443</v>
      </c>
      <c r="J330" s="11">
        <v>409.12417562455141</v>
      </c>
      <c r="K330" t="str">
        <f t="shared" si="10"/>
        <v>Ming Lee</v>
      </c>
      <c r="N330" t="s">
        <v>73</v>
      </c>
      <c r="O330" s="26">
        <v>24</v>
      </c>
      <c r="R330" t="s">
        <v>1058</v>
      </c>
      <c r="S330" s="26">
        <v>1</v>
      </c>
      <c r="U330" t="s">
        <v>1662</v>
      </c>
      <c r="V330" t="s">
        <v>920</v>
      </c>
      <c r="W330" t="s">
        <v>39</v>
      </c>
      <c r="X330" s="26">
        <v>1</v>
      </c>
    </row>
    <row r="331" spans="1:24" hidden="1" x14ac:dyDescent="0.35">
      <c r="A331">
        <f t="shared" si="11"/>
        <v>330</v>
      </c>
      <c r="B331">
        <v>2003</v>
      </c>
      <c r="C331" t="s">
        <v>8</v>
      </c>
      <c r="D331" t="s">
        <v>995</v>
      </c>
      <c r="E331" t="s">
        <v>1430</v>
      </c>
      <c r="G331" s="2">
        <v>23</v>
      </c>
      <c r="H331" t="s">
        <v>363</v>
      </c>
      <c r="I331" t="s">
        <v>364</v>
      </c>
      <c r="J331" s="11">
        <v>409.12417562455141</v>
      </c>
      <c r="K331" t="str">
        <f t="shared" si="10"/>
        <v>Warren Sander</v>
      </c>
      <c r="M331" t="s">
        <v>512</v>
      </c>
      <c r="N331" t="s">
        <v>67</v>
      </c>
      <c r="O331" s="26">
        <v>6</v>
      </c>
      <c r="R331" t="s">
        <v>1015</v>
      </c>
      <c r="S331" s="26">
        <v>1</v>
      </c>
      <c r="U331" t="s">
        <v>1670</v>
      </c>
      <c r="V331" t="s">
        <v>1005</v>
      </c>
      <c r="W331" t="s">
        <v>1004</v>
      </c>
      <c r="X331" s="26">
        <v>1</v>
      </c>
    </row>
    <row r="332" spans="1:24" hidden="1" x14ac:dyDescent="0.35">
      <c r="A332">
        <f t="shared" si="11"/>
        <v>331</v>
      </c>
      <c r="B332">
        <v>2003</v>
      </c>
      <c r="C332" t="s">
        <v>8</v>
      </c>
      <c r="D332" t="s">
        <v>995</v>
      </c>
      <c r="E332" t="s">
        <v>1430</v>
      </c>
      <c r="G332" s="2">
        <v>23</v>
      </c>
      <c r="H332" t="s">
        <v>1250</v>
      </c>
      <c r="I332" t="s">
        <v>1251</v>
      </c>
      <c r="J332" s="11">
        <v>409.12417562455141</v>
      </c>
      <c r="K332" t="str">
        <f t="shared" si="10"/>
        <v>S Stratton</v>
      </c>
      <c r="M332" t="s">
        <v>141</v>
      </c>
      <c r="N332" t="s">
        <v>142</v>
      </c>
      <c r="O332" s="26">
        <v>8</v>
      </c>
      <c r="R332" t="s">
        <v>1439</v>
      </c>
      <c r="S332" s="26">
        <v>3</v>
      </c>
      <c r="U332" t="s">
        <v>1523</v>
      </c>
      <c r="V332" t="s">
        <v>1005</v>
      </c>
      <c r="W332" t="s">
        <v>1517</v>
      </c>
      <c r="X332" s="26">
        <v>1</v>
      </c>
    </row>
    <row r="333" spans="1:24" hidden="1" x14ac:dyDescent="0.35">
      <c r="A333">
        <f t="shared" si="11"/>
        <v>332</v>
      </c>
      <c r="B333">
        <v>2003</v>
      </c>
      <c r="C333" t="s">
        <v>8</v>
      </c>
      <c r="D333" t="s">
        <v>995</v>
      </c>
      <c r="E333" t="s">
        <v>1430</v>
      </c>
      <c r="G333" s="2">
        <v>32</v>
      </c>
      <c r="H333" t="s">
        <v>161</v>
      </c>
      <c r="I333" t="s">
        <v>200</v>
      </c>
      <c r="J333" s="11">
        <v>265.70203332223821</v>
      </c>
      <c r="K333" t="str">
        <f t="shared" si="10"/>
        <v>Rick Becker</v>
      </c>
      <c r="M333" t="s">
        <v>517</v>
      </c>
      <c r="N333" t="s">
        <v>413</v>
      </c>
      <c r="O333" s="26">
        <v>4</v>
      </c>
      <c r="R333" t="s">
        <v>1240</v>
      </c>
      <c r="S333" s="26">
        <v>1</v>
      </c>
      <c r="U333" t="s">
        <v>2426</v>
      </c>
      <c r="V333" t="s">
        <v>2425</v>
      </c>
      <c r="W333" t="s">
        <v>2424</v>
      </c>
      <c r="X333" s="26">
        <v>1</v>
      </c>
    </row>
    <row r="334" spans="1:24" hidden="1" x14ac:dyDescent="0.35">
      <c r="A334">
        <f t="shared" si="11"/>
        <v>333</v>
      </c>
      <c r="B334">
        <v>2003</v>
      </c>
      <c r="C334" t="s">
        <v>8</v>
      </c>
      <c r="D334" t="s">
        <v>995</v>
      </c>
      <c r="E334" t="s">
        <v>1430</v>
      </c>
      <c r="G334" s="2">
        <v>32</v>
      </c>
      <c r="H334" t="s">
        <v>1252</v>
      </c>
      <c r="I334" t="s">
        <v>1253</v>
      </c>
      <c r="J334" s="11">
        <v>265.70203332223821</v>
      </c>
      <c r="K334" t="str">
        <f t="shared" si="10"/>
        <v>M Franham</v>
      </c>
      <c r="N334" t="s">
        <v>2383</v>
      </c>
      <c r="O334" s="26">
        <v>1</v>
      </c>
      <c r="R334" t="s">
        <v>831</v>
      </c>
      <c r="S334" s="26">
        <v>5</v>
      </c>
      <c r="U334" t="s">
        <v>1086</v>
      </c>
      <c r="V334" t="s">
        <v>1085</v>
      </c>
      <c r="W334" t="s">
        <v>394</v>
      </c>
      <c r="X334" s="26">
        <v>2</v>
      </c>
    </row>
    <row r="335" spans="1:24" hidden="1" x14ac:dyDescent="0.35">
      <c r="A335">
        <f t="shared" si="11"/>
        <v>334</v>
      </c>
      <c r="B335">
        <v>2003</v>
      </c>
      <c r="C335" t="s">
        <v>8</v>
      </c>
      <c r="D335" t="s">
        <v>995</v>
      </c>
      <c r="E335" t="s">
        <v>1430</v>
      </c>
      <c r="G335" s="2">
        <v>32</v>
      </c>
      <c r="H335" t="s">
        <v>43</v>
      </c>
      <c r="I335" t="s">
        <v>218</v>
      </c>
      <c r="J335" s="11">
        <v>265.70203332223821</v>
      </c>
      <c r="K335" t="str">
        <f t="shared" si="10"/>
        <v>Michael Klein</v>
      </c>
      <c r="M335" t="s">
        <v>407</v>
      </c>
      <c r="N335" t="s">
        <v>406</v>
      </c>
      <c r="O335" s="26">
        <v>11</v>
      </c>
      <c r="Q335" t="s">
        <v>920</v>
      </c>
      <c r="R335" t="s">
        <v>39</v>
      </c>
      <c r="S335" s="26">
        <v>1</v>
      </c>
      <c r="U335" t="s">
        <v>902</v>
      </c>
      <c r="V335" t="s">
        <v>901</v>
      </c>
      <c r="W335" t="s">
        <v>764</v>
      </c>
      <c r="X335" s="26">
        <v>17</v>
      </c>
    </row>
    <row r="336" spans="1:24" hidden="1" x14ac:dyDescent="0.35">
      <c r="A336">
        <f t="shared" si="11"/>
        <v>335</v>
      </c>
      <c r="B336">
        <v>2003</v>
      </c>
      <c r="C336" t="s">
        <v>8</v>
      </c>
      <c r="D336" t="s">
        <v>995</v>
      </c>
      <c r="E336" t="s">
        <v>1430</v>
      </c>
      <c r="G336" s="2">
        <v>32</v>
      </c>
      <c r="H336" t="s">
        <v>1254</v>
      </c>
      <c r="I336" t="s">
        <v>44</v>
      </c>
      <c r="J336" s="11">
        <v>265.70203332223821</v>
      </c>
      <c r="K336" t="str">
        <f t="shared" si="10"/>
        <v>Mike Mazziotta</v>
      </c>
      <c r="M336" t="s">
        <v>420</v>
      </c>
      <c r="N336" t="s">
        <v>218</v>
      </c>
      <c r="O336" s="26">
        <v>1</v>
      </c>
      <c r="Q336" t="s">
        <v>1005</v>
      </c>
      <c r="R336" t="s">
        <v>1004</v>
      </c>
      <c r="S336" s="26">
        <v>1</v>
      </c>
      <c r="U336" t="s">
        <v>1484</v>
      </c>
      <c r="V336" t="s">
        <v>982</v>
      </c>
      <c r="W336" t="s">
        <v>1438</v>
      </c>
      <c r="X336" s="26">
        <v>1</v>
      </c>
    </row>
    <row r="337" spans="1:24" hidden="1" x14ac:dyDescent="0.35">
      <c r="A337">
        <f t="shared" si="11"/>
        <v>336</v>
      </c>
      <c r="B337">
        <v>2003</v>
      </c>
      <c r="C337" t="s">
        <v>8</v>
      </c>
      <c r="D337" t="s">
        <v>995</v>
      </c>
      <c r="E337" t="s">
        <v>1430</v>
      </c>
      <c r="G337" s="2">
        <v>32</v>
      </c>
      <c r="H337" t="s">
        <v>475</v>
      </c>
      <c r="I337" t="s">
        <v>887</v>
      </c>
      <c r="J337" s="11">
        <v>265.70203332223821</v>
      </c>
      <c r="K337" t="str">
        <f t="shared" si="10"/>
        <v>Chic Natkins</v>
      </c>
      <c r="N337" t="s">
        <v>1022</v>
      </c>
      <c r="O337" s="26">
        <v>3</v>
      </c>
      <c r="R337" t="s">
        <v>1517</v>
      </c>
      <c r="S337" s="26">
        <v>1</v>
      </c>
      <c r="U337" t="s">
        <v>983</v>
      </c>
      <c r="V337" t="s">
        <v>982</v>
      </c>
      <c r="W337" t="s">
        <v>981</v>
      </c>
      <c r="X337" s="26">
        <v>4</v>
      </c>
    </row>
    <row r="338" spans="1:24" hidden="1" x14ac:dyDescent="0.35">
      <c r="A338">
        <f t="shared" si="11"/>
        <v>337</v>
      </c>
      <c r="B338">
        <v>2003</v>
      </c>
      <c r="C338" t="s">
        <v>8</v>
      </c>
      <c r="D338" t="s">
        <v>995</v>
      </c>
      <c r="E338" t="s">
        <v>1430</v>
      </c>
      <c r="G338" s="2">
        <v>32</v>
      </c>
      <c r="H338" t="s">
        <v>445</v>
      </c>
      <c r="I338" t="s">
        <v>446</v>
      </c>
      <c r="J338" s="11">
        <v>265.70203332223821</v>
      </c>
      <c r="K338" t="str">
        <f t="shared" si="10"/>
        <v>Edson Pap</v>
      </c>
      <c r="N338" t="s">
        <v>1361</v>
      </c>
      <c r="O338" s="26">
        <v>2</v>
      </c>
      <c r="Q338" t="s">
        <v>2425</v>
      </c>
      <c r="R338" t="s">
        <v>2424</v>
      </c>
      <c r="S338" s="26">
        <v>1</v>
      </c>
      <c r="U338" t="s">
        <v>2372</v>
      </c>
      <c r="V338" t="s">
        <v>2366</v>
      </c>
      <c r="W338" t="s">
        <v>2365</v>
      </c>
      <c r="X338" s="26">
        <v>15</v>
      </c>
    </row>
    <row r="339" spans="1:24" hidden="1" x14ac:dyDescent="0.35">
      <c r="A339">
        <f t="shared" si="11"/>
        <v>338</v>
      </c>
      <c r="B339">
        <v>2003</v>
      </c>
      <c r="C339" t="s">
        <v>8</v>
      </c>
      <c r="D339" t="s">
        <v>995</v>
      </c>
      <c r="E339" t="s">
        <v>1430</v>
      </c>
      <c r="G339" s="2">
        <v>32</v>
      </c>
      <c r="H339" t="s">
        <v>1219</v>
      </c>
      <c r="I339" t="s">
        <v>1220</v>
      </c>
      <c r="J339" s="11">
        <v>265.70203332223821</v>
      </c>
      <c r="K339" t="str">
        <f t="shared" si="10"/>
        <v>Desmond Portano</v>
      </c>
      <c r="N339" t="s">
        <v>153</v>
      </c>
      <c r="O339" s="26">
        <v>5</v>
      </c>
      <c r="Q339" t="s">
        <v>1085</v>
      </c>
      <c r="R339" t="s">
        <v>394</v>
      </c>
      <c r="S339" s="26">
        <v>2</v>
      </c>
      <c r="U339" t="s">
        <v>376</v>
      </c>
      <c r="V339" t="s">
        <v>375</v>
      </c>
      <c r="W339" t="s">
        <v>238</v>
      </c>
      <c r="X339" s="26">
        <v>13</v>
      </c>
    </row>
    <row r="340" spans="1:24" hidden="1" x14ac:dyDescent="0.35">
      <c r="A340">
        <f t="shared" si="11"/>
        <v>339</v>
      </c>
      <c r="B340">
        <v>2003</v>
      </c>
      <c r="C340" t="s">
        <v>8</v>
      </c>
      <c r="D340" t="s">
        <v>995</v>
      </c>
      <c r="E340" t="s">
        <v>1430</v>
      </c>
      <c r="G340" s="2">
        <v>32</v>
      </c>
      <c r="H340" t="s">
        <v>1257</v>
      </c>
      <c r="I340" t="s">
        <v>13</v>
      </c>
      <c r="J340" s="11">
        <v>265.70203332223821</v>
      </c>
      <c r="K340" t="str">
        <f t="shared" si="10"/>
        <v>Tom Snow</v>
      </c>
      <c r="M340" t="s">
        <v>1006</v>
      </c>
      <c r="N340" t="s">
        <v>131</v>
      </c>
      <c r="O340" s="26">
        <v>2</v>
      </c>
      <c r="Q340" t="s">
        <v>901</v>
      </c>
      <c r="R340" t="s">
        <v>764</v>
      </c>
      <c r="S340" s="26">
        <v>17</v>
      </c>
      <c r="U340" t="s">
        <v>1589</v>
      </c>
      <c r="V340" t="s">
        <v>58</v>
      </c>
      <c r="W340" t="s">
        <v>525</v>
      </c>
      <c r="X340" s="26">
        <v>10</v>
      </c>
    </row>
    <row r="341" spans="1:24" hidden="1" x14ac:dyDescent="0.35">
      <c r="A341">
        <f t="shared" si="11"/>
        <v>340</v>
      </c>
      <c r="B341">
        <v>2003</v>
      </c>
      <c r="C341" t="s">
        <v>8</v>
      </c>
      <c r="D341" t="s">
        <v>995</v>
      </c>
      <c r="E341" t="s">
        <v>1430</v>
      </c>
      <c r="G341" s="2">
        <v>32</v>
      </c>
      <c r="H341" t="s">
        <v>1126</v>
      </c>
      <c r="I341" t="s">
        <v>480</v>
      </c>
      <c r="J341" s="11">
        <v>265.70203332223821</v>
      </c>
      <c r="K341" t="str">
        <f t="shared" si="10"/>
        <v>James Tolliver</v>
      </c>
      <c r="M341" t="s">
        <v>1320</v>
      </c>
      <c r="N341" t="s">
        <v>58</v>
      </c>
      <c r="O341" s="26">
        <v>1</v>
      </c>
      <c r="Q341" t="s">
        <v>982</v>
      </c>
      <c r="R341" t="s">
        <v>1438</v>
      </c>
      <c r="S341" s="26">
        <v>1</v>
      </c>
      <c r="U341" t="s">
        <v>602</v>
      </c>
      <c r="V341" t="s">
        <v>58</v>
      </c>
      <c r="W341" t="s">
        <v>601</v>
      </c>
      <c r="X341" s="26">
        <v>10</v>
      </c>
    </row>
    <row r="342" spans="1:24" hidden="1" x14ac:dyDescent="0.35">
      <c r="A342">
        <f t="shared" si="11"/>
        <v>341</v>
      </c>
      <c r="B342">
        <v>2003</v>
      </c>
      <c r="C342" t="s">
        <v>8</v>
      </c>
      <c r="D342" t="s">
        <v>995</v>
      </c>
      <c r="E342" t="s">
        <v>1430</v>
      </c>
      <c r="G342" s="2">
        <v>41</v>
      </c>
      <c r="H342" t="s">
        <v>64</v>
      </c>
      <c r="I342" t="s">
        <v>65</v>
      </c>
      <c r="J342" s="11">
        <v>158.06815492240878</v>
      </c>
      <c r="K342" t="str">
        <f t="shared" si="10"/>
        <v>Steve Daniel</v>
      </c>
      <c r="M342" t="s">
        <v>384</v>
      </c>
      <c r="N342" t="s">
        <v>425</v>
      </c>
      <c r="O342" s="26">
        <v>1</v>
      </c>
      <c r="R342" t="s">
        <v>981</v>
      </c>
      <c r="S342" s="26">
        <v>4</v>
      </c>
      <c r="U342" t="s">
        <v>1294</v>
      </c>
      <c r="V342" t="s">
        <v>58</v>
      </c>
      <c r="W342" t="s">
        <v>1293</v>
      </c>
      <c r="X342" s="26">
        <v>1</v>
      </c>
    </row>
    <row r="343" spans="1:24" hidden="1" x14ac:dyDescent="0.35">
      <c r="A343">
        <f t="shared" si="11"/>
        <v>342</v>
      </c>
      <c r="B343">
        <v>2003</v>
      </c>
      <c r="C343" t="s">
        <v>8</v>
      </c>
      <c r="D343" t="s">
        <v>995</v>
      </c>
      <c r="E343" t="s">
        <v>1430</v>
      </c>
      <c r="G343" s="2">
        <v>41</v>
      </c>
      <c r="H343" t="s">
        <v>981</v>
      </c>
      <c r="I343" t="s">
        <v>982</v>
      </c>
      <c r="J343" s="11">
        <v>158.06815492240878</v>
      </c>
      <c r="K343" t="str">
        <f t="shared" si="10"/>
        <v>Jerry Gerner</v>
      </c>
      <c r="M343" t="s">
        <v>713</v>
      </c>
      <c r="N343" t="s">
        <v>28</v>
      </c>
      <c r="O343" s="26">
        <v>8</v>
      </c>
      <c r="Q343" t="s">
        <v>2366</v>
      </c>
      <c r="R343" t="s">
        <v>2365</v>
      </c>
      <c r="S343" s="26">
        <v>15</v>
      </c>
      <c r="U343" t="s">
        <v>1635</v>
      </c>
      <c r="V343" t="s">
        <v>58</v>
      </c>
      <c r="W343" t="s">
        <v>441</v>
      </c>
      <c r="X343" s="26">
        <v>5</v>
      </c>
    </row>
    <row r="344" spans="1:24" hidden="1" x14ac:dyDescent="0.35">
      <c r="A344">
        <f t="shared" si="11"/>
        <v>343</v>
      </c>
      <c r="B344">
        <v>2003</v>
      </c>
      <c r="C344" t="s">
        <v>8</v>
      </c>
      <c r="D344" t="s">
        <v>995</v>
      </c>
      <c r="E344" t="s">
        <v>1430</v>
      </c>
      <c r="G344" s="2">
        <v>41</v>
      </c>
      <c r="H344" t="s">
        <v>739</v>
      </c>
      <c r="I344" t="s">
        <v>740</v>
      </c>
      <c r="J344" s="11">
        <v>158.06815492240878</v>
      </c>
      <c r="K344" t="str">
        <f t="shared" si="10"/>
        <v>Joan Hadley</v>
      </c>
      <c r="M344" t="s">
        <v>1208</v>
      </c>
      <c r="N344" t="s">
        <v>353</v>
      </c>
      <c r="O344" s="26">
        <v>1</v>
      </c>
      <c r="Q344" t="s">
        <v>375</v>
      </c>
      <c r="R344" t="s">
        <v>238</v>
      </c>
      <c r="S344" s="26">
        <v>13</v>
      </c>
      <c r="U344" t="s">
        <v>1321</v>
      </c>
      <c r="V344" t="s">
        <v>58</v>
      </c>
      <c r="W344" t="s">
        <v>1320</v>
      </c>
      <c r="X344" s="26">
        <v>1</v>
      </c>
    </row>
    <row r="345" spans="1:24" hidden="1" x14ac:dyDescent="0.35">
      <c r="A345">
        <f t="shared" si="11"/>
        <v>344</v>
      </c>
      <c r="B345">
        <v>2003</v>
      </c>
      <c r="C345" t="s">
        <v>8</v>
      </c>
      <c r="D345" t="s">
        <v>995</v>
      </c>
      <c r="E345" t="s">
        <v>1430</v>
      </c>
      <c r="G345" s="2">
        <v>41</v>
      </c>
      <c r="H345" t="s">
        <v>512</v>
      </c>
      <c r="I345" t="s">
        <v>67</v>
      </c>
      <c r="J345" s="11">
        <v>158.06815492240878</v>
      </c>
      <c r="K345" t="str">
        <f t="shared" si="10"/>
        <v>Bob Irons</v>
      </c>
      <c r="M345" t="s">
        <v>2283</v>
      </c>
      <c r="N345" t="s">
        <v>2284</v>
      </c>
      <c r="O345" s="26">
        <v>1</v>
      </c>
      <c r="Q345" t="s">
        <v>58</v>
      </c>
      <c r="R345" t="s">
        <v>525</v>
      </c>
      <c r="S345" s="26">
        <v>10</v>
      </c>
      <c r="U345" t="s">
        <v>1485</v>
      </c>
      <c r="V345" t="s">
        <v>58</v>
      </c>
      <c r="W345" t="s">
        <v>1216</v>
      </c>
      <c r="X345" s="26">
        <v>1</v>
      </c>
    </row>
    <row r="346" spans="1:24" hidden="1" x14ac:dyDescent="0.35">
      <c r="A346">
        <f t="shared" si="11"/>
        <v>345</v>
      </c>
      <c r="B346">
        <v>2003</v>
      </c>
      <c r="C346" t="s">
        <v>8</v>
      </c>
      <c r="D346" t="s">
        <v>995</v>
      </c>
      <c r="E346" t="s">
        <v>1430</v>
      </c>
      <c r="G346" s="2">
        <v>41</v>
      </c>
      <c r="H346" t="s">
        <v>553</v>
      </c>
      <c r="I346" t="s">
        <v>410</v>
      </c>
      <c r="J346" s="11">
        <v>158.06815492240878</v>
      </c>
      <c r="K346" t="str">
        <f t="shared" si="10"/>
        <v>Larry Khirallah</v>
      </c>
      <c r="M346" t="s">
        <v>1202</v>
      </c>
      <c r="N346" t="s">
        <v>65</v>
      </c>
      <c r="O346" s="26">
        <v>5</v>
      </c>
      <c r="R346" t="s">
        <v>601</v>
      </c>
      <c r="S346" s="26">
        <v>10</v>
      </c>
      <c r="U346" t="s">
        <v>1292</v>
      </c>
      <c r="V346" t="s">
        <v>58</v>
      </c>
      <c r="W346" t="s">
        <v>1291</v>
      </c>
      <c r="X346" s="26">
        <v>1</v>
      </c>
    </row>
    <row r="347" spans="1:24" hidden="1" x14ac:dyDescent="0.35">
      <c r="A347">
        <f t="shared" si="11"/>
        <v>346</v>
      </c>
      <c r="B347">
        <v>2003</v>
      </c>
      <c r="C347" t="s">
        <v>8</v>
      </c>
      <c r="D347" t="s">
        <v>995</v>
      </c>
      <c r="E347" t="s">
        <v>1430</v>
      </c>
      <c r="G347" s="2">
        <v>41</v>
      </c>
      <c r="H347" t="s">
        <v>251</v>
      </c>
      <c r="I347" t="s">
        <v>252</v>
      </c>
      <c r="J347" s="11">
        <v>158.06815492240878</v>
      </c>
      <c r="K347" t="str">
        <f t="shared" si="10"/>
        <v>Linda Lewis</v>
      </c>
      <c r="M347" t="s">
        <v>880</v>
      </c>
      <c r="N347" t="s">
        <v>687</v>
      </c>
      <c r="O347" s="26">
        <v>1</v>
      </c>
      <c r="R347" t="s">
        <v>1293</v>
      </c>
      <c r="S347" s="26">
        <v>1</v>
      </c>
      <c r="U347" t="s">
        <v>1096</v>
      </c>
      <c r="V347" t="s">
        <v>58</v>
      </c>
      <c r="W347" t="s">
        <v>57</v>
      </c>
      <c r="X347" s="26">
        <v>8</v>
      </c>
    </row>
    <row r="348" spans="1:24" hidden="1" x14ac:dyDescent="0.35">
      <c r="A348">
        <f t="shared" si="11"/>
        <v>347</v>
      </c>
      <c r="B348">
        <v>2003</v>
      </c>
      <c r="C348" t="s">
        <v>8</v>
      </c>
      <c r="D348" t="s">
        <v>995</v>
      </c>
      <c r="E348" t="s">
        <v>1430</v>
      </c>
      <c r="G348" s="2">
        <v>41</v>
      </c>
      <c r="H348" t="s">
        <v>1100</v>
      </c>
      <c r="I348" t="s">
        <v>487</v>
      </c>
      <c r="J348" s="11">
        <v>158.06815492240878</v>
      </c>
      <c r="K348" t="str">
        <f t="shared" si="10"/>
        <v>Margaret Phillips</v>
      </c>
      <c r="N348" t="s">
        <v>252</v>
      </c>
      <c r="O348" s="26">
        <v>2</v>
      </c>
      <c r="R348" t="s">
        <v>441</v>
      </c>
      <c r="S348" s="26">
        <v>5</v>
      </c>
      <c r="U348" t="s">
        <v>1486</v>
      </c>
      <c r="V348" t="s">
        <v>58</v>
      </c>
      <c r="W348" t="s">
        <v>1241</v>
      </c>
      <c r="X348" s="26">
        <v>1</v>
      </c>
    </row>
    <row r="349" spans="1:24" hidden="1" x14ac:dyDescent="0.35">
      <c r="A349">
        <f t="shared" si="11"/>
        <v>348</v>
      </c>
      <c r="B349">
        <v>2003</v>
      </c>
      <c r="C349" t="s">
        <v>8</v>
      </c>
      <c r="D349" t="s">
        <v>995</v>
      </c>
      <c r="E349" t="s">
        <v>1430</v>
      </c>
      <c r="G349" s="2">
        <v>41</v>
      </c>
      <c r="H349" t="s">
        <v>1078</v>
      </c>
      <c r="I349" t="s">
        <v>471</v>
      </c>
      <c r="J349" s="11">
        <v>158.06815492240878</v>
      </c>
      <c r="K349" t="str">
        <f t="shared" si="10"/>
        <v>Greg Raymer</v>
      </c>
      <c r="M349" t="s">
        <v>461</v>
      </c>
      <c r="N349" t="s">
        <v>1448</v>
      </c>
      <c r="O349" s="26">
        <v>20</v>
      </c>
      <c r="R349" t="s">
        <v>1320</v>
      </c>
      <c r="S349" s="26">
        <v>1</v>
      </c>
      <c r="U349" t="s">
        <v>741</v>
      </c>
      <c r="V349" t="s">
        <v>740</v>
      </c>
      <c r="W349" t="s">
        <v>739</v>
      </c>
      <c r="X349" s="26">
        <v>8</v>
      </c>
    </row>
    <row r="350" spans="1:24" hidden="1" x14ac:dyDescent="0.35">
      <c r="A350">
        <f t="shared" si="11"/>
        <v>349</v>
      </c>
      <c r="B350">
        <v>2003</v>
      </c>
      <c r="C350" t="s">
        <v>8</v>
      </c>
      <c r="D350" t="s">
        <v>995</v>
      </c>
      <c r="E350" t="s">
        <v>1430</v>
      </c>
      <c r="G350" s="2">
        <v>41</v>
      </c>
      <c r="H350" t="s">
        <v>195</v>
      </c>
      <c r="I350" t="s">
        <v>196</v>
      </c>
      <c r="J350" s="11">
        <v>158.06815492240878</v>
      </c>
      <c r="K350" t="str">
        <f t="shared" si="10"/>
        <v>Dave Tahajian</v>
      </c>
      <c r="N350" t="s">
        <v>128</v>
      </c>
      <c r="O350" s="26">
        <v>1</v>
      </c>
      <c r="R350" t="s">
        <v>1216</v>
      </c>
      <c r="S350" s="26">
        <v>1</v>
      </c>
      <c r="U350" t="s">
        <v>943</v>
      </c>
      <c r="V350" t="s">
        <v>942</v>
      </c>
      <c r="W350" t="s">
        <v>941</v>
      </c>
      <c r="X350" s="26">
        <v>2</v>
      </c>
    </row>
    <row r="351" spans="1:24" hidden="1" x14ac:dyDescent="0.35">
      <c r="A351">
        <f t="shared" si="11"/>
        <v>350</v>
      </c>
      <c r="B351">
        <v>2003</v>
      </c>
      <c r="C351" t="s">
        <v>8</v>
      </c>
      <c r="D351" t="s">
        <v>995</v>
      </c>
      <c r="E351" t="s">
        <v>1430</v>
      </c>
      <c r="G351" s="2">
        <v>52.5</v>
      </c>
      <c r="H351" t="s">
        <v>310</v>
      </c>
      <c r="I351" t="s">
        <v>119</v>
      </c>
      <c r="J351" s="11">
        <v>50.692708236187435</v>
      </c>
      <c r="K351" t="str">
        <f t="shared" si="10"/>
        <v>Peter Caldes</v>
      </c>
      <c r="N351" t="s">
        <v>665</v>
      </c>
      <c r="O351" s="26">
        <v>7</v>
      </c>
      <c r="R351" t="s">
        <v>1291</v>
      </c>
      <c r="S351" s="26">
        <v>1</v>
      </c>
      <c r="U351" t="s">
        <v>2394</v>
      </c>
      <c r="V351" t="s">
        <v>942</v>
      </c>
      <c r="W351" t="s">
        <v>1075</v>
      </c>
      <c r="X351" s="26">
        <v>3</v>
      </c>
    </row>
    <row r="352" spans="1:24" hidden="1" x14ac:dyDescent="0.35">
      <c r="A352">
        <f t="shared" si="11"/>
        <v>351</v>
      </c>
      <c r="B352">
        <v>2003</v>
      </c>
      <c r="C352" t="s">
        <v>8</v>
      </c>
      <c r="D352" t="s">
        <v>995</v>
      </c>
      <c r="E352" t="s">
        <v>1430</v>
      </c>
      <c r="G352" s="2">
        <v>52.5</v>
      </c>
      <c r="H352" t="s">
        <v>731</v>
      </c>
      <c r="I352" t="s">
        <v>732</v>
      </c>
      <c r="J352" s="11">
        <v>50.692708236187435</v>
      </c>
      <c r="K352" t="str">
        <f t="shared" si="10"/>
        <v>Lauri Calkins</v>
      </c>
      <c r="M352" t="s">
        <v>908</v>
      </c>
      <c r="N352" t="s">
        <v>11</v>
      </c>
      <c r="O352" s="26">
        <v>1</v>
      </c>
      <c r="R352" t="s">
        <v>57</v>
      </c>
      <c r="S352" s="26">
        <v>8</v>
      </c>
      <c r="U352" t="s">
        <v>1487</v>
      </c>
      <c r="V352" t="s">
        <v>416</v>
      </c>
      <c r="W352" t="s">
        <v>417</v>
      </c>
      <c r="X352" s="26">
        <v>1</v>
      </c>
    </row>
    <row r="353" spans="1:24" hidden="1" x14ac:dyDescent="0.35">
      <c r="A353">
        <f t="shared" si="11"/>
        <v>352</v>
      </c>
      <c r="B353">
        <v>2003</v>
      </c>
      <c r="C353" t="s">
        <v>8</v>
      </c>
      <c r="D353" t="s">
        <v>995</v>
      </c>
      <c r="E353" t="s">
        <v>1430</v>
      </c>
      <c r="G353" s="2">
        <v>52.5</v>
      </c>
      <c r="H353" t="s">
        <v>111</v>
      </c>
      <c r="I353" t="s">
        <v>16</v>
      </c>
      <c r="J353" s="11">
        <v>50.692708236187435</v>
      </c>
      <c r="K353" t="str">
        <f t="shared" si="10"/>
        <v>David Fruchter</v>
      </c>
      <c r="M353" t="s">
        <v>470</v>
      </c>
      <c r="N353" t="s">
        <v>471</v>
      </c>
      <c r="O353" s="26">
        <v>1</v>
      </c>
      <c r="R353" t="s">
        <v>1241</v>
      </c>
      <c r="S353" s="26">
        <v>1</v>
      </c>
      <c r="U353" t="s">
        <v>2461</v>
      </c>
      <c r="V353" t="s">
        <v>187</v>
      </c>
      <c r="W353" t="s">
        <v>2460</v>
      </c>
      <c r="X353" s="26">
        <v>2</v>
      </c>
    </row>
    <row r="354" spans="1:24" hidden="1" x14ac:dyDescent="0.35">
      <c r="A354">
        <f t="shared" si="11"/>
        <v>353</v>
      </c>
      <c r="B354">
        <v>2003</v>
      </c>
      <c r="C354" t="s">
        <v>8</v>
      </c>
      <c r="D354" t="s">
        <v>995</v>
      </c>
      <c r="E354" t="s">
        <v>1430</v>
      </c>
      <c r="G354" s="2">
        <v>52.5</v>
      </c>
      <c r="H354" t="s">
        <v>357</v>
      </c>
      <c r="I354" t="s">
        <v>463</v>
      </c>
      <c r="J354" s="11">
        <v>50.692708236187435</v>
      </c>
      <c r="K354" t="str">
        <f t="shared" si="10"/>
        <v>Richard Goodridge</v>
      </c>
      <c r="M354" t="s">
        <v>1111</v>
      </c>
      <c r="N354" t="s">
        <v>1112</v>
      </c>
      <c r="O354" s="26">
        <v>9</v>
      </c>
      <c r="Q354" t="s">
        <v>740</v>
      </c>
      <c r="R354" t="s">
        <v>739</v>
      </c>
      <c r="S354" s="26">
        <v>8</v>
      </c>
      <c r="U354" t="s">
        <v>1027</v>
      </c>
      <c r="V354" t="s">
        <v>187</v>
      </c>
      <c r="W354" t="s">
        <v>1026</v>
      </c>
      <c r="X354" s="26">
        <v>1</v>
      </c>
    </row>
    <row r="355" spans="1:24" hidden="1" x14ac:dyDescent="0.35">
      <c r="A355">
        <f t="shared" si="11"/>
        <v>354</v>
      </c>
      <c r="B355">
        <v>2003</v>
      </c>
      <c r="C355" t="s">
        <v>8</v>
      </c>
      <c r="D355" t="s">
        <v>995</v>
      </c>
      <c r="E355" t="s">
        <v>1430</v>
      </c>
      <c r="G355" s="2">
        <v>52.5</v>
      </c>
      <c r="H355" t="s">
        <v>43</v>
      </c>
      <c r="I355" t="s">
        <v>848</v>
      </c>
      <c r="J355" s="11">
        <v>50.692708236187435</v>
      </c>
      <c r="K355" t="str">
        <f t="shared" si="10"/>
        <v>Jason Klein</v>
      </c>
      <c r="M355" t="s">
        <v>1236</v>
      </c>
      <c r="N355" t="s">
        <v>159</v>
      </c>
      <c r="O355" s="26">
        <v>1</v>
      </c>
      <c r="Q355" t="s">
        <v>942</v>
      </c>
      <c r="R355" t="s">
        <v>941</v>
      </c>
      <c r="S355" s="26">
        <v>2</v>
      </c>
      <c r="U355" t="s">
        <v>212</v>
      </c>
      <c r="V355" t="s">
        <v>187</v>
      </c>
      <c r="W355" t="s">
        <v>211</v>
      </c>
      <c r="X355" s="26">
        <v>11</v>
      </c>
    </row>
    <row r="356" spans="1:24" hidden="1" x14ac:dyDescent="0.35">
      <c r="A356">
        <f t="shared" si="11"/>
        <v>355</v>
      </c>
      <c r="B356">
        <v>2003</v>
      </c>
      <c r="C356" t="s">
        <v>8</v>
      </c>
      <c r="D356" t="s">
        <v>995</v>
      </c>
      <c r="E356" t="s">
        <v>1430</v>
      </c>
      <c r="G356" s="2">
        <v>52.5</v>
      </c>
      <c r="H356" t="s">
        <v>238</v>
      </c>
      <c r="I356" t="s">
        <v>16</v>
      </c>
      <c r="J356" s="11">
        <v>50.692708236187435</v>
      </c>
      <c r="K356" t="str">
        <f t="shared" si="10"/>
        <v>David Kuznick</v>
      </c>
      <c r="M356" t="s">
        <v>968</v>
      </c>
      <c r="N356" t="s">
        <v>701</v>
      </c>
      <c r="O356" s="26">
        <v>9</v>
      </c>
      <c r="R356" t="s">
        <v>1075</v>
      </c>
      <c r="S356" s="26">
        <v>3</v>
      </c>
      <c r="U356" t="s">
        <v>188</v>
      </c>
      <c r="V356" t="s">
        <v>187</v>
      </c>
      <c r="W356" t="s">
        <v>114</v>
      </c>
      <c r="X356" s="26">
        <v>10</v>
      </c>
    </row>
    <row r="357" spans="1:24" hidden="1" x14ac:dyDescent="0.35">
      <c r="A357">
        <f t="shared" si="11"/>
        <v>356</v>
      </c>
      <c r="B357">
        <v>2003</v>
      </c>
      <c r="C357" t="s">
        <v>8</v>
      </c>
      <c r="D357" t="s">
        <v>995</v>
      </c>
      <c r="E357" t="s">
        <v>1430</v>
      </c>
      <c r="G357" s="2">
        <v>52.5</v>
      </c>
      <c r="H357" t="s">
        <v>442</v>
      </c>
      <c r="I357" t="s">
        <v>429</v>
      </c>
      <c r="J357" s="11">
        <v>50.692708236187435</v>
      </c>
      <c r="K357" t="str">
        <f t="shared" si="10"/>
        <v>Mary Massey</v>
      </c>
      <c r="M357" t="s">
        <v>46</v>
      </c>
      <c r="N357" t="s">
        <v>47</v>
      </c>
      <c r="O357" s="26">
        <v>3</v>
      </c>
      <c r="Q357" t="s">
        <v>416</v>
      </c>
      <c r="R357" t="s">
        <v>417</v>
      </c>
      <c r="S357" s="26">
        <v>1</v>
      </c>
      <c r="U357" t="s">
        <v>342</v>
      </c>
      <c r="V357" t="s">
        <v>341</v>
      </c>
      <c r="W357" t="s">
        <v>340</v>
      </c>
      <c r="X357" s="26">
        <v>1</v>
      </c>
    </row>
    <row r="358" spans="1:24" hidden="1" x14ac:dyDescent="0.35">
      <c r="A358">
        <f t="shared" si="11"/>
        <v>357</v>
      </c>
      <c r="B358">
        <v>2003</v>
      </c>
      <c r="C358" t="s">
        <v>8</v>
      </c>
      <c r="D358" t="s">
        <v>995</v>
      </c>
      <c r="E358" t="s">
        <v>1430</v>
      </c>
      <c r="G358" s="2">
        <v>52.5</v>
      </c>
      <c r="H358" t="s">
        <v>866</v>
      </c>
      <c r="I358" t="s">
        <v>421</v>
      </c>
      <c r="J358" s="11">
        <v>50.692708236187435</v>
      </c>
      <c r="K358" t="str">
        <f t="shared" si="10"/>
        <v>Bill Matros</v>
      </c>
      <c r="M358" t="s">
        <v>811</v>
      </c>
      <c r="N358" t="s">
        <v>812</v>
      </c>
      <c r="O358" s="26">
        <v>1</v>
      </c>
      <c r="Q358" t="s">
        <v>187</v>
      </c>
      <c r="R358" t="s">
        <v>2460</v>
      </c>
      <c r="S358" s="26">
        <v>2</v>
      </c>
      <c r="U358" t="s">
        <v>2414</v>
      </c>
      <c r="V358" t="s">
        <v>136</v>
      </c>
      <c r="W358" t="s">
        <v>2413</v>
      </c>
      <c r="X358" s="26">
        <v>2</v>
      </c>
    </row>
    <row r="359" spans="1:24" hidden="1" x14ac:dyDescent="0.35">
      <c r="A359">
        <f t="shared" si="11"/>
        <v>358</v>
      </c>
      <c r="B359">
        <v>2003</v>
      </c>
      <c r="C359" t="s">
        <v>8</v>
      </c>
      <c r="D359" t="s">
        <v>995</v>
      </c>
      <c r="E359" t="s">
        <v>1430</v>
      </c>
      <c r="G359" s="2">
        <v>52.5</v>
      </c>
      <c r="H359" t="s">
        <v>866</v>
      </c>
      <c r="I359" t="s">
        <v>142</v>
      </c>
      <c r="J359" s="11">
        <v>50.692708236187435</v>
      </c>
      <c r="K359" t="str">
        <f t="shared" si="10"/>
        <v>Matt Matros</v>
      </c>
      <c r="M359" t="s">
        <v>396</v>
      </c>
      <c r="N359" t="s">
        <v>397</v>
      </c>
      <c r="O359" s="26">
        <v>8</v>
      </c>
      <c r="R359" t="s">
        <v>1026</v>
      </c>
      <c r="S359" s="26">
        <v>1</v>
      </c>
      <c r="U359" t="s">
        <v>1601</v>
      </c>
      <c r="V359" t="s">
        <v>136</v>
      </c>
      <c r="W359" t="s">
        <v>525</v>
      </c>
      <c r="X359" s="26">
        <v>1</v>
      </c>
    </row>
    <row r="360" spans="1:24" hidden="1" x14ac:dyDescent="0.35">
      <c r="A360">
        <f t="shared" si="11"/>
        <v>359</v>
      </c>
      <c r="B360">
        <v>2003</v>
      </c>
      <c r="C360" t="s">
        <v>8</v>
      </c>
      <c r="D360" t="s">
        <v>995</v>
      </c>
      <c r="E360" t="s">
        <v>1430</v>
      </c>
      <c r="G360" s="2">
        <v>52.5</v>
      </c>
      <c r="H360" t="s">
        <v>1504</v>
      </c>
      <c r="I360" t="s">
        <v>85</v>
      </c>
      <c r="J360" s="11">
        <v>50.692708236187435</v>
      </c>
      <c r="K360" t="str">
        <f t="shared" si="10"/>
        <v>Patrick Milligan</v>
      </c>
      <c r="M360" t="s">
        <v>953</v>
      </c>
      <c r="N360" t="s">
        <v>406</v>
      </c>
      <c r="O360" s="26">
        <v>1</v>
      </c>
      <c r="R360" t="s">
        <v>211</v>
      </c>
      <c r="S360" s="26">
        <v>11</v>
      </c>
      <c r="U360" t="s">
        <v>1160</v>
      </c>
      <c r="V360" t="s">
        <v>136</v>
      </c>
      <c r="W360" t="s">
        <v>1159</v>
      </c>
      <c r="X360" s="26">
        <v>3</v>
      </c>
    </row>
    <row r="361" spans="1:24" hidden="1" x14ac:dyDescent="0.35">
      <c r="A361">
        <f t="shared" si="11"/>
        <v>360</v>
      </c>
      <c r="B361">
        <v>2003</v>
      </c>
      <c r="C361" t="s">
        <v>8</v>
      </c>
      <c r="D361" t="s">
        <v>995</v>
      </c>
      <c r="E361" t="s">
        <v>1430</v>
      </c>
      <c r="G361" s="2">
        <v>52.5</v>
      </c>
      <c r="H361" t="s">
        <v>857</v>
      </c>
      <c r="I361" t="s">
        <v>13</v>
      </c>
      <c r="J361" s="11">
        <v>50.692708236187435</v>
      </c>
      <c r="K361" t="str">
        <f t="shared" si="10"/>
        <v>Tom O'Boyle</v>
      </c>
      <c r="M361" t="s">
        <v>793</v>
      </c>
      <c r="N361" t="s">
        <v>448</v>
      </c>
      <c r="O361" s="26">
        <v>1</v>
      </c>
      <c r="R361" t="s">
        <v>114</v>
      </c>
      <c r="S361" s="26">
        <v>10</v>
      </c>
      <c r="U361" t="s">
        <v>460</v>
      </c>
      <c r="V361" t="s">
        <v>136</v>
      </c>
      <c r="W361" t="s">
        <v>459</v>
      </c>
      <c r="X361" s="26">
        <v>5</v>
      </c>
    </row>
    <row r="362" spans="1:24" hidden="1" x14ac:dyDescent="0.35">
      <c r="A362">
        <f t="shared" si="11"/>
        <v>361</v>
      </c>
      <c r="B362">
        <v>2003</v>
      </c>
      <c r="C362" t="s">
        <v>8</v>
      </c>
      <c r="D362" t="s">
        <v>995</v>
      </c>
      <c r="E362" t="s">
        <v>1430</v>
      </c>
      <c r="G362" s="2">
        <v>52.5</v>
      </c>
      <c r="H362" t="s">
        <v>1533</v>
      </c>
      <c r="I362" t="s">
        <v>71</v>
      </c>
      <c r="J362" s="11">
        <v>50.692708236187435</v>
      </c>
      <c r="K362" t="str">
        <f t="shared" si="10"/>
        <v>Scott Simon</v>
      </c>
      <c r="M362" t="s">
        <v>448</v>
      </c>
      <c r="N362" t="s">
        <v>421</v>
      </c>
      <c r="O362" s="26">
        <v>2</v>
      </c>
      <c r="Q362" t="s">
        <v>341</v>
      </c>
      <c r="R362" t="s">
        <v>340</v>
      </c>
      <c r="S362" s="26">
        <v>1</v>
      </c>
      <c r="U362" t="s">
        <v>1525</v>
      </c>
      <c r="V362" t="s">
        <v>136</v>
      </c>
      <c r="W362" t="s">
        <v>1518</v>
      </c>
      <c r="X362" s="26">
        <v>1</v>
      </c>
    </row>
    <row r="363" spans="1:24" hidden="1" x14ac:dyDescent="0.35">
      <c r="A363">
        <f t="shared" si="11"/>
        <v>362</v>
      </c>
      <c r="B363">
        <v>2003</v>
      </c>
      <c r="C363" t="s">
        <v>8</v>
      </c>
      <c r="D363" t="s">
        <v>995</v>
      </c>
      <c r="E363" t="s">
        <v>1430</v>
      </c>
      <c r="G363" s="2">
        <v>52.5</v>
      </c>
      <c r="H363" t="s">
        <v>1189</v>
      </c>
      <c r="I363" t="s">
        <v>1190</v>
      </c>
      <c r="J363" s="11">
        <v>50.692708236187435</v>
      </c>
      <c r="K363" t="str">
        <f t="shared" si="10"/>
        <v>Marty Stilling</v>
      </c>
      <c r="M363" t="s">
        <v>332</v>
      </c>
      <c r="N363" t="s">
        <v>451</v>
      </c>
      <c r="O363" s="26">
        <v>4</v>
      </c>
      <c r="Q363" t="s">
        <v>136</v>
      </c>
      <c r="R363" t="s">
        <v>2413</v>
      </c>
      <c r="S363" s="26">
        <v>2</v>
      </c>
      <c r="U363" t="s">
        <v>2296</v>
      </c>
      <c r="V363" t="s">
        <v>136</v>
      </c>
      <c r="W363" t="s">
        <v>784</v>
      </c>
      <c r="X363" s="26">
        <v>2</v>
      </c>
    </row>
    <row r="364" spans="1:24" hidden="1" x14ac:dyDescent="0.35">
      <c r="A364">
        <f t="shared" si="11"/>
        <v>363</v>
      </c>
      <c r="B364">
        <v>2003</v>
      </c>
      <c r="C364" t="s">
        <v>8</v>
      </c>
      <c r="D364" t="s">
        <v>995</v>
      </c>
      <c r="E364" t="s">
        <v>1430</v>
      </c>
      <c r="G364" s="2">
        <v>52.5</v>
      </c>
      <c r="H364" t="s">
        <v>130</v>
      </c>
      <c r="I364" t="s">
        <v>131</v>
      </c>
      <c r="J364" s="11">
        <v>50.692708236187435</v>
      </c>
      <c r="K364" t="str">
        <f t="shared" si="10"/>
        <v>Alan Stuart</v>
      </c>
      <c r="M364" t="s">
        <v>862</v>
      </c>
      <c r="N364" t="s">
        <v>117</v>
      </c>
      <c r="O364" s="26">
        <v>6</v>
      </c>
      <c r="R364" t="s">
        <v>525</v>
      </c>
      <c r="S364" s="26">
        <v>1</v>
      </c>
      <c r="U364" t="s">
        <v>1403</v>
      </c>
      <c r="V364" t="s">
        <v>1402</v>
      </c>
      <c r="W364" t="s">
        <v>656</v>
      </c>
      <c r="X364" s="26">
        <v>1</v>
      </c>
    </row>
    <row r="365" spans="1:24" hidden="1" x14ac:dyDescent="0.35">
      <c r="A365">
        <f t="shared" si="11"/>
        <v>364</v>
      </c>
      <c r="B365">
        <v>2003</v>
      </c>
      <c r="C365" t="s">
        <v>8</v>
      </c>
      <c r="D365" t="s">
        <v>45</v>
      </c>
      <c r="E365" t="s">
        <v>1429</v>
      </c>
      <c r="G365" s="2">
        <v>1</v>
      </c>
      <c r="H365" t="s">
        <v>445</v>
      </c>
      <c r="I365" t="s">
        <v>446</v>
      </c>
      <c r="J365" s="11">
        <v>1929.4189257142925</v>
      </c>
      <c r="K365" t="str">
        <f t="shared" si="10"/>
        <v>Edson Pap</v>
      </c>
      <c r="M365" t="s">
        <v>826</v>
      </c>
      <c r="N365" t="s">
        <v>67</v>
      </c>
      <c r="O365" s="26">
        <v>1</v>
      </c>
      <c r="R365" t="s">
        <v>1159</v>
      </c>
      <c r="S365" s="26">
        <v>3</v>
      </c>
      <c r="U365" t="s">
        <v>879</v>
      </c>
      <c r="V365" t="s">
        <v>136</v>
      </c>
      <c r="W365" t="s">
        <v>878</v>
      </c>
      <c r="X365" s="26">
        <v>2</v>
      </c>
    </row>
    <row r="366" spans="1:24" hidden="1" x14ac:dyDescent="0.35">
      <c r="A366">
        <f t="shared" si="11"/>
        <v>365</v>
      </c>
      <c r="B366">
        <v>2003</v>
      </c>
      <c r="C366" t="s">
        <v>8</v>
      </c>
      <c r="D366" t="s">
        <v>45</v>
      </c>
      <c r="E366" t="s">
        <v>1429</v>
      </c>
      <c r="G366" s="2">
        <v>2</v>
      </c>
      <c r="H366" t="s">
        <v>950</v>
      </c>
      <c r="I366" t="s">
        <v>142</v>
      </c>
      <c r="J366" s="11">
        <v>1628.3889300503113</v>
      </c>
      <c r="K366" t="str">
        <f t="shared" si="10"/>
        <v>Matt Treasure</v>
      </c>
      <c r="M366" t="s">
        <v>151</v>
      </c>
      <c r="N366" t="s">
        <v>16</v>
      </c>
      <c r="O366" s="26">
        <v>6</v>
      </c>
      <c r="R366" t="s">
        <v>459</v>
      </c>
      <c r="S366" s="26">
        <v>5</v>
      </c>
      <c r="U366" t="s">
        <v>1302</v>
      </c>
      <c r="V366" t="s">
        <v>136</v>
      </c>
      <c r="W366" t="s">
        <v>1301</v>
      </c>
      <c r="X366" s="26">
        <v>3</v>
      </c>
    </row>
    <row r="367" spans="1:24" hidden="1" x14ac:dyDescent="0.35">
      <c r="A367">
        <f t="shared" si="11"/>
        <v>366</v>
      </c>
      <c r="B367">
        <v>2003</v>
      </c>
      <c r="C367" t="s">
        <v>8</v>
      </c>
      <c r="D367" t="s">
        <v>45</v>
      </c>
      <c r="E367" t="s">
        <v>1429</v>
      </c>
      <c r="G367" s="2">
        <v>3</v>
      </c>
      <c r="H367" t="s">
        <v>195</v>
      </c>
      <c r="I367" t="s">
        <v>196</v>
      </c>
      <c r="J367" s="11">
        <v>1452.2976709946302</v>
      </c>
      <c r="K367" t="str">
        <f t="shared" si="10"/>
        <v>Dave Tahajian</v>
      </c>
      <c r="M367" t="s">
        <v>99</v>
      </c>
      <c r="N367" t="s">
        <v>101</v>
      </c>
      <c r="O367" s="26">
        <v>29</v>
      </c>
      <c r="R367" t="s">
        <v>1518</v>
      </c>
      <c r="S367" s="26">
        <v>1</v>
      </c>
      <c r="U367" t="s">
        <v>643</v>
      </c>
      <c r="V367" t="s">
        <v>136</v>
      </c>
      <c r="W367" t="s">
        <v>642</v>
      </c>
      <c r="X367" s="26">
        <v>7</v>
      </c>
    </row>
    <row r="368" spans="1:24" hidden="1" x14ac:dyDescent="0.35">
      <c r="A368">
        <f t="shared" si="11"/>
        <v>367</v>
      </c>
      <c r="B368">
        <v>2003</v>
      </c>
      <c r="C368" t="s">
        <v>8</v>
      </c>
      <c r="D368" t="s">
        <v>45</v>
      </c>
      <c r="E368" t="s">
        <v>1429</v>
      </c>
      <c r="G368" s="2">
        <v>4</v>
      </c>
      <c r="H368" t="s">
        <v>442</v>
      </c>
      <c r="I368" t="s">
        <v>429</v>
      </c>
      <c r="J368" s="11">
        <v>1327.3589343863302</v>
      </c>
      <c r="K368" t="str">
        <f t="shared" si="10"/>
        <v>Mary Massey</v>
      </c>
      <c r="M368" t="s">
        <v>553</v>
      </c>
      <c r="N368" t="s">
        <v>410</v>
      </c>
      <c r="O368" s="26">
        <v>2</v>
      </c>
      <c r="R368" t="s">
        <v>784</v>
      </c>
      <c r="S368" s="26">
        <v>2</v>
      </c>
      <c r="U368" t="s">
        <v>1691</v>
      </c>
      <c r="V368" t="s">
        <v>136</v>
      </c>
      <c r="W368" t="s">
        <v>1150</v>
      </c>
      <c r="X368" s="26">
        <v>1</v>
      </c>
    </row>
    <row r="369" spans="1:24" hidden="1" x14ac:dyDescent="0.35">
      <c r="A369">
        <f t="shared" si="11"/>
        <v>368</v>
      </c>
      <c r="B369">
        <v>2003</v>
      </c>
      <c r="C369" t="s">
        <v>8</v>
      </c>
      <c r="D369" t="s">
        <v>45</v>
      </c>
      <c r="E369" t="s">
        <v>1429</v>
      </c>
      <c r="G369" s="2">
        <v>5</v>
      </c>
      <c r="H369" t="s">
        <v>857</v>
      </c>
      <c r="I369" t="s">
        <v>13</v>
      </c>
      <c r="J369" s="11">
        <v>1230.4489213782736</v>
      </c>
      <c r="K369" t="str">
        <f t="shared" si="10"/>
        <v>Tom O'Boyle</v>
      </c>
      <c r="M369" t="s">
        <v>1136</v>
      </c>
      <c r="N369" t="s">
        <v>119</v>
      </c>
      <c r="O369" s="26">
        <v>1</v>
      </c>
      <c r="R369" t="s">
        <v>878</v>
      </c>
      <c r="S369" s="26">
        <v>2</v>
      </c>
      <c r="U369" t="s">
        <v>886</v>
      </c>
      <c r="V369" t="s">
        <v>136</v>
      </c>
      <c r="W369" t="s">
        <v>885</v>
      </c>
      <c r="X369" s="26">
        <v>1</v>
      </c>
    </row>
    <row r="370" spans="1:24" hidden="1" x14ac:dyDescent="0.35">
      <c r="A370">
        <f t="shared" si="11"/>
        <v>369</v>
      </c>
      <c r="B370">
        <v>2003</v>
      </c>
      <c r="C370" t="s">
        <v>8</v>
      </c>
      <c r="D370" t="s">
        <v>45</v>
      </c>
      <c r="E370" t="s">
        <v>1429</v>
      </c>
      <c r="G370" s="2">
        <v>6</v>
      </c>
      <c r="H370" t="s">
        <v>1263</v>
      </c>
      <c r="I370" t="s">
        <v>1264</v>
      </c>
      <c r="J370" s="11">
        <v>1151.2676753306489</v>
      </c>
      <c r="K370" t="str">
        <f t="shared" si="10"/>
        <v>Roger Brestak</v>
      </c>
      <c r="M370" t="s">
        <v>1028</v>
      </c>
      <c r="N370" t="s">
        <v>927</v>
      </c>
      <c r="O370" s="26">
        <v>1</v>
      </c>
      <c r="R370" t="s">
        <v>1301</v>
      </c>
      <c r="S370" s="26">
        <v>3</v>
      </c>
      <c r="U370" t="s">
        <v>679</v>
      </c>
      <c r="V370" t="s">
        <v>136</v>
      </c>
      <c r="W370" t="s">
        <v>678</v>
      </c>
      <c r="X370" s="26">
        <v>3</v>
      </c>
    </row>
    <row r="371" spans="1:24" hidden="1" x14ac:dyDescent="0.35">
      <c r="A371">
        <f t="shared" si="11"/>
        <v>370</v>
      </c>
      <c r="B371">
        <v>2003</v>
      </c>
      <c r="C371" t="s">
        <v>8</v>
      </c>
      <c r="D371" t="s">
        <v>45</v>
      </c>
      <c r="E371" t="s">
        <v>1429</v>
      </c>
      <c r="G371" s="2">
        <v>7</v>
      </c>
      <c r="H371" t="s">
        <v>238</v>
      </c>
      <c r="I371" t="s">
        <v>16</v>
      </c>
      <c r="J371" s="11">
        <v>1084.3208857000359</v>
      </c>
      <c r="K371" t="str">
        <f t="shared" si="10"/>
        <v>David Kuznick</v>
      </c>
      <c r="M371" t="s">
        <v>1404</v>
      </c>
      <c r="N371" t="s">
        <v>142</v>
      </c>
      <c r="O371" s="26">
        <v>1</v>
      </c>
      <c r="R371" t="s">
        <v>642</v>
      </c>
      <c r="S371" s="26">
        <v>7</v>
      </c>
      <c r="U371" t="s">
        <v>1488</v>
      </c>
      <c r="V371" t="s">
        <v>136</v>
      </c>
      <c r="W371" t="s">
        <v>1222</v>
      </c>
      <c r="X371" s="26">
        <v>3</v>
      </c>
    </row>
    <row r="372" spans="1:24" hidden="1" x14ac:dyDescent="0.35">
      <c r="A372">
        <f t="shared" si="11"/>
        <v>371</v>
      </c>
      <c r="B372">
        <v>2003</v>
      </c>
      <c r="C372" t="s">
        <v>8</v>
      </c>
      <c r="D372" t="s">
        <v>45</v>
      </c>
      <c r="E372" t="s">
        <v>1429</v>
      </c>
      <c r="G372" s="2">
        <v>8</v>
      </c>
      <c r="H372" t="s">
        <v>70</v>
      </c>
      <c r="I372" t="s">
        <v>71</v>
      </c>
      <c r="J372" s="11">
        <v>1026.328938722349</v>
      </c>
      <c r="K372" t="str">
        <f t="shared" si="10"/>
        <v>Scott Byron</v>
      </c>
      <c r="M372" t="s">
        <v>711</v>
      </c>
      <c r="N372" t="s">
        <v>85</v>
      </c>
      <c r="O372" s="26">
        <v>9</v>
      </c>
      <c r="R372" t="s">
        <v>1150</v>
      </c>
      <c r="S372" s="26">
        <v>1</v>
      </c>
      <c r="U372" t="s">
        <v>615</v>
      </c>
      <c r="V372" t="s">
        <v>136</v>
      </c>
      <c r="W372" t="s">
        <v>614</v>
      </c>
      <c r="X372" s="26">
        <v>1</v>
      </c>
    </row>
    <row r="373" spans="1:24" hidden="1" x14ac:dyDescent="0.35">
      <c r="A373">
        <f t="shared" si="11"/>
        <v>372</v>
      </c>
      <c r="B373">
        <v>2003</v>
      </c>
      <c r="C373" t="s">
        <v>8</v>
      </c>
      <c r="D373" t="s">
        <v>45</v>
      </c>
      <c r="E373" t="s">
        <v>1429</v>
      </c>
      <c r="G373" s="2">
        <v>9</v>
      </c>
      <c r="H373" t="s">
        <v>111</v>
      </c>
      <c r="I373" t="s">
        <v>16</v>
      </c>
      <c r="J373" s="11">
        <v>975.17641627496778</v>
      </c>
      <c r="K373" t="str">
        <f t="shared" si="10"/>
        <v>David Fruchter</v>
      </c>
      <c r="M373" t="s">
        <v>479</v>
      </c>
      <c r="N373" t="s">
        <v>480</v>
      </c>
      <c r="O373" s="26">
        <v>2</v>
      </c>
      <c r="R373" t="s">
        <v>885</v>
      </c>
      <c r="S373" s="26">
        <v>1</v>
      </c>
      <c r="U373" t="s">
        <v>875</v>
      </c>
      <c r="V373" t="s">
        <v>136</v>
      </c>
      <c r="W373" t="s">
        <v>874</v>
      </c>
      <c r="X373" s="26">
        <v>1</v>
      </c>
    </row>
    <row r="374" spans="1:24" hidden="1" x14ac:dyDescent="0.35">
      <c r="A374">
        <f t="shared" si="11"/>
        <v>373</v>
      </c>
      <c r="B374">
        <v>2003</v>
      </c>
      <c r="C374" t="s">
        <v>8</v>
      </c>
      <c r="D374" t="s">
        <v>45</v>
      </c>
      <c r="E374" t="s">
        <v>1429</v>
      </c>
      <c r="G374" s="2">
        <v>10</v>
      </c>
      <c r="H374" t="s">
        <v>1266</v>
      </c>
      <c r="I374" t="s">
        <v>1267</v>
      </c>
      <c r="J374" s="11">
        <v>929.41892571429264</v>
      </c>
      <c r="K374" t="str">
        <f t="shared" si="10"/>
        <v>Phil Vogel</v>
      </c>
      <c r="M374" t="s">
        <v>742</v>
      </c>
      <c r="N374" t="s">
        <v>16</v>
      </c>
      <c r="O374" s="26">
        <v>2</v>
      </c>
      <c r="R374" t="s">
        <v>678</v>
      </c>
      <c r="S374" s="26">
        <v>3</v>
      </c>
      <c r="U374" t="s">
        <v>837</v>
      </c>
      <c r="V374" t="s">
        <v>136</v>
      </c>
      <c r="W374" t="s">
        <v>836</v>
      </c>
      <c r="X374" s="26">
        <v>11</v>
      </c>
    </row>
    <row r="375" spans="1:24" hidden="1" x14ac:dyDescent="0.35">
      <c r="A375">
        <f t="shared" si="11"/>
        <v>374</v>
      </c>
      <c r="B375">
        <v>2003</v>
      </c>
      <c r="C375" t="s">
        <v>8</v>
      </c>
      <c r="D375" t="s">
        <v>45</v>
      </c>
      <c r="E375" t="s">
        <v>1429</v>
      </c>
      <c r="G375" s="2">
        <v>11</v>
      </c>
      <c r="H375" t="s">
        <v>465</v>
      </c>
      <c r="I375" t="s">
        <v>11</v>
      </c>
      <c r="J375" s="11">
        <v>888.02624055606748</v>
      </c>
      <c r="K375" t="str">
        <f t="shared" si="10"/>
        <v>Paul Sikorski</v>
      </c>
      <c r="M375" t="s">
        <v>1400</v>
      </c>
      <c r="N375" t="s">
        <v>232</v>
      </c>
      <c r="O375" s="26">
        <v>1</v>
      </c>
      <c r="R375" t="s">
        <v>1222</v>
      </c>
      <c r="S375" s="26">
        <v>3</v>
      </c>
      <c r="U375" t="s">
        <v>440</v>
      </c>
      <c r="V375" t="s">
        <v>136</v>
      </c>
      <c r="W375" t="s">
        <v>439</v>
      </c>
      <c r="X375" s="26">
        <v>3</v>
      </c>
    </row>
    <row r="376" spans="1:24" hidden="1" x14ac:dyDescent="0.35">
      <c r="A376">
        <f t="shared" si="11"/>
        <v>375</v>
      </c>
      <c r="B376">
        <v>2003</v>
      </c>
      <c r="C376" t="s">
        <v>8</v>
      </c>
      <c r="D376" t="s">
        <v>45</v>
      </c>
      <c r="E376" t="s">
        <v>1429</v>
      </c>
      <c r="G376" s="2">
        <v>12</v>
      </c>
      <c r="H376" t="s">
        <v>764</v>
      </c>
      <c r="I376" t="s">
        <v>765</v>
      </c>
      <c r="J376" s="11">
        <v>850.23767966666776</v>
      </c>
      <c r="K376" t="str">
        <f t="shared" si="10"/>
        <v>Michelle Ankenman</v>
      </c>
      <c r="M376" t="s">
        <v>43</v>
      </c>
      <c r="N376" t="s">
        <v>848</v>
      </c>
      <c r="O376" s="26">
        <v>2</v>
      </c>
      <c r="R376" t="s">
        <v>614</v>
      </c>
      <c r="S376" s="26">
        <v>1</v>
      </c>
      <c r="U376" t="s">
        <v>961</v>
      </c>
      <c r="V376" t="s">
        <v>136</v>
      </c>
      <c r="W376" t="s">
        <v>960</v>
      </c>
      <c r="X376" s="26">
        <v>8</v>
      </c>
    </row>
    <row r="377" spans="1:24" hidden="1" x14ac:dyDescent="0.35">
      <c r="A377">
        <f t="shared" si="11"/>
        <v>376</v>
      </c>
      <c r="B377">
        <v>2003</v>
      </c>
      <c r="C377" t="s">
        <v>8</v>
      </c>
      <c r="D377" t="s">
        <v>45</v>
      </c>
      <c r="E377" t="s">
        <v>1429</v>
      </c>
      <c r="G377" s="2">
        <v>13</v>
      </c>
      <c r="H377" t="s">
        <v>878</v>
      </c>
      <c r="I377" t="s">
        <v>136</v>
      </c>
      <c r="J377" s="11">
        <v>815.47557340745595</v>
      </c>
      <c r="K377" t="str">
        <f t="shared" si="10"/>
        <v>John Chesser</v>
      </c>
      <c r="N377" t="s">
        <v>218</v>
      </c>
      <c r="O377" s="26">
        <v>23</v>
      </c>
      <c r="R377" t="s">
        <v>874</v>
      </c>
      <c r="S377" s="26">
        <v>1</v>
      </c>
      <c r="U377" t="s">
        <v>478</v>
      </c>
      <c r="V377" t="s">
        <v>136</v>
      </c>
      <c r="W377" t="s">
        <v>477</v>
      </c>
      <c r="X377" s="26">
        <v>5</v>
      </c>
    </row>
    <row r="378" spans="1:24" hidden="1" x14ac:dyDescent="0.35">
      <c r="A378">
        <f t="shared" si="11"/>
        <v>377</v>
      </c>
      <c r="B378">
        <v>2003</v>
      </c>
      <c r="C378" t="s">
        <v>8</v>
      </c>
      <c r="D378" t="s">
        <v>45</v>
      </c>
      <c r="E378" t="s">
        <v>1429</v>
      </c>
      <c r="G378" s="2">
        <v>14</v>
      </c>
      <c r="H378" t="s">
        <v>357</v>
      </c>
      <c r="I378" t="s">
        <v>463</v>
      </c>
      <c r="J378" s="11">
        <v>783.29089003605463</v>
      </c>
      <c r="K378" t="str">
        <f t="shared" si="10"/>
        <v>Richard Goodridge</v>
      </c>
      <c r="M378" t="s">
        <v>2456</v>
      </c>
      <c r="N378" t="s">
        <v>463</v>
      </c>
      <c r="O378" s="26">
        <v>1</v>
      </c>
      <c r="R378" t="s">
        <v>836</v>
      </c>
      <c r="S378" s="26">
        <v>11</v>
      </c>
      <c r="U378" t="s">
        <v>548</v>
      </c>
      <c r="V378" t="s">
        <v>136</v>
      </c>
      <c r="W378" t="s">
        <v>547</v>
      </c>
      <c r="X378" s="26">
        <v>2</v>
      </c>
    </row>
    <row r="379" spans="1:24" hidden="1" x14ac:dyDescent="0.35">
      <c r="A379">
        <f t="shared" si="11"/>
        <v>378</v>
      </c>
      <c r="B379">
        <v>2003</v>
      </c>
      <c r="C379" t="s">
        <v>8</v>
      </c>
      <c r="D379" t="s">
        <v>45</v>
      </c>
      <c r="E379" t="s">
        <v>1429</v>
      </c>
      <c r="G379" s="2">
        <v>15</v>
      </c>
      <c r="H379" t="s">
        <v>220</v>
      </c>
      <c r="I379" t="s">
        <v>421</v>
      </c>
      <c r="J379" s="11">
        <v>753.32766665861129</v>
      </c>
      <c r="K379" t="str">
        <f t="shared" si="10"/>
        <v>Bill Chen</v>
      </c>
      <c r="M379" t="s">
        <v>326</v>
      </c>
      <c r="N379" t="s">
        <v>327</v>
      </c>
      <c r="O379" s="26">
        <v>3</v>
      </c>
      <c r="R379" t="s">
        <v>439</v>
      </c>
      <c r="S379" s="26">
        <v>3</v>
      </c>
      <c r="U379" t="s">
        <v>2406</v>
      </c>
      <c r="V379" t="s">
        <v>136</v>
      </c>
      <c r="W379" t="s">
        <v>2405</v>
      </c>
      <c r="X379" s="26">
        <v>1</v>
      </c>
    </row>
    <row r="380" spans="1:24" hidden="1" x14ac:dyDescent="0.35">
      <c r="A380">
        <f t="shared" si="11"/>
        <v>379</v>
      </c>
      <c r="B380">
        <v>2003</v>
      </c>
      <c r="C380" t="s">
        <v>8</v>
      </c>
      <c r="D380" t="s">
        <v>45</v>
      </c>
      <c r="E380" t="s">
        <v>1429</v>
      </c>
      <c r="G380" s="2">
        <v>16</v>
      </c>
      <c r="H380" t="s">
        <v>821</v>
      </c>
      <c r="I380" t="s">
        <v>822</v>
      </c>
      <c r="J380" s="11">
        <v>725.29894305836785</v>
      </c>
      <c r="K380" t="str">
        <f t="shared" si="10"/>
        <v>Gavin Smith</v>
      </c>
      <c r="M380" t="s">
        <v>15</v>
      </c>
      <c r="N380" t="s">
        <v>28</v>
      </c>
      <c r="O380" s="26">
        <v>11</v>
      </c>
      <c r="R380" t="s">
        <v>960</v>
      </c>
      <c r="S380" s="26">
        <v>8</v>
      </c>
      <c r="U380" t="s">
        <v>586</v>
      </c>
      <c r="V380" t="s">
        <v>136</v>
      </c>
      <c r="W380" t="s">
        <v>585</v>
      </c>
      <c r="X380" s="26">
        <v>14</v>
      </c>
    </row>
    <row r="381" spans="1:24" hidden="1" x14ac:dyDescent="0.35">
      <c r="A381">
        <f t="shared" si="11"/>
        <v>380</v>
      </c>
      <c r="B381">
        <v>2003</v>
      </c>
      <c r="C381" t="s">
        <v>8</v>
      </c>
      <c r="D381" t="s">
        <v>45</v>
      </c>
      <c r="E381" t="s">
        <v>1429</v>
      </c>
      <c r="G381" s="2">
        <v>17</v>
      </c>
      <c r="H381" t="s">
        <v>789</v>
      </c>
      <c r="I381" t="s">
        <v>77</v>
      </c>
      <c r="J381" s="11">
        <v>698.97000433601875</v>
      </c>
      <c r="K381" t="str">
        <f t="shared" si="10"/>
        <v>Eric Holtman</v>
      </c>
      <c r="N381" t="s">
        <v>16</v>
      </c>
      <c r="O381" s="26">
        <v>24</v>
      </c>
      <c r="R381" t="s">
        <v>477</v>
      </c>
      <c r="S381" s="26">
        <v>5</v>
      </c>
      <c r="U381" t="s">
        <v>1545</v>
      </c>
      <c r="V381" t="s">
        <v>136</v>
      </c>
      <c r="W381" t="s">
        <v>526</v>
      </c>
      <c r="X381" s="26">
        <v>10</v>
      </c>
    </row>
    <row r="382" spans="1:24" hidden="1" x14ac:dyDescent="0.35">
      <c r="A382">
        <f t="shared" si="11"/>
        <v>381</v>
      </c>
      <c r="B382">
        <v>2003</v>
      </c>
      <c r="C382" t="s">
        <v>8</v>
      </c>
      <c r="D382" t="s">
        <v>45</v>
      </c>
      <c r="E382" t="s">
        <v>1429</v>
      </c>
      <c r="G382" s="2">
        <v>18</v>
      </c>
      <c r="H382" t="s">
        <v>642</v>
      </c>
      <c r="I382" t="s">
        <v>136</v>
      </c>
      <c r="J382" s="11">
        <v>674.14642061098664</v>
      </c>
      <c r="K382" t="str">
        <f t="shared" si="10"/>
        <v>John DeRose</v>
      </c>
      <c r="M382" t="s">
        <v>78</v>
      </c>
      <c r="N382" t="s">
        <v>79</v>
      </c>
      <c r="O382" s="26">
        <v>9</v>
      </c>
      <c r="R382" t="s">
        <v>547</v>
      </c>
      <c r="S382" s="26">
        <v>2</v>
      </c>
      <c r="U382" t="s">
        <v>1104</v>
      </c>
      <c r="V382" t="s">
        <v>136</v>
      </c>
      <c r="W382" t="s">
        <v>1103</v>
      </c>
      <c r="X382" s="26">
        <v>4</v>
      </c>
    </row>
    <row r="383" spans="1:24" hidden="1" x14ac:dyDescent="0.35">
      <c r="A383">
        <f t="shared" si="11"/>
        <v>382</v>
      </c>
      <c r="B383">
        <v>2003</v>
      </c>
      <c r="C383" t="s">
        <v>8</v>
      </c>
      <c r="D383" t="s">
        <v>45</v>
      </c>
      <c r="E383" t="s">
        <v>1429</v>
      </c>
      <c r="G383" s="2">
        <v>19</v>
      </c>
      <c r="H383" t="s">
        <v>731</v>
      </c>
      <c r="I383" t="s">
        <v>732</v>
      </c>
      <c r="J383" s="11">
        <v>650.66532476146381</v>
      </c>
      <c r="K383" t="str">
        <f t="shared" si="10"/>
        <v>Lauri Calkins</v>
      </c>
      <c r="M383" t="s">
        <v>1087</v>
      </c>
      <c r="N383" t="s">
        <v>1088</v>
      </c>
      <c r="O383" s="26">
        <v>1</v>
      </c>
      <c r="R383" t="s">
        <v>2405</v>
      </c>
      <c r="S383" s="26">
        <v>1</v>
      </c>
      <c r="U383" t="s">
        <v>1693</v>
      </c>
      <c r="V383" t="s">
        <v>136</v>
      </c>
      <c r="W383" t="s">
        <v>168</v>
      </c>
      <c r="X383" s="26">
        <v>1</v>
      </c>
    </row>
    <row r="384" spans="1:24" hidden="1" x14ac:dyDescent="0.35">
      <c r="A384">
        <f t="shared" si="11"/>
        <v>383</v>
      </c>
      <c r="B384">
        <v>2003</v>
      </c>
      <c r="C384" t="s">
        <v>8</v>
      </c>
      <c r="D384" t="s">
        <v>45</v>
      </c>
      <c r="E384" t="s">
        <v>1429</v>
      </c>
      <c r="G384" s="2">
        <v>20</v>
      </c>
      <c r="H384" t="s">
        <v>984</v>
      </c>
      <c r="I384" t="s">
        <v>119</v>
      </c>
      <c r="J384" s="11">
        <v>628.38893005031139</v>
      </c>
      <c r="K384" t="str">
        <f t="shared" si="10"/>
        <v>Peter Canning</v>
      </c>
      <c r="M384" t="s">
        <v>343</v>
      </c>
      <c r="N384" t="s">
        <v>344</v>
      </c>
      <c r="O384" s="26">
        <v>2</v>
      </c>
      <c r="R384" t="s">
        <v>585</v>
      </c>
      <c r="S384" s="26">
        <v>14</v>
      </c>
      <c r="U384" t="s">
        <v>137</v>
      </c>
      <c r="V384" t="s">
        <v>136</v>
      </c>
      <c r="W384" t="s">
        <v>135</v>
      </c>
      <c r="X384" s="26">
        <v>8</v>
      </c>
    </row>
    <row r="385" spans="1:24" hidden="1" x14ac:dyDescent="0.35">
      <c r="A385">
        <f t="shared" si="11"/>
        <v>384</v>
      </c>
      <c r="B385">
        <v>2003</v>
      </c>
      <c r="C385" t="s">
        <v>8</v>
      </c>
      <c r="D385" t="s">
        <v>45</v>
      </c>
      <c r="E385" t="s">
        <v>1429</v>
      </c>
      <c r="G385" s="2">
        <v>21</v>
      </c>
      <c r="H385" t="s">
        <v>363</v>
      </c>
      <c r="I385" t="s">
        <v>364</v>
      </c>
      <c r="J385" s="11">
        <v>607.19963098037329</v>
      </c>
      <c r="K385" t="str">
        <f t="shared" si="10"/>
        <v>Warren Sander</v>
      </c>
      <c r="M385" t="s">
        <v>1313</v>
      </c>
      <c r="N385" t="s">
        <v>139</v>
      </c>
      <c r="O385" s="26">
        <v>2</v>
      </c>
      <c r="R385" t="s">
        <v>526</v>
      </c>
      <c r="S385" s="26">
        <v>10</v>
      </c>
      <c r="U385" t="s">
        <v>456</v>
      </c>
      <c r="V385" t="s">
        <v>136</v>
      </c>
      <c r="W385" t="s">
        <v>455</v>
      </c>
      <c r="X385" s="26">
        <v>6</v>
      </c>
    </row>
    <row r="386" spans="1:24" hidden="1" x14ac:dyDescent="0.35">
      <c r="A386">
        <f t="shared" si="11"/>
        <v>385</v>
      </c>
      <c r="B386">
        <v>2003</v>
      </c>
      <c r="C386" t="s">
        <v>8</v>
      </c>
      <c r="D386" t="s">
        <v>45</v>
      </c>
      <c r="E386" t="s">
        <v>1429</v>
      </c>
      <c r="G386" s="2">
        <v>22</v>
      </c>
      <c r="H386" t="s">
        <v>238</v>
      </c>
      <c r="I386" t="s">
        <v>375</v>
      </c>
      <c r="J386" s="11">
        <v>586.99624489208645</v>
      </c>
      <c r="K386" t="str">
        <f t="shared" ref="K386:K449" si="12">I386&amp;" "&amp;H386</f>
        <v>Jessica Kuznick</v>
      </c>
      <c r="M386" t="s">
        <v>275</v>
      </c>
      <c r="N386" t="s">
        <v>463</v>
      </c>
      <c r="O386" s="26">
        <v>5</v>
      </c>
      <c r="R386" t="s">
        <v>1103</v>
      </c>
      <c r="S386" s="26">
        <v>4</v>
      </c>
      <c r="U386" t="s">
        <v>1666</v>
      </c>
      <c r="V386" t="s">
        <v>136</v>
      </c>
      <c r="W386" t="s">
        <v>245</v>
      </c>
      <c r="X386" s="26">
        <v>1</v>
      </c>
    </row>
    <row r="387" spans="1:24" hidden="1" x14ac:dyDescent="0.35">
      <c r="A387">
        <f t="shared" si="11"/>
        <v>386</v>
      </c>
      <c r="B387">
        <v>2003</v>
      </c>
      <c r="C387" t="s">
        <v>8</v>
      </c>
      <c r="D387" t="s">
        <v>45</v>
      </c>
      <c r="E387" t="s">
        <v>1429</v>
      </c>
      <c r="G387" s="2">
        <v>23</v>
      </c>
      <c r="H387" t="s">
        <v>19</v>
      </c>
      <c r="I387" t="s">
        <v>20</v>
      </c>
      <c r="J387" s="11">
        <v>567.69108969669981</v>
      </c>
      <c r="K387" t="str">
        <f t="shared" si="12"/>
        <v>Barry Kornspan</v>
      </c>
      <c r="M387" t="s">
        <v>19</v>
      </c>
      <c r="N387" t="s">
        <v>20</v>
      </c>
      <c r="O387" s="26">
        <v>31</v>
      </c>
      <c r="R387" t="s">
        <v>168</v>
      </c>
      <c r="S387" s="26">
        <v>1</v>
      </c>
      <c r="U387" t="s">
        <v>255</v>
      </c>
      <c r="V387" t="s">
        <v>136</v>
      </c>
      <c r="W387" t="s">
        <v>254</v>
      </c>
      <c r="X387" s="26">
        <v>2</v>
      </c>
    </row>
    <row r="388" spans="1:24" hidden="1" x14ac:dyDescent="0.35">
      <c r="A388">
        <f t="shared" ref="A388:A451" si="13">A387+1</f>
        <v>387</v>
      </c>
      <c r="B388">
        <v>2003</v>
      </c>
      <c r="C388" t="s">
        <v>8</v>
      </c>
      <c r="D388" t="s">
        <v>45</v>
      </c>
      <c r="E388" t="s">
        <v>1429</v>
      </c>
      <c r="G388" s="2">
        <v>24</v>
      </c>
      <c r="H388" t="s">
        <v>862</v>
      </c>
      <c r="I388" t="s">
        <v>117</v>
      </c>
      <c r="J388" s="11">
        <v>549.20768400268673</v>
      </c>
      <c r="K388" t="str">
        <f t="shared" si="12"/>
        <v>Thomas Kelley</v>
      </c>
      <c r="M388" t="s">
        <v>1198</v>
      </c>
      <c r="N388" t="s">
        <v>65</v>
      </c>
      <c r="O388" s="26">
        <v>1</v>
      </c>
      <c r="R388" t="s">
        <v>135</v>
      </c>
      <c r="S388" s="26">
        <v>8</v>
      </c>
      <c r="U388" t="s">
        <v>1708</v>
      </c>
      <c r="V388" t="s">
        <v>136</v>
      </c>
      <c r="W388" t="s">
        <v>1346</v>
      </c>
      <c r="X388" s="26">
        <v>1</v>
      </c>
    </row>
    <row r="389" spans="1:24" hidden="1" x14ac:dyDescent="0.35">
      <c r="A389">
        <f t="shared" si="13"/>
        <v>388</v>
      </c>
      <c r="B389">
        <v>2003</v>
      </c>
      <c r="C389" t="s">
        <v>8</v>
      </c>
      <c r="D389" t="s">
        <v>45</v>
      </c>
      <c r="E389" t="s">
        <v>1429</v>
      </c>
      <c r="G389" s="2">
        <v>25</v>
      </c>
      <c r="H389" t="s">
        <v>320</v>
      </c>
      <c r="I389" t="s">
        <v>321</v>
      </c>
      <c r="J389" s="11">
        <v>531.47891704225492</v>
      </c>
      <c r="K389" t="str">
        <f t="shared" si="12"/>
        <v>Tina Gonzalez</v>
      </c>
      <c r="M389" t="s">
        <v>116</v>
      </c>
      <c r="N389" t="s">
        <v>489</v>
      </c>
      <c r="O389" s="26">
        <v>6</v>
      </c>
      <c r="R389" t="s">
        <v>455</v>
      </c>
      <c r="S389" s="26">
        <v>6</v>
      </c>
      <c r="U389" t="s">
        <v>362</v>
      </c>
      <c r="V389" t="s">
        <v>361</v>
      </c>
      <c r="W389" t="s">
        <v>360</v>
      </c>
      <c r="X389" s="26">
        <v>3</v>
      </c>
    </row>
    <row r="390" spans="1:24" hidden="1" x14ac:dyDescent="0.35">
      <c r="A390">
        <f t="shared" si="13"/>
        <v>389</v>
      </c>
      <c r="B390">
        <v>2003</v>
      </c>
      <c r="C390" t="s">
        <v>8</v>
      </c>
      <c r="D390" t="s">
        <v>45</v>
      </c>
      <c r="E390" t="s">
        <v>1429</v>
      </c>
      <c r="G390" s="2">
        <v>26</v>
      </c>
      <c r="H390" t="s">
        <v>1257</v>
      </c>
      <c r="I390" t="s">
        <v>13</v>
      </c>
      <c r="J390" s="11">
        <v>514.4455777434747</v>
      </c>
      <c r="K390" t="str">
        <f t="shared" si="12"/>
        <v>Tom Snow</v>
      </c>
      <c r="N390" t="s">
        <v>153</v>
      </c>
      <c r="O390" s="26">
        <v>1</v>
      </c>
      <c r="R390" t="s">
        <v>245</v>
      </c>
      <c r="S390" s="26">
        <v>1</v>
      </c>
      <c r="U390" t="s">
        <v>1399</v>
      </c>
      <c r="V390" t="s">
        <v>662</v>
      </c>
      <c r="W390" t="s">
        <v>580</v>
      </c>
      <c r="X390" s="26">
        <v>1</v>
      </c>
    </row>
    <row r="391" spans="1:24" hidden="1" x14ac:dyDescent="0.35">
      <c r="A391">
        <f t="shared" si="13"/>
        <v>390</v>
      </c>
      <c r="B391">
        <v>2003</v>
      </c>
      <c r="C391" t="s">
        <v>8</v>
      </c>
      <c r="D391" t="s">
        <v>45</v>
      </c>
      <c r="E391" t="s">
        <v>1429</v>
      </c>
      <c r="G391" s="2">
        <v>27</v>
      </c>
      <c r="H391" t="s">
        <v>1270</v>
      </c>
      <c r="I391" t="s">
        <v>1271</v>
      </c>
      <c r="J391" s="11">
        <v>498.05516155530529</v>
      </c>
      <c r="K391" t="str">
        <f t="shared" si="12"/>
        <v>Seth Blau</v>
      </c>
      <c r="N391" t="s">
        <v>117</v>
      </c>
      <c r="O391" s="26">
        <v>5</v>
      </c>
      <c r="R391" t="s">
        <v>254</v>
      </c>
      <c r="S391" s="26">
        <v>2</v>
      </c>
      <c r="U391" t="s">
        <v>663</v>
      </c>
      <c r="V391" t="s">
        <v>662</v>
      </c>
      <c r="W391" t="s">
        <v>625</v>
      </c>
      <c r="X391" s="26">
        <v>2</v>
      </c>
    </row>
    <row r="392" spans="1:24" hidden="1" x14ac:dyDescent="0.35">
      <c r="A392">
        <f t="shared" si="13"/>
        <v>391</v>
      </c>
      <c r="B392">
        <v>2003</v>
      </c>
      <c r="C392" t="s">
        <v>8</v>
      </c>
      <c r="D392" t="s">
        <v>45</v>
      </c>
      <c r="E392" t="s">
        <v>1429</v>
      </c>
      <c r="G392" s="2">
        <v>28</v>
      </c>
      <c r="H392" t="s">
        <v>762</v>
      </c>
      <c r="I392" t="s">
        <v>153</v>
      </c>
      <c r="J392" s="11">
        <v>482.26089437207344</v>
      </c>
      <c r="K392" t="str">
        <f t="shared" si="12"/>
        <v>Stephen Carbonara</v>
      </c>
      <c r="M392" t="s">
        <v>414</v>
      </c>
      <c r="N392" t="s">
        <v>413</v>
      </c>
      <c r="O392" s="26">
        <v>15</v>
      </c>
      <c r="R392" t="s">
        <v>1346</v>
      </c>
      <c r="S392" s="26">
        <v>1</v>
      </c>
      <c r="U392" t="s">
        <v>1181</v>
      </c>
      <c r="V392" t="s">
        <v>1180</v>
      </c>
      <c r="W392" t="s">
        <v>1179</v>
      </c>
      <c r="X392" s="26">
        <v>1</v>
      </c>
    </row>
    <row r="393" spans="1:24" hidden="1" x14ac:dyDescent="0.35">
      <c r="A393">
        <f t="shared" si="13"/>
        <v>392</v>
      </c>
      <c r="B393">
        <v>2003</v>
      </c>
      <c r="C393" t="s">
        <v>8</v>
      </c>
      <c r="D393" t="s">
        <v>45</v>
      </c>
      <c r="E393" t="s">
        <v>1429</v>
      </c>
      <c r="G393" s="2">
        <v>29</v>
      </c>
      <c r="H393" t="s">
        <v>653</v>
      </c>
      <c r="I393" t="s">
        <v>654</v>
      </c>
      <c r="J393" s="11">
        <v>467.02092781533656</v>
      </c>
      <c r="K393" t="str">
        <f t="shared" si="12"/>
        <v>Gloria Brown</v>
      </c>
      <c r="N393" t="s">
        <v>1022</v>
      </c>
      <c r="O393" s="26">
        <v>3</v>
      </c>
      <c r="Q393" t="s">
        <v>1402</v>
      </c>
      <c r="R393" t="s">
        <v>656</v>
      </c>
      <c r="S393" s="26">
        <v>1</v>
      </c>
      <c r="U393" t="s">
        <v>1001</v>
      </c>
      <c r="V393" t="s">
        <v>908</v>
      </c>
      <c r="W393" t="s">
        <v>1000</v>
      </c>
      <c r="X393" s="26">
        <v>2</v>
      </c>
    </row>
    <row r="394" spans="1:24" hidden="1" x14ac:dyDescent="0.35">
      <c r="A394">
        <f t="shared" si="13"/>
        <v>393</v>
      </c>
      <c r="B394">
        <v>2003</v>
      </c>
      <c r="C394" t="s">
        <v>8</v>
      </c>
      <c r="D394" t="s">
        <v>45</v>
      </c>
      <c r="E394" t="s">
        <v>1429</v>
      </c>
      <c r="G394" s="2">
        <v>30</v>
      </c>
      <c r="H394" t="s">
        <v>1202</v>
      </c>
      <c r="I394" t="s">
        <v>65</v>
      </c>
      <c r="J394" s="11">
        <v>452.29767099463027</v>
      </c>
      <c r="K394" t="str">
        <f t="shared" si="12"/>
        <v>Steve Jewett</v>
      </c>
      <c r="M394" t="s">
        <v>597</v>
      </c>
      <c r="N394" t="s">
        <v>598</v>
      </c>
      <c r="O394" s="26">
        <v>10</v>
      </c>
      <c r="Q394" t="s">
        <v>361</v>
      </c>
      <c r="R394" t="s">
        <v>360</v>
      </c>
      <c r="S394" s="26">
        <v>3</v>
      </c>
      <c r="U394" t="s">
        <v>1522</v>
      </c>
      <c r="V394" t="s">
        <v>604</v>
      </c>
      <c r="W394" t="s">
        <v>603</v>
      </c>
      <c r="X394" s="26">
        <v>8</v>
      </c>
    </row>
    <row r="395" spans="1:24" hidden="1" x14ac:dyDescent="0.35">
      <c r="A395">
        <f t="shared" si="13"/>
        <v>394</v>
      </c>
      <c r="B395">
        <v>2003</v>
      </c>
      <c r="C395" t="s">
        <v>8</v>
      </c>
      <c r="D395" t="s">
        <v>45</v>
      </c>
      <c r="E395" t="s">
        <v>1429</v>
      </c>
      <c r="G395" s="2">
        <v>31</v>
      </c>
      <c r="H395" t="s">
        <v>958</v>
      </c>
      <c r="I395" t="s">
        <v>122</v>
      </c>
      <c r="J395" s="11">
        <v>438.05723188001997</v>
      </c>
      <c r="K395" t="str">
        <f t="shared" si="12"/>
        <v>Andy Bloch</v>
      </c>
      <c r="M395" t="s">
        <v>88</v>
      </c>
      <c r="N395" t="s">
        <v>89</v>
      </c>
      <c r="O395" s="26">
        <v>28</v>
      </c>
      <c r="Q395" t="s">
        <v>662</v>
      </c>
      <c r="R395" t="s">
        <v>580</v>
      </c>
      <c r="S395" s="26">
        <v>1</v>
      </c>
      <c r="U395" t="s">
        <v>1706</v>
      </c>
      <c r="V395" t="s">
        <v>115</v>
      </c>
      <c r="W395" t="s">
        <v>865</v>
      </c>
      <c r="X395" s="26">
        <v>1</v>
      </c>
    </row>
    <row r="396" spans="1:24" hidden="1" x14ac:dyDescent="0.35">
      <c r="A396">
        <f t="shared" si="13"/>
        <v>395</v>
      </c>
      <c r="B396">
        <v>2003</v>
      </c>
      <c r="C396" t="s">
        <v>8</v>
      </c>
      <c r="D396" t="s">
        <v>45</v>
      </c>
      <c r="E396" t="s">
        <v>1429</v>
      </c>
      <c r="G396" s="2">
        <v>32</v>
      </c>
      <c r="H396" t="s">
        <v>100</v>
      </c>
      <c r="I396" t="s">
        <v>52</v>
      </c>
      <c r="J396" s="11">
        <v>424.2689473943866</v>
      </c>
      <c r="K396" t="str">
        <f t="shared" si="12"/>
        <v>Steven Eisenstein</v>
      </c>
      <c r="M396" t="s">
        <v>608</v>
      </c>
      <c r="N396" t="s">
        <v>267</v>
      </c>
      <c r="O396" s="26">
        <v>7</v>
      </c>
      <c r="R396" t="s">
        <v>625</v>
      </c>
      <c r="S396" s="26">
        <v>2</v>
      </c>
      <c r="U396" t="s">
        <v>628</v>
      </c>
      <c r="V396" t="s">
        <v>391</v>
      </c>
      <c r="W396" t="s">
        <v>627</v>
      </c>
      <c r="X396" s="26">
        <v>1</v>
      </c>
    </row>
    <row r="397" spans="1:24" hidden="1" x14ac:dyDescent="0.35">
      <c r="A397">
        <f t="shared" si="13"/>
        <v>396</v>
      </c>
      <c r="B397">
        <v>2003</v>
      </c>
      <c r="C397" t="s">
        <v>8</v>
      </c>
      <c r="D397" t="s">
        <v>45</v>
      </c>
      <c r="E397" t="s">
        <v>1429</v>
      </c>
      <c r="G397" s="2">
        <v>33</v>
      </c>
      <c r="H397" t="s">
        <v>161</v>
      </c>
      <c r="I397" t="s">
        <v>200</v>
      </c>
      <c r="J397" s="11">
        <v>410.9049858364051</v>
      </c>
      <c r="K397" t="str">
        <f t="shared" si="12"/>
        <v>Rick Becker</v>
      </c>
      <c r="M397" t="s">
        <v>1008</v>
      </c>
      <c r="N397" t="s">
        <v>768</v>
      </c>
      <c r="O397" s="26">
        <v>2</v>
      </c>
      <c r="Q397" t="s">
        <v>1180</v>
      </c>
      <c r="R397" t="s">
        <v>1179</v>
      </c>
      <c r="S397" s="26">
        <v>1</v>
      </c>
      <c r="U397" t="s">
        <v>392</v>
      </c>
      <c r="V397" t="s">
        <v>391</v>
      </c>
      <c r="W397" t="s">
        <v>390</v>
      </c>
      <c r="X397" s="26">
        <v>3</v>
      </c>
    </row>
    <row r="398" spans="1:24" hidden="1" x14ac:dyDescent="0.35">
      <c r="A398">
        <f t="shared" si="13"/>
        <v>397</v>
      </c>
      <c r="B398">
        <v>2003</v>
      </c>
      <c r="C398" t="s">
        <v>8</v>
      </c>
      <c r="D398" t="s">
        <v>45</v>
      </c>
      <c r="E398" t="s">
        <v>1429</v>
      </c>
      <c r="G398" s="2">
        <v>34</v>
      </c>
      <c r="H398" t="s">
        <v>656</v>
      </c>
      <c r="I398" t="s">
        <v>81</v>
      </c>
      <c r="J398" s="11">
        <v>397.94000867203749</v>
      </c>
      <c r="K398" t="str">
        <f t="shared" si="12"/>
        <v>Don Taylor</v>
      </c>
      <c r="M398" t="s">
        <v>1063</v>
      </c>
      <c r="N398" t="s">
        <v>324</v>
      </c>
      <c r="O398" s="26">
        <v>1</v>
      </c>
      <c r="Q398" t="s">
        <v>908</v>
      </c>
      <c r="R398" t="s">
        <v>1000</v>
      </c>
      <c r="S398" s="26">
        <v>2</v>
      </c>
      <c r="U398" t="s">
        <v>1388</v>
      </c>
      <c r="V398" t="s">
        <v>391</v>
      </c>
      <c r="W398" t="s">
        <v>1387</v>
      </c>
      <c r="X398" s="26">
        <v>1</v>
      </c>
    </row>
    <row r="399" spans="1:24" hidden="1" x14ac:dyDescent="0.35">
      <c r="A399">
        <f t="shared" si="13"/>
        <v>398</v>
      </c>
      <c r="B399">
        <v>2003</v>
      </c>
      <c r="C399" t="s">
        <v>8</v>
      </c>
      <c r="D399" t="s">
        <v>45</v>
      </c>
      <c r="E399" t="s">
        <v>1429</v>
      </c>
      <c r="G399" s="2">
        <v>35</v>
      </c>
      <c r="H399" t="s">
        <v>57</v>
      </c>
      <c r="I399" t="s">
        <v>58</v>
      </c>
      <c r="J399" s="11">
        <v>385.35088136401697</v>
      </c>
      <c r="K399" t="str">
        <f t="shared" si="12"/>
        <v>Jim Rogers</v>
      </c>
      <c r="M399" t="s">
        <v>238</v>
      </c>
      <c r="N399" t="s">
        <v>16</v>
      </c>
      <c r="O399" s="26">
        <v>30</v>
      </c>
      <c r="Q399" t="s">
        <v>604</v>
      </c>
      <c r="R399" t="s">
        <v>603</v>
      </c>
      <c r="S399" s="26">
        <v>8</v>
      </c>
      <c r="U399" t="s">
        <v>1134</v>
      </c>
      <c r="V399" t="s">
        <v>779</v>
      </c>
      <c r="W399" t="s">
        <v>1133</v>
      </c>
      <c r="X399" s="26">
        <v>2</v>
      </c>
    </row>
    <row r="400" spans="1:24" hidden="1" x14ac:dyDescent="0.35">
      <c r="A400">
        <f t="shared" si="13"/>
        <v>399</v>
      </c>
      <c r="B400">
        <v>2003</v>
      </c>
      <c r="C400" t="s">
        <v>8</v>
      </c>
      <c r="D400" t="s">
        <v>45</v>
      </c>
      <c r="E400" t="s">
        <v>1429</v>
      </c>
      <c r="G400" s="2">
        <v>36</v>
      </c>
      <c r="H400" t="s">
        <v>475</v>
      </c>
      <c r="I400" t="s">
        <v>887</v>
      </c>
      <c r="J400" s="11">
        <v>373.11642494700538</v>
      </c>
      <c r="K400" t="str">
        <f t="shared" si="12"/>
        <v>Chic Natkins</v>
      </c>
      <c r="N400" t="s">
        <v>375</v>
      </c>
      <c r="O400" s="26">
        <v>13</v>
      </c>
      <c r="Q400" t="s">
        <v>115</v>
      </c>
      <c r="R400" t="s">
        <v>865</v>
      </c>
      <c r="S400" s="26">
        <v>1</v>
      </c>
      <c r="U400" t="s">
        <v>780</v>
      </c>
      <c r="V400" t="s">
        <v>779</v>
      </c>
      <c r="W400" t="s">
        <v>211</v>
      </c>
      <c r="X400" s="26">
        <v>1</v>
      </c>
    </row>
    <row r="401" spans="1:24" hidden="1" x14ac:dyDescent="0.35">
      <c r="A401">
        <f t="shared" si="13"/>
        <v>400</v>
      </c>
      <c r="B401">
        <v>2003</v>
      </c>
      <c r="C401" t="s">
        <v>8</v>
      </c>
      <c r="D401" t="s">
        <v>45</v>
      </c>
      <c r="E401" t="s">
        <v>1429</v>
      </c>
      <c r="G401" s="2">
        <v>37</v>
      </c>
      <c r="H401" t="s">
        <v>866</v>
      </c>
      <c r="I401" t="s">
        <v>247</v>
      </c>
      <c r="J401" s="11">
        <v>361.21720164729766</v>
      </c>
      <c r="K401" t="str">
        <f t="shared" si="12"/>
        <v>Nicholas Matros</v>
      </c>
      <c r="M401" t="s">
        <v>734</v>
      </c>
      <c r="N401" t="s">
        <v>735</v>
      </c>
      <c r="O401" s="26">
        <v>1</v>
      </c>
      <c r="Q401" t="s">
        <v>391</v>
      </c>
      <c r="R401" t="s">
        <v>627</v>
      </c>
      <c r="S401" s="26">
        <v>1</v>
      </c>
      <c r="U401" t="s">
        <v>373</v>
      </c>
      <c r="V401" t="s">
        <v>54</v>
      </c>
      <c r="W401" t="s">
        <v>53</v>
      </c>
      <c r="X401" s="26">
        <v>10</v>
      </c>
    </row>
    <row r="402" spans="1:24" hidden="1" x14ac:dyDescent="0.35">
      <c r="A402">
        <f t="shared" si="13"/>
        <v>401</v>
      </c>
      <c r="B402">
        <v>2003</v>
      </c>
      <c r="C402" t="s">
        <v>8</v>
      </c>
      <c r="D402" t="s">
        <v>45</v>
      </c>
      <c r="E402" t="s">
        <v>1429</v>
      </c>
      <c r="G402" s="2">
        <v>38</v>
      </c>
      <c r="H402" t="s">
        <v>105</v>
      </c>
      <c r="I402" t="s">
        <v>106</v>
      </c>
      <c r="J402" s="11">
        <v>349.6353290974825</v>
      </c>
      <c r="K402" t="str">
        <f t="shared" si="12"/>
        <v>Kenny Shei</v>
      </c>
      <c r="M402" t="s">
        <v>198</v>
      </c>
      <c r="N402" t="s">
        <v>149</v>
      </c>
      <c r="O402" s="26">
        <v>4</v>
      </c>
      <c r="R402" t="s">
        <v>390</v>
      </c>
      <c r="S402" s="26">
        <v>3</v>
      </c>
      <c r="U402" t="s">
        <v>1683</v>
      </c>
      <c r="V402" t="s">
        <v>438</v>
      </c>
      <c r="W402" t="s">
        <v>437</v>
      </c>
      <c r="X402" s="26">
        <v>1</v>
      </c>
    </row>
    <row r="403" spans="1:24" hidden="1" x14ac:dyDescent="0.35">
      <c r="A403">
        <f t="shared" si="13"/>
        <v>402</v>
      </c>
      <c r="B403">
        <v>2003</v>
      </c>
      <c r="C403" t="s">
        <v>8</v>
      </c>
      <c r="D403" t="s">
        <v>45</v>
      </c>
      <c r="E403" t="s">
        <v>1429</v>
      </c>
      <c r="G403" s="2">
        <v>39</v>
      </c>
      <c r="H403" t="s">
        <v>512</v>
      </c>
      <c r="I403" t="s">
        <v>67</v>
      </c>
      <c r="J403" s="11">
        <v>338.35431868779352</v>
      </c>
      <c r="K403" t="str">
        <f t="shared" si="12"/>
        <v>Bob Irons</v>
      </c>
      <c r="M403" t="s">
        <v>1058</v>
      </c>
      <c r="N403" t="s">
        <v>384</v>
      </c>
      <c r="O403" s="26">
        <v>1</v>
      </c>
      <c r="R403" t="s">
        <v>1387</v>
      </c>
      <c r="S403" s="26">
        <v>1</v>
      </c>
      <c r="U403" t="s">
        <v>2309</v>
      </c>
      <c r="V403" t="s">
        <v>2308</v>
      </c>
      <c r="W403" t="s">
        <v>490</v>
      </c>
      <c r="X403" s="26">
        <v>1</v>
      </c>
    </row>
    <row r="404" spans="1:24" hidden="1" x14ac:dyDescent="0.35">
      <c r="A404">
        <f t="shared" si="13"/>
        <v>403</v>
      </c>
      <c r="B404">
        <v>2003</v>
      </c>
      <c r="C404" t="s">
        <v>8</v>
      </c>
      <c r="D404" t="s">
        <v>45</v>
      </c>
      <c r="E404" t="s">
        <v>1429</v>
      </c>
      <c r="G404" s="2">
        <v>40</v>
      </c>
      <c r="H404" t="s">
        <v>731</v>
      </c>
      <c r="I404" t="s">
        <v>384</v>
      </c>
      <c r="J404" s="11">
        <v>327.35893438633036</v>
      </c>
      <c r="K404" t="str">
        <f t="shared" si="12"/>
        <v>Jeff Calkins</v>
      </c>
      <c r="M404" t="s">
        <v>74</v>
      </c>
      <c r="N404" t="s">
        <v>75</v>
      </c>
      <c r="O404" s="26">
        <v>35</v>
      </c>
      <c r="Q404" t="s">
        <v>779</v>
      </c>
      <c r="R404" t="s">
        <v>1133</v>
      </c>
      <c r="S404" s="26">
        <v>2</v>
      </c>
      <c r="U404" t="s">
        <v>914</v>
      </c>
      <c r="V404" t="s">
        <v>82</v>
      </c>
      <c r="W404" t="s">
        <v>80</v>
      </c>
      <c r="X404" s="26">
        <v>6</v>
      </c>
    </row>
    <row r="405" spans="1:24" hidden="1" x14ac:dyDescent="0.35">
      <c r="A405">
        <f t="shared" si="13"/>
        <v>404</v>
      </c>
      <c r="B405">
        <v>2003</v>
      </c>
      <c r="C405" t="s">
        <v>8</v>
      </c>
      <c r="D405" t="s">
        <v>45</v>
      </c>
      <c r="E405" t="s">
        <v>1429</v>
      </c>
      <c r="G405" s="2">
        <v>41</v>
      </c>
      <c r="H405" t="s">
        <v>1076</v>
      </c>
      <c r="I405" t="s">
        <v>139</v>
      </c>
      <c r="J405" s="11">
        <v>316.63506899455717</v>
      </c>
      <c r="K405" t="str">
        <f t="shared" si="12"/>
        <v>Mark Oldenburg</v>
      </c>
      <c r="N405" t="s">
        <v>153</v>
      </c>
      <c r="O405" s="26">
        <v>7</v>
      </c>
      <c r="R405" t="s">
        <v>211</v>
      </c>
      <c r="S405" s="26">
        <v>1</v>
      </c>
      <c r="U405" t="s">
        <v>2292</v>
      </c>
      <c r="V405" t="s">
        <v>2284</v>
      </c>
      <c r="W405" t="s">
        <v>2283</v>
      </c>
      <c r="X405" s="26">
        <v>1</v>
      </c>
    </row>
    <row r="406" spans="1:24" hidden="1" x14ac:dyDescent="0.35">
      <c r="A406">
        <f t="shared" si="13"/>
        <v>405</v>
      </c>
      <c r="B406">
        <v>2003</v>
      </c>
      <c r="C406" t="s">
        <v>8</v>
      </c>
      <c r="D406" t="s">
        <v>45</v>
      </c>
      <c r="E406" t="s">
        <v>1429</v>
      </c>
      <c r="G406" s="2">
        <v>42</v>
      </c>
      <c r="H406" t="s">
        <v>86</v>
      </c>
      <c r="I406" t="s">
        <v>87</v>
      </c>
      <c r="J406" s="11">
        <v>306.16963531639209</v>
      </c>
      <c r="K406" t="str">
        <f t="shared" si="12"/>
        <v>Stevan Goldman</v>
      </c>
      <c r="M406" t="s">
        <v>169</v>
      </c>
      <c r="N406" t="s">
        <v>368</v>
      </c>
      <c r="O406" s="26">
        <v>2</v>
      </c>
      <c r="Q406" t="s">
        <v>54</v>
      </c>
      <c r="R406" t="s">
        <v>53</v>
      </c>
      <c r="S406" s="26">
        <v>10</v>
      </c>
      <c r="U406" t="s">
        <v>1701</v>
      </c>
      <c r="V406" t="s">
        <v>42</v>
      </c>
      <c r="W406" t="s">
        <v>41</v>
      </c>
      <c r="X406" s="26">
        <v>2</v>
      </c>
    </row>
    <row r="407" spans="1:24" hidden="1" x14ac:dyDescent="0.35">
      <c r="A407">
        <f t="shared" si="13"/>
        <v>406</v>
      </c>
      <c r="B407">
        <v>2003</v>
      </c>
      <c r="C407" t="s">
        <v>8</v>
      </c>
      <c r="D407" t="s">
        <v>45</v>
      </c>
      <c r="E407" t="s">
        <v>1429</v>
      </c>
      <c r="G407" s="2">
        <v>43</v>
      </c>
      <c r="H407" t="s">
        <v>388</v>
      </c>
      <c r="I407" t="s">
        <v>200</v>
      </c>
      <c r="J407" s="11">
        <v>295.95047013470622</v>
      </c>
      <c r="K407" t="str">
        <f t="shared" si="12"/>
        <v>Rick Charles</v>
      </c>
      <c r="M407" t="s">
        <v>411</v>
      </c>
      <c r="N407" t="s">
        <v>737</v>
      </c>
      <c r="O407" s="26">
        <v>6</v>
      </c>
      <c r="Q407" t="s">
        <v>438</v>
      </c>
      <c r="R407" t="s">
        <v>437</v>
      </c>
      <c r="S407" s="26">
        <v>1</v>
      </c>
      <c r="U407" t="s">
        <v>1277</v>
      </c>
      <c r="V407" t="s">
        <v>1276</v>
      </c>
      <c r="W407" t="s">
        <v>1275</v>
      </c>
      <c r="X407" s="26">
        <v>1</v>
      </c>
    </row>
    <row r="408" spans="1:24" hidden="1" x14ac:dyDescent="0.35">
      <c r="A408">
        <f t="shared" si="13"/>
        <v>407</v>
      </c>
      <c r="B408">
        <v>2003</v>
      </c>
      <c r="C408" t="s">
        <v>8</v>
      </c>
      <c r="D408" t="s">
        <v>45</v>
      </c>
      <c r="E408" t="s">
        <v>1429</v>
      </c>
      <c r="G408" s="2">
        <v>44</v>
      </c>
      <c r="H408" t="s">
        <v>439</v>
      </c>
      <c r="I408" t="s">
        <v>136</v>
      </c>
      <c r="J408" s="11">
        <v>285.9662492281052</v>
      </c>
      <c r="K408" t="str">
        <f t="shared" si="12"/>
        <v>John Hallyburton</v>
      </c>
      <c r="M408" t="s">
        <v>1192</v>
      </c>
      <c r="N408" t="s">
        <v>1193</v>
      </c>
      <c r="O408" s="26">
        <v>3</v>
      </c>
      <c r="Q408" t="s">
        <v>2308</v>
      </c>
      <c r="R408" t="s">
        <v>490</v>
      </c>
      <c r="S408" s="26">
        <v>1</v>
      </c>
      <c r="U408" t="s">
        <v>2402</v>
      </c>
      <c r="V408" t="s">
        <v>2017</v>
      </c>
      <c r="W408" t="s">
        <v>2401</v>
      </c>
      <c r="X408" s="26">
        <v>10</v>
      </c>
    </row>
    <row r="409" spans="1:24" hidden="1" x14ac:dyDescent="0.35">
      <c r="A409">
        <f t="shared" si="13"/>
        <v>408</v>
      </c>
      <c r="B409">
        <v>2003</v>
      </c>
      <c r="C409" t="s">
        <v>8</v>
      </c>
      <c r="D409" t="s">
        <v>45</v>
      </c>
      <c r="E409" t="s">
        <v>1429</v>
      </c>
      <c r="G409" s="2">
        <v>45</v>
      </c>
      <c r="H409" t="s">
        <v>352</v>
      </c>
      <c r="I409" t="s">
        <v>353</v>
      </c>
      <c r="J409" s="11">
        <v>276.20641193894892</v>
      </c>
      <c r="K409" t="str">
        <f t="shared" si="12"/>
        <v>Frank Sordi</v>
      </c>
      <c r="M409" t="s">
        <v>66</v>
      </c>
      <c r="N409" t="s">
        <v>67</v>
      </c>
      <c r="O409" s="26">
        <v>24</v>
      </c>
      <c r="Q409" t="s">
        <v>82</v>
      </c>
      <c r="R409" t="s">
        <v>80</v>
      </c>
      <c r="S409" s="26">
        <v>6</v>
      </c>
      <c r="U409" t="s">
        <v>146</v>
      </c>
      <c r="V409" t="s">
        <v>40</v>
      </c>
      <c r="W409" t="s">
        <v>39</v>
      </c>
      <c r="X409" s="26">
        <v>13</v>
      </c>
    </row>
    <row r="410" spans="1:24" hidden="1" x14ac:dyDescent="0.35">
      <c r="A410">
        <f t="shared" si="13"/>
        <v>409</v>
      </c>
      <c r="B410">
        <v>2003</v>
      </c>
      <c r="C410" t="s">
        <v>8</v>
      </c>
      <c r="D410" t="s">
        <v>45</v>
      </c>
      <c r="E410" t="s">
        <v>1429</v>
      </c>
      <c r="G410" s="2">
        <v>46</v>
      </c>
      <c r="H410" t="s">
        <v>1248</v>
      </c>
      <c r="I410" t="s">
        <v>864</v>
      </c>
      <c r="J410" s="11">
        <v>266.66109403271855</v>
      </c>
      <c r="K410" t="str">
        <f t="shared" si="12"/>
        <v>Bennett Greenstein</v>
      </c>
      <c r="M410" t="s">
        <v>277</v>
      </c>
      <c r="N410" t="s">
        <v>16</v>
      </c>
      <c r="O410" s="26">
        <v>28</v>
      </c>
      <c r="Q410" t="s">
        <v>2284</v>
      </c>
      <c r="R410" t="s">
        <v>2283</v>
      </c>
      <c r="S410" s="26">
        <v>1</v>
      </c>
      <c r="U410" t="s">
        <v>794</v>
      </c>
      <c r="V410" t="s">
        <v>448</v>
      </c>
      <c r="W410" t="s">
        <v>793</v>
      </c>
      <c r="X410" s="26">
        <v>1</v>
      </c>
    </row>
    <row r="411" spans="1:24" hidden="1" x14ac:dyDescent="0.35">
      <c r="A411">
        <f t="shared" si="13"/>
        <v>410</v>
      </c>
      <c r="B411">
        <v>2003</v>
      </c>
      <c r="C411" t="s">
        <v>8</v>
      </c>
      <c r="D411" t="s">
        <v>45</v>
      </c>
      <c r="E411" t="s">
        <v>1429</v>
      </c>
      <c r="G411" s="2">
        <v>47</v>
      </c>
      <c r="H411" t="s">
        <v>1254</v>
      </c>
      <c r="I411" t="s">
        <v>44</v>
      </c>
      <c r="J411" s="11">
        <v>257.32106777857513</v>
      </c>
      <c r="K411" t="str">
        <f t="shared" si="12"/>
        <v>Mike Mazziotta</v>
      </c>
      <c r="N411" t="s">
        <v>843</v>
      </c>
      <c r="O411" s="26">
        <v>1</v>
      </c>
      <c r="Q411" t="s">
        <v>42</v>
      </c>
      <c r="R411" t="s">
        <v>41</v>
      </c>
      <c r="S411" s="26">
        <v>2</v>
      </c>
      <c r="U411" t="s">
        <v>270</v>
      </c>
      <c r="V411" t="s">
        <v>269</v>
      </c>
      <c r="W411" t="s">
        <v>268</v>
      </c>
      <c r="X411" s="26">
        <v>16</v>
      </c>
    </row>
    <row r="412" spans="1:24" hidden="1" x14ac:dyDescent="0.35">
      <c r="A412">
        <f t="shared" si="13"/>
        <v>411</v>
      </c>
      <c r="B412">
        <v>2003</v>
      </c>
      <c r="C412" t="s">
        <v>8</v>
      </c>
      <c r="D412" t="s">
        <v>45</v>
      </c>
      <c r="E412" t="s">
        <v>1429</v>
      </c>
      <c r="G412" s="2">
        <v>48</v>
      </c>
      <c r="H412" t="s">
        <v>57</v>
      </c>
      <c r="I412" t="s">
        <v>370</v>
      </c>
      <c r="J412" s="11">
        <v>248.17768833870545</v>
      </c>
      <c r="K412" t="str">
        <f t="shared" si="12"/>
        <v>Sally Rogers</v>
      </c>
      <c r="M412" t="s">
        <v>1184</v>
      </c>
      <c r="N412" t="s">
        <v>737</v>
      </c>
      <c r="O412" s="26">
        <v>1</v>
      </c>
      <c r="Q412" t="s">
        <v>1276</v>
      </c>
      <c r="R412" t="s">
        <v>1275</v>
      </c>
      <c r="S412" s="26">
        <v>1</v>
      </c>
      <c r="U412" t="s">
        <v>317</v>
      </c>
      <c r="V412" t="s">
        <v>269</v>
      </c>
      <c r="W412" t="s">
        <v>316</v>
      </c>
      <c r="X412" s="26">
        <v>12</v>
      </c>
    </row>
    <row r="413" spans="1:24" hidden="1" x14ac:dyDescent="0.35">
      <c r="A413">
        <f t="shared" si="13"/>
        <v>412</v>
      </c>
      <c r="B413">
        <v>2003</v>
      </c>
      <c r="C413" t="s">
        <v>8</v>
      </c>
      <c r="D413" t="s">
        <v>45</v>
      </c>
      <c r="E413" t="s">
        <v>1429</v>
      </c>
      <c r="G413" s="2">
        <v>49</v>
      </c>
      <c r="H413" t="s">
        <v>1223</v>
      </c>
      <c r="I413" t="s">
        <v>65</v>
      </c>
      <c r="J413" s="11">
        <v>239.22284568577902</v>
      </c>
      <c r="K413" t="str">
        <f t="shared" si="12"/>
        <v>Steve Zang</v>
      </c>
      <c r="M413" t="s">
        <v>954</v>
      </c>
      <c r="N413" t="s">
        <v>955</v>
      </c>
      <c r="O413" s="26">
        <v>3</v>
      </c>
      <c r="Q413" t="s">
        <v>2017</v>
      </c>
      <c r="R413" t="s">
        <v>2401</v>
      </c>
      <c r="S413" s="26">
        <v>10</v>
      </c>
      <c r="U413" t="s">
        <v>1655</v>
      </c>
      <c r="V413" t="s">
        <v>269</v>
      </c>
      <c r="W413" t="s">
        <v>1204</v>
      </c>
      <c r="X413" s="26">
        <v>1</v>
      </c>
    </row>
    <row r="414" spans="1:24" hidden="1" x14ac:dyDescent="0.35">
      <c r="A414">
        <f t="shared" si="13"/>
        <v>413</v>
      </c>
      <c r="B414">
        <v>2003</v>
      </c>
      <c r="C414" t="s">
        <v>8</v>
      </c>
      <c r="D414" t="s">
        <v>45</v>
      </c>
      <c r="E414" t="s">
        <v>1429</v>
      </c>
      <c r="G414" s="2">
        <v>50</v>
      </c>
      <c r="H414" t="s">
        <v>1275</v>
      </c>
      <c r="I414" t="s">
        <v>1276</v>
      </c>
      <c r="J414" s="11">
        <v>230.44892137827389</v>
      </c>
      <c r="K414" t="str">
        <f t="shared" si="12"/>
        <v>Kathleen Tedesco</v>
      </c>
      <c r="M414" t="s">
        <v>128</v>
      </c>
      <c r="N414" t="s">
        <v>16</v>
      </c>
      <c r="O414" s="26">
        <v>2</v>
      </c>
      <c r="Q414" t="s">
        <v>40</v>
      </c>
      <c r="R414" t="s">
        <v>39</v>
      </c>
      <c r="S414" s="26">
        <v>13</v>
      </c>
      <c r="U414" t="s">
        <v>1599</v>
      </c>
      <c r="V414" t="s">
        <v>826</v>
      </c>
      <c r="W414" t="s">
        <v>825</v>
      </c>
      <c r="X414" s="26">
        <v>1</v>
      </c>
    </row>
    <row r="415" spans="1:24" hidden="1" x14ac:dyDescent="0.35">
      <c r="A415">
        <f t="shared" si="13"/>
        <v>414</v>
      </c>
      <c r="B415">
        <v>2003</v>
      </c>
      <c r="C415" t="s">
        <v>8</v>
      </c>
      <c r="D415" t="s">
        <v>45</v>
      </c>
      <c r="E415" t="s">
        <v>1429</v>
      </c>
      <c r="G415" s="2">
        <v>51</v>
      </c>
      <c r="H415" t="s">
        <v>1278</v>
      </c>
      <c r="I415" t="s">
        <v>16</v>
      </c>
      <c r="J415" s="11">
        <v>221.84874961635637</v>
      </c>
      <c r="K415" t="str">
        <f t="shared" si="12"/>
        <v>David Meeks</v>
      </c>
      <c r="N415" t="s">
        <v>443</v>
      </c>
      <c r="O415" s="26">
        <v>13</v>
      </c>
      <c r="Q415" t="s">
        <v>448</v>
      </c>
      <c r="R415" t="s">
        <v>793</v>
      </c>
      <c r="S415" s="26">
        <v>1</v>
      </c>
      <c r="U415" t="s">
        <v>293</v>
      </c>
      <c r="V415" t="s">
        <v>89</v>
      </c>
      <c r="W415" t="s">
        <v>88</v>
      </c>
      <c r="X415" s="26">
        <v>28</v>
      </c>
    </row>
    <row r="416" spans="1:24" hidden="1" x14ac:dyDescent="0.35">
      <c r="A416">
        <f t="shared" si="13"/>
        <v>415</v>
      </c>
      <c r="B416">
        <v>2003</v>
      </c>
      <c r="C416" t="s">
        <v>8</v>
      </c>
      <c r="D416" t="s">
        <v>45</v>
      </c>
      <c r="E416" t="s">
        <v>1429</v>
      </c>
      <c r="G416" s="2">
        <v>52</v>
      </c>
      <c r="H416" t="s">
        <v>1504</v>
      </c>
      <c r="I416" t="s">
        <v>85</v>
      </c>
      <c r="J416" s="11">
        <v>213.41558207949339</v>
      </c>
      <c r="K416" t="str">
        <f t="shared" si="12"/>
        <v>Patrick Milligan</v>
      </c>
      <c r="N416" t="s">
        <v>395</v>
      </c>
      <c r="O416" s="26">
        <v>2</v>
      </c>
      <c r="Q416" t="s">
        <v>269</v>
      </c>
      <c r="R416" t="s">
        <v>268</v>
      </c>
      <c r="S416" s="26">
        <v>16</v>
      </c>
      <c r="U416" t="s">
        <v>987</v>
      </c>
      <c r="V416" t="s">
        <v>89</v>
      </c>
      <c r="W416" t="s">
        <v>748</v>
      </c>
      <c r="X416" s="26">
        <v>4</v>
      </c>
    </row>
    <row r="417" spans="1:24" hidden="1" x14ac:dyDescent="0.35">
      <c r="A417">
        <f t="shared" si="13"/>
        <v>416</v>
      </c>
      <c r="B417">
        <v>2003</v>
      </c>
      <c r="C417" t="s">
        <v>8</v>
      </c>
      <c r="D417" t="s">
        <v>45</v>
      </c>
      <c r="E417" t="s">
        <v>1429</v>
      </c>
      <c r="G417" s="2">
        <v>53</v>
      </c>
      <c r="H417" t="s">
        <v>1279</v>
      </c>
      <c r="I417" t="s">
        <v>429</v>
      </c>
      <c r="J417" s="11">
        <v>205.14305611350369</v>
      </c>
      <c r="K417" t="str">
        <f t="shared" si="12"/>
        <v>Mary Marciano</v>
      </c>
      <c r="M417" t="s">
        <v>1216</v>
      </c>
      <c r="N417" t="s">
        <v>58</v>
      </c>
      <c r="O417" s="26">
        <v>1</v>
      </c>
      <c r="R417" t="s">
        <v>316</v>
      </c>
      <c r="S417" s="26">
        <v>12</v>
      </c>
      <c r="U417" t="s">
        <v>1424</v>
      </c>
      <c r="V417" t="s">
        <v>89</v>
      </c>
      <c r="W417" t="s">
        <v>1423</v>
      </c>
      <c r="X417" s="26">
        <v>1</v>
      </c>
    </row>
    <row r="418" spans="1:24" hidden="1" x14ac:dyDescent="0.35">
      <c r="A418">
        <f t="shared" si="13"/>
        <v>417</v>
      </c>
      <c r="B418">
        <v>2003</v>
      </c>
      <c r="C418" t="s">
        <v>8</v>
      </c>
      <c r="D418" t="s">
        <v>45</v>
      </c>
      <c r="E418" t="s">
        <v>1429</v>
      </c>
      <c r="G418" s="2">
        <v>54</v>
      </c>
      <c r="H418" t="s">
        <v>1281</v>
      </c>
      <c r="I418" t="s">
        <v>16</v>
      </c>
      <c r="J418" s="11">
        <v>197.02516589132401</v>
      </c>
      <c r="K418" t="str">
        <f t="shared" si="12"/>
        <v>David Purcell</v>
      </c>
      <c r="M418" t="s">
        <v>491</v>
      </c>
      <c r="N418" t="s">
        <v>492</v>
      </c>
      <c r="O418" s="26">
        <v>1</v>
      </c>
      <c r="R418" t="s">
        <v>1204</v>
      </c>
      <c r="S418" s="26">
        <v>1</v>
      </c>
      <c r="U418" t="s">
        <v>1656</v>
      </c>
      <c r="V418" t="s">
        <v>562</v>
      </c>
      <c r="W418" t="s">
        <v>561</v>
      </c>
      <c r="X418" s="26">
        <v>1</v>
      </c>
    </row>
    <row r="419" spans="1:24" hidden="1" x14ac:dyDescent="0.35">
      <c r="A419">
        <f t="shared" si="13"/>
        <v>418</v>
      </c>
      <c r="B419">
        <v>2003</v>
      </c>
      <c r="C419" t="s">
        <v>8</v>
      </c>
      <c r="D419" t="s">
        <v>45</v>
      </c>
      <c r="E419" t="s">
        <v>1429</v>
      </c>
      <c r="G419" s="2">
        <v>55</v>
      </c>
      <c r="H419" t="s">
        <v>866</v>
      </c>
      <c r="I419" t="s">
        <v>142</v>
      </c>
      <c r="J419" s="11">
        <v>189.05623622004873</v>
      </c>
      <c r="K419" t="str">
        <f t="shared" si="12"/>
        <v>Matt Matros</v>
      </c>
      <c r="M419" t="s">
        <v>752</v>
      </c>
      <c r="N419" t="s">
        <v>753</v>
      </c>
      <c r="O419" s="26">
        <v>2</v>
      </c>
      <c r="Q419" t="s">
        <v>826</v>
      </c>
      <c r="R419" t="s">
        <v>825</v>
      </c>
      <c r="S419" s="26">
        <v>1</v>
      </c>
      <c r="U419" t="s">
        <v>620</v>
      </c>
      <c r="V419" t="s">
        <v>106</v>
      </c>
      <c r="W419" t="s">
        <v>105</v>
      </c>
      <c r="X419" s="26">
        <v>34</v>
      </c>
    </row>
    <row r="420" spans="1:24" hidden="1" x14ac:dyDescent="0.35">
      <c r="A420">
        <f t="shared" si="13"/>
        <v>419</v>
      </c>
      <c r="B420">
        <v>2003</v>
      </c>
      <c r="C420" t="s">
        <v>8</v>
      </c>
      <c r="D420" t="s">
        <v>45</v>
      </c>
      <c r="E420" t="s">
        <v>1429</v>
      </c>
      <c r="G420" s="2">
        <v>56</v>
      </c>
      <c r="H420" t="s">
        <v>251</v>
      </c>
      <c r="I420" t="s">
        <v>252</v>
      </c>
      <c r="J420" s="11">
        <v>181.23089870809218</v>
      </c>
      <c r="K420" t="str">
        <f t="shared" si="12"/>
        <v>Linda Lewis</v>
      </c>
      <c r="M420" t="s">
        <v>1453</v>
      </c>
      <c r="N420" t="s">
        <v>1454</v>
      </c>
      <c r="O420" s="26">
        <v>1</v>
      </c>
      <c r="Q420" t="s">
        <v>89</v>
      </c>
      <c r="R420" t="s">
        <v>88</v>
      </c>
      <c r="S420" s="26">
        <v>28</v>
      </c>
      <c r="U420" t="s">
        <v>2396</v>
      </c>
      <c r="V420" t="s">
        <v>151</v>
      </c>
      <c r="W420" t="s">
        <v>2395</v>
      </c>
      <c r="X420" s="26">
        <v>2</v>
      </c>
    </row>
    <row r="421" spans="1:24" hidden="1" x14ac:dyDescent="0.35">
      <c r="A421">
        <f t="shared" si="13"/>
        <v>420</v>
      </c>
      <c r="B421">
        <v>2003</v>
      </c>
      <c r="C421" t="s">
        <v>8</v>
      </c>
      <c r="D421" t="s">
        <v>45</v>
      </c>
      <c r="E421" t="s">
        <v>1429</v>
      </c>
      <c r="G421" s="2">
        <v>57</v>
      </c>
      <c r="H421" t="s">
        <v>1131</v>
      </c>
      <c r="I421" t="s">
        <v>404</v>
      </c>
      <c r="J421" s="11">
        <v>173.54407004180118</v>
      </c>
      <c r="K421" t="str">
        <f t="shared" si="12"/>
        <v>George Francis</v>
      </c>
      <c r="M421" t="s">
        <v>351</v>
      </c>
      <c r="N421" t="s">
        <v>2279</v>
      </c>
      <c r="O421" s="26">
        <v>1</v>
      </c>
      <c r="R421" t="s">
        <v>748</v>
      </c>
      <c r="S421" s="26">
        <v>4</v>
      </c>
      <c r="U421" t="s">
        <v>2289</v>
      </c>
      <c r="V421" t="s">
        <v>2279</v>
      </c>
      <c r="W421" t="s">
        <v>351</v>
      </c>
      <c r="X421" s="26">
        <v>1</v>
      </c>
    </row>
    <row r="422" spans="1:24" hidden="1" x14ac:dyDescent="0.35">
      <c r="A422">
        <f t="shared" si="13"/>
        <v>421</v>
      </c>
      <c r="B422">
        <v>2003</v>
      </c>
      <c r="C422" t="s">
        <v>8</v>
      </c>
      <c r="D422" t="s">
        <v>45</v>
      </c>
      <c r="E422" t="s">
        <v>1429</v>
      </c>
      <c r="G422" s="2">
        <v>58</v>
      </c>
      <c r="H422" t="s">
        <v>1283</v>
      </c>
      <c r="I422" t="s">
        <v>808</v>
      </c>
      <c r="J422" s="11">
        <v>165.99093215135531</v>
      </c>
      <c r="K422" t="str">
        <f t="shared" si="12"/>
        <v>Marc Paolella</v>
      </c>
      <c r="N422" t="s">
        <v>153</v>
      </c>
      <c r="O422" s="26">
        <v>15</v>
      </c>
      <c r="R422" t="s">
        <v>1423</v>
      </c>
      <c r="S422" s="26">
        <v>1</v>
      </c>
      <c r="U422" t="s">
        <v>2345</v>
      </c>
      <c r="V422" t="s">
        <v>1746</v>
      </c>
      <c r="W422" t="s">
        <v>1445</v>
      </c>
      <c r="X422" s="26">
        <v>3</v>
      </c>
    </row>
    <row r="423" spans="1:24" hidden="1" x14ac:dyDescent="0.35">
      <c r="A423">
        <f t="shared" si="13"/>
        <v>422</v>
      </c>
      <c r="B423">
        <v>2003</v>
      </c>
      <c r="C423" t="s">
        <v>8</v>
      </c>
      <c r="D423" t="s">
        <v>45</v>
      </c>
      <c r="E423" t="s">
        <v>1429</v>
      </c>
      <c r="G423" s="2">
        <v>59</v>
      </c>
      <c r="H423" t="s">
        <v>821</v>
      </c>
      <c r="I423" t="s">
        <v>267</v>
      </c>
      <c r="J423" s="11">
        <v>158.56691407214839</v>
      </c>
      <c r="K423" t="str">
        <f t="shared" si="12"/>
        <v>Christopher Smith</v>
      </c>
      <c r="M423" t="s">
        <v>251</v>
      </c>
      <c r="N423" t="s">
        <v>252</v>
      </c>
      <c r="O423" s="26">
        <v>31</v>
      </c>
      <c r="Q423" t="s">
        <v>562</v>
      </c>
      <c r="R423" t="s">
        <v>561</v>
      </c>
      <c r="S423" s="26">
        <v>1</v>
      </c>
      <c r="U423" t="s">
        <v>559</v>
      </c>
      <c r="V423" t="s">
        <v>79</v>
      </c>
      <c r="W423" t="s">
        <v>558</v>
      </c>
      <c r="X423" s="26">
        <v>8</v>
      </c>
    </row>
    <row r="424" spans="1:24" hidden="1" x14ac:dyDescent="0.35">
      <c r="A424">
        <f t="shared" si="13"/>
        <v>423</v>
      </c>
      <c r="B424">
        <v>2003</v>
      </c>
      <c r="C424" t="s">
        <v>8</v>
      </c>
      <c r="D424" t="s">
        <v>45</v>
      </c>
      <c r="E424" t="s">
        <v>1429</v>
      </c>
      <c r="G424" s="2">
        <v>60</v>
      </c>
      <c r="H424" t="s">
        <v>1100</v>
      </c>
      <c r="I424" t="s">
        <v>487</v>
      </c>
      <c r="J424" s="11">
        <v>151.26767533064901</v>
      </c>
      <c r="K424" t="str">
        <f t="shared" si="12"/>
        <v>Margaret Phillips</v>
      </c>
      <c r="N424" t="s">
        <v>71</v>
      </c>
      <c r="O424" s="26">
        <v>3</v>
      </c>
      <c r="Q424" t="s">
        <v>106</v>
      </c>
      <c r="R424" t="s">
        <v>105</v>
      </c>
      <c r="S424" s="26">
        <v>34</v>
      </c>
      <c r="U424" t="s">
        <v>1613</v>
      </c>
      <c r="V424" t="s">
        <v>79</v>
      </c>
      <c r="W424" t="s">
        <v>78</v>
      </c>
      <c r="X424" s="26">
        <v>9</v>
      </c>
    </row>
    <row r="425" spans="1:24" hidden="1" x14ac:dyDescent="0.35">
      <c r="A425">
        <f t="shared" si="13"/>
        <v>424</v>
      </c>
      <c r="B425">
        <v>2003</v>
      </c>
      <c r="C425" t="s">
        <v>8</v>
      </c>
      <c r="D425" t="s">
        <v>45</v>
      </c>
      <c r="E425" t="s">
        <v>1429</v>
      </c>
      <c r="G425" s="2">
        <v>61</v>
      </c>
      <c r="H425" t="s">
        <v>237</v>
      </c>
      <c r="I425" t="s">
        <v>13</v>
      </c>
      <c r="J425" s="11">
        <v>144.0890907035255</v>
      </c>
      <c r="K425" t="str">
        <f t="shared" si="12"/>
        <v>Tom Goodwin</v>
      </c>
      <c r="N425" t="s">
        <v>510</v>
      </c>
      <c r="O425" s="26">
        <v>5</v>
      </c>
      <c r="Q425" t="s">
        <v>151</v>
      </c>
      <c r="R425" t="s">
        <v>2395</v>
      </c>
      <c r="S425" s="26">
        <v>2</v>
      </c>
      <c r="U425" t="s">
        <v>1366</v>
      </c>
      <c r="V425" t="s">
        <v>79</v>
      </c>
      <c r="W425" t="s">
        <v>273</v>
      </c>
      <c r="X425" s="26">
        <v>2</v>
      </c>
    </row>
    <row r="426" spans="1:24" hidden="1" x14ac:dyDescent="0.35">
      <c r="A426">
        <f t="shared" si="13"/>
        <v>425</v>
      </c>
      <c r="B426">
        <v>2003</v>
      </c>
      <c r="C426" t="s">
        <v>8</v>
      </c>
      <c r="D426" t="s">
        <v>45</v>
      </c>
      <c r="E426" t="s">
        <v>1429</v>
      </c>
      <c r="G426" s="2">
        <v>62</v>
      </c>
      <c r="H426" t="s">
        <v>1285</v>
      </c>
      <c r="I426" t="s">
        <v>1286</v>
      </c>
      <c r="J426" s="11">
        <v>137.02723621603874</v>
      </c>
      <c r="K426" t="str">
        <f t="shared" si="12"/>
        <v>Nicolas Fradet</v>
      </c>
      <c r="N426" t="s">
        <v>492</v>
      </c>
      <c r="O426" s="26">
        <v>1</v>
      </c>
      <c r="Q426" t="s">
        <v>2279</v>
      </c>
      <c r="R426" t="s">
        <v>351</v>
      </c>
      <c r="S426" s="26">
        <v>1</v>
      </c>
      <c r="U426" t="s">
        <v>1147</v>
      </c>
      <c r="V426" t="s">
        <v>79</v>
      </c>
      <c r="W426" t="s">
        <v>1146</v>
      </c>
      <c r="X426" s="26">
        <v>6</v>
      </c>
    </row>
    <row r="427" spans="1:24" hidden="1" x14ac:dyDescent="0.35">
      <c r="A427">
        <f t="shared" si="13"/>
        <v>426</v>
      </c>
      <c r="B427">
        <v>2003</v>
      </c>
      <c r="C427" t="s">
        <v>8</v>
      </c>
      <c r="D427" t="s">
        <v>45</v>
      </c>
      <c r="E427" t="s">
        <v>1429</v>
      </c>
      <c r="G427" s="2">
        <v>63</v>
      </c>
      <c r="H427" t="s">
        <v>866</v>
      </c>
      <c r="I427" t="s">
        <v>421</v>
      </c>
      <c r="J427" s="11">
        <v>130.07837626071094</v>
      </c>
      <c r="K427" t="str">
        <f t="shared" si="12"/>
        <v>Bill Matros</v>
      </c>
      <c r="M427" t="s">
        <v>2438</v>
      </c>
      <c r="N427" t="s">
        <v>65</v>
      </c>
      <c r="O427" s="26">
        <v>1</v>
      </c>
      <c r="Q427" t="s">
        <v>1746</v>
      </c>
      <c r="R427" t="s">
        <v>1445</v>
      </c>
      <c r="S427" s="26">
        <v>3</v>
      </c>
      <c r="U427" t="s">
        <v>223</v>
      </c>
      <c r="V427" t="s">
        <v>93</v>
      </c>
      <c r="W427" t="s">
        <v>92</v>
      </c>
      <c r="X427" s="26">
        <v>7</v>
      </c>
    </row>
    <row r="428" spans="1:24" hidden="1" x14ac:dyDescent="0.35">
      <c r="A428">
        <f t="shared" si="13"/>
        <v>427</v>
      </c>
      <c r="B428">
        <v>2003</v>
      </c>
      <c r="C428" t="s">
        <v>8</v>
      </c>
      <c r="D428" t="s">
        <v>45</v>
      </c>
      <c r="E428" t="s">
        <v>1429</v>
      </c>
      <c r="G428" s="2">
        <v>64</v>
      </c>
      <c r="H428" t="s">
        <v>1288</v>
      </c>
      <c r="I428" t="s">
        <v>1289</v>
      </c>
      <c r="J428" s="11">
        <v>123.23895173040556</v>
      </c>
      <c r="K428" t="str">
        <f t="shared" si="12"/>
        <v>Dylan Cheng</v>
      </c>
      <c r="M428" t="s">
        <v>1179</v>
      </c>
      <c r="N428" t="s">
        <v>1180</v>
      </c>
      <c r="O428" s="26">
        <v>1</v>
      </c>
      <c r="Q428" t="s">
        <v>79</v>
      </c>
      <c r="R428" t="s">
        <v>558</v>
      </c>
      <c r="S428" s="26">
        <v>8</v>
      </c>
      <c r="U428" t="s">
        <v>1690</v>
      </c>
      <c r="V428" t="s">
        <v>859</v>
      </c>
      <c r="W428" t="s">
        <v>858</v>
      </c>
      <c r="X428" s="26">
        <v>1</v>
      </c>
    </row>
    <row r="429" spans="1:24" hidden="1" x14ac:dyDescent="0.35">
      <c r="A429">
        <f t="shared" si="13"/>
        <v>428</v>
      </c>
      <c r="B429">
        <v>2003</v>
      </c>
      <c r="C429" t="s">
        <v>8</v>
      </c>
      <c r="D429" t="s">
        <v>45</v>
      </c>
      <c r="E429" t="s">
        <v>1429</v>
      </c>
      <c r="G429" s="2">
        <v>65</v>
      </c>
      <c r="H429" t="s">
        <v>310</v>
      </c>
      <c r="I429" t="s">
        <v>119</v>
      </c>
      <c r="J429" s="11">
        <v>116.50556907143717</v>
      </c>
      <c r="K429" t="str">
        <f t="shared" si="12"/>
        <v>Peter Caldes</v>
      </c>
      <c r="M429" t="s">
        <v>1015</v>
      </c>
      <c r="N429" t="s">
        <v>384</v>
      </c>
      <c r="O429" s="26">
        <v>1</v>
      </c>
      <c r="R429" t="s">
        <v>78</v>
      </c>
      <c r="S429" s="26">
        <v>9</v>
      </c>
      <c r="U429" t="s">
        <v>295</v>
      </c>
      <c r="V429" t="s">
        <v>108</v>
      </c>
      <c r="W429" t="s">
        <v>107</v>
      </c>
      <c r="X429" s="26">
        <v>22</v>
      </c>
    </row>
    <row r="430" spans="1:24" hidden="1" x14ac:dyDescent="0.35">
      <c r="A430">
        <f t="shared" si="13"/>
        <v>429</v>
      </c>
      <c r="B430">
        <v>2003</v>
      </c>
      <c r="C430" t="s">
        <v>8</v>
      </c>
      <c r="D430" t="s">
        <v>45</v>
      </c>
      <c r="E430" t="s">
        <v>1429</v>
      </c>
      <c r="G430" s="2">
        <v>66</v>
      </c>
      <c r="H430" t="s">
        <v>739</v>
      </c>
      <c r="I430" t="s">
        <v>740</v>
      </c>
      <c r="J430" s="11">
        <v>109.87499017242386</v>
      </c>
      <c r="K430" t="str">
        <f t="shared" si="12"/>
        <v>Joan Hadley</v>
      </c>
      <c r="M430" t="s">
        <v>1097</v>
      </c>
      <c r="N430" t="s">
        <v>16</v>
      </c>
      <c r="O430" s="26">
        <v>3</v>
      </c>
      <c r="R430" t="s">
        <v>273</v>
      </c>
      <c r="S430" s="26">
        <v>2</v>
      </c>
      <c r="U430" t="s">
        <v>1563</v>
      </c>
      <c r="V430" t="s">
        <v>410</v>
      </c>
      <c r="W430" t="s">
        <v>482</v>
      </c>
      <c r="X430" s="26">
        <v>10</v>
      </c>
    </row>
    <row r="431" spans="1:24" hidden="1" x14ac:dyDescent="0.35">
      <c r="A431">
        <f t="shared" si="13"/>
        <v>430</v>
      </c>
      <c r="B431">
        <v>2003</v>
      </c>
      <c r="C431" t="s">
        <v>8</v>
      </c>
      <c r="D431" t="s">
        <v>45</v>
      </c>
      <c r="E431" t="s">
        <v>1429</v>
      </c>
      <c r="G431" s="2">
        <v>67</v>
      </c>
      <c r="H431" t="s">
        <v>1291</v>
      </c>
      <c r="I431" t="s">
        <v>58</v>
      </c>
      <c r="J431" s="11">
        <v>103.34412301346619</v>
      </c>
      <c r="K431" t="str">
        <f t="shared" si="12"/>
        <v>Jim Quinn</v>
      </c>
      <c r="M431" t="s">
        <v>612</v>
      </c>
      <c r="N431" t="s">
        <v>181</v>
      </c>
      <c r="O431" s="26">
        <v>6</v>
      </c>
      <c r="R431" t="s">
        <v>1146</v>
      </c>
      <c r="S431" s="26">
        <v>6</v>
      </c>
      <c r="U431" t="s">
        <v>1686</v>
      </c>
      <c r="V431" t="s">
        <v>410</v>
      </c>
      <c r="W431" t="s">
        <v>553</v>
      </c>
      <c r="X431" s="26">
        <v>2</v>
      </c>
    </row>
    <row r="432" spans="1:24" hidden="1" x14ac:dyDescent="0.35">
      <c r="A432">
        <f t="shared" si="13"/>
        <v>431</v>
      </c>
      <c r="B432">
        <v>2003</v>
      </c>
      <c r="C432" t="s">
        <v>8</v>
      </c>
      <c r="D432" t="s">
        <v>45</v>
      </c>
      <c r="E432" t="s">
        <v>1429</v>
      </c>
      <c r="G432" s="2">
        <v>68</v>
      </c>
      <c r="H432" t="s">
        <v>130</v>
      </c>
      <c r="I432" t="s">
        <v>131</v>
      </c>
      <c r="J432" s="11">
        <v>96.910013008056239</v>
      </c>
      <c r="K432" t="str">
        <f t="shared" si="12"/>
        <v>Alan Stuart</v>
      </c>
      <c r="M432" t="s">
        <v>798</v>
      </c>
      <c r="N432" t="s">
        <v>799</v>
      </c>
      <c r="O432" s="26">
        <v>1</v>
      </c>
      <c r="Q432" t="s">
        <v>93</v>
      </c>
      <c r="R432" t="s">
        <v>92</v>
      </c>
      <c r="S432" s="26">
        <v>7</v>
      </c>
      <c r="U432" t="s">
        <v>1586</v>
      </c>
      <c r="V432" t="s">
        <v>410</v>
      </c>
      <c r="W432" t="s">
        <v>1057</v>
      </c>
      <c r="X432" s="26">
        <v>1</v>
      </c>
    </row>
    <row r="433" spans="1:24" hidden="1" x14ac:dyDescent="0.35">
      <c r="A433">
        <f t="shared" si="13"/>
        <v>432</v>
      </c>
      <c r="B433">
        <v>2003</v>
      </c>
      <c r="C433" t="s">
        <v>8</v>
      </c>
      <c r="D433" t="s">
        <v>45</v>
      </c>
      <c r="E433" t="s">
        <v>1429</v>
      </c>
      <c r="G433" s="2">
        <v>69</v>
      </c>
      <c r="H433" t="s">
        <v>1244</v>
      </c>
      <c r="I433" t="s">
        <v>324</v>
      </c>
      <c r="J433" s="11">
        <v>90.569834977037416</v>
      </c>
      <c r="K433" t="str">
        <f t="shared" si="12"/>
        <v>Andrew Richman</v>
      </c>
      <c r="M433" t="s">
        <v>477</v>
      </c>
      <c r="N433" t="s">
        <v>136</v>
      </c>
      <c r="O433" s="26">
        <v>5</v>
      </c>
      <c r="Q433" t="s">
        <v>859</v>
      </c>
      <c r="R433" t="s">
        <v>858</v>
      </c>
      <c r="S433" s="26">
        <v>1</v>
      </c>
      <c r="U433" t="s">
        <v>641</v>
      </c>
      <c r="V433" t="s">
        <v>410</v>
      </c>
      <c r="W433" t="s">
        <v>640</v>
      </c>
      <c r="X433" s="26">
        <v>2</v>
      </c>
    </row>
    <row r="434" spans="1:24" hidden="1" x14ac:dyDescent="0.35">
      <c r="A434">
        <f t="shared" si="13"/>
        <v>433</v>
      </c>
      <c r="B434">
        <v>2003</v>
      </c>
      <c r="C434" t="s">
        <v>8</v>
      </c>
      <c r="D434" t="s">
        <v>45</v>
      </c>
      <c r="E434" t="s">
        <v>1429</v>
      </c>
      <c r="G434" s="2">
        <v>70</v>
      </c>
      <c r="H434" t="s">
        <v>1080</v>
      </c>
      <c r="I434" t="s">
        <v>25</v>
      </c>
      <c r="J434" s="11">
        <v>84.320885700035703</v>
      </c>
      <c r="K434" t="str">
        <f t="shared" si="12"/>
        <v>Russell Rosenblum</v>
      </c>
      <c r="N434" t="s">
        <v>1510</v>
      </c>
      <c r="O434" s="26">
        <v>1</v>
      </c>
      <c r="Q434" t="s">
        <v>108</v>
      </c>
      <c r="R434" t="s">
        <v>107</v>
      </c>
      <c r="S434" s="26">
        <v>22</v>
      </c>
      <c r="U434" t="s">
        <v>720</v>
      </c>
      <c r="V434" t="s">
        <v>410</v>
      </c>
      <c r="W434" t="s">
        <v>719</v>
      </c>
      <c r="X434" s="26">
        <v>2</v>
      </c>
    </row>
    <row r="435" spans="1:24" hidden="1" x14ac:dyDescent="0.35">
      <c r="A435">
        <f t="shared" si="13"/>
        <v>434</v>
      </c>
      <c r="B435">
        <v>2003</v>
      </c>
      <c r="C435" t="s">
        <v>8</v>
      </c>
      <c r="D435" t="s">
        <v>45</v>
      </c>
      <c r="E435" t="s">
        <v>1429</v>
      </c>
      <c r="G435" s="2">
        <v>71</v>
      </c>
      <c r="H435" t="s">
        <v>64</v>
      </c>
      <c r="I435" t="s">
        <v>65</v>
      </c>
      <c r="J435" s="11">
        <v>78.160576995217383</v>
      </c>
      <c r="K435" t="str">
        <f t="shared" si="12"/>
        <v>Steve Daniel</v>
      </c>
      <c r="M435" t="s">
        <v>177</v>
      </c>
      <c r="N435" t="s">
        <v>178</v>
      </c>
      <c r="O435" s="26">
        <v>3</v>
      </c>
      <c r="Q435" t="s">
        <v>410</v>
      </c>
      <c r="R435" t="s">
        <v>482</v>
      </c>
      <c r="S435" s="26">
        <v>10</v>
      </c>
      <c r="U435" t="s">
        <v>733</v>
      </c>
      <c r="V435" t="s">
        <v>732</v>
      </c>
      <c r="W435" t="s">
        <v>731</v>
      </c>
      <c r="X435" s="26">
        <v>8</v>
      </c>
    </row>
    <row r="436" spans="1:24" hidden="1" x14ac:dyDescent="0.35">
      <c r="A436">
        <f t="shared" si="13"/>
        <v>435</v>
      </c>
      <c r="B436">
        <v>2003</v>
      </c>
      <c r="C436" t="s">
        <v>8</v>
      </c>
      <c r="D436" t="s">
        <v>45</v>
      </c>
      <c r="E436" t="s">
        <v>1429</v>
      </c>
      <c r="G436" s="2">
        <v>72</v>
      </c>
      <c r="H436" t="s">
        <v>1293</v>
      </c>
      <c r="I436" t="s">
        <v>58</v>
      </c>
      <c r="J436" s="11">
        <v>72.086429283024117</v>
      </c>
      <c r="K436" t="str">
        <f t="shared" si="12"/>
        <v>Jim Foley</v>
      </c>
      <c r="M436" t="s">
        <v>1367</v>
      </c>
      <c r="N436" t="s">
        <v>1368</v>
      </c>
      <c r="O436" s="26">
        <v>3</v>
      </c>
      <c r="R436" t="s">
        <v>553</v>
      </c>
      <c r="S436" s="26">
        <v>2</v>
      </c>
      <c r="U436" t="s">
        <v>738</v>
      </c>
      <c r="V436" t="s">
        <v>737</v>
      </c>
      <c r="W436" t="s">
        <v>411</v>
      </c>
      <c r="X436" s="26">
        <v>6</v>
      </c>
    </row>
    <row r="437" spans="1:24" hidden="1" x14ac:dyDescent="0.35">
      <c r="A437">
        <f t="shared" si="13"/>
        <v>436</v>
      </c>
      <c r="B437">
        <v>2003</v>
      </c>
      <c r="C437" t="s">
        <v>8</v>
      </c>
      <c r="D437" t="s">
        <v>45</v>
      </c>
      <c r="E437" t="s">
        <v>1429</v>
      </c>
      <c r="G437" s="2">
        <v>73</v>
      </c>
      <c r="H437" t="s">
        <v>1189</v>
      </c>
      <c r="I437" t="s">
        <v>1190</v>
      </c>
      <c r="J437" s="11">
        <v>66.096065593836741</v>
      </c>
      <c r="K437" t="str">
        <f t="shared" si="12"/>
        <v>Marty Stilling</v>
      </c>
      <c r="M437" t="s">
        <v>829</v>
      </c>
      <c r="N437" t="s">
        <v>830</v>
      </c>
      <c r="O437" s="26">
        <v>4</v>
      </c>
      <c r="R437" t="s">
        <v>1057</v>
      </c>
      <c r="S437" s="26">
        <v>1</v>
      </c>
      <c r="U437" t="s">
        <v>1185</v>
      </c>
      <c r="V437" t="s">
        <v>737</v>
      </c>
      <c r="W437" t="s">
        <v>1184</v>
      </c>
      <c r="X437" s="26">
        <v>1</v>
      </c>
    </row>
    <row r="438" spans="1:24" hidden="1" x14ac:dyDescent="0.35">
      <c r="A438">
        <f t="shared" si="13"/>
        <v>437</v>
      </c>
      <c r="B438">
        <v>2003</v>
      </c>
      <c r="C438" t="s">
        <v>8</v>
      </c>
      <c r="D438" t="s">
        <v>45</v>
      </c>
      <c r="E438" t="s">
        <v>1429</v>
      </c>
      <c r="G438" s="2">
        <v>74</v>
      </c>
      <c r="H438" t="s">
        <v>1219</v>
      </c>
      <c r="I438" t="s">
        <v>1220</v>
      </c>
      <c r="J438" s="11">
        <v>60.187205983316396</v>
      </c>
      <c r="K438" t="str">
        <f t="shared" si="12"/>
        <v>Desmond Portano</v>
      </c>
      <c r="M438" t="s">
        <v>1298</v>
      </c>
      <c r="N438" t="s">
        <v>271</v>
      </c>
      <c r="O438" s="26">
        <v>4</v>
      </c>
      <c r="R438" t="s">
        <v>640</v>
      </c>
      <c r="S438" s="26">
        <v>2</v>
      </c>
      <c r="U438" t="s">
        <v>1641</v>
      </c>
      <c r="V438" t="s">
        <v>737</v>
      </c>
      <c r="W438" t="s">
        <v>1442</v>
      </c>
      <c r="X438" s="26">
        <v>1</v>
      </c>
    </row>
    <row r="439" spans="1:24" hidden="1" x14ac:dyDescent="0.35">
      <c r="A439">
        <f t="shared" si="13"/>
        <v>438</v>
      </c>
      <c r="B439">
        <v>2003</v>
      </c>
      <c r="C439" t="s">
        <v>8</v>
      </c>
      <c r="D439" t="s">
        <v>45</v>
      </c>
      <c r="E439" t="s">
        <v>1429</v>
      </c>
      <c r="G439" s="2">
        <v>75</v>
      </c>
      <c r="H439" t="s">
        <v>366</v>
      </c>
      <c r="I439" t="s">
        <v>61</v>
      </c>
      <c r="J439" s="11">
        <v>54.357662322592539</v>
      </c>
      <c r="K439" t="str">
        <f t="shared" si="12"/>
        <v>Len Greenberg</v>
      </c>
      <c r="M439" t="s">
        <v>211</v>
      </c>
      <c r="N439" t="s">
        <v>187</v>
      </c>
      <c r="O439" s="26">
        <v>11</v>
      </c>
      <c r="R439" t="s">
        <v>719</v>
      </c>
      <c r="S439" s="26">
        <v>2</v>
      </c>
      <c r="U439" t="s">
        <v>1054</v>
      </c>
      <c r="V439" t="s">
        <v>128</v>
      </c>
      <c r="W439" t="s">
        <v>1053</v>
      </c>
      <c r="X439" s="26">
        <v>5</v>
      </c>
    </row>
    <row r="440" spans="1:24" hidden="1" x14ac:dyDescent="0.35">
      <c r="A440">
        <f t="shared" si="13"/>
        <v>439</v>
      </c>
      <c r="B440">
        <v>2003</v>
      </c>
      <c r="C440" t="s">
        <v>8</v>
      </c>
      <c r="D440" t="s">
        <v>45</v>
      </c>
      <c r="E440" t="s">
        <v>1429</v>
      </c>
      <c r="G440" s="2">
        <v>76</v>
      </c>
      <c r="H440" t="s">
        <v>945</v>
      </c>
      <c r="I440" t="s">
        <v>946</v>
      </c>
      <c r="J440" s="11">
        <v>48.605333433501265</v>
      </c>
      <c r="K440" t="str">
        <f t="shared" si="12"/>
        <v>Ray DiDonato</v>
      </c>
      <c r="N440" t="s">
        <v>779</v>
      </c>
      <c r="O440" s="26">
        <v>1</v>
      </c>
      <c r="Q440" t="s">
        <v>732</v>
      </c>
      <c r="R440" t="s">
        <v>731</v>
      </c>
      <c r="S440" s="26">
        <v>8</v>
      </c>
      <c r="U440" t="s">
        <v>129</v>
      </c>
      <c r="V440" t="s">
        <v>128</v>
      </c>
      <c r="W440" t="s">
        <v>127</v>
      </c>
      <c r="X440" s="26">
        <v>3</v>
      </c>
    </row>
    <row r="441" spans="1:24" hidden="1" x14ac:dyDescent="0.35">
      <c r="A441">
        <f t="shared" si="13"/>
        <v>440</v>
      </c>
      <c r="B441">
        <v>2003</v>
      </c>
      <c r="C441" t="s">
        <v>8</v>
      </c>
      <c r="D441" t="s">
        <v>45</v>
      </c>
      <c r="E441" t="s">
        <v>1429</v>
      </c>
      <c r="G441" s="2">
        <v>77</v>
      </c>
      <c r="H441" t="s">
        <v>43</v>
      </c>
      <c r="I441" t="s">
        <v>218</v>
      </c>
      <c r="J441" s="11">
        <v>42.928200541810789</v>
      </c>
      <c r="K441" t="str">
        <f t="shared" si="12"/>
        <v>Michael Klein</v>
      </c>
      <c r="M441" t="s">
        <v>507</v>
      </c>
      <c r="N441" t="s">
        <v>25</v>
      </c>
      <c r="O441" s="26">
        <v>1</v>
      </c>
      <c r="Q441" t="s">
        <v>737</v>
      </c>
      <c r="R441" t="s">
        <v>411</v>
      </c>
      <c r="S441" s="26">
        <v>6</v>
      </c>
      <c r="U441" t="s">
        <v>462</v>
      </c>
      <c r="V441" t="s">
        <v>128</v>
      </c>
      <c r="W441" t="s">
        <v>461</v>
      </c>
      <c r="X441" s="26">
        <v>1</v>
      </c>
    </row>
    <row r="442" spans="1:24" hidden="1" x14ac:dyDescent="0.35">
      <c r="A442">
        <f t="shared" si="13"/>
        <v>441</v>
      </c>
      <c r="B442">
        <v>2003</v>
      </c>
      <c r="C442" t="s">
        <v>8</v>
      </c>
      <c r="D442" t="s">
        <v>45</v>
      </c>
      <c r="E442" t="s">
        <v>1429</v>
      </c>
      <c r="G442" s="2">
        <v>78</v>
      </c>
      <c r="H442" t="s">
        <v>128</v>
      </c>
      <c r="I442" t="s">
        <v>443</v>
      </c>
      <c r="J442" s="11">
        <v>37.324323023812276</v>
      </c>
      <c r="K442" t="str">
        <f t="shared" si="12"/>
        <v>Ming Lee</v>
      </c>
      <c r="M442" t="s">
        <v>566</v>
      </c>
      <c r="N442" t="s">
        <v>353</v>
      </c>
      <c r="O442" s="26">
        <v>1</v>
      </c>
      <c r="R442" t="s">
        <v>1184</v>
      </c>
      <c r="S442" s="26">
        <v>1</v>
      </c>
      <c r="U442" t="s">
        <v>690</v>
      </c>
      <c r="V442" t="s">
        <v>61</v>
      </c>
      <c r="W442" t="s">
        <v>689</v>
      </c>
      <c r="X442" s="26">
        <v>6</v>
      </c>
    </row>
    <row r="443" spans="1:24" hidden="1" x14ac:dyDescent="0.35">
      <c r="A443">
        <f t="shared" si="13"/>
        <v>442</v>
      </c>
      <c r="B443">
        <v>2003</v>
      </c>
      <c r="C443" t="s">
        <v>8</v>
      </c>
      <c r="D443" t="s">
        <v>45</v>
      </c>
      <c r="E443" t="s">
        <v>1429</v>
      </c>
      <c r="G443" s="2">
        <v>79</v>
      </c>
      <c r="H443" t="s">
        <v>1078</v>
      </c>
      <c r="I443" t="s">
        <v>471</v>
      </c>
      <c r="J443" s="11">
        <v>31.791834423851249</v>
      </c>
      <c r="K443" t="str">
        <f t="shared" si="12"/>
        <v>Greg Raymer</v>
      </c>
      <c r="N443" t="s">
        <v>654</v>
      </c>
      <c r="O443" s="26">
        <v>1</v>
      </c>
      <c r="R443" t="s">
        <v>1442</v>
      </c>
      <c r="S443" s="26">
        <v>1</v>
      </c>
      <c r="U443" t="s">
        <v>367</v>
      </c>
      <c r="V443" t="s">
        <v>61</v>
      </c>
      <c r="W443" t="s">
        <v>366</v>
      </c>
      <c r="X443" s="26">
        <v>28</v>
      </c>
    </row>
    <row r="444" spans="1:24" hidden="1" x14ac:dyDescent="0.35">
      <c r="A444">
        <f t="shared" si="13"/>
        <v>443</v>
      </c>
      <c r="B444">
        <v>2003</v>
      </c>
      <c r="C444" t="s">
        <v>8</v>
      </c>
      <c r="D444" t="s">
        <v>45</v>
      </c>
      <c r="E444" t="s">
        <v>1429</v>
      </c>
      <c r="G444" s="2">
        <v>80</v>
      </c>
      <c r="H444" t="s">
        <v>890</v>
      </c>
      <c r="I444" t="s">
        <v>81</v>
      </c>
      <c r="J444" s="11">
        <v>26.328938722349093</v>
      </c>
      <c r="K444" t="str">
        <f t="shared" si="12"/>
        <v>Don Perry</v>
      </c>
      <c r="M444" t="s">
        <v>1410</v>
      </c>
      <c r="N444" t="s">
        <v>1411</v>
      </c>
      <c r="O444" s="26">
        <v>1</v>
      </c>
      <c r="Q444" t="s">
        <v>128</v>
      </c>
      <c r="R444" t="s">
        <v>1053</v>
      </c>
      <c r="S444" s="26">
        <v>5</v>
      </c>
      <c r="U444" t="s">
        <v>1295</v>
      </c>
      <c r="V444" t="s">
        <v>61</v>
      </c>
      <c r="W444" t="s">
        <v>1279</v>
      </c>
      <c r="X444" s="26">
        <v>2</v>
      </c>
    </row>
    <row r="445" spans="1:24" hidden="1" x14ac:dyDescent="0.35">
      <c r="A445">
        <f t="shared" si="13"/>
        <v>444</v>
      </c>
      <c r="B445">
        <v>2003</v>
      </c>
      <c r="C445" t="s">
        <v>8</v>
      </c>
      <c r="D445" t="s">
        <v>45</v>
      </c>
      <c r="E445" t="s">
        <v>1429</v>
      </c>
      <c r="G445" s="2">
        <v>81</v>
      </c>
      <c r="H445" t="s">
        <v>870</v>
      </c>
      <c r="I445" t="s">
        <v>528</v>
      </c>
      <c r="J445" s="11">
        <v>20.93390683564289</v>
      </c>
      <c r="K445" t="str">
        <f t="shared" si="12"/>
        <v>Tim Woodbury</v>
      </c>
      <c r="M445" t="s">
        <v>294</v>
      </c>
      <c r="N445" t="s">
        <v>16</v>
      </c>
      <c r="O445" s="26">
        <v>30</v>
      </c>
      <c r="R445" t="s">
        <v>127</v>
      </c>
      <c r="S445" s="26">
        <v>3</v>
      </c>
      <c r="U445" t="s">
        <v>1489</v>
      </c>
      <c r="V445" t="s">
        <v>61</v>
      </c>
      <c r="W445" t="s">
        <v>60</v>
      </c>
      <c r="X445" s="26">
        <v>2</v>
      </c>
    </row>
    <row r="446" spans="1:24" hidden="1" x14ac:dyDescent="0.35">
      <c r="A446">
        <f t="shared" si="13"/>
        <v>445</v>
      </c>
      <c r="B446">
        <v>2003</v>
      </c>
      <c r="C446" t="s">
        <v>8</v>
      </c>
      <c r="D446" t="s">
        <v>45</v>
      </c>
      <c r="E446" t="s">
        <v>1429</v>
      </c>
      <c r="G446" s="2">
        <v>82</v>
      </c>
      <c r="H446" t="s">
        <v>1279</v>
      </c>
      <c r="I446" t="s">
        <v>61</v>
      </c>
      <c r="J446" s="11">
        <v>15.605073330575925</v>
      </c>
      <c r="K446" t="str">
        <f t="shared" si="12"/>
        <v>Len Marciano</v>
      </c>
      <c r="M446" t="s">
        <v>978</v>
      </c>
      <c r="N446" t="s">
        <v>979</v>
      </c>
      <c r="O446" s="26">
        <v>1</v>
      </c>
      <c r="R446" t="s">
        <v>461</v>
      </c>
      <c r="S446" s="26">
        <v>1</v>
      </c>
      <c r="U446" t="s">
        <v>1699</v>
      </c>
      <c r="V446" t="s">
        <v>450</v>
      </c>
      <c r="W446" t="s">
        <v>449</v>
      </c>
      <c r="X446" s="26">
        <v>1</v>
      </c>
    </row>
    <row r="447" spans="1:24" hidden="1" x14ac:dyDescent="0.35">
      <c r="A447">
        <f t="shared" si="13"/>
        <v>446</v>
      </c>
      <c r="B447">
        <v>2003</v>
      </c>
      <c r="C447" t="s">
        <v>8</v>
      </c>
      <c r="D447" t="s">
        <v>45</v>
      </c>
      <c r="E447" t="s">
        <v>1429</v>
      </c>
      <c r="G447" s="2">
        <v>83</v>
      </c>
      <c r="H447" t="s">
        <v>981</v>
      </c>
      <c r="I447" t="s">
        <v>982</v>
      </c>
      <c r="J447" s="11">
        <v>10.340833338218669</v>
      </c>
      <c r="K447" t="str">
        <f t="shared" si="12"/>
        <v>Jerry Gerner</v>
      </c>
      <c r="M447" t="s">
        <v>2474</v>
      </c>
      <c r="N447" t="s">
        <v>717</v>
      </c>
      <c r="O447" s="26">
        <v>2</v>
      </c>
      <c r="Q447" t="s">
        <v>61</v>
      </c>
      <c r="R447" t="s">
        <v>689</v>
      </c>
      <c r="S447" s="26">
        <v>6</v>
      </c>
      <c r="U447" t="s">
        <v>1573</v>
      </c>
      <c r="V447" t="s">
        <v>530</v>
      </c>
      <c r="W447" t="s">
        <v>529</v>
      </c>
      <c r="X447" s="26">
        <v>1</v>
      </c>
    </row>
    <row r="448" spans="1:24" hidden="1" x14ac:dyDescent="0.35">
      <c r="A448">
        <f t="shared" si="13"/>
        <v>447</v>
      </c>
      <c r="B448">
        <v>2003</v>
      </c>
      <c r="C448" t="s">
        <v>8</v>
      </c>
      <c r="D448" t="s">
        <v>45</v>
      </c>
      <c r="E448" t="s">
        <v>1429</v>
      </c>
      <c r="G448" s="2">
        <v>84</v>
      </c>
      <c r="H448" t="s">
        <v>1126</v>
      </c>
      <c r="I448" t="s">
        <v>480</v>
      </c>
      <c r="J448" s="11">
        <v>5.1396396524110433</v>
      </c>
      <c r="K448" t="str">
        <f t="shared" si="12"/>
        <v>James Tolliver</v>
      </c>
      <c r="M448" t="s">
        <v>1057</v>
      </c>
      <c r="N448" t="s">
        <v>410</v>
      </c>
      <c r="O448" s="26">
        <v>1</v>
      </c>
      <c r="R448" t="s">
        <v>366</v>
      </c>
      <c r="S448" s="26">
        <v>28</v>
      </c>
      <c r="U448" t="s">
        <v>565</v>
      </c>
      <c r="V448" t="s">
        <v>564</v>
      </c>
      <c r="W448" t="s">
        <v>563</v>
      </c>
      <c r="X448" s="26">
        <v>4</v>
      </c>
    </row>
    <row r="449" spans="1:24" hidden="1" x14ac:dyDescent="0.35">
      <c r="A449">
        <f t="shared" si="13"/>
        <v>448</v>
      </c>
      <c r="B449">
        <v>2003</v>
      </c>
      <c r="C449" t="s">
        <v>8</v>
      </c>
      <c r="D449" t="s">
        <v>45</v>
      </c>
      <c r="E449" t="s">
        <v>1429</v>
      </c>
      <c r="G449" s="2">
        <v>85</v>
      </c>
      <c r="H449" t="s">
        <v>43</v>
      </c>
      <c r="I449" t="s">
        <v>848</v>
      </c>
      <c r="J449" s="11">
        <v>0</v>
      </c>
      <c r="K449" t="str">
        <f t="shared" si="12"/>
        <v>Jason Klein</v>
      </c>
      <c r="M449" t="s">
        <v>759</v>
      </c>
      <c r="N449" t="s">
        <v>760</v>
      </c>
      <c r="O449" s="26">
        <v>4</v>
      </c>
      <c r="R449" t="s">
        <v>1279</v>
      </c>
      <c r="S449" s="26">
        <v>2</v>
      </c>
      <c r="U449" t="s">
        <v>1555</v>
      </c>
      <c r="V449" t="s">
        <v>564</v>
      </c>
      <c r="W449" t="s">
        <v>716</v>
      </c>
      <c r="X449" s="26">
        <v>2</v>
      </c>
    </row>
    <row r="450" spans="1:24" hidden="1" x14ac:dyDescent="0.35">
      <c r="A450">
        <f t="shared" si="13"/>
        <v>449</v>
      </c>
      <c r="B450">
        <v>2003</v>
      </c>
      <c r="C450" t="s">
        <v>583</v>
      </c>
      <c r="D450" t="s">
        <v>45</v>
      </c>
      <c r="E450" t="s">
        <v>1429</v>
      </c>
      <c r="G450" s="2">
        <v>1</v>
      </c>
      <c r="H450" t="s">
        <v>1320</v>
      </c>
      <c r="I450" t="s">
        <v>58</v>
      </c>
      <c r="J450" s="11">
        <v>1740.3626894942438</v>
      </c>
      <c r="K450" t="str">
        <f t="shared" ref="K450:K513" si="14">I450&amp;" "&amp;H450</f>
        <v>Jim Jamison</v>
      </c>
      <c r="M450" t="s">
        <v>1059</v>
      </c>
      <c r="N450" t="s">
        <v>64</v>
      </c>
      <c r="O450" s="26">
        <v>1</v>
      </c>
      <c r="R450" t="s">
        <v>60</v>
      </c>
      <c r="S450" s="26">
        <v>2</v>
      </c>
      <c r="U450" t="s">
        <v>253</v>
      </c>
      <c r="V450" t="s">
        <v>252</v>
      </c>
      <c r="W450" t="s">
        <v>251</v>
      </c>
      <c r="X450" s="26">
        <v>31</v>
      </c>
    </row>
    <row r="451" spans="1:24" hidden="1" x14ac:dyDescent="0.35">
      <c r="A451">
        <f t="shared" si="13"/>
        <v>450</v>
      </c>
      <c r="B451">
        <v>2003</v>
      </c>
      <c r="C451" t="s">
        <v>583</v>
      </c>
      <c r="D451" t="s">
        <v>45</v>
      </c>
      <c r="E451" t="s">
        <v>1429</v>
      </c>
      <c r="G451" s="2">
        <v>2</v>
      </c>
      <c r="H451" t="s">
        <v>1301</v>
      </c>
      <c r="I451" t="s">
        <v>44</v>
      </c>
      <c r="J451" s="11">
        <v>1439.3326938302625</v>
      </c>
      <c r="K451" t="str">
        <f t="shared" si="14"/>
        <v>Mike Davis</v>
      </c>
      <c r="M451" t="s">
        <v>202</v>
      </c>
      <c r="N451" t="s">
        <v>205</v>
      </c>
      <c r="O451" s="26">
        <v>16</v>
      </c>
      <c r="Q451" t="s">
        <v>450</v>
      </c>
      <c r="R451" t="s">
        <v>449</v>
      </c>
      <c r="S451" s="26">
        <v>1</v>
      </c>
      <c r="U451" t="s">
        <v>758</v>
      </c>
      <c r="V451" t="s">
        <v>757</v>
      </c>
      <c r="W451" t="s">
        <v>756</v>
      </c>
      <c r="X451" s="26">
        <v>1</v>
      </c>
    </row>
    <row r="452" spans="1:24" hidden="1" x14ac:dyDescent="0.35">
      <c r="A452">
        <f t="shared" ref="A452:A515" si="15">A451+1</f>
        <v>451</v>
      </c>
      <c r="B452">
        <v>2003</v>
      </c>
      <c r="C452" t="s">
        <v>583</v>
      </c>
      <c r="D452" t="s">
        <v>45</v>
      </c>
      <c r="E452" t="s">
        <v>1429</v>
      </c>
      <c r="G452" s="2">
        <v>3</v>
      </c>
      <c r="H452" t="s">
        <v>1217</v>
      </c>
      <c r="I452" t="s">
        <v>1218</v>
      </c>
      <c r="J452" s="11">
        <v>1263.2414347745814</v>
      </c>
      <c r="K452" t="str">
        <f t="shared" si="14"/>
        <v>Brad Edmonds</v>
      </c>
      <c r="M452" t="s">
        <v>1156</v>
      </c>
      <c r="N452" t="s">
        <v>1157</v>
      </c>
      <c r="O452" s="26">
        <v>2</v>
      </c>
      <c r="Q452" t="s">
        <v>530</v>
      </c>
      <c r="R452" t="s">
        <v>529</v>
      </c>
      <c r="S452" s="26">
        <v>1</v>
      </c>
      <c r="U452" t="s">
        <v>1607</v>
      </c>
      <c r="V452" t="s">
        <v>1516</v>
      </c>
      <c r="W452" t="s">
        <v>394</v>
      </c>
      <c r="X452" s="26">
        <v>5</v>
      </c>
    </row>
    <row r="453" spans="1:24" hidden="1" x14ac:dyDescent="0.35">
      <c r="A453">
        <f t="shared" si="15"/>
        <v>452</v>
      </c>
      <c r="B453">
        <v>2003</v>
      </c>
      <c r="C453" t="s">
        <v>583</v>
      </c>
      <c r="D453" t="s">
        <v>45</v>
      </c>
      <c r="E453" t="s">
        <v>1429</v>
      </c>
      <c r="G453" s="2">
        <v>4</v>
      </c>
      <c r="H453" t="s">
        <v>890</v>
      </c>
      <c r="I453" t="s">
        <v>81</v>
      </c>
      <c r="J453" s="11">
        <v>1138.3026981662815</v>
      </c>
      <c r="K453" t="str">
        <f t="shared" si="14"/>
        <v>Don Perry</v>
      </c>
      <c r="M453" t="s">
        <v>1013</v>
      </c>
      <c r="N453" t="s">
        <v>1456</v>
      </c>
      <c r="O453" s="26">
        <v>3</v>
      </c>
      <c r="Q453" t="s">
        <v>564</v>
      </c>
      <c r="R453" t="s">
        <v>563</v>
      </c>
      <c r="S453" s="26">
        <v>4</v>
      </c>
      <c r="U453" t="s">
        <v>599</v>
      </c>
      <c r="V453" t="s">
        <v>598</v>
      </c>
      <c r="W453" t="s">
        <v>597</v>
      </c>
      <c r="X453" s="26">
        <v>10</v>
      </c>
    </row>
    <row r="454" spans="1:24" hidden="1" x14ac:dyDescent="0.35">
      <c r="A454">
        <f t="shared" si="15"/>
        <v>453</v>
      </c>
      <c r="B454">
        <v>2003</v>
      </c>
      <c r="C454" t="s">
        <v>583</v>
      </c>
      <c r="D454" t="s">
        <v>45</v>
      </c>
      <c r="E454" t="s">
        <v>1429</v>
      </c>
      <c r="G454" s="2">
        <v>5</v>
      </c>
      <c r="H454" t="s">
        <v>358</v>
      </c>
      <c r="I454" t="s">
        <v>77</v>
      </c>
      <c r="J454" s="11">
        <v>1041.3926851582248</v>
      </c>
      <c r="K454" t="str">
        <f t="shared" si="14"/>
        <v>Eric Rosenberg</v>
      </c>
      <c r="M454" t="s">
        <v>895</v>
      </c>
      <c r="N454" t="s">
        <v>67</v>
      </c>
      <c r="O454" s="26">
        <v>3</v>
      </c>
      <c r="R454" t="s">
        <v>716</v>
      </c>
      <c r="S454" s="26">
        <v>2</v>
      </c>
      <c r="U454" t="s">
        <v>1677</v>
      </c>
      <c r="V454" t="s">
        <v>26</v>
      </c>
      <c r="W454" t="s">
        <v>25</v>
      </c>
      <c r="X454" s="26">
        <v>3</v>
      </c>
    </row>
    <row r="455" spans="1:24" hidden="1" x14ac:dyDescent="0.35">
      <c r="A455">
        <f t="shared" si="15"/>
        <v>454</v>
      </c>
      <c r="B455">
        <v>2003</v>
      </c>
      <c r="C455" t="s">
        <v>583</v>
      </c>
      <c r="D455" t="s">
        <v>45</v>
      </c>
      <c r="E455" t="s">
        <v>1429</v>
      </c>
      <c r="G455" s="2">
        <v>6</v>
      </c>
      <c r="H455" t="s">
        <v>50</v>
      </c>
      <c r="I455" t="s">
        <v>25</v>
      </c>
      <c r="J455" s="11">
        <v>962.21143911060028</v>
      </c>
      <c r="K455" t="str">
        <f t="shared" si="14"/>
        <v>Russell Fox</v>
      </c>
      <c r="N455" t="s">
        <v>38</v>
      </c>
      <c r="O455" s="26">
        <v>2</v>
      </c>
      <c r="Q455" t="s">
        <v>252</v>
      </c>
      <c r="R455" t="s">
        <v>880</v>
      </c>
      <c r="S455" s="26">
        <v>2</v>
      </c>
      <c r="U455" t="s">
        <v>650</v>
      </c>
      <c r="V455" t="s">
        <v>649</v>
      </c>
      <c r="W455" t="s">
        <v>648</v>
      </c>
      <c r="X455" s="26">
        <v>3</v>
      </c>
    </row>
    <row r="456" spans="1:24" hidden="1" x14ac:dyDescent="0.35">
      <c r="A456">
        <f t="shared" si="15"/>
        <v>455</v>
      </c>
      <c r="B456">
        <v>2003</v>
      </c>
      <c r="C456" t="s">
        <v>583</v>
      </c>
      <c r="D456" t="s">
        <v>45</v>
      </c>
      <c r="E456" t="s">
        <v>1429</v>
      </c>
      <c r="G456" s="2">
        <v>7</v>
      </c>
      <c r="H456" t="s">
        <v>285</v>
      </c>
      <c r="I456" t="s">
        <v>119</v>
      </c>
      <c r="J456" s="11">
        <v>895.26464947998704</v>
      </c>
      <c r="K456" t="str">
        <f t="shared" si="14"/>
        <v>Peter Secor</v>
      </c>
      <c r="M456" t="s">
        <v>2369</v>
      </c>
      <c r="N456" t="s">
        <v>139</v>
      </c>
      <c r="O456" s="26">
        <v>2</v>
      </c>
      <c r="R456" t="s">
        <v>251</v>
      </c>
      <c r="S456" s="26">
        <v>31</v>
      </c>
      <c r="U456" t="s">
        <v>2384</v>
      </c>
      <c r="V456" t="s">
        <v>2383</v>
      </c>
      <c r="W456" t="s">
        <v>2323</v>
      </c>
      <c r="X456" s="26">
        <v>5</v>
      </c>
    </row>
    <row r="457" spans="1:24" hidden="1" x14ac:dyDescent="0.35">
      <c r="A457">
        <f t="shared" si="15"/>
        <v>456</v>
      </c>
      <c r="B457">
        <v>2003</v>
      </c>
      <c r="C457" t="s">
        <v>583</v>
      </c>
      <c r="D457" t="s">
        <v>45</v>
      </c>
      <c r="E457" t="s">
        <v>1429</v>
      </c>
      <c r="G457" s="2">
        <v>8</v>
      </c>
      <c r="H457" t="s">
        <v>1199</v>
      </c>
      <c r="I457" t="s">
        <v>16</v>
      </c>
      <c r="J457" s="11">
        <v>837.27270250230038</v>
      </c>
      <c r="K457" t="str">
        <f t="shared" si="14"/>
        <v>David Newberry</v>
      </c>
      <c r="M457" t="s">
        <v>1279</v>
      </c>
      <c r="N457" t="s">
        <v>61</v>
      </c>
      <c r="O457" s="26">
        <v>2</v>
      </c>
      <c r="Q457" t="s">
        <v>757</v>
      </c>
      <c r="R457" t="s">
        <v>756</v>
      </c>
      <c r="S457" s="26">
        <v>1</v>
      </c>
      <c r="U457" t="s">
        <v>2486</v>
      </c>
      <c r="V457" t="s">
        <v>2383</v>
      </c>
      <c r="W457" t="s">
        <v>517</v>
      </c>
      <c r="X457" s="26">
        <v>1</v>
      </c>
    </row>
    <row r="458" spans="1:24" hidden="1" x14ac:dyDescent="0.35">
      <c r="A458">
        <f t="shared" si="15"/>
        <v>457</v>
      </c>
      <c r="B458">
        <v>2003</v>
      </c>
      <c r="C458" t="s">
        <v>583</v>
      </c>
      <c r="D458" t="s">
        <v>45</v>
      </c>
      <c r="E458" t="s">
        <v>1429</v>
      </c>
      <c r="G458" s="2">
        <v>9</v>
      </c>
      <c r="H458" t="s">
        <v>1159</v>
      </c>
      <c r="I458" t="s">
        <v>136</v>
      </c>
      <c r="J458" s="11">
        <v>786.12018005491905</v>
      </c>
      <c r="K458" t="str">
        <f t="shared" si="14"/>
        <v>John Averill</v>
      </c>
      <c r="N458" t="s">
        <v>429</v>
      </c>
      <c r="O458" s="26">
        <v>2</v>
      </c>
      <c r="Q458" t="s">
        <v>1516</v>
      </c>
      <c r="R458" t="s">
        <v>394</v>
      </c>
      <c r="S458" s="26">
        <v>5</v>
      </c>
      <c r="U458" t="s">
        <v>1709</v>
      </c>
      <c r="V458" t="s">
        <v>1253</v>
      </c>
      <c r="W458" t="s">
        <v>1252</v>
      </c>
      <c r="X458" s="26">
        <v>1</v>
      </c>
    </row>
    <row r="459" spans="1:24" hidden="1" x14ac:dyDescent="0.35">
      <c r="A459">
        <f t="shared" si="15"/>
        <v>458</v>
      </c>
      <c r="B459">
        <v>2003</v>
      </c>
      <c r="C459" t="s">
        <v>583</v>
      </c>
      <c r="D459" t="s">
        <v>45</v>
      </c>
      <c r="E459" t="s">
        <v>1429</v>
      </c>
      <c r="G459" s="2">
        <v>10</v>
      </c>
      <c r="H459" t="s">
        <v>1194</v>
      </c>
      <c r="I459" t="s">
        <v>1195</v>
      </c>
      <c r="J459" s="11">
        <v>740.36268949424391</v>
      </c>
      <c r="K459" t="str">
        <f t="shared" si="14"/>
        <v>Grant Beardsley</v>
      </c>
      <c r="M459" t="s">
        <v>360</v>
      </c>
      <c r="N459" t="s">
        <v>361</v>
      </c>
      <c r="O459" s="26">
        <v>3</v>
      </c>
      <c r="Q459" t="s">
        <v>598</v>
      </c>
      <c r="R459" t="s">
        <v>597</v>
      </c>
      <c r="S459" s="26">
        <v>10</v>
      </c>
      <c r="U459" t="s">
        <v>1692</v>
      </c>
      <c r="V459" t="s">
        <v>167</v>
      </c>
      <c r="W459" t="s">
        <v>166</v>
      </c>
      <c r="X459" s="26">
        <v>1</v>
      </c>
    </row>
    <row r="460" spans="1:24" hidden="1" x14ac:dyDescent="0.35">
      <c r="A460">
        <f t="shared" si="15"/>
        <v>459</v>
      </c>
      <c r="B460">
        <v>2003</v>
      </c>
      <c r="C460" t="s">
        <v>583</v>
      </c>
      <c r="D460" t="s">
        <v>1327</v>
      </c>
      <c r="E460" t="s">
        <v>1434</v>
      </c>
      <c r="G460" s="2">
        <v>1</v>
      </c>
      <c r="H460" t="s">
        <v>1217</v>
      </c>
      <c r="I460" t="s">
        <v>1218</v>
      </c>
      <c r="J460" s="11">
        <v>1681.2412373755872</v>
      </c>
      <c r="K460" t="str">
        <f t="shared" si="14"/>
        <v>Brad Edmonds</v>
      </c>
      <c r="M460" t="s">
        <v>1505</v>
      </c>
      <c r="N460" t="s">
        <v>52</v>
      </c>
      <c r="O460" s="26">
        <v>3</v>
      </c>
      <c r="Q460" t="s">
        <v>26</v>
      </c>
      <c r="R460" t="s">
        <v>25</v>
      </c>
      <c r="S460" s="26">
        <v>3</v>
      </c>
      <c r="U460" t="s">
        <v>1562</v>
      </c>
      <c r="V460" t="s">
        <v>808</v>
      </c>
      <c r="W460" t="s">
        <v>807</v>
      </c>
      <c r="X460" s="26">
        <v>1</v>
      </c>
    </row>
    <row r="461" spans="1:24" hidden="1" x14ac:dyDescent="0.35">
      <c r="A461">
        <f t="shared" si="15"/>
        <v>460</v>
      </c>
      <c r="B461">
        <v>2003</v>
      </c>
      <c r="C461" t="s">
        <v>583</v>
      </c>
      <c r="D461" t="s">
        <v>1327</v>
      </c>
      <c r="E461" t="s">
        <v>1434</v>
      </c>
      <c r="G461" s="2">
        <v>2</v>
      </c>
      <c r="H461" t="s">
        <v>100</v>
      </c>
      <c r="I461" t="s">
        <v>52</v>
      </c>
      <c r="J461" s="11">
        <v>1380.2112417116059</v>
      </c>
      <c r="K461" t="str">
        <f t="shared" si="14"/>
        <v>Steven Eisenstein</v>
      </c>
      <c r="M461" t="s">
        <v>1374</v>
      </c>
      <c r="N461" t="s">
        <v>71</v>
      </c>
      <c r="O461" s="26">
        <v>2</v>
      </c>
      <c r="Q461" t="s">
        <v>649</v>
      </c>
      <c r="R461" t="s">
        <v>648</v>
      </c>
      <c r="S461" s="26">
        <v>3</v>
      </c>
      <c r="U461" t="s">
        <v>1490</v>
      </c>
      <c r="V461" t="s">
        <v>808</v>
      </c>
      <c r="W461" t="s">
        <v>406</v>
      </c>
      <c r="X461" s="26">
        <v>1</v>
      </c>
    </row>
    <row r="462" spans="1:24" hidden="1" x14ac:dyDescent="0.35">
      <c r="A462">
        <f t="shared" si="15"/>
        <v>461</v>
      </c>
      <c r="B462">
        <v>2003</v>
      </c>
      <c r="C462" t="s">
        <v>583</v>
      </c>
      <c r="D462" t="s">
        <v>1327</v>
      </c>
      <c r="E462" t="s">
        <v>1434</v>
      </c>
      <c r="G462" s="2">
        <v>3</v>
      </c>
      <c r="H462" t="s">
        <v>1192</v>
      </c>
      <c r="I462" t="s">
        <v>1193</v>
      </c>
      <c r="J462" s="11">
        <v>1204.1199826559248</v>
      </c>
      <c r="K462" t="str">
        <f t="shared" si="14"/>
        <v>Shawn Lauderdale</v>
      </c>
      <c r="M462" t="s">
        <v>1415</v>
      </c>
      <c r="N462" t="s">
        <v>196</v>
      </c>
      <c r="O462" s="26">
        <v>1</v>
      </c>
      <c r="Q462" t="s">
        <v>2383</v>
      </c>
      <c r="R462" t="s">
        <v>2323</v>
      </c>
      <c r="S462" s="26">
        <v>5</v>
      </c>
      <c r="U462" t="s">
        <v>1284</v>
      </c>
      <c r="V462" t="s">
        <v>808</v>
      </c>
      <c r="W462" t="s">
        <v>1283</v>
      </c>
      <c r="X462" s="26">
        <v>1</v>
      </c>
    </row>
    <row r="463" spans="1:24" hidden="1" x14ac:dyDescent="0.35">
      <c r="A463">
        <f t="shared" si="15"/>
        <v>462</v>
      </c>
      <c r="B463">
        <v>2003</v>
      </c>
      <c r="C463" t="s">
        <v>583</v>
      </c>
      <c r="D463" t="s">
        <v>1327</v>
      </c>
      <c r="E463" t="s">
        <v>1434</v>
      </c>
      <c r="G463" s="2">
        <v>4</v>
      </c>
      <c r="H463" t="s">
        <v>296</v>
      </c>
      <c r="I463" t="s">
        <v>297</v>
      </c>
      <c r="J463" s="11">
        <v>1079.1812460476247</v>
      </c>
      <c r="K463" t="str">
        <f t="shared" si="14"/>
        <v>Janie McIntosh</v>
      </c>
      <c r="M463" t="s">
        <v>799</v>
      </c>
      <c r="N463" t="s">
        <v>1149</v>
      </c>
      <c r="O463" s="26">
        <v>1</v>
      </c>
      <c r="R463" t="s">
        <v>517</v>
      </c>
      <c r="S463" s="26">
        <v>1</v>
      </c>
      <c r="U463" t="s">
        <v>1260</v>
      </c>
      <c r="V463" t="s">
        <v>487</v>
      </c>
      <c r="W463" t="s">
        <v>1100</v>
      </c>
      <c r="X463" s="26">
        <v>2</v>
      </c>
    </row>
    <row r="464" spans="1:24" hidden="1" x14ac:dyDescent="0.35">
      <c r="A464">
        <f t="shared" si="15"/>
        <v>463</v>
      </c>
      <c r="B464">
        <v>2003</v>
      </c>
      <c r="C464" t="s">
        <v>583</v>
      </c>
      <c r="D464" t="s">
        <v>1327</v>
      </c>
      <c r="E464" t="s">
        <v>1434</v>
      </c>
      <c r="G464" s="2">
        <v>5</v>
      </c>
      <c r="H464" t="s">
        <v>50</v>
      </c>
      <c r="I464" t="s">
        <v>25</v>
      </c>
      <c r="J464" s="11">
        <v>982.2712330395683</v>
      </c>
      <c r="K464" t="str">
        <f t="shared" si="14"/>
        <v>Russell Fox</v>
      </c>
      <c r="N464" t="s">
        <v>935</v>
      </c>
      <c r="O464" s="26">
        <v>2</v>
      </c>
      <c r="Q464" t="s">
        <v>1253</v>
      </c>
      <c r="R464" t="s">
        <v>1252</v>
      </c>
      <c r="S464" s="26">
        <v>1</v>
      </c>
      <c r="U464" t="s">
        <v>488</v>
      </c>
      <c r="V464" t="s">
        <v>487</v>
      </c>
      <c r="W464" t="s">
        <v>486</v>
      </c>
      <c r="X464" s="26">
        <v>3</v>
      </c>
    </row>
    <row r="465" spans="1:24" hidden="1" x14ac:dyDescent="0.35">
      <c r="A465">
        <f t="shared" si="15"/>
        <v>464</v>
      </c>
      <c r="B465">
        <v>2003</v>
      </c>
      <c r="C465" t="s">
        <v>583</v>
      </c>
      <c r="D465" t="s">
        <v>1327</v>
      </c>
      <c r="E465" t="s">
        <v>1434</v>
      </c>
      <c r="G465" s="2">
        <v>6</v>
      </c>
      <c r="H465" t="s">
        <v>388</v>
      </c>
      <c r="I465" t="s">
        <v>200</v>
      </c>
      <c r="J465" s="11">
        <v>903.08998699194353</v>
      </c>
      <c r="K465" t="str">
        <f t="shared" si="14"/>
        <v>Rick Charles</v>
      </c>
      <c r="N465" t="s">
        <v>1379</v>
      </c>
      <c r="O465" s="26">
        <v>2</v>
      </c>
      <c r="Q465" t="s">
        <v>167</v>
      </c>
      <c r="R465" t="s">
        <v>166</v>
      </c>
      <c r="S465" s="26">
        <v>1</v>
      </c>
      <c r="U465" t="s">
        <v>873</v>
      </c>
      <c r="V465" t="s">
        <v>872</v>
      </c>
      <c r="W465" t="s">
        <v>871</v>
      </c>
      <c r="X465" s="26">
        <v>1</v>
      </c>
    </row>
    <row r="466" spans="1:24" hidden="1" x14ac:dyDescent="0.35">
      <c r="A466">
        <f t="shared" si="15"/>
        <v>465</v>
      </c>
      <c r="B466">
        <v>2003</v>
      </c>
      <c r="C466" t="s">
        <v>583</v>
      </c>
      <c r="D466" t="s">
        <v>1327</v>
      </c>
      <c r="E466" t="s">
        <v>1434</v>
      </c>
      <c r="G466" s="2">
        <v>7</v>
      </c>
      <c r="H466" t="s">
        <v>307</v>
      </c>
      <c r="I466" t="s">
        <v>67</v>
      </c>
      <c r="J466" s="11">
        <v>836.14319736133041</v>
      </c>
      <c r="K466" t="str">
        <f t="shared" si="14"/>
        <v>Bob Ogus</v>
      </c>
      <c r="M466" t="s">
        <v>306</v>
      </c>
      <c r="N466" t="s">
        <v>694</v>
      </c>
      <c r="O466" s="26">
        <v>20</v>
      </c>
      <c r="Q466" t="s">
        <v>808</v>
      </c>
      <c r="R466" t="s">
        <v>807</v>
      </c>
      <c r="S466" s="26">
        <v>1</v>
      </c>
      <c r="U466" t="s">
        <v>1332</v>
      </c>
      <c r="V466" t="s">
        <v>1331</v>
      </c>
      <c r="W466" t="s">
        <v>1330</v>
      </c>
      <c r="X466" s="26">
        <v>2</v>
      </c>
    </row>
    <row r="467" spans="1:24" hidden="1" x14ac:dyDescent="0.35">
      <c r="A467">
        <f t="shared" si="15"/>
        <v>466</v>
      </c>
      <c r="B467">
        <v>2003</v>
      </c>
      <c r="C467" t="s">
        <v>583</v>
      </c>
      <c r="D467" t="s">
        <v>1327</v>
      </c>
      <c r="E467" t="s">
        <v>1434</v>
      </c>
      <c r="G467" s="2">
        <v>8</v>
      </c>
      <c r="H467" t="s">
        <v>601</v>
      </c>
      <c r="I467" t="s">
        <v>58</v>
      </c>
      <c r="J467" s="11">
        <v>778.15125038364363</v>
      </c>
      <c r="K467" t="str">
        <f t="shared" si="14"/>
        <v>Jim Bullard</v>
      </c>
      <c r="M467" t="s">
        <v>442</v>
      </c>
      <c r="N467" t="s">
        <v>429</v>
      </c>
      <c r="O467" s="26">
        <v>9</v>
      </c>
      <c r="R467" t="s">
        <v>406</v>
      </c>
      <c r="S467" s="26">
        <v>1</v>
      </c>
      <c r="U467" t="s">
        <v>1608</v>
      </c>
      <c r="V467" t="s">
        <v>139</v>
      </c>
      <c r="W467" t="s">
        <v>1064</v>
      </c>
      <c r="X467" s="26">
        <v>1</v>
      </c>
    </row>
    <row r="468" spans="1:24" hidden="1" x14ac:dyDescent="0.35">
      <c r="A468">
        <f t="shared" si="15"/>
        <v>467</v>
      </c>
      <c r="B468">
        <v>2003</v>
      </c>
      <c r="C468" t="s">
        <v>583</v>
      </c>
      <c r="D468" t="s">
        <v>1328</v>
      </c>
      <c r="E468" t="s">
        <v>1430</v>
      </c>
      <c r="G468" s="2">
        <v>1</v>
      </c>
      <c r="H468" t="s">
        <v>285</v>
      </c>
      <c r="I468" t="s">
        <v>119</v>
      </c>
      <c r="J468" s="11">
        <v>1740.3626894942438</v>
      </c>
      <c r="K468" t="str">
        <f t="shared" si="14"/>
        <v>Peter Secor</v>
      </c>
      <c r="M468" t="s">
        <v>868</v>
      </c>
      <c r="N468" t="s">
        <v>63</v>
      </c>
      <c r="O468" s="26">
        <v>6</v>
      </c>
      <c r="R468" t="s">
        <v>1283</v>
      </c>
      <c r="S468" s="26">
        <v>1</v>
      </c>
      <c r="U468" t="s">
        <v>2371</v>
      </c>
      <c r="V468" t="s">
        <v>139</v>
      </c>
      <c r="W468" t="s">
        <v>2370</v>
      </c>
      <c r="X468" s="26">
        <v>1</v>
      </c>
    </row>
    <row r="469" spans="1:24" hidden="1" x14ac:dyDescent="0.35">
      <c r="A469">
        <f t="shared" si="15"/>
        <v>468</v>
      </c>
      <c r="B469">
        <v>2003</v>
      </c>
      <c r="C469" t="s">
        <v>583</v>
      </c>
      <c r="D469" t="s">
        <v>1328</v>
      </c>
      <c r="E469" t="s">
        <v>1430</v>
      </c>
      <c r="G469" s="2">
        <v>2</v>
      </c>
      <c r="H469" t="s">
        <v>265</v>
      </c>
      <c r="I469" t="s">
        <v>139</v>
      </c>
      <c r="J469" s="11">
        <v>1439.3326938302625</v>
      </c>
      <c r="K469" t="str">
        <f t="shared" si="14"/>
        <v>Mark Hughes</v>
      </c>
      <c r="M469" t="s">
        <v>2411</v>
      </c>
      <c r="N469" t="s">
        <v>44</v>
      </c>
      <c r="O469" s="26">
        <v>1</v>
      </c>
      <c r="Q469" t="s">
        <v>487</v>
      </c>
      <c r="R469" t="s">
        <v>1100</v>
      </c>
      <c r="S469" s="26">
        <v>2</v>
      </c>
      <c r="U469" t="s">
        <v>1165</v>
      </c>
      <c r="V469" t="s">
        <v>139</v>
      </c>
      <c r="W469" t="s">
        <v>1164</v>
      </c>
      <c r="X469" s="26">
        <v>1</v>
      </c>
    </row>
    <row r="470" spans="1:24" hidden="1" x14ac:dyDescent="0.35">
      <c r="A470">
        <f t="shared" si="15"/>
        <v>469</v>
      </c>
      <c r="B470">
        <v>2003</v>
      </c>
      <c r="C470" t="s">
        <v>583</v>
      </c>
      <c r="D470" t="s">
        <v>1328</v>
      </c>
      <c r="E470" t="s">
        <v>1430</v>
      </c>
      <c r="G470" s="2">
        <v>3</v>
      </c>
      <c r="H470" t="s">
        <v>100</v>
      </c>
      <c r="I470" t="s">
        <v>52</v>
      </c>
      <c r="J470" s="11">
        <v>1263.2414347745814</v>
      </c>
      <c r="K470" t="str">
        <f t="shared" si="14"/>
        <v>Steven Eisenstein</v>
      </c>
      <c r="M470" t="s">
        <v>1151</v>
      </c>
      <c r="N470" t="s">
        <v>634</v>
      </c>
      <c r="O470" s="26">
        <v>1</v>
      </c>
      <c r="R470" t="s">
        <v>486</v>
      </c>
      <c r="S470" s="26">
        <v>3</v>
      </c>
      <c r="U470" t="s">
        <v>2433</v>
      </c>
      <c r="V470" t="s">
        <v>139</v>
      </c>
      <c r="W470" t="s">
        <v>2432</v>
      </c>
      <c r="X470" s="26">
        <v>7</v>
      </c>
    </row>
    <row r="471" spans="1:24" hidden="1" x14ac:dyDescent="0.35">
      <c r="A471">
        <f t="shared" si="15"/>
        <v>470</v>
      </c>
      <c r="B471">
        <v>2003</v>
      </c>
      <c r="C471" t="s">
        <v>583</v>
      </c>
      <c r="D471" t="s">
        <v>1328</v>
      </c>
      <c r="E471" t="s">
        <v>1430</v>
      </c>
      <c r="G471" s="2">
        <v>4</v>
      </c>
      <c r="H471" t="s">
        <v>597</v>
      </c>
      <c r="I471" t="s">
        <v>598</v>
      </c>
      <c r="J471" s="11">
        <v>1138.3026981662815</v>
      </c>
      <c r="K471" t="str">
        <f t="shared" si="14"/>
        <v>Lou Krieger</v>
      </c>
      <c r="M471" t="s">
        <v>866</v>
      </c>
      <c r="N471" t="s">
        <v>421</v>
      </c>
      <c r="O471" s="26">
        <v>3</v>
      </c>
      <c r="Q471" t="s">
        <v>872</v>
      </c>
      <c r="R471" t="s">
        <v>871</v>
      </c>
      <c r="S471" s="26">
        <v>1</v>
      </c>
      <c r="U471" t="s">
        <v>587</v>
      </c>
      <c r="V471" t="s">
        <v>139</v>
      </c>
      <c r="W471" t="s">
        <v>265</v>
      </c>
      <c r="X471" s="26">
        <v>14</v>
      </c>
    </row>
    <row r="472" spans="1:24" hidden="1" x14ac:dyDescent="0.35">
      <c r="A472">
        <f t="shared" si="15"/>
        <v>471</v>
      </c>
      <c r="B472">
        <v>2003</v>
      </c>
      <c r="C472" t="s">
        <v>583</v>
      </c>
      <c r="D472" t="s">
        <v>1328</v>
      </c>
      <c r="E472" t="s">
        <v>1430</v>
      </c>
      <c r="G472" s="2">
        <v>5</v>
      </c>
      <c r="H472" t="s">
        <v>1329</v>
      </c>
      <c r="I472" t="s">
        <v>67</v>
      </c>
      <c r="J472" s="11">
        <v>1041.3926851582248</v>
      </c>
      <c r="K472" t="str">
        <f t="shared" si="14"/>
        <v>Bob Alonso</v>
      </c>
      <c r="N472" t="s">
        <v>142</v>
      </c>
      <c r="O472" s="26">
        <v>7</v>
      </c>
      <c r="Q472" t="s">
        <v>1331</v>
      </c>
      <c r="R472" t="s">
        <v>1330</v>
      </c>
      <c r="S472" s="26">
        <v>2</v>
      </c>
      <c r="U472" t="s">
        <v>1314</v>
      </c>
      <c r="V472" t="s">
        <v>139</v>
      </c>
      <c r="W472" t="s">
        <v>1313</v>
      </c>
      <c r="X472" s="26">
        <v>2</v>
      </c>
    </row>
    <row r="473" spans="1:24" hidden="1" x14ac:dyDescent="0.35">
      <c r="A473">
        <f t="shared" si="15"/>
        <v>472</v>
      </c>
      <c r="B473">
        <v>2003</v>
      </c>
      <c r="C473" t="s">
        <v>583</v>
      </c>
      <c r="D473" t="s">
        <v>1328</v>
      </c>
      <c r="E473" t="s">
        <v>1430</v>
      </c>
      <c r="G473" s="2">
        <v>6</v>
      </c>
      <c r="H473" t="s">
        <v>1159</v>
      </c>
      <c r="I473" t="s">
        <v>136</v>
      </c>
      <c r="J473" s="11">
        <v>962.21143911060028</v>
      </c>
      <c r="K473" t="str">
        <f t="shared" si="14"/>
        <v>John Averill</v>
      </c>
      <c r="N473" t="s">
        <v>247</v>
      </c>
      <c r="O473" s="26">
        <v>1</v>
      </c>
      <c r="Q473" t="s">
        <v>139</v>
      </c>
      <c r="R473" t="s">
        <v>1064</v>
      </c>
      <c r="S473" s="26">
        <v>1</v>
      </c>
      <c r="U473" t="s">
        <v>2378</v>
      </c>
      <c r="V473" t="s">
        <v>139</v>
      </c>
      <c r="W473" t="s">
        <v>2369</v>
      </c>
      <c r="X473" s="26">
        <v>2</v>
      </c>
    </row>
    <row r="474" spans="1:24" hidden="1" x14ac:dyDescent="0.35">
      <c r="A474">
        <f t="shared" si="15"/>
        <v>473</v>
      </c>
      <c r="B474">
        <v>2003</v>
      </c>
      <c r="C474" t="s">
        <v>583</v>
      </c>
      <c r="D474" t="s">
        <v>1328</v>
      </c>
      <c r="E474" t="s">
        <v>1430</v>
      </c>
      <c r="G474" s="2">
        <v>7</v>
      </c>
      <c r="H474" t="s">
        <v>1192</v>
      </c>
      <c r="I474" t="s">
        <v>1193</v>
      </c>
      <c r="J474" s="11">
        <v>895.26464947998704</v>
      </c>
      <c r="K474" t="str">
        <f t="shared" si="14"/>
        <v>Shawn Lauderdale</v>
      </c>
      <c r="M474" t="s">
        <v>670</v>
      </c>
      <c r="N474" t="s">
        <v>16</v>
      </c>
      <c r="O474" s="26">
        <v>1</v>
      </c>
      <c r="R474" t="s">
        <v>2370</v>
      </c>
      <c r="S474" s="26">
        <v>1</v>
      </c>
      <c r="U474" t="s">
        <v>145</v>
      </c>
      <c r="V474" t="s">
        <v>139</v>
      </c>
      <c r="W474" t="s">
        <v>144</v>
      </c>
      <c r="X474" s="26">
        <v>1</v>
      </c>
    </row>
    <row r="475" spans="1:24" hidden="1" x14ac:dyDescent="0.35">
      <c r="A475">
        <f t="shared" si="15"/>
        <v>474</v>
      </c>
      <c r="B475">
        <v>2003</v>
      </c>
      <c r="C475" t="s">
        <v>583</v>
      </c>
      <c r="D475" t="s">
        <v>1328</v>
      </c>
      <c r="E475" t="s">
        <v>1430</v>
      </c>
      <c r="G475" s="2">
        <v>8</v>
      </c>
      <c r="H475" t="s">
        <v>804</v>
      </c>
      <c r="I475" t="s">
        <v>644</v>
      </c>
      <c r="J475" s="11">
        <v>837.27270250230038</v>
      </c>
      <c r="K475" t="str">
        <f t="shared" si="14"/>
        <v>Ed Barrett</v>
      </c>
      <c r="M475" t="s">
        <v>537</v>
      </c>
      <c r="N475" t="s">
        <v>538</v>
      </c>
      <c r="O475" s="26">
        <v>9</v>
      </c>
      <c r="R475" t="s">
        <v>1164</v>
      </c>
      <c r="S475" s="26">
        <v>1</v>
      </c>
      <c r="U475" t="s">
        <v>1077</v>
      </c>
      <c r="V475" t="s">
        <v>139</v>
      </c>
      <c r="W475" t="s">
        <v>1076</v>
      </c>
      <c r="X475" s="26">
        <v>4</v>
      </c>
    </row>
    <row r="476" spans="1:24" hidden="1" x14ac:dyDescent="0.35">
      <c r="A476">
        <f t="shared" si="15"/>
        <v>475</v>
      </c>
      <c r="B476">
        <v>2003</v>
      </c>
      <c r="C476" t="s">
        <v>583</v>
      </c>
      <c r="D476" t="s">
        <v>1328</v>
      </c>
      <c r="E476" t="s">
        <v>1430</v>
      </c>
      <c r="G476" s="2">
        <v>9</v>
      </c>
      <c r="H476" t="s">
        <v>268</v>
      </c>
      <c r="I476" t="s">
        <v>269</v>
      </c>
      <c r="J476" s="11">
        <v>786.12018005491905</v>
      </c>
      <c r="K476" t="str">
        <f t="shared" si="14"/>
        <v>Keith Fichtemaier</v>
      </c>
      <c r="M476" t="s">
        <v>273</v>
      </c>
      <c r="N476" t="s">
        <v>79</v>
      </c>
      <c r="O476" s="26">
        <v>2</v>
      </c>
      <c r="R476" t="s">
        <v>2432</v>
      </c>
      <c r="S476" s="26">
        <v>7</v>
      </c>
      <c r="U476" t="s">
        <v>842</v>
      </c>
      <c r="V476" t="s">
        <v>139</v>
      </c>
      <c r="W476" t="s">
        <v>841</v>
      </c>
      <c r="X476" s="26">
        <v>1</v>
      </c>
    </row>
    <row r="477" spans="1:24" hidden="1" x14ac:dyDescent="0.35">
      <c r="A477">
        <f t="shared" si="15"/>
        <v>476</v>
      </c>
      <c r="B477">
        <v>2003</v>
      </c>
      <c r="C477" t="s">
        <v>1209</v>
      </c>
      <c r="D477" t="s">
        <v>509</v>
      </c>
      <c r="E477" t="s">
        <v>509</v>
      </c>
      <c r="G477" s="2">
        <v>1</v>
      </c>
      <c r="H477" t="s">
        <v>689</v>
      </c>
      <c r="I477" t="s">
        <v>61</v>
      </c>
      <c r="J477" s="11">
        <v>1505.149978319906</v>
      </c>
      <c r="K477" t="str">
        <f t="shared" si="14"/>
        <v>Len Forsyth</v>
      </c>
      <c r="N477" t="s">
        <v>218</v>
      </c>
      <c r="O477" s="26">
        <v>15</v>
      </c>
      <c r="R477" t="s">
        <v>265</v>
      </c>
      <c r="S477" s="26">
        <v>14</v>
      </c>
      <c r="U477" t="s">
        <v>776</v>
      </c>
      <c r="V477" t="s">
        <v>139</v>
      </c>
      <c r="W477" t="s">
        <v>775</v>
      </c>
      <c r="X477" s="26">
        <v>5</v>
      </c>
    </row>
    <row r="478" spans="1:24" hidden="1" x14ac:dyDescent="0.35">
      <c r="A478">
        <f t="shared" si="15"/>
        <v>477</v>
      </c>
      <c r="B478">
        <v>2003</v>
      </c>
      <c r="C478" t="s">
        <v>1209</v>
      </c>
      <c r="D478" t="s">
        <v>509</v>
      </c>
      <c r="E478" t="s">
        <v>509</v>
      </c>
      <c r="G478" s="2">
        <v>2</v>
      </c>
      <c r="H478" t="s">
        <v>601</v>
      </c>
      <c r="I478" t="s">
        <v>58</v>
      </c>
      <c r="J478" s="11">
        <v>1204.1199826559248</v>
      </c>
      <c r="K478" t="str">
        <f t="shared" si="14"/>
        <v>Jim Bullard</v>
      </c>
      <c r="M478" t="s">
        <v>1254</v>
      </c>
      <c r="N478" t="s">
        <v>44</v>
      </c>
      <c r="O478" s="26">
        <v>2</v>
      </c>
      <c r="R478" t="s">
        <v>1313</v>
      </c>
      <c r="S478" s="26">
        <v>2</v>
      </c>
      <c r="U478" t="s">
        <v>897</v>
      </c>
      <c r="V478" t="s">
        <v>139</v>
      </c>
      <c r="W478" t="s">
        <v>896</v>
      </c>
      <c r="X478" s="26">
        <v>3</v>
      </c>
    </row>
    <row r="479" spans="1:24" hidden="1" x14ac:dyDescent="0.35">
      <c r="A479">
        <f t="shared" si="15"/>
        <v>478</v>
      </c>
      <c r="B479">
        <v>2003</v>
      </c>
      <c r="C479" t="s">
        <v>1209</v>
      </c>
      <c r="D479" t="s">
        <v>509</v>
      </c>
      <c r="E479" t="s">
        <v>509</v>
      </c>
      <c r="G479" s="2">
        <v>3</v>
      </c>
      <c r="H479" t="s">
        <v>1330</v>
      </c>
      <c r="I479" t="s">
        <v>1331</v>
      </c>
      <c r="J479" s="11">
        <v>1028.0287236002437</v>
      </c>
      <c r="K479" t="str">
        <f t="shared" si="14"/>
        <v>Marion Busch</v>
      </c>
      <c r="M479" t="s">
        <v>965</v>
      </c>
      <c r="N479" t="s">
        <v>44</v>
      </c>
      <c r="O479" s="26">
        <v>10</v>
      </c>
      <c r="R479" t="s">
        <v>2369</v>
      </c>
      <c r="S479" s="26">
        <v>2</v>
      </c>
      <c r="U479" t="s">
        <v>2294</v>
      </c>
      <c r="V479" t="s">
        <v>139</v>
      </c>
      <c r="W479" t="s">
        <v>2287</v>
      </c>
      <c r="X479" s="26">
        <v>1</v>
      </c>
    </row>
    <row r="480" spans="1:24" hidden="1" x14ac:dyDescent="0.35">
      <c r="A480">
        <f t="shared" si="15"/>
        <v>479</v>
      </c>
      <c r="B480">
        <v>2003</v>
      </c>
      <c r="C480" t="s">
        <v>1209</v>
      </c>
      <c r="D480" t="s">
        <v>509</v>
      </c>
      <c r="E480" t="s">
        <v>509</v>
      </c>
      <c r="G480" s="2">
        <v>4</v>
      </c>
      <c r="H480" t="s">
        <v>804</v>
      </c>
      <c r="I480" t="s">
        <v>644</v>
      </c>
      <c r="J480" s="11">
        <v>903.08998699194365</v>
      </c>
      <c r="K480" t="str">
        <f t="shared" si="14"/>
        <v>Ed Barrett</v>
      </c>
      <c r="M480" t="s">
        <v>180</v>
      </c>
      <c r="N480" t="s">
        <v>181</v>
      </c>
      <c r="O480" s="26">
        <v>1</v>
      </c>
      <c r="R480" t="s">
        <v>144</v>
      </c>
      <c r="S480" s="26">
        <v>1</v>
      </c>
      <c r="U480" t="s">
        <v>2377</v>
      </c>
      <c r="V480" t="s">
        <v>139</v>
      </c>
      <c r="W480" t="s">
        <v>334</v>
      </c>
      <c r="X480" s="26">
        <v>1</v>
      </c>
    </row>
    <row r="481" spans="1:24" hidden="1" x14ac:dyDescent="0.35">
      <c r="A481">
        <f t="shared" si="15"/>
        <v>480</v>
      </c>
      <c r="B481">
        <v>2003</v>
      </c>
      <c r="C481" t="s">
        <v>1209</v>
      </c>
      <c r="D481" t="s">
        <v>509</v>
      </c>
      <c r="E481" t="s">
        <v>509</v>
      </c>
      <c r="G481" s="2">
        <v>5</v>
      </c>
      <c r="H481" t="s">
        <v>588</v>
      </c>
      <c r="I481" t="s">
        <v>353</v>
      </c>
      <c r="J481" s="11">
        <v>806.17997398388718</v>
      </c>
      <c r="K481" t="str">
        <f t="shared" si="14"/>
        <v>Frank Bruegger</v>
      </c>
      <c r="N481" t="s">
        <v>218</v>
      </c>
      <c r="O481" s="26">
        <v>3</v>
      </c>
      <c r="R481" t="s">
        <v>1076</v>
      </c>
      <c r="S481" s="26">
        <v>4</v>
      </c>
      <c r="U481" t="s">
        <v>594</v>
      </c>
      <c r="V481" t="s">
        <v>139</v>
      </c>
      <c r="W481" t="s">
        <v>593</v>
      </c>
      <c r="X481" s="26">
        <v>5</v>
      </c>
    </row>
    <row r="482" spans="1:24" hidden="1" x14ac:dyDescent="0.35">
      <c r="A482">
        <f t="shared" si="15"/>
        <v>481</v>
      </c>
      <c r="B482">
        <v>2003</v>
      </c>
      <c r="C482" t="s">
        <v>1209</v>
      </c>
      <c r="D482" t="s">
        <v>509</v>
      </c>
      <c r="E482" t="s">
        <v>509</v>
      </c>
      <c r="G482" s="2">
        <v>6</v>
      </c>
      <c r="H482" t="s">
        <v>1333</v>
      </c>
      <c r="I482" t="s">
        <v>480</v>
      </c>
      <c r="J482" s="11">
        <v>726.99872793626241</v>
      </c>
      <c r="K482" t="str">
        <f t="shared" si="14"/>
        <v>James Hankins</v>
      </c>
      <c r="M482" t="s">
        <v>1421</v>
      </c>
      <c r="N482" t="s">
        <v>13</v>
      </c>
      <c r="O482" s="26">
        <v>1</v>
      </c>
      <c r="R482" t="s">
        <v>841</v>
      </c>
      <c r="S482" s="26">
        <v>1</v>
      </c>
      <c r="U482" t="s">
        <v>1625</v>
      </c>
      <c r="V482" t="s">
        <v>139</v>
      </c>
      <c r="W482" t="s">
        <v>138</v>
      </c>
      <c r="X482" s="26">
        <v>2</v>
      </c>
    </row>
    <row r="483" spans="1:24" hidden="1" x14ac:dyDescent="0.35">
      <c r="A483">
        <f t="shared" si="15"/>
        <v>482</v>
      </c>
      <c r="B483">
        <v>2003</v>
      </c>
      <c r="C483" t="s">
        <v>1209</v>
      </c>
      <c r="D483" t="s">
        <v>509</v>
      </c>
      <c r="E483" t="s">
        <v>509</v>
      </c>
      <c r="G483" s="2">
        <v>7</v>
      </c>
      <c r="H483" t="s">
        <v>1335</v>
      </c>
      <c r="I483" t="s">
        <v>1269</v>
      </c>
      <c r="J483" s="11">
        <v>660.05193830564929</v>
      </c>
      <c r="K483" t="str">
        <f t="shared" si="14"/>
        <v>Jack Skerston</v>
      </c>
      <c r="M483" t="s">
        <v>2418</v>
      </c>
      <c r="N483" t="s">
        <v>782</v>
      </c>
      <c r="O483" s="26">
        <v>3</v>
      </c>
      <c r="R483" t="s">
        <v>775</v>
      </c>
      <c r="S483" s="26">
        <v>5</v>
      </c>
      <c r="U483" t="s">
        <v>778</v>
      </c>
      <c r="V483" t="s">
        <v>139</v>
      </c>
      <c r="W483" t="s">
        <v>777</v>
      </c>
      <c r="X483" s="26">
        <v>1</v>
      </c>
    </row>
    <row r="484" spans="1:24" hidden="1" x14ac:dyDescent="0.35">
      <c r="A484">
        <f t="shared" si="15"/>
        <v>483</v>
      </c>
      <c r="B484">
        <v>2003</v>
      </c>
      <c r="C484" t="s">
        <v>1209</v>
      </c>
      <c r="D484" t="s">
        <v>509</v>
      </c>
      <c r="E484" t="s">
        <v>509</v>
      </c>
      <c r="G484" s="2">
        <v>8</v>
      </c>
      <c r="H484" t="s">
        <v>281</v>
      </c>
      <c r="I484" t="s">
        <v>282</v>
      </c>
      <c r="J484" s="11">
        <v>602.05999132796251</v>
      </c>
      <c r="K484" t="str">
        <f t="shared" si="14"/>
        <v>Randy Collack</v>
      </c>
      <c r="M484" t="s">
        <v>667</v>
      </c>
      <c r="N484" t="s">
        <v>668</v>
      </c>
      <c r="O484" s="26">
        <v>1</v>
      </c>
      <c r="R484" t="s">
        <v>896</v>
      </c>
      <c r="S484" s="26">
        <v>3</v>
      </c>
      <c r="U484" t="s">
        <v>244</v>
      </c>
      <c r="V484" t="s">
        <v>243</v>
      </c>
      <c r="W484" t="s">
        <v>118</v>
      </c>
      <c r="X484" s="26">
        <v>4</v>
      </c>
    </row>
    <row r="485" spans="1:24" hidden="1" x14ac:dyDescent="0.35">
      <c r="A485">
        <f t="shared" si="15"/>
        <v>484</v>
      </c>
      <c r="B485">
        <v>2003</v>
      </c>
      <c r="C485" t="s">
        <v>1209</v>
      </c>
      <c r="D485" t="s">
        <v>509</v>
      </c>
      <c r="E485" t="s">
        <v>509</v>
      </c>
      <c r="G485" s="2">
        <v>9</v>
      </c>
      <c r="H485" t="s">
        <v>1337</v>
      </c>
      <c r="I485" t="s">
        <v>1338</v>
      </c>
      <c r="J485" s="11">
        <v>550.90746888058118</v>
      </c>
      <c r="K485" t="str">
        <f t="shared" si="14"/>
        <v>Chet Frederick</v>
      </c>
      <c r="M485" t="s">
        <v>999</v>
      </c>
      <c r="N485" t="s">
        <v>815</v>
      </c>
      <c r="O485" s="26">
        <v>8</v>
      </c>
      <c r="R485" t="s">
        <v>2287</v>
      </c>
      <c r="S485" s="26">
        <v>1</v>
      </c>
      <c r="U485" t="s">
        <v>2318</v>
      </c>
      <c r="V485" t="s">
        <v>799</v>
      </c>
      <c r="W485" t="s">
        <v>2317</v>
      </c>
      <c r="X485" s="26">
        <v>1</v>
      </c>
    </row>
    <row r="486" spans="1:24" hidden="1" x14ac:dyDescent="0.35">
      <c r="A486">
        <f t="shared" si="15"/>
        <v>485</v>
      </c>
      <c r="B486">
        <v>2003</v>
      </c>
      <c r="C486" t="s">
        <v>1209</v>
      </c>
      <c r="D486" t="s">
        <v>509</v>
      </c>
      <c r="E486" t="s">
        <v>509</v>
      </c>
      <c r="G486" s="2">
        <v>10</v>
      </c>
      <c r="H486" t="s">
        <v>1333</v>
      </c>
      <c r="I486" t="s">
        <v>480</v>
      </c>
      <c r="J486" s="11">
        <v>505.14997831990604</v>
      </c>
      <c r="K486" t="str">
        <f t="shared" si="14"/>
        <v>James Hankins</v>
      </c>
      <c r="M486" t="s">
        <v>296</v>
      </c>
      <c r="N486" t="s">
        <v>297</v>
      </c>
      <c r="O486" s="26">
        <v>5</v>
      </c>
      <c r="R486" t="s">
        <v>334</v>
      </c>
      <c r="S486" s="26">
        <v>1</v>
      </c>
      <c r="U486" t="s">
        <v>1654</v>
      </c>
      <c r="V486" t="s">
        <v>799</v>
      </c>
      <c r="W486" t="s">
        <v>798</v>
      </c>
      <c r="X486" s="26">
        <v>1</v>
      </c>
    </row>
    <row r="487" spans="1:24" hidden="1" x14ac:dyDescent="0.35">
      <c r="A487">
        <f t="shared" si="15"/>
        <v>486</v>
      </c>
      <c r="B487">
        <v>2003</v>
      </c>
      <c r="C487" t="s">
        <v>1209</v>
      </c>
      <c r="D487" t="s">
        <v>509</v>
      </c>
      <c r="E487" t="s">
        <v>509</v>
      </c>
      <c r="G487" s="2">
        <v>11</v>
      </c>
      <c r="H487" t="s">
        <v>1194</v>
      </c>
      <c r="I487" t="s">
        <v>1195</v>
      </c>
      <c r="J487" s="11">
        <v>463.75729316168088</v>
      </c>
      <c r="K487" t="str">
        <f t="shared" si="14"/>
        <v>Grant Beardsley</v>
      </c>
      <c r="M487" t="s">
        <v>1352</v>
      </c>
      <c r="N487" t="s">
        <v>528</v>
      </c>
      <c r="O487" s="26">
        <v>1</v>
      </c>
      <c r="R487" t="s">
        <v>593</v>
      </c>
      <c r="S487" s="26">
        <v>5</v>
      </c>
      <c r="U487" t="s">
        <v>1491</v>
      </c>
      <c r="V487" t="s">
        <v>1190</v>
      </c>
      <c r="W487" t="s">
        <v>1189</v>
      </c>
      <c r="X487" s="26">
        <v>4</v>
      </c>
    </row>
    <row r="488" spans="1:24" hidden="1" x14ac:dyDescent="0.35">
      <c r="A488">
        <f t="shared" si="15"/>
        <v>487</v>
      </c>
      <c r="B488">
        <v>2003</v>
      </c>
      <c r="C488" t="s">
        <v>1209</v>
      </c>
      <c r="D488" t="s">
        <v>509</v>
      </c>
      <c r="E488" t="s">
        <v>509</v>
      </c>
      <c r="G488" s="2">
        <v>12</v>
      </c>
      <c r="H488" t="s">
        <v>1340</v>
      </c>
      <c r="I488" t="s">
        <v>1341</v>
      </c>
      <c r="J488" s="11">
        <v>425.96873227228116</v>
      </c>
      <c r="K488" t="str">
        <f t="shared" si="14"/>
        <v>Abe Springfield</v>
      </c>
      <c r="M488" t="s">
        <v>536</v>
      </c>
      <c r="N488" t="s">
        <v>52</v>
      </c>
      <c r="O488" s="26">
        <v>3</v>
      </c>
      <c r="R488" t="s">
        <v>138</v>
      </c>
      <c r="S488" s="26">
        <v>2</v>
      </c>
      <c r="U488" t="s">
        <v>1356</v>
      </c>
      <c r="V488" t="s">
        <v>1355</v>
      </c>
      <c r="W488" t="s">
        <v>1354</v>
      </c>
      <c r="X488" s="26">
        <v>2</v>
      </c>
    </row>
    <row r="489" spans="1:24" hidden="1" x14ac:dyDescent="0.35">
      <c r="A489">
        <f t="shared" si="15"/>
        <v>488</v>
      </c>
      <c r="B489">
        <v>2003</v>
      </c>
      <c r="C489" t="s">
        <v>1209</v>
      </c>
      <c r="D489" t="s">
        <v>509</v>
      </c>
      <c r="E489" t="s">
        <v>509</v>
      </c>
      <c r="G489" s="2">
        <v>13</v>
      </c>
      <c r="H489" t="s">
        <v>1342</v>
      </c>
      <c r="I489" t="s">
        <v>1343</v>
      </c>
      <c r="J489" s="11">
        <v>391.20662601306935</v>
      </c>
      <c r="K489" t="str">
        <f t="shared" si="14"/>
        <v>Cindy Morales</v>
      </c>
      <c r="M489" t="s">
        <v>318</v>
      </c>
      <c r="N489" t="s">
        <v>44</v>
      </c>
      <c r="O489" s="26">
        <v>5</v>
      </c>
      <c r="R489" t="s">
        <v>777</v>
      </c>
      <c r="S489" s="26">
        <v>1</v>
      </c>
      <c r="U489" t="s">
        <v>430</v>
      </c>
      <c r="V489" t="s">
        <v>429</v>
      </c>
      <c r="W489" t="s">
        <v>428</v>
      </c>
      <c r="X489" s="26">
        <v>2</v>
      </c>
    </row>
    <row r="490" spans="1:24" hidden="1" x14ac:dyDescent="0.35">
      <c r="A490">
        <f t="shared" si="15"/>
        <v>489</v>
      </c>
      <c r="B490">
        <v>2003</v>
      </c>
      <c r="C490" t="s">
        <v>1209</v>
      </c>
      <c r="D490" t="s">
        <v>509</v>
      </c>
      <c r="E490" t="s">
        <v>509</v>
      </c>
      <c r="G490" s="2">
        <v>14</v>
      </c>
      <c r="H490" t="s">
        <v>265</v>
      </c>
      <c r="I490" t="s">
        <v>139</v>
      </c>
      <c r="J490" s="11">
        <v>359.02194264166809</v>
      </c>
      <c r="K490" t="str">
        <f t="shared" si="14"/>
        <v>Mark Hughes</v>
      </c>
      <c r="M490" t="s">
        <v>14</v>
      </c>
      <c r="N490" t="s">
        <v>11</v>
      </c>
      <c r="O490" s="26">
        <v>23</v>
      </c>
      <c r="Q490" t="s">
        <v>243</v>
      </c>
      <c r="R490" t="s">
        <v>118</v>
      </c>
      <c r="S490" s="26">
        <v>4</v>
      </c>
      <c r="U490" t="s">
        <v>1280</v>
      </c>
      <c r="V490" t="s">
        <v>429</v>
      </c>
      <c r="W490" t="s">
        <v>1279</v>
      </c>
      <c r="X490" s="26">
        <v>2</v>
      </c>
    </row>
    <row r="491" spans="1:24" hidden="1" x14ac:dyDescent="0.35">
      <c r="A491">
        <f t="shared" si="15"/>
        <v>490</v>
      </c>
      <c r="B491">
        <v>2003</v>
      </c>
      <c r="C491" t="s">
        <v>1209</v>
      </c>
      <c r="D491" t="s">
        <v>509</v>
      </c>
      <c r="E491" t="s">
        <v>509</v>
      </c>
      <c r="G491" s="2">
        <v>15</v>
      </c>
      <c r="H491" t="s">
        <v>954</v>
      </c>
      <c r="I491" t="s">
        <v>955</v>
      </c>
      <c r="J491" s="11">
        <v>329.05871926422469</v>
      </c>
      <c r="K491" t="str">
        <f t="shared" si="14"/>
        <v>Terry Leatherwood   </v>
      </c>
      <c r="M491" t="s">
        <v>1174</v>
      </c>
      <c r="N491" t="s">
        <v>196</v>
      </c>
      <c r="O491" s="26">
        <v>2</v>
      </c>
      <c r="Q491" t="s">
        <v>799</v>
      </c>
      <c r="R491" t="s">
        <v>2317</v>
      </c>
      <c r="S491" s="26">
        <v>1</v>
      </c>
      <c r="U491" t="s">
        <v>723</v>
      </c>
      <c r="V491" t="s">
        <v>429</v>
      </c>
      <c r="W491" t="s">
        <v>442</v>
      </c>
      <c r="X491" s="26">
        <v>9</v>
      </c>
    </row>
    <row r="492" spans="1:24" hidden="1" x14ac:dyDescent="0.35">
      <c r="A492">
        <f t="shared" si="15"/>
        <v>491</v>
      </c>
      <c r="B492">
        <v>2003</v>
      </c>
      <c r="C492" t="s">
        <v>1209</v>
      </c>
      <c r="D492" t="s">
        <v>509</v>
      </c>
      <c r="E492" t="s">
        <v>509</v>
      </c>
      <c r="G492" s="2">
        <v>16</v>
      </c>
      <c r="H492" t="s">
        <v>1344</v>
      </c>
      <c r="I492" t="s">
        <v>1345</v>
      </c>
      <c r="J492" s="11">
        <v>301.02999566398125</v>
      </c>
      <c r="K492" t="str">
        <f t="shared" si="14"/>
        <v>Vinnie Widdows</v>
      </c>
      <c r="M492" t="s">
        <v>727</v>
      </c>
      <c r="N492" t="s">
        <v>73</v>
      </c>
      <c r="O492" s="26">
        <v>1</v>
      </c>
      <c r="R492" t="s">
        <v>798</v>
      </c>
      <c r="S492" s="26">
        <v>1</v>
      </c>
      <c r="U492" t="s">
        <v>2327</v>
      </c>
      <c r="V492" t="s">
        <v>429</v>
      </c>
      <c r="W492" t="s">
        <v>2322</v>
      </c>
      <c r="X492" s="26">
        <v>2</v>
      </c>
    </row>
    <row r="493" spans="1:24" hidden="1" x14ac:dyDescent="0.35">
      <c r="A493">
        <f t="shared" si="15"/>
        <v>492</v>
      </c>
      <c r="B493">
        <v>2003</v>
      </c>
      <c r="C493" t="s">
        <v>1209</v>
      </c>
      <c r="D493" t="s">
        <v>509</v>
      </c>
      <c r="E493" t="s">
        <v>509</v>
      </c>
      <c r="G493" s="2">
        <v>17</v>
      </c>
      <c r="H493" t="s">
        <v>1346</v>
      </c>
      <c r="I493" t="s">
        <v>136</v>
      </c>
      <c r="J493" s="11">
        <v>274.70105694163215</v>
      </c>
      <c r="K493" t="str">
        <f t="shared" si="14"/>
        <v>John Werthwein</v>
      </c>
      <c r="M493" t="s">
        <v>246</v>
      </c>
      <c r="N493" t="s">
        <v>247</v>
      </c>
      <c r="O493" s="26">
        <v>2</v>
      </c>
      <c r="Q493" t="s">
        <v>1190</v>
      </c>
      <c r="R493" t="s">
        <v>1189</v>
      </c>
      <c r="S493" s="26">
        <v>4</v>
      </c>
      <c r="U493" t="s">
        <v>2290</v>
      </c>
      <c r="V493" t="s">
        <v>2280</v>
      </c>
      <c r="W493" t="s">
        <v>185</v>
      </c>
      <c r="X493" s="26">
        <v>1</v>
      </c>
    </row>
    <row r="494" spans="1:24" hidden="1" x14ac:dyDescent="0.35">
      <c r="A494">
        <f t="shared" si="15"/>
        <v>493</v>
      </c>
      <c r="B494">
        <v>2003</v>
      </c>
      <c r="C494" t="s">
        <v>1209</v>
      </c>
      <c r="D494" t="s">
        <v>509</v>
      </c>
      <c r="E494" t="s">
        <v>509</v>
      </c>
      <c r="G494" s="2">
        <v>18</v>
      </c>
      <c r="H494" t="s">
        <v>420</v>
      </c>
      <c r="I494" t="s">
        <v>1022</v>
      </c>
      <c r="J494" s="11">
        <v>249.87747321660004</v>
      </c>
      <c r="K494" t="str">
        <f t="shared" si="14"/>
        <v>Mitch Jacobs</v>
      </c>
      <c r="M494" t="s">
        <v>266</v>
      </c>
      <c r="N494" t="s">
        <v>28</v>
      </c>
      <c r="O494" s="26">
        <v>24</v>
      </c>
      <c r="Q494" t="s">
        <v>1355</v>
      </c>
      <c r="R494" t="s">
        <v>1354</v>
      </c>
      <c r="S494" s="26">
        <v>2</v>
      </c>
      <c r="U494" t="s">
        <v>386</v>
      </c>
      <c r="V494" t="s">
        <v>104</v>
      </c>
      <c r="W494" t="s">
        <v>103</v>
      </c>
      <c r="X494" s="26">
        <v>8</v>
      </c>
    </row>
    <row r="495" spans="1:24" hidden="1" x14ac:dyDescent="0.35">
      <c r="A495">
        <f t="shared" si="15"/>
        <v>494</v>
      </c>
      <c r="B495">
        <v>2003</v>
      </c>
      <c r="C495" t="s">
        <v>1209</v>
      </c>
      <c r="D495" t="s">
        <v>509</v>
      </c>
      <c r="E495" t="s">
        <v>509</v>
      </c>
      <c r="G495" s="2">
        <v>19</v>
      </c>
      <c r="H495" t="s">
        <v>1214</v>
      </c>
      <c r="I495" t="s">
        <v>65</v>
      </c>
      <c r="J495" s="11">
        <v>226.39637736707718</v>
      </c>
      <c r="K495" t="str">
        <f t="shared" si="14"/>
        <v>Steve Bjordammen</v>
      </c>
      <c r="M495" t="s">
        <v>1278</v>
      </c>
      <c r="N495" t="s">
        <v>16</v>
      </c>
      <c r="O495" s="26">
        <v>1</v>
      </c>
      <c r="Q495" t="s">
        <v>429</v>
      </c>
      <c r="R495" t="s">
        <v>428</v>
      </c>
      <c r="S495" s="26">
        <v>2</v>
      </c>
      <c r="U495" t="s">
        <v>1552</v>
      </c>
      <c r="V495" t="s">
        <v>142</v>
      </c>
      <c r="W495" t="s">
        <v>600</v>
      </c>
      <c r="X495" s="26">
        <v>6</v>
      </c>
    </row>
    <row r="496" spans="1:24" hidden="1" x14ac:dyDescent="0.35">
      <c r="A496">
        <f t="shared" si="15"/>
        <v>495</v>
      </c>
      <c r="B496">
        <v>2003</v>
      </c>
      <c r="C496" t="s">
        <v>1209</v>
      </c>
      <c r="D496" t="s">
        <v>509</v>
      </c>
      <c r="E496" t="s">
        <v>509</v>
      </c>
      <c r="G496" s="2">
        <v>20</v>
      </c>
      <c r="H496" t="s">
        <v>804</v>
      </c>
      <c r="I496" t="s">
        <v>22</v>
      </c>
      <c r="J496" s="11">
        <v>204.11998265592479</v>
      </c>
      <c r="K496" t="str">
        <f t="shared" si="14"/>
        <v>Rich Barrett</v>
      </c>
      <c r="M496" t="s">
        <v>1127</v>
      </c>
      <c r="N496" t="s">
        <v>843</v>
      </c>
      <c r="O496" s="26">
        <v>1</v>
      </c>
      <c r="R496" t="s">
        <v>1279</v>
      </c>
      <c r="S496" s="26">
        <v>2</v>
      </c>
      <c r="U496" t="s">
        <v>1036</v>
      </c>
      <c r="V496" t="s">
        <v>142</v>
      </c>
      <c r="W496" t="s">
        <v>1035</v>
      </c>
      <c r="X496" s="26">
        <v>1</v>
      </c>
    </row>
    <row r="497" spans="1:24" hidden="1" x14ac:dyDescent="0.35">
      <c r="A497">
        <f t="shared" si="15"/>
        <v>496</v>
      </c>
      <c r="B497">
        <v>2003</v>
      </c>
      <c r="C497" t="s">
        <v>1209</v>
      </c>
      <c r="D497" t="s">
        <v>509</v>
      </c>
      <c r="E497" t="s">
        <v>509</v>
      </c>
      <c r="G497" s="2">
        <v>21</v>
      </c>
      <c r="H497" t="s">
        <v>1214</v>
      </c>
      <c r="I497" t="s">
        <v>65</v>
      </c>
      <c r="J497" s="11">
        <v>182.93068358598674</v>
      </c>
      <c r="K497" t="str">
        <f t="shared" si="14"/>
        <v>Steve Bjordammen</v>
      </c>
      <c r="M497" t="s">
        <v>1024</v>
      </c>
      <c r="N497" t="s">
        <v>271</v>
      </c>
      <c r="O497" s="26">
        <v>2</v>
      </c>
      <c r="R497" t="s">
        <v>442</v>
      </c>
      <c r="S497" s="26">
        <v>9</v>
      </c>
      <c r="U497" t="s">
        <v>143</v>
      </c>
      <c r="V497" t="s">
        <v>142</v>
      </c>
      <c r="W497" t="s">
        <v>141</v>
      </c>
      <c r="X497" s="26">
        <v>8</v>
      </c>
    </row>
    <row r="498" spans="1:24" hidden="1" x14ac:dyDescent="0.35">
      <c r="A498">
        <f t="shared" si="15"/>
        <v>497</v>
      </c>
      <c r="B498">
        <v>2003</v>
      </c>
      <c r="C498" t="s">
        <v>1209</v>
      </c>
      <c r="D498" t="s">
        <v>509</v>
      </c>
      <c r="E498" t="s">
        <v>509</v>
      </c>
      <c r="G498" s="2">
        <v>22</v>
      </c>
      <c r="H498" t="s">
        <v>804</v>
      </c>
      <c r="I498" t="s">
        <v>22</v>
      </c>
      <c r="J498" s="11">
        <v>162.72729749769988</v>
      </c>
      <c r="K498" t="str">
        <f t="shared" si="14"/>
        <v>Rich Barrett</v>
      </c>
      <c r="M498" t="s">
        <v>185</v>
      </c>
      <c r="N498" t="s">
        <v>20</v>
      </c>
      <c r="O498" s="26">
        <v>3</v>
      </c>
      <c r="R498" t="s">
        <v>2322</v>
      </c>
      <c r="S498" s="26">
        <v>2</v>
      </c>
      <c r="U498" t="s">
        <v>1405</v>
      </c>
      <c r="V498" t="s">
        <v>142</v>
      </c>
      <c r="W498" t="s">
        <v>1404</v>
      </c>
      <c r="X498" s="26">
        <v>1</v>
      </c>
    </row>
    <row r="499" spans="1:24" hidden="1" x14ac:dyDescent="0.35">
      <c r="A499">
        <f t="shared" si="15"/>
        <v>498</v>
      </c>
      <c r="B499">
        <v>2003</v>
      </c>
      <c r="C499" t="s">
        <v>1209</v>
      </c>
      <c r="D499" t="s">
        <v>45</v>
      </c>
      <c r="E499" t="s">
        <v>1429</v>
      </c>
      <c r="G499" s="2">
        <v>1</v>
      </c>
      <c r="H499" t="s">
        <v>1214</v>
      </c>
      <c r="I499" t="s">
        <v>65</v>
      </c>
      <c r="J499" s="11">
        <v>1491.3616938342727</v>
      </c>
      <c r="K499" t="str">
        <f t="shared" si="14"/>
        <v>Steve Bjordammen</v>
      </c>
      <c r="N499" t="s">
        <v>2280</v>
      </c>
      <c r="O499" s="26">
        <v>1</v>
      </c>
      <c r="Q499" t="s">
        <v>2280</v>
      </c>
      <c r="R499" t="s">
        <v>185</v>
      </c>
      <c r="S499" s="26">
        <v>1</v>
      </c>
      <c r="U499" t="s">
        <v>867</v>
      </c>
      <c r="V499" t="s">
        <v>142</v>
      </c>
      <c r="W499" t="s">
        <v>866</v>
      </c>
      <c r="X499" s="26">
        <v>7</v>
      </c>
    </row>
    <row r="500" spans="1:24" hidden="1" x14ac:dyDescent="0.35">
      <c r="A500">
        <f t="shared" si="15"/>
        <v>499</v>
      </c>
      <c r="B500">
        <v>2003</v>
      </c>
      <c r="C500" t="s">
        <v>1209</v>
      </c>
      <c r="D500" t="s">
        <v>45</v>
      </c>
      <c r="E500" t="s">
        <v>1429</v>
      </c>
      <c r="G500" s="2">
        <v>2</v>
      </c>
      <c r="H500" t="s">
        <v>1199</v>
      </c>
      <c r="I500" t="s">
        <v>16</v>
      </c>
      <c r="J500" s="11">
        <v>1190.3316981702915</v>
      </c>
      <c r="K500" t="str">
        <f t="shared" si="14"/>
        <v>David Newberry</v>
      </c>
      <c r="M500" t="s">
        <v>937</v>
      </c>
      <c r="N500" t="s">
        <v>11</v>
      </c>
      <c r="O500" s="26">
        <v>1</v>
      </c>
      <c r="Q500" t="s">
        <v>104</v>
      </c>
      <c r="R500" t="s">
        <v>103</v>
      </c>
      <c r="S500" s="26">
        <v>8</v>
      </c>
      <c r="U500" t="s">
        <v>1067</v>
      </c>
      <c r="V500" t="s">
        <v>142</v>
      </c>
      <c r="W500" t="s">
        <v>1066</v>
      </c>
      <c r="X500" s="26">
        <v>1</v>
      </c>
    </row>
    <row r="501" spans="1:24" hidden="1" x14ac:dyDescent="0.35">
      <c r="A501">
        <f t="shared" si="15"/>
        <v>500</v>
      </c>
      <c r="B501">
        <v>2003</v>
      </c>
      <c r="C501" t="s">
        <v>1209</v>
      </c>
      <c r="D501" t="s">
        <v>45</v>
      </c>
      <c r="E501" t="s">
        <v>1429</v>
      </c>
      <c r="G501" s="2">
        <v>3</v>
      </c>
      <c r="H501" t="s">
        <v>1194</v>
      </c>
      <c r="I501" t="s">
        <v>1195</v>
      </c>
      <c r="J501" s="11">
        <v>1014.2404391146102</v>
      </c>
      <c r="K501" t="str">
        <f t="shared" si="14"/>
        <v>Grant Beardsley</v>
      </c>
      <c r="M501" t="s">
        <v>2281</v>
      </c>
      <c r="N501" t="s">
        <v>2282</v>
      </c>
      <c r="O501" s="26">
        <v>4</v>
      </c>
      <c r="Q501" t="s">
        <v>142</v>
      </c>
      <c r="R501" t="s">
        <v>600</v>
      </c>
      <c r="S501" s="26">
        <v>6</v>
      </c>
      <c r="U501" t="s">
        <v>1246</v>
      </c>
      <c r="V501" t="s">
        <v>142</v>
      </c>
      <c r="W501" t="s">
        <v>950</v>
      </c>
      <c r="X501" s="26">
        <v>8</v>
      </c>
    </row>
    <row r="502" spans="1:24" hidden="1" x14ac:dyDescent="0.35">
      <c r="A502">
        <f t="shared" si="15"/>
        <v>501</v>
      </c>
      <c r="B502">
        <v>2003</v>
      </c>
      <c r="C502" t="s">
        <v>1209</v>
      </c>
      <c r="D502" t="s">
        <v>45</v>
      </c>
      <c r="E502" t="s">
        <v>1429</v>
      </c>
      <c r="G502" s="2">
        <v>4</v>
      </c>
      <c r="H502" t="s">
        <v>601</v>
      </c>
      <c r="I502" t="s">
        <v>58</v>
      </c>
      <c r="J502" s="11">
        <v>889.30170250631022</v>
      </c>
      <c r="K502" t="str">
        <f t="shared" si="14"/>
        <v>Jim Bullard</v>
      </c>
      <c r="M502" t="s">
        <v>1221</v>
      </c>
      <c r="N502" t="s">
        <v>661</v>
      </c>
      <c r="O502" s="26">
        <v>1</v>
      </c>
      <c r="R502" t="s">
        <v>1035</v>
      </c>
      <c r="S502" s="26">
        <v>1</v>
      </c>
      <c r="U502" t="s">
        <v>423</v>
      </c>
      <c r="V502" t="s">
        <v>142</v>
      </c>
      <c r="W502" t="s">
        <v>422</v>
      </c>
      <c r="X502" s="26">
        <v>2</v>
      </c>
    </row>
    <row r="503" spans="1:24" hidden="1" x14ac:dyDescent="0.35">
      <c r="A503">
        <f t="shared" si="15"/>
        <v>502</v>
      </c>
      <c r="B503">
        <v>2003</v>
      </c>
      <c r="C503" t="s">
        <v>1209</v>
      </c>
      <c r="D503" t="s">
        <v>45</v>
      </c>
      <c r="E503" t="s">
        <v>1429</v>
      </c>
      <c r="G503" s="2">
        <v>5</v>
      </c>
      <c r="H503" t="s">
        <v>1335</v>
      </c>
      <c r="I503" t="s">
        <v>1269</v>
      </c>
      <c r="J503" s="11">
        <v>792.39168949825375</v>
      </c>
      <c r="K503" t="str">
        <f t="shared" si="14"/>
        <v>Jack Skerston</v>
      </c>
      <c r="M503" t="s">
        <v>1319</v>
      </c>
      <c r="N503" t="s">
        <v>119</v>
      </c>
      <c r="O503" s="26">
        <v>1</v>
      </c>
      <c r="R503" t="s">
        <v>141</v>
      </c>
      <c r="S503" s="26">
        <v>8</v>
      </c>
      <c r="U503" t="s">
        <v>1009</v>
      </c>
      <c r="V503" t="s">
        <v>768</v>
      </c>
      <c r="W503" t="s">
        <v>1008</v>
      </c>
      <c r="X503" s="26">
        <v>2</v>
      </c>
    </row>
    <row r="504" spans="1:24" hidden="1" x14ac:dyDescent="0.35">
      <c r="A504">
        <f t="shared" si="15"/>
        <v>503</v>
      </c>
      <c r="B504">
        <v>2003</v>
      </c>
      <c r="C504" t="s">
        <v>1209</v>
      </c>
      <c r="D504" t="s">
        <v>45</v>
      </c>
      <c r="E504" t="s">
        <v>1429</v>
      </c>
      <c r="G504" s="2">
        <v>6</v>
      </c>
      <c r="H504" t="s">
        <v>821</v>
      </c>
      <c r="I504" t="s">
        <v>1349</v>
      </c>
      <c r="J504" s="11">
        <v>713.21044345062899</v>
      </c>
      <c r="K504" t="str">
        <f t="shared" si="14"/>
        <v>Peg Smith</v>
      </c>
      <c r="M504" t="s">
        <v>394</v>
      </c>
      <c r="N504" t="s">
        <v>1085</v>
      </c>
      <c r="O504" s="26">
        <v>2</v>
      </c>
      <c r="R504" t="s">
        <v>1404</v>
      </c>
      <c r="S504" s="26">
        <v>1</v>
      </c>
      <c r="U504" t="s">
        <v>1571</v>
      </c>
      <c r="V504" t="s">
        <v>1514</v>
      </c>
      <c r="W504" t="s">
        <v>1513</v>
      </c>
      <c r="X504" s="26">
        <v>2</v>
      </c>
    </row>
    <row r="505" spans="1:24" hidden="1" x14ac:dyDescent="0.35">
      <c r="A505">
        <f t="shared" si="15"/>
        <v>504</v>
      </c>
      <c r="B505">
        <v>2003</v>
      </c>
      <c r="C505" t="s">
        <v>1209</v>
      </c>
      <c r="D505" t="s">
        <v>45</v>
      </c>
      <c r="E505" t="s">
        <v>1429</v>
      </c>
      <c r="G505" s="2">
        <v>7</v>
      </c>
      <c r="H505" t="s">
        <v>1202</v>
      </c>
      <c r="I505" t="s">
        <v>65</v>
      </c>
      <c r="J505" s="11">
        <v>646.26365382001586</v>
      </c>
      <c r="K505" t="str">
        <f t="shared" si="14"/>
        <v>Steve Jewett</v>
      </c>
      <c r="N505" t="s">
        <v>1516</v>
      </c>
      <c r="O505" s="26">
        <v>5</v>
      </c>
      <c r="R505" t="s">
        <v>866</v>
      </c>
      <c r="S505" s="26">
        <v>7</v>
      </c>
      <c r="U505" t="s">
        <v>120</v>
      </c>
      <c r="V505" t="s">
        <v>34</v>
      </c>
      <c r="W505" t="s">
        <v>33</v>
      </c>
      <c r="X505" s="26">
        <v>15</v>
      </c>
    </row>
    <row r="506" spans="1:24" hidden="1" x14ac:dyDescent="0.35">
      <c r="A506">
        <f t="shared" si="15"/>
        <v>505</v>
      </c>
      <c r="B506">
        <v>2003</v>
      </c>
      <c r="C506" t="s">
        <v>1209</v>
      </c>
      <c r="D506" t="s">
        <v>45</v>
      </c>
      <c r="E506" t="s">
        <v>1429</v>
      </c>
      <c r="G506" s="2">
        <v>8</v>
      </c>
      <c r="H506" t="s">
        <v>161</v>
      </c>
      <c r="I506" t="s">
        <v>44</v>
      </c>
      <c r="J506" s="11">
        <v>588.27170684232908</v>
      </c>
      <c r="K506" t="str">
        <f t="shared" si="14"/>
        <v>Mike Becker</v>
      </c>
      <c r="N506" t="s">
        <v>44</v>
      </c>
      <c r="O506" s="26">
        <v>6</v>
      </c>
      <c r="R506" t="s">
        <v>1066</v>
      </c>
      <c r="S506" s="26">
        <v>1</v>
      </c>
      <c r="U506" t="s">
        <v>726</v>
      </c>
      <c r="V506" t="s">
        <v>725</v>
      </c>
      <c r="W506" t="s">
        <v>724</v>
      </c>
      <c r="X506" s="26">
        <v>2</v>
      </c>
    </row>
    <row r="507" spans="1:24" hidden="1" x14ac:dyDescent="0.35">
      <c r="A507">
        <f t="shared" si="15"/>
        <v>506</v>
      </c>
      <c r="B507">
        <v>2003</v>
      </c>
      <c r="C507" t="s">
        <v>1209</v>
      </c>
      <c r="D507" t="s">
        <v>45</v>
      </c>
      <c r="E507" t="s">
        <v>1429</v>
      </c>
      <c r="G507" s="2">
        <v>9</v>
      </c>
      <c r="H507" t="s">
        <v>1330</v>
      </c>
      <c r="I507" t="s">
        <v>1331</v>
      </c>
      <c r="J507" s="11">
        <v>537.11918439494775</v>
      </c>
      <c r="K507" t="str">
        <f t="shared" si="14"/>
        <v>Marion Busch</v>
      </c>
      <c r="N507" t="s">
        <v>395</v>
      </c>
      <c r="O507" s="26">
        <v>1</v>
      </c>
      <c r="R507" t="s">
        <v>950</v>
      </c>
      <c r="S507" s="26">
        <v>8</v>
      </c>
      <c r="U507" t="s">
        <v>639</v>
      </c>
      <c r="V507" t="s">
        <v>218</v>
      </c>
      <c r="W507" t="s">
        <v>638</v>
      </c>
      <c r="X507" s="26">
        <v>1</v>
      </c>
    </row>
    <row r="508" spans="1:24" hidden="1" x14ac:dyDescent="0.35">
      <c r="A508">
        <f t="shared" si="15"/>
        <v>507</v>
      </c>
      <c r="B508">
        <v>2003</v>
      </c>
      <c r="C508" t="s">
        <v>1209</v>
      </c>
      <c r="D508" t="s">
        <v>45</v>
      </c>
      <c r="E508" t="s">
        <v>1429</v>
      </c>
      <c r="G508" s="2">
        <v>10</v>
      </c>
      <c r="H508" t="s">
        <v>588</v>
      </c>
      <c r="I508" t="s">
        <v>353</v>
      </c>
      <c r="J508" s="11">
        <v>491.36169383427261</v>
      </c>
      <c r="K508" t="str">
        <f t="shared" si="14"/>
        <v>Frank Bruegger</v>
      </c>
      <c r="M508" t="s">
        <v>1504</v>
      </c>
      <c r="N508" t="s">
        <v>1050</v>
      </c>
      <c r="O508" s="26">
        <v>5</v>
      </c>
      <c r="R508" t="s">
        <v>422</v>
      </c>
      <c r="S508" s="26">
        <v>2</v>
      </c>
      <c r="U508" t="s">
        <v>751</v>
      </c>
      <c r="V508" t="s">
        <v>218</v>
      </c>
      <c r="W508" t="s">
        <v>750</v>
      </c>
      <c r="X508" s="26">
        <v>2</v>
      </c>
    </row>
    <row r="509" spans="1:24" hidden="1" x14ac:dyDescent="0.35">
      <c r="A509">
        <f t="shared" si="15"/>
        <v>508</v>
      </c>
      <c r="B509">
        <v>2003</v>
      </c>
      <c r="C509" t="s">
        <v>1209</v>
      </c>
      <c r="D509" t="s">
        <v>45</v>
      </c>
      <c r="E509" t="s">
        <v>1429</v>
      </c>
      <c r="G509" s="2">
        <v>11</v>
      </c>
      <c r="H509" t="s">
        <v>1337</v>
      </c>
      <c r="I509" t="s">
        <v>1338</v>
      </c>
      <c r="J509" s="11">
        <v>449.96900867604751</v>
      </c>
      <c r="K509" t="str">
        <f t="shared" si="14"/>
        <v>Chet Frederick</v>
      </c>
      <c r="N509" t="s">
        <v>85</v>
      </c>
      <c r="O509" s="26">
        <v>24</v>
      </c>
      <c r="Q509" t="s">
        <v>768</v>
      </c>
      <c r="R509" t="s">
        <v>1008</v>
      </c>
      <c r="S509" s="26">
        <v>2</v>
      </c>
      <c r="U509" t="s">
        <v>497</v>
      </c>
      <c r="V509" t="s">
        <v>218</v>
      </c>
      <c r="W509" t="s">
        <v>496</v>
      </c>
      <c r="X509" s="26">
        <v>1</v>
      </c>
    </row>
    <row r="510" spans="1:24" hidden="1" x14ac:dyDescent="0.35">
      <c r="A510">
        <f t="shared" si="15"/>
        <v>509</v>
      </c>
      <c r="B510">
        <v>2003</v>
      </c>
      <c r="C510" t="s">
        <v>1209</v>
      </c>
      <c r="D510" t="s">
        <v>45</v>
      </c>
      <c r="E510" t="s">
        <v>1429</v>
      </c>
      <c r="G510" s="2">
        <v>12</v>
      </c>
      <c r="H510" t="s">
        <v>1333</v>
      </c>
      <c r="I510" t="s">
        <v>480</v>
      </c>
      <c r="J510" s="11">
        <v>412.18044778664773</v>
      </c>
      <c r="K510" t="str">
        <f t="shared" si="14"/>
        <v>James Hankins</v>
      </c>
      <c r="M510" t="s">
        <v>107</v>
      </c>
      <c r="N510" t="s">
        <v>108</v>
      </c>
      <c r="O510" s="26">
        <v>22</v>
      </c>
      <c r="Q510" t="s">
        <v>1514</v>
      </c>
      <c r="R510" t="s">
        <v>1513</v>
      </c>
      <c r="S510" s="26">
        <v>2</v>
      </c>
      <c r="U510" t="s">
        <v>2376</v>
      </c>
      <c r="V510" t="s">
        <v>218</v>
      </c>
      <c r="W510" t="s">
        <v>1727</v>
      </c>
      <c r="X510" s="26">
        <v>1</v>
      </c>
    </row>
    <row r="511" spans="1:24" hidden="1" x14ac:dyDescent="0.35">
      <c r="A511">
        <f t="shared" si="15"/>
        <v>510</v>
      </c>
      <c r="B511">
        <v>2003</v>
      </c>
      <c r="C511" t="s">
        <v>1209</v>
      </c>
      <c r="D511" t="s">
        <v>45</v>
      </c>
      <c r="E511" t="s">
        <v>1429</v>
      </c>
      <c r="G511" s="2">
        <v>13</v>
      </c>
      <c r="H511" t="s">
        <v>804</v>
      </c>
      <c r="I511" t="s">
        <v>644</v>
      </c>
      <c r="J511" s="11">
        <v>377.41834152743593</v>
      </c>
      <c r="K511" t="str">
        <f t="shared" si="14"/>
        <v>Ed Barrett</v>
      </c>
      <c r="M511" t="s">
        <v>660</v>
      </c>
      <c r="N511" t="s">
        <v>471</v>
      </c>
      <c r="O511" s="26">
        <v>6</v>
      </c>
      <c r="R511" t="s">
        <v>2398</v>
      </c>
      <c r="S511" s="26">
        <v>1</v>
      </c>
      <c r="U511" t="s">
        <v>977</v>
      </c>
      <c r="V511" t="s">
        <v>218</v>
      </c>
      <c r="W511" t="s">
        <v>976</v>
      </c>
      <c r="X511" s="26">
        <v>2</v>
      </c>
    </row>
    <row r="512" spans="1:24" hidden="1" x14ac:dyDescent="0.35">
      <c r="A512">
        <f t="shared" si="15"/>
        <v>511</v>
      </c>
      <c r="B512">
        <v>2003</v>
      </c>
      <c r="C512" t="s">
        <v>1209</v>
      </c>
      <c r="D512" t="s">
        <v>45</v>
      </c>
      <c r="E512" t="s">
        <v>1429</v>
      </c>
      <c r="G512" s="2">
        <v>14</v>
      </c>
      <c r="H512" t="s">
        <v>183</v>
      </c>
      <c r="I512" t="s">
        <v>13</v>
      </c>
      <c r="J512" s="11">
        <v>345.23365815603466</v>
      </c>
      <c r="K512" t="str">
        <f t="shared" si="14"/>
        <v>Tom White</v>
      </c>
      <c r="M512" t="s">
        <v>1052</v>
      </c>
      <c r="N512" t="s">
        <v>28</v>
      </c>
      <c r="O512" s="26">
        <v>2</v>
      </c>
      <c r="Q512" t="s">
        <v>34</v>
      </c>
      <c r="R512" t="s">
        <v>33</v>
      </c>
      <c r="S512" s="26">
        <v>15</v>
      </c>
      <c r="U512" t="s">
        <v>1492</v>
      </c>
      <c r="V512" t="s">
        <v>218</v>
      </c>
      <c r="W512" t="s">
        <v>420</v>
      </c>
      <c r="X512" s="26">
        <v>1</v>
      </c>
    </row>
    <row r="513" spans="1:24" hidden="1" x14ac:dyDescent="0.35">
      <c r="A513">
        <f t="shared" si="15"/>
        <v>512</v>
      </c>
      <c r="B513">
        <v>2003</v>
      </c>
      <c r="C513" t="s">
        <v>1209</v>
      </c>
      <c r="D513" t="s">
        <v>45</v>
      </c>
      <c r="E513" t="s">
        <v>1429</v>
      </c>
      <c r="G513" s="2">
        <v>15</v>
      </c>
      <c r="H513" t="s">
        <v>804</v>
      </c>
      <c r="I513" t="s">
        <v>22</v>
      </c>
      <c r="J513" s="11">
        <v>315.27043477859127</v>
      </c>
      <c r="K513" t="str">
        <f t="shared" si="14"/>
        <v>Rich Barrett</v>
      </c>
      <c r="M513" t="s">
        <v>1861</v>
      </c>
      <c r="N513" t="s">
        <v>200</v>
      </c>
      <c r="O513" s="26">
        <v>1</v>
      </c>
      <c r="Q513" t="s">
        <v>725</v>
      </c>
      <c r="R513" t="s">
        <v>724</v>
      </c>
      <c r="S513" s="26">
        <v>2</v>
      </c>
      <c r="U513" t="s">
        <v>284</v>
      </c>
      <c r="V513" t="s">
        <v>218</v>
      </c>
      <c r="W513" t="s">
        <v>43</v>
      </c>
      <c r="X513" s="26">
        <v>23</v>
      </c>
    </row>
    <row r="514" spans="1:24" hidden="1" x14ac:dyDescent="0.35">
      <c r="A514">
        <f t="shared" si="15"/>
        <v>513</v>
      </c>
      <c r="B514">
        <v>2003</v>
      </c>
      <c r="C514" t="s">
        <v>1209</v>
      </c>
      <c r="D514" t="s">
        <v>45</v>
      </c>
      <c r="E514" t="s">
        <v>1429</v>
      </c>
      <c r="G514" s="2">
        <v>16</v>
      </c>
      <c r="H514" t="s">
        <v>684</v>
      </c>
      <c r="I514" t="s">
        <v>521</v>
      </c>
      <c r="J514" s="11">
        <v>287.24171117834783</v>
      </c>
      <c r="K514" t="str">
        <f t="shared" ref="K514:K577" si="16">I514&amp;" "&amp;H514</f>
        <v>Chuck Bayne</v>
      </c>
      <c r="M514" t="s">
        <v>692</v>
      </c>
      <c r="N514" t="s">
        <v>200</v>
      </c>
      <c r="O514" s="26">
        <v>15</v>
      </c>
      <c r="Q514" t="s">
        <v>218</v>
      </c>
      <c r="R514" t="s">
        <v>638</v>
      </c>
      <c r="S514" s="26">
        <v>1</v>
      </c>
      <c r="U514" t="s">
        <v>274</v>
      </c>
      <c r="V514" t="s">
        <v>218</v>
      </c>
      <c r="W514" t="s">
        <v>273</v>
      </c>
      <c r="X514" s="26">
        <v>15</v>
      </c>
    </row>
    <row r="515" spans="1:24" hidden="1" x14ac:dyDescent="0.35">
      <c r="A515">
        <f t="shared" si="15"/>
        <v>514</v>
      </c>
      <c r="B515">
        <v>2003</v>
      </c>
      <c r="C515" t="s">
        <v>1209</v>
      </c>
      <c r="D515" t="s">
        <v>45</v>
      </c>
      <c r="E515" t="s">
        <v>1429</v>
      </c>
      <c r="G515" s="2">
        <v>17</v>
      </c>
      <c r="H515" t="s">
        <v>1333</v>
      </c>
      <c r="I515" t="s">
        <v>480</v>
      </c>
      <c r="J515" s="11">
        <v>260.91277245599878</v>
      </c>
      <c r="K515" t="str">
        <f t="shared" si="16"/>
        <v>James Hankins</v>
      </c>
      <c r="M515" t="s">
        <v>705</v>
      </c>
      <c r="N515" t="s">
        <v>706</v>
      </c>
      <c r="O515" s="26">
        <v>1</v>
      </c>
      <c r="R515" t="s">
        <v>750</v>
      </c>
      <c r="S515" s="26">
        <v>2</v>
      </c>
      <c r="U515" t="s">
        <v>1044</v>
      </c>
      <c r="V515" t="s">
        <v>218</v>
      </c>
      <c r="W515" t="s">
        <v>180</v>
      </c>
      <c r="X515" s="26">
        <v>3</v>
      </c>
    </row>
    <row r="516" spans="1:24" hidden="1" x14ac:dyDescent="0.35">
      <c r="A516">
        <f t="shared" ref="A516:A579" si="17">A515+1</f>
        <v>515</v>
      </c>
      <c r="B516">
        <v>2003</v>
      </c>
      <c r="C516" t="s">
        <v>1209</v>
      </c>
      <c r="D516" t="s">
        <v>45</v>
      </c>
      <c r="E516" t="s">
        <v>1429</v>
      </c>
      <c r="G516" s="2">
        <v>18</v>
      </c>
      <c r="H516" t="s">
        <v>1352</v>
      </c>
      <c r="I516" t="s">
        <v>528</v>
      </c>
      <c r="J516" s="11">
        <v>236.08918873096661</v>
      </c>
      <c r="K516" t="str">
        <f t="shared" si="16"/>
        <v>Tim McKnight</v>
      </c>
      <c r="M516" t="s">
        <v>1342</v>
      </c>
      <c r="N516" t="s">
        <v>1343</v>
      </c>
      <c r="O516" s="26">
        <v>1</v>
      </c>
      <c r="R516" t="s">
        <v>496</v>
      </c>
      <c r="S516" s="26">
        <v>1</v>
      </c>
      <c r="U516" t="s">
        <v>577</v>
      </c>
      <c r="V516" t="s">
        <v>218</v>
      </c>
      <c r="W516" t="s">
        <v>576</v>
      </c>
      <c r="X516" s="26">
        <v>1</v>
      </c>
    </row>
    <row r="517" spans="1:24" hidden="1" x14ac:dyDescent="0.35">
      <c r="A517">
        <f t="shared" si="17"/>
        <v>516</v>
      </c>
      <c r="B517">
        <v>2003</v>
      </c>
      <c r="C517" t="s">
        <v>1209</v>
      </c>
      <c r="D517" t="s">
        <v>45</v>
      </c>
      <c r="E517" t="s">
        <v>1429</v>
      </c>
      <c r="G517" s="2">
        <v>19</v>
      </c>
      <c r="H517" t="s">
        <v>527</v>
      </c>
      <c r="I517" t="s">
        <v>11</v>
      </c>
      <c r="J517" s="11">
        <v>212.60809288144378</v>
      </c>
      <c r="K517" t="str">
        <f t="shared" si="16"/>
        <v>Paul Stine</v>
      </c>
      <c r="M517" t="s">
        <v>1154</v>
      </c>
      <c r="N517" t="s">
        <v>952</v>
      </c>
      <c r="O517" s="26">
        <v>2</v>
      </c>
      <c r="R517" t="s">
        <v>1727</v>
      </c>
      <c r="S517" s="26">
        <v>1</v>
      </c>
      <c r="U517" t="s">
        <v>219</v>
      </c>
      <c r="V517" t="s">
        <v>218</v>
      </c>
      <c r="W517" t="s">
        <v>217</v>
      </c>
      <c r="X517" s="26">
        <v>17</v>
      </c>
    </row>
    <row r="518" spans="1:24" hidden="1" x14ac:dyDescent="0.35">
      <c r="A518">
        <f t="shared" si="17"/>
        <v>517</v>
      </c>
      <c r="B518">
        <v>2003</v>
      </c>
      <c r="C518" t="s">
        <v>1209</v>
      </c>
      <c r="D518" t="s">
        <v>45</v>
      </c>
      <c r="E518" t="s">
        <v>1429</v>
      </c>
      <c r="G518" s="2">
        <v>20</v>
      </c>
      <c r="H518" t="s">
        <v>1354</v>
      </c>
      <c r="I518" t="s">
        <v>1355</v>
      </c>
      <c r="J518" s="11">
        <v>190.33169817029139</v>
      </c>
      <c r="K518" t="str">
        <f t="shared" si="16"/>
        <v>Marvin Chosky</v>
      </c>
      <c r="M518" t="s">
        <v>576</v>
      </c>
      <c r="N518" t="s">
        <v>218</v>
      </c>
      <c r="O518" s="26">
        <v>1</v>
      </c>
      <c r="R518" t="s">
        <v>976</v>
      </c>
      <c r="S518" s="26">
        <v>2</v>
      </c>
      <c r="U518" t="s">
        <v>2471</v>
      </c>
      <c r="V518" t="s">
        <v>218</v>
      </c>
      <c r="W518" t="s">
        <v>2470</v>
      </c>
      <c r="X518" s="26">
        <v>1</v>
      </c>
    </row>
    <row r="519" spans="1:24" hidden="1" x14ac:dyDescent="0.35">
      <c r="A519">
        <f t="shared" si="17"/>
        <v>518</v>
      </c>
      <c r="B519">
        <v>2003</v>
      </c>
      <c r="C519" t="s">
        <v>1209</v>
      </c>
      <c r="D519" t="s">
        <v>1357</v>
      </c>
      <c r="E519" t="s">
        <v>1433</v>
      </c>
      <c r="G519" s="2">
        <v>1</v>
      </c>
      <c r="H519" t="s">
        <v>601</v>
      </c>
      <c r="I519" t="s">
        <v>58</v>
      </c>
      <c r="J519" s="11">
        <v>1447.1580313422191</v>
      </c>
      <c r="K519" t="str">
        <f t="shared" si="16"/>
        <v>Jim Bullard</v>
      </c>
      <c r="M519" t="s">
        <v>114</v>
      </c>
      <c r="N519" t="s">
        <v>187</v>
      </c>
      <c r="O519" s="26">
        <v>10</v>
      </c>
      <c r="R519" t="s">
        <v>420</v>
      </c>
      <c r="S519" s="26">
        <v>1</v>
      </c>
      <c r="U519" t="s">
        <v>767</v>
      </c>
      <c r="V519" t="s">
        <v>218</v>
      </c>
      <c r="W519" t="s">
        <v>702</v>
      </c>
      <c r="X519" s="26">
        <v>3</v>
      </c>
    </row>
    <row r="520" spans="1:24" hidden="1" x14ac:dyDescent="0.35">
      <c r="A520">
        <f t="shared" si="17"/>
        <v>519</v>
      </c>
      <c r="B520">
        <v>2003</v>
      </c>
      <c r="C520" t="s">
        <v>1209</v>
      </c>
      <c r="D520" t="s">
        <v>1357</v>
      </c>
      <c r="E520" t="s">
        <v>1433</v>
      </c>
      <c r="G520" s="2">
        <v>2</v>
      </c>
      <c r="H520" t="s">
        <v>588</v>
      </c>
      <c r="I520" t="s">
        <v>353</v>
      </c>
      <c r="J520" s="11">
        <v>1146.1280356782379</v>
      </c>
      <c r="K520" t="str">
        <f t="shared" si="16"/>
        <v>Frank Bruegger</v>
      </c>
      <c r="M520" t="s">
        <v>1515</v>
      </c>
      <c r="N520" t="s">
        <v>815</v>
      </c>
      <c r="O520" s="26">
        <v>2</v>
      </c>
      <c r="R520" t="s">
        <v>43</v>
      </c>
      <c r="S520" s="26">
        <v>23</v>
      </c>
      <c r="U520" t="s">
        <v>766</v>
      </c>
      <c r="V520" t="s">
        <v>765</v>
      </c>
      <c r="W520" t="s">
        <v>764</v>
      </c>
      <c r="X520" s="26">
        <v>13</v>
      </c>
    </row>
    <row r="521" spans="1:24" hidden="1" x14ac:dyDescent="0.35">
      <c r="A521">
        <f t="shared" si="17"/>
        <v>520</v>
      </c>
      <c r="B521">
        <v>2003</v>
      </c>
      <c r="C521" t="s">
        <v>1209</v>
      </c>
      <c r="D521" t="s">
        <v>1357</v>
      </c>
      <c r="E521" t="s">
        <v>1433</v>
      </c>
      <c r="G521" s="2">
        <v>3</v>
      </c>
      <c r="H521" t="s">
        <v>821</v>
      </c>
      <c r="I521" t="s">
        <v>1349</v>
      </c>
      <c r="J521" s="11">
        <v>970.03677662255677</v>
      </c>
      <c r="K521" t="str">
        <f t="shared" si="16"/>
        <v>Peg Smith</v>
      </c>
      <c r="M521" t="s">
        <v>547</v>
      </c>
      <c r="N521" t="s">
        <v>136</v>
      </c>
      <c r="O521" s="26">
        <v>2</v>
      </c>
      <c r="R521" t="s">
        <v>273</v>
      </c>
      <c r="S521" s="26">
        <v>15</v>
      </c>
      <c r="U521" t="s">
        <v>1351</v>
      </c>
      <c r="V521" t="s">
        <v>44</v>
      </c>
      <c r="W521" t="s">
        <v>161</v>
      </c>
      <c r="X521" s="26">
        <v>2</v>
      </c>
    </row>
    <row r="522" spans="1:24" hidden="1" x14ac:dyDescent="0.35">
      <c r="A522">
        <f t="shared" si="17"/>
        <v>521</v>
      </c>
      <c r="B522">
        <v>2003</v>
      </c>
      <c r="C522" t="s">
        <v>1209</v>
      </c>
      <c r="D522" t="s">
        <v>1357</v>
      </c>
      <c r="E522" t="s">
        <v>1433</v>
      </c>
      <c r="G522" s="2">
        <v>4</v>
      </c>
      <c r="H522" t="s">
        <v>1335</v>
      </c>
      <c r="I522" t="s">
        <v>1269</v>
      </c>
      <c r="J522" s="11">
        <v>845.09804001425687</v>
      </c>
      <c r="K522" t="str">
        <f t="shared" si="16"/>
        <v>Jack Skerston</v>
      </c>
      <c r="M522" t="s">
        <v>170</v>
      </c>
      <c r="N522" t="s">
        <v>171</v>
      </c>
      <c r="O522" s="26">
        <v>8</v>
      </c>
      <c r="R522" t="s">
        <v>180</v>
      </c>
      <c r="S522" s="26">
        <v>3</v>
      </c>
      <c r="U522" t="s">
        <v>432</v>
      </c>
      <c r="V522" t="s">
        <v>44</v>
      </c>
      <c r="W522" t="s">
        <v>431</v>
      </c>
      <c r="X522" s="26">
        <v>1</v>
      </c>
    </row>
    <row r="523" spans="1:24" hidden="1" x14ac:dyDescent="0.35">
      <c r="A523">
        <f t="shared" si="17"/>
        <v>522</v>
      </c>
      <c r="B523">
        <v>2003</v>
      </c>
      <c r="C523" t="s">
        <v>1209</v>
      </c>
      <c r="D523" t="s">
        <v>1357</v>
      </c>
      <c r="E523" t="s">
        <v>1433</v>
      </c>
      <c r="G523" s="2">
        <v>5</v>
      </c>
      <c r="H523" t="s">
        <v>281</v>
      </c>
      <c r="I523" t="s">
        <v>282</v>
      </c>
      <c r="J523" s="11">
        <v>748.1880270062004</v>
      </c>
      <c r="K523" t="str">
        <f t="shared" si="16"/>
        <v>Randy Collack</v>
      </c>
      <c r="M523" t="s">
        <v>2322</v>
      </c>
      <c r="N523" t="s">
        <v>429</v>
      </c>
      <c r="O523" s="26">
        <v>2</v>
      </c>
      <c r="R523" t="s">
        <v>576</v>
      </c>
      <c r="S523" s="26">
        <v>1</v>
      </c>
      <c r="U523" t="s">
        <v>1565</v>
      </c>
      <c r="V523" t="s">
        <v>44</v>
      </c>
      <c r="W523" t="s">
        <v>1512</v>
      </c>
      <c r="X523" s="26">
        <v>1</v>
      </c>
    </row>
    <row r="524" spans="1:24" hidden="1" x14ac:dyDescent="0.35">
      <c r="A524">
        <f t="shared" si="17"/>
        <v>523</v>
      </c>
      <c r="B524">
        <v>2003</v>
      </c>
      <c r="C524" t="s">
        <v>1209</v>
      </c>
      <c r="D524" t="s">
        <v>1357</v>
      </c>
      <c r="E524" t="s">
        <v>1433</v>
      </c>
      <c r="G524" s="2">
        <v>6</v>
      </c>
      <c r="H524" t="s">
        <v>689</v>
      </c>
      <c r="I524" t="s">
        <v>61</v>
      </c>
      <c r="J524" s="11">
        <v>669.00678095857552</v>
      </c>
      <c r="K524" t="str">
        <f t="shared" si="16"/>
        <v>Len Forsyth</v>
      </c>
      <c r="M524" t="s">
        <v>865</v>
      </c>
      <c r="N524" t="s">
        <v>115</v>
      </c>
      <c r="O524" s="26">
        <v>1</v>
      </c>
      <c r="R524" t="s">
        <v>217</v>
      </c>
      <c r="S524" s="26">
        <v>17</v>
      </c>
      <c r="U524" t="s">
        <v>1322</v>
      </c>
      <c r="V524" t="s">
        <v>44</v>
      </c>
      <c r="W524" t="s">
        <v>1301</v>
      </c>
      <c r="X524" s="26">
        <v>1</v>
      </c>
    </row>
    <row r="525" spans="1:24" hidden="1" x14ac:dyDescent="0.35">
      <c r="A525">
        <f t="shared" si="17"/>
        <v>524</v>
      </c>
      <c r="B525">
        <v>2003</v>
      </c>
      <c r="C525" t="s">
        <v>1209</v>
      </c>
      <c r="D525" t="s">
        <v>1357</v>
      </c>
      <c r="E525" t="s">
        <v>1433</v>
      </c>
      <c r="G525" s="2">
        <v>7</v>
      </c>
      <c r="H525" t="s">
        <v>420</v>
      </c>
      <c r="I525" t="s">
        <v>1022</v>
      </c>
      <c r="J525" s="11">
        <v>602.05999132796239</v>
      </c>
      <c r="K525" t="str">
        <f t="shared" si="16"/>
        <v>Mitch Jacobs</v>
      </c>
      <c r="M525" t="s">
        <v>144</v>
      </c>
      <c r="N525" t="s">
        <v>139</v>
      </c>
      <c r="O525" s="26">
        <v>1</v>
      </c>
      <c r="R525" t="s">
        <v>2470</v>
      </c>
      <c r="S525" s="26">
        <v>1</v>
      </c>
      <c r="U525" t="s">
        <v>1398</v>
      </c>
      <c r="V525" t="s">
        <v>44</v>
      </c>
      <c r="W525" t="s">
        <v>1397</v>
      </c>
      <c r="X525" s="26">
        <v>1</v>
      </c>
    </row>
    <row r="526" spans="1:24" hidden="1" x14ac:dyDescent="0.35">
      <c r="A526">
        <f t="shared" si="17"/>
        <v>525</v>
      </c>
      <c r="B526">
        <v>2003</v>
      </c>
      <c r="C526" t="s">
        <v>1209</v>
      </c>
      <c r="D526" t="s">
        <v>1357</v>
      </c>
      <c r="E526" t="s">
        <v>1433</v>
      </c>
      <c r="G526" s="2">
        <v>8</v>
      </c>
      <c r="H526" t="s">
        <v>1354</v>
      </c>
      <c r="I526" t="s">
        <v>1355</v>
      </c>
      <c r="J526" s="11">
        <v>544.06804435027561</v>
      </c>
      <c r="K526" t="str">
        <f t="shared" si="16"/>
        <v>Marvin Chosky</v>
      </c>
      <c r="M526" t="s">
        <v>2405</v>
      </c>
      <c r="N526" t="s">
        <v>136</v>
      </c>
      <c r="O526" s="26">
        <v>1</v>
      </c>
      <c r="R526" t="s">
        <v>702</v>
      </c>
      <c r="S526" s="26">
        <v>3</v>
      </c>
      <c r="U526" t="s">
        <v>1624</v>
      </c>
      <c r="V526" t="s">
        <v>44</v>
      </c>
      <c r="W526" t="s">
        <v>1437</v>
      </c>
      <c r="X526" s="26">
        <v>12</v>
      </c>
    </row>
    <row r="527" spans="1:24" hidden="1" x14ac:dyDescent="0.35">
      <c r="A527">
        <f t="shared" si="17"/>
        <v>526</v>
      </c>
      <c r="B527">
        <v>2003</v>
      </c>
      <c r="C527" t="s">
        <v>1209</v>
      </c>
      <c r="D527" t="s">
        <v>1357</v>
      </c>
      <c r="E527" t="s">
        <v>1433</v>
      </c>
      <c r="G527" s="2">
        <v>9</v>
      </c>
      <c r="H527" t="s">
        <v>527</v>
      </c>
      <c r="I527" t="s">
        <v>11</v>
      </c>
      <c r="J527" s="11">
        <v>492.91552190289434</v>
      </c>
      <c r="K527" t="str">
        <f t="shared" si="16"/>
        <v>Paul Stine</v>
      </c>
      <c r="M527" t="s">
        <v>475</v>
      </c>
      <c r="N527" t="s">
        <v>887</v>
      </c>
      <c r="O527" s="26">
        <v>25</v>
      </c>
      <c r="Q527" t="s">
        <v>765</v>
      </c>
      <c r="R527" t="s">
        <v>764</v>
      </c>
      <c r="S527" s="26">
        <v>13</v>
      </c>
      <c r="U527" t="s">
        <v>632</v>
      </c>
      <c r="V527" t="s">
        <v>44</v>
      </c>
      <c r="W527" t="s">
        <v>549</v>
      </c>
      <c r="X527" s="26">
        <v>2</v>
      </c>
    </row>
    <row r="528" spans="1:24" hidden="1" x14ac:dyDescent="0.35">
      <c r="A528">
        <f t="shared" si="17"/>
        <v>527</v>
      </c>
      <c r="B528">
        <v>2003</v>
      </c>
      <c r="C528" t="s">
        <v>1209</v>
      </c>
      <c r="D528" t="s">
        <v>1357</v>
      </c>
      <c r="E528" t="s">
        <v>1433</v>
      </c>
      <c r="G528" s="2">
        <v>10</v>
      </c>
      <c r="H528" t="s">
        <v>954</v>
      </c>
      <c r="I528" t="s">
        <v>955</v>
      </c>
      <c r="J528" s="11">
        <v>447.1580313422192</v>
      </c>
      <c r="K528" t="str">
        <f t="shared" si="16"/>
        <v>Terry Leatherwood   </v>
      </c>
      <c r="M528" t="s">
        <v>1303</v>
      </c>
      <c r="N528" t="s">
        <v>510</v>
      </c>
      <c r="O528" s="26">
        <v>1</v>
      </c>
      <c r="Q528" t="s">
        <v>44</v>
      </c>
      <c r="R528" t="s">
        <v>161</v>
      </c>
      <c r="S528" s="26">
        <v>2</v>
      </c>
      <c r="U528" t="s">
        <v>1493</v>
      </c>
      <c r="V528" t="s">
        <v>44</v>
      </c>
      <c r="W528" t="s">
        <v>550</v>
      </c>
      <c r="X528" s="26">
        <v>2</v>
      </c>
    </row>
    <row r="529" spans="1:24" hidden="1" x14ac:dyDescent="0.35">
      <c r="A529">
        <f t="shared" si="17"/>
        <v>528</v>
      </c>
      <c r="B529">
        <v>2003</v>
      </c>
      <c r="C529" t="s">
        <v>1209</v>
      </c>
      <c r="D529" t="s">
        <v>1357</v>
      </c>
      <c r="E529" t="s">
        <v>1433</v>
      </c>
      <c r="G529" s="2">
        <v>11</v>
      </c>
      <c r="H529" t="s">
        <v>1202</v>
      </c>
      <c r="I529" t="s">
        <v>65</v>
      </c>
      <c r="J529" s="11">
        <v>405.7653461839941</v>
      </c>
      <c r="K529" t="str">
        <f t="shared" si="16"/>
        <v>Steve Jewett</v>
      </c>
      <c r="M529" t="s">
        <v>941</v>
      </c>
      <c r="N529" t="s">
        <v>942</v>
      </c>
      <c r="O529" s="26">
        <v>2</v>
      </c>
      <c r="R529" t="s">
        <v>431</v>
      </c>
      <c r="S529" s="26">
        <v>1</v>
      </c>
      <c r="U529" t="s">
        <v>2412</v>
      </c>
      <c r="V529" t="s">
        <v>44</v>
      </c>
      <c r="W529" t="s">
        <v>2411</v>
      </c>
      <c r="X529" s="26">
        <v>1</v>
      </c>
    </row>
    <row r="530" spans="1:24" hidden="1" x14ac:dyDescent="0.35">
      <c r="A530">
        <f t="shared" si="17"/>
        <v>529</v>
      </c>
      <c r="B530">
        <v>2003</v>
      </c>
      <c r="C530" t="s">
        <v>1209</v>
      </c>
      <c r="D530" t="s">
        <v>1357</v>
      </c>
      <c r="E530" t="s">
        <v>1433</v>
      </c>
      <c r="G530" s="2">
        <v>12</v>
      </c>
      <c r="H530" t="s">
        <v>1358</v>
      </c>
      <c r="I530" t="s">
        <v>1359</v>
      </c>
      <c r="J530" s="11">
        <v>367.97678529459432</v>
      </c>
      <c r="K530" t="str">
        <f t="shared" si="16"/>
        <v>Wes Tilley</v>
      </c>
      <c r="M530" t="s">
        <v>1199</v>
      </c>
      <c r="N530" t="s">
        <v>16</v>
      </c>
      <c r="O530" s="26">
        <v>4</v>
      </c>
      <c r="R530" t="s">
        <v>1512</v>
      </c>
      <c r="S530" s="26">
        <v>1</v>
      </c>
      <c r="U530" t="s">
        <v>1255</v>
      </c>
      <c r="V530" t="s">
        <v>44</v>
      </c>
      <c r="W530" t="s">
        <v>1254</v>
      </c>
      <c r="X530" s="26">
        <v>2</v>
      </c>
    </row>
    <row r="531" spans="1:24" hidden="1" x14ac:dyDescent="0.35">
      <c r="A531">
        <f t="shared" si="17"/>
        <v>530</v>
      </c>
      <c r="B531">
        <v>2003</v>
      </c>
      <c r="C531" t="s">
        <v>1209</v>
      </c>
      <c r="D531" t="s">
        <v>1357</v>
      </c>
      <c r="E531" t="s">
        <v>1433</v>
      </c>
      <c r="G531" s="2">
        <v>13</v>
      </c>
      <c r="H531" t="s">
        <v>684</v>
      </c>
      <c r="I531" t="s">
        <v>521</v>
      </c>
      <c r="J531" s="11">
        <v>333.21467903538246</v>
      </c>
      <c r="K531" t="str">
        <f t="shared" si="16"/>
        <v>Chuck Bayne</v>
      </c>
      <c r="M531" t="s">
        <v>847</v>
      </c>
      <c r="N531" t="s">
        <v>848</v>
      </c>
      <c r="O531" s="26">
        <v>1</v>
      </c>
      <c r="R531" t="s">
        <v>1301</v>
      </c>
      <c r="S531" s="26">
        <v>1</v>
      </c>
      <c r="U531" t="s">
        <v>966</v>
      </c>
      <c r="V531" t="s">
        <v>44</v>
      </c>
      <c r="W531" t="s">
        <v>965</v>
      </c>
      <c r="X531" s="26">
        <v>10</v>
      </c>
    </row>
    <row r="532" spans="1:24" hidden="1" x14ac:dyDescent="0.35">
      <c r="A532">
        <f t="shared" si="17"/>
        <v>531</v>
      </c>
      <c r="B532">
        <v>2003</v>
      </c>
      <c r="C532" t="s">
        <v>1209</v>
      </c>
      <c r="D532" t="s">
        <v>1357</v>
      </c>
      <c r="E532" t="s">
        <v>1433</v>
      </c>
      <c r="G532" s="2">
        <v>14</v>
      </c>
      <c r="H532" t="s">
        <v>265</v>
      </c>
      <c r="I532" t="s">
        <v>139</v>
      </c>
      <c r="J532" s="11">
        <v>301.02999566398125</v>
      </c>
      <c r="K532" t="str">
        <f t="shared" si="16"/>
        <v>Mark Hughes</v>
      </c>
      <c r="M532" t="s">
        <v>567</v>
      </c>
      <c r="N532" t="s">
        <v>568</v>
      </c>
      <c r="O532" s="26">
        <v>4</v>
      </c>
      <c r="R532" t="s">
        <v>1397</v>
      </c>
      <c r="S532" s="26">
        <v>1</v>
      </c>
      <c r="U532" t="s">
        <v>319</v>
      </c>
      <c r="V532" t="s">
        <v>44</v>
      </c>
      <c r="W532" t="s">
        <v>318</v>
      </c>
      <c r="X532" s="26">
        <v>5</v>
      </c>
    </row>
    <row r="533" spans="1:24" hidden="1" x14ac:dyDescent="0.35">
      <c r="A533">
        <f t="shared" si="17"/>
        <v>532</v>
      </c>
      <c r="B533">
        <v>2003</v>
      </c>
      <c r="C533" t="s">
        <v>1209</v>
      </c>
      <c r="D533" t="s">
        <v>1357</v>
      </c>
      <c r="E533" t="s">
        <v>1433</v>
      </c>
      <c r="G533" s="2">
        <v>15</v>
      </c>
      <c r="H533" t="s">
        <v>183</v>
      </c>
      <c r="I533" t="s">
        <v>13</v>
      </c>
      <c r="J533" s="11">
        <v>271.06677228653786</v>
      </c>
      <c r="K533" t="str">
        <f t="shared" si="16"/>
        <v>Tom White</v>
      </c>
      <c r="M533" t="s">
        <v>818</v>
      </c>
      <c r="N533" t="s">
        <v>65</v>
      </c>
      <c r="O533" s="26">
        <v>5</v>
      </c>
      <c r="R533" t="s">
        <v>1437</v>
      </c>
      <c r="S533" s="26">
        <v>12</v>
      </c>
      <c r="U533" t="s">
        <v>1360</v>
      </c>
      <c r="V533" t="s">
        <v>44</v>
      </c>
      <c r="W533" t="s">
        <v>394</v>
      </c>
      <c r="X533" s="26">
        <v>6</v>
      </c>
    </row>
    <row r="534" spans="1:24" hidden="1" x14ac:dyDescent="0.35">
      <c r="A534">
        <f t="shared" si="17"/>
        <v>533</v>
      </c>
      <c r="B534">
        <v>2003</v>
      </c>
      <c r="C534" t="s">
        <v>1209</v>
      </c>
      <c r="D534" t="s">
        <v>1357</v>
      </c>
      <c r="E534" t="s">
        <v>1433</v>
      </c>
      <c r="G534" s="2">
        <v>16</v>
      </c>
      <c r="H534" t="s">
        <v>804</v>
      </c>
      <c r="I534" t="s">
        <v>22</v>
      </c>
      <c r="J534" s="11">
        <v>243.03804868629442</v>
      </c>
      <c r="K534" t="str">
        <f t="shared" si="16"/>
        <v>Rich Barrett</v>
      </c>
      <c r="M534" t="s">
        <v>2330</v>
      </c>
      <c r="N534" t="s">
        <v>109</v>
      </c>
      <c r="O534" s="26">
        <v>1</v>
      </c>
      <c r="R534" t="s">
        <v>549</v>
      </c>
      <c r="S534" s="26">
        <v>2</v>
      </c>
      <c r="U534" t="s">
        <v>907</v>
      </c>
      <c r="V534" t="s">
        <v>44</v>
      </c>
      <c r="W534" t="s">
        <v>906</v>
      </c>
      <c r="X534" s="26">
        <v>3</v>
      </c>
    </row>
    <row r="535" spans="1:24" hidden="1" x14ac:dyDescent="0.35">
      <c r="A535">
        <f t="shared" si="17"/>
        <v>534</v>
      </c>
      <c r="B535">
        <v>2003</v>
      </c>
      <c r="C535" t="s">
        <v>1209</v>
      </c>
      <c r="D535" t="s">
        <v>1357</v>
      </c>
      <c r="E535" t="s">
        <v>1433</v>
      </c>
      <c r="G535" s="2">
        <v>17</v>
      </c>
      <c r="H535" t="s">
        <v>161</v>
      </c>
      <c r="I535" t="s">
        <v>44</v>
      </c>
      <c r="J535" s="11">
        <v>216.70910996394531</v>
      </c>
      <c r="K535" t="str">
        <f t="shared" si="16"/>
        <v>Mike Becker</v>
      </c>
      <c r="M535" t="s">
        <v>2331</v>
      </c>
      <c r="N535" t="s">
        <v>109</v>
      </c>
      <c r="O535" s="26">
        <v>1</v>
      </c>
      <c r="R535" t="s">
        <v>550</v>
      </c>
      <c r="S535" s="26">
        <v>2</v>
      </c>
      <c r="U535" t="s">
        <v>1145</v>
      </c>
      <c r="V535" t="s">
        <v>44</v>
      </c>
      <c r="W535" t="s">
        <v>1144</v>
      </c>
      <c r="X535" s="26">
        <v>3</v>
      </c>
    </row>
    <row r="536" spans="1:24" hidden="1" x14ac:dyDescent="0.35">
      <c r="A536">
        <f t="shared" si="17"/>
        <v>535</v>
      </c>
      <c r="B536">
        <v>2003</v>
      </c>
      <c r="C536" t="s">
        <v>1209</v>
      </c>
      <c r="D536" t="s">
        <v>1357</v>
      </c>
      <c r="E536" t="s">
        <v>1433</v>
      </c>
      <c r="G536" s="2">
        <v>18</v>
      </c>
      <c r="H536" t="s">
        <v>1194</v>
      </c>
      <c r="I536" t="s">
        <v>1195</v>
      </c>
      <c r="J536" s="11">
        <v>191.8855262389132</v>
      </c>
      <c r="K536" t="str">
        <f t="shared" si="16"/>
        <v>Grant Beardsley</v>
      </c>
      <c r="M536" t="s">
        <v>2332</v>
      </c>
      <c r="N536" t="s">
        <v>109</v>
      </c>
      <c r="O536" s="26">
        <v>1</v>
      </c>
      <c r="R536" t="s">
        <v>2411</v>
      </c>
      <c r="S536" s="26">
        <v>1</v>
      </c>
      <c r="U536" t="s">
        <v>916</v>
      </c>
      <c r="V536" t="s">
        <v>44</v>
      </c>
      <c r="W536" t="s">
        <v>915</v>
      </c>
      <c r="X536" s="26">
        <v>1</v>
      </c>
    </row>
    <row r="537" spans="1:24" hidden="1" x14ac:dyDescent="0.35">
      <c r="A537">
        <f t="shared" si="17"/>
        <v>536</v>
      </c>
      <c r="B537">
        <v>2003</v>
      </c>
      <c r="C537" t="s">
        <v>1209</v>
      </c>
      <c r="D537" t="s">
        <v>1357</v>
      </c>
      <c r="E537" t="s">
        <v>1433</v>
      </c>
      <c r="G537" s="2">
        <v>19</v>
      </c>
      <c r="H537" t="s">
        <v>1337</v>
      </c>
      <c r="I537" t="s">
        <v>1338</v>
      </c>
      <c r="J537" s="11">
        <v>168.40443038939034</v>
      </c>
      <c r="K537" t="str">
        <f t="shared" si="16"/>
        <v>Chet Frederick</v>
      </c>
      <c r="M537" t="s">
        <v>531</v>
      </c>
      <c r="N537" t="s">
        <v>271</v>
      </c>
      <c r="O537" s="26">
        <v>14</v>
      </c>
      <c r="R537" t="s">
        <v>1254</v>
      </c>
      <c r="S537" s="26">
        <v>2</v>
      </c>
      <c r="U537" t="s">
        <v>1494</v>
      </c>
      <c r="V537" t="s">
        <v>44</v>
      </c>
      <c r="W537" t="s">
        <v>1200</v>
      </c>
      <c r="X537" s="26">
        <v>1</v>
      </c>
    </row>
    <row r="538" spans="1:24" hidden="1" x14ac:dyDescent="0.35">
      <c r="A538">
        <f t="shared" si="17"/>
        <v>537</v>
      </c>
      <c r="B538">
        <v>2003</v>
      </c>
      <c r="C538" t="s">
        <v>1209</v>
      </c>
      <c r="D538" t="s">
        <v>1357</v>
      </c>
      <c r="E538" t="s">
        <v>1433</v>
      </c>
      <c r="G538" s="2">
        <v>20</v>
      </c>
      <c r="H538" t="s">
        <v>1333</v>
      </c>
      <c r="I538" t="s">
        <v>480</v>
      </c>
      <c r="J538" s="11">
        <v>146.12803567823795</v>
      </c>
      <c r="K538" t="str">
        <f t="shared" si="16"/>
        <v>James Hankins</v>
      </c>
      <c r="M538" t="s">
        <v>287</v>
      </c>
      <c r="N538" t="s">
        <v>125</v>
      </c>
      <c r="O538" s="26">
        <v>8</v>
      </c>
      <c r="R538" t="s">
        <v>965</v>
      </c>
      <c r="S538" s="26">
        <v>10</v>
      </c>
      <c r="U538" t="s">
        <v>444</v>
      </c>
      <c r="V538" t="s">
        <v>443</v>
      </c>
      <c r="W538" t="s">
        <v>128</v>
      </c>
      <c r="X538" s="26">
        <v>13</v>
      </c>
    </row>
    <row r="539" spans="1:24" hidden="1" x14ac:dyDescent="0.35">
      <c r="A539">
        <f t="shared" si="17"/>
        <v>538</v>
      </c>
      <c r="B539">
        <v>2004</v>
      </c>
      <c r="C539" s="4" t="s">
        <v>109</v>
      </c>
      <c r="D539" s="4" t="s">
        <v>944</v>
      </c>
      <c r="E539" t="s">
        <v>944</v>
      </c>
      <c r="F539" s="17">
        <v>1464</v>
      </c>
      <c r="G539" s="17">
        <v>1</v>
      </c>
      <c r="H539" t="s">
        <v>238</v>
      </c>
      <c r="I539" t="s">
        <v>16</v>
      </c>
      <c r="J539" s="13">
        <v>1785.3298350107671</v>
      </c>
      <c r="K539" t="str">
        <f t="shared" si="16"/>
        <v>David Kuznick</v>
      </c>
      <c r="M539" t="s">
        <v>2539</v>
      </c>
      <c r="N539" t="s">
        <v>28</v>
      </c>
      <c r="O539" s="26">
        <v>25</v>
      </c>
      <c r="R539" t="s">
        <v>318</v>
      </c>
      <c r="S539" s="26">
        <v>5</v>
      </c>
      <c r="U539" t="s">
        <v>1023</v>
      </c>
      <c r="V539" t="s">
        <v>1022</v>
      </c>
      <c r="W539" t="s">
        <v>1021</v>
      </c>
      <c r="X539" s="26">
        <v>5</v>
      </c>
    </row>
    <row r="540" spans="1:24" hidden="1" x14ac:dyDescent="0.35">
      <c r="A540">
        <f t="shared" si="17"/>
        <v>539</v>
      </c>
      <c r="B540">
        <v>2004</v>
      </c>
      <c r="C540" s="4" t="s">
        <v>109</v>
      </c>
      <c r="D540" s="4" t="s">
        <v>944</v>
      </c>
      <c r="E540" t="s">
        <v>944</v>
      </c>
      <c r="F540" s="17">
        <v>841</v>
      </c>
      <c r="G540" s="17">
        <v>2</v>
      </c>
      <c r="H540" t="s">
        <v>1228</v>
      </c>
      <c r="I540" t="s">
        <v>1229</v>
      </c>
      <c r="J540" s="13">
        <v>1484.2998393467858</v>
      </c>
      <c r="K540" t="str">
        <f t="shared" si="16"/>
        <v>Ralph Ballario</v>
      </c>
      <c r="M540" t="s">
        <v>1231</v>
      </c>
      <c r="N540" t="s">
        <v>56</v>
      </c>
      <c r="O540" s="26">
        <v>1</v>
      </c>
      <c r="R540" t="s">
        <v>394</v>
      </c>
      <c r="S540" s="26">
        <v>6</v>
      </c>
      <c r="U540" t="s">
        <v>1631</v>
      </c>
      <c r="V540" t="s">
        <v>1022</v>
      </c>
      <c r="W540" t="s">
        <v>420</v>
      </c>
      <c r="X540" s="26">
        <v>3</v>
      </c>
    </row>
    <row r="541" spans="1:24" hidden="1" x14ac:dyDescent="0.35">
      <c r="A541">
        <f t="shared" si="17"/>
        <v>540</v>
      </c>
      <c r="B541">
        <v>2004</v>
      </c>
      <c r="C541" s="4" t="s">
        <v>109</v>
      </c>
      <c r="D541" s="4" t="s">
        <v>944</v>
      </c>
      <c r="E541" t="s">
        <v>944</v>
      </c>
      <c r="F541" s="17">
        <v>439</v>
      </c>
      <c r="G541" s="17">
        <v>3</v>
      </c>
      <c r="H541" t="s">
        <v>1230</v>
      </c>
      <c r="I541" t="s">
        <v>71</v>
      </c>
      <c r="J541" s="13">
        <v>1308.2085802911047</v>
      </c>
      <c r="K541" t="str">
        <f t="shared" si="16"/>
        <v>Scott Hermes</v>
      </c>
      <c r="M541" t="s">
        <v>857</v>
      </c>
      <c r="N541" t="s">
        <v>13</v>
      </c>
      <c r="O541" s="26">
        <v>6</v>
      </c>
      <c r="R541" t="s">
        <v>906</v>
      </c>
      <c r="S541" s="26">
        <v>3</v>
      </c>
      <c r="U541" t="s">
        <v>1037</v>
      </c>
      <c r="V541" t="s">
        <v>1022</v>
      </c>
      <c r="W541" t="s">
        <v>414</v>
      </c>
      <c r="X541" s="26">
        <v>3</v>
      </c>
    </row>
    <row r="542" spans="1:24" hidden="1" x14ac:dyDescent="0.35">
      <c r="A542">
        <f t="shared" si="17"/>
        <v>541</v>
      </c>
      <c r="B542">
        <v>2004</v>
      </c>
      <c r="C542" s="4" t="s">
        <v>109</v>
      </c>
      <c r="D542" s="4" t="s">
        <v>944</v>
      </c>
      <c r="E542" t="s">
        <v>944</v>
      </c>
      <c r="F542" s="17">
        <v>256</v>
      </c>
      <c r="G542" s="17">
        <v>4</v>
      </c>
      <c r="H542" t="s">
        <v>394</v>
      </c>
      <c r="I542" t="s">
        <v>44</v>
      </c>
      <c r="J542" s="13">
        <v>1183.2698436828045</v>
      </c>
      <c r="K542" t="str">
        <f t="shared" si="16"/>
        <v>Mike Miller</v>
      </c>
      <c r="M542" t="s">
        <v>2434</v>
      </c>
      <c r="N542" t="s">
        <v>2435</v>
      </c>
      <c r="O542" s="26">
        <v>2</v>
      </c>
      <c r="R542" t="s">
        <v>1144</v>
      </c>
      <c r="S542" s="26">
        <v>3</v>
      </c>
      <c r="U542" t="s">
        <v>382</v>
      </c>
      <c r="V542" t="s">
        <v>381</v>
      </c>
      <c r="W542" t="s">
        <v>380</v>
      </c>
      <c r="X542" s="26">
        <v>4</v>
      </c>
    </row>
    <row r="543" spans="1:24" hidden="1" x14ac:dyDescent="0.35">
      <c r="A543">
        <f t="shared" si="17"/>
        <v>542</v>
      </c>
      <c r="B543">
        <v>2004</v>
      </c>
      <c r="C543" s="4" t="s">
        <v>109</v>
      </c>
      <c r="D543" s="4" t="s">
        <v>944</v>
      </c>
      <c r="E543" t="s">
        <v>944</v>
      </c>
      <c r="F543" s="17">
        <v>219</v>
      </c>
      <c r="G543" s="17">
        <v>5</v>
      </c>
      <c r="H543" t="s">
        <v>1231</v>
      </c>
      <c r="I543" t="s">
        <v>56</v>
      </c>
      <c r="J543" s="13">
        <v>1086.3598306747483</v>
      </c>
      <c r="K543" t="str">
        <f t="shared" si="16"/>
        <v>Brandon Oberling</v>
      </c>
      <c r="M543" t="s">
        <v>542</v>
      </c>
      <c r="N543" t="s">
        <v>159</v>
      </c>
      <c r="O543" s="26">
        <v>1</v>
      </c>
      <c r="R543" t="s">
        <v>915</v>
      </c>
      <c r="S543" s="26">
        <v>1</v>
      </c>
      <c r="U543" t="s">
        <v>852</v>
      </c>
      <c r="V543" t="s">
        <v>851</v>
      </c>
      <c r="W543" t="s">
        <v>850</v>
      </c>
      <c r="X543" s="26">
        <v>7</v>
      </c>
    </row>
    <row r="544" spans="1:24" hidden="1" x14ac:dyDescent="0.35">
      <c r="A544">
        <f t="shared" si="17"/>
        <v>543</v>
      </c>
      <c r="B544">
        <v>2004</v>
      </c>
      <c r="C544" s="4" t="s">
        <v>109</v>
      </c>
      <c r="D544" s="4" t="s">
        <v>944</v>
      </c>
      <c r="E544" t="s">
        <v>944</v>
      </c>
      <c r="F544" s="17">
        <v>183</v>
      </c>
      <c r="G544" s="17">
        <v>6</v>
      </c>
      <c r="H544" t="s">
        <v>764</v>
      </c>
      <c r="I544" t="s">
        <v>901</v>
      </c>
      <c r="J544" s="13">
        <v>1007.1785846271235</v>
      </c>
      <c r="K544" t="str">
        <f t="shared" si="16"/>
        <v>Jerrod Ankenman</v>
      </c>
      <c r="N544" t="s">
        <v>196</v>
      </c>
      <c r="O544" s="26">
        <v>4</v>
      </c>
      <c r="R544" t="s">
        <v>1200</v>
      </c>
      <c r="S544" s="26">
        <v>1</v>
      </c>
      <c r="U544" t="s">
        <v>1575</v>
      </c>
      <c r="V544" t="s">
        <v>830</v>
      </c>
      <c r="W544" t="s">
        <v>829</v>
      </c>
      <c r="X544" s="26">
        <v>4</v>
      </c>
    </row>
    <row r="545" spans="1:24" hidden="1" x14ac:dyDescent="0.35">
      <c r="A545">
        <f t="shared" si="17"/>
        <v>544</v>
      </c>
      <c r="B545">
        <v>2004</v>
      </c>
      <c r="C545" s="4" t="s">
        <v>109</v>
      </c>
      <c r="D545" s="4" t="s">
        <v>944</v>
      </c>
      <c r="E545" t="s">
        <v>944</v>
      </c>
      <c r="F545" s="17">
        <v>146</v>
      </c>
      <c r="G545" s="17">
        <v>7</v>
      </c>
      <c r="H545" t="s">
        <v>111</v>
      </c>
      <c r="I545" t="s">
        <v>16</v>
      </c>
      <c r="J545" s="13">
        <v>940.2317949965103</v>
      </c>
      <c r="K545" t="str">
        <f t="shared" si="16"/>
        <v>David Fruchter</v>
      </c>
      <c r="M545" t="s">
        <v>307</v>
      </c>
      <c r="N545" t="s">
        <v>67</v>
      </c>
      <c r="O545" s="26">
        <v>17</v>
      </c>
      <c r="Q545" t="s">
        <v>443</v>
      </c>
      <c r="R545" t="s">
        <v>128</v>
      </c>
      <c r="S545" s="26">
        <v>13</v>
      </c>
      <c r="U545" t="s">
        <v>2399</v>
      </c>
      <c r="V545" t="s">
        <v>1955</v>
      </c>
      <c r="W545" t="s">
        <v>2398</v>
      </c>
      <c r="X545" s="26">
        <v>6</v>
      </c>
    </row>
    <row r="546" spans="1:24" hidden="1" x14ac:dyDescent="0.35">
      <c r="A546">
        <f t="shared" si="17"/>
        <v>545</v>
      </c>
      <c r="B546">
        <v>2004</v>
      </c>
      <c r="C546" s="4" t="s">
        <v>109</v>
      </c>
      <c r="D546" s="4" t="s">
        <v>944</v>
      </c>
      <c r="E546" t="s">
        <v>944</v>
      </c>
      <c r="F546" s="17">
        <v>109</v>
      </c>
      <c r="G546" s="17">
        <v>8</v>
      </c>
      <c r="H546" t="s">
        <v>220</v>
      </c>
      <c r="I546" t="s">
        <v>421</v>
      </c>
      <c r="J546" s="13">
        <v>882.23984801882364</v>
      </c>
      <c r="K546" t="str">
        <f t="shared" si="16"/>
        <v>Bill Chen</v>
      </c>
      <c r="M546" t="s">
        <v>403</v>
      </c>
      <c r="N546" t="s">
        <v>98</v>
      </c>
      <c r="O546" s="26">
        <v>1</v>
      </c>
      <c r="Q546" t="s">
        <v>1022</v>
      </c>
      <c r="R546" t="s">
        <v>1021</v>
      </c>
      <c r="S546" s="26">
        <v>5</v>
      </c>
      <c r="U546" t="s">
        <v>1600</v>
      </c>
      <c r="V546" t="s">
        <v>1510</v>
      </c>
      <c r="W546" t="s">
        <v>1509</v>
      </c>
      <c r="X546" s="26">
        <v>1</v>
      </c>
    </row>
    <row r="547" spans="1:24" hidden="1" x14ac:dyDescent="0.35">
      <c r="A547">
        <f t="shared" si="17"/>
        <v>546</v>
      </c>
      <c r="B547">
        <v>2004</v>
      </c>
      <c r="C547" s="4" t="s">
        <v>109</v>
      </c>
      <c r="D547" s="4" t="s">
        <v>918</v>
      </c>
      <c r="E547" t="s">
        <v>1430</v>
      </c>
      <c r="F547" s="17">
        <v>1920</v>
      </c>
      <c r="G547" s="17">
        <v>1</v>
      </c>
      <c r="H547" t="s">
        <v>130</v>
      </c>
      <c r="I547" t="s">
        <v>131</v>
      </c>
      <c r="J547" s="13">
        <v>1897.6270912904413</v>
      </c>
      <c r="K547" t="str">
        <f t="shared" si="16"/>
        <v>Alan Stuart</v>
      </c>
      <c r="M547" t="s">
        <v>1076</v>
      </c>
      <c r="N547" t="s">
        <v>139</v>
      </c>
      <c r="O547" s="26">
        <v>4</v>
      </c>
      <c r="R547" t="s">
        <v>420</v>
      </c>
      <c r="S547" s="26">
        <v>3</v>
      </c>
      <c r="U547" t="s">
        <v>2385</v>
      </c>
      <c r="V547" t="s">
        <v>1510</v>
      </c>
      <c r="W547" t="s">
        <v>477</v>
      </c>
      <c r="X547" s="26">
        <v>1</v>
      </c>
    </row>
    <row r="548" spans="1:24" hidden="1" x14ac:dyDescent="0.35">
      <c r="A548">
        <f t="shared" si="17"/>
        <v>547</v>
      </c>
      <c r="B548">
        <v>2004</v>
      </c>
      <c r="C548" s="4" t="s">
        <v>109</v>
      </c>
      <c r="D548" s="4" t="s">
        <v>918</v>
      </c>
      <c r="E548" t="s">
        <v>1430</v>
      </c>
      <c r="F548" s="17">
        <v>1104</v>
      </c>
      <c r="G548" s="17">
        <v>2</v>
      </c>
      <c r="H548" t="s">
        <v>1097</v>
      </c>
      <c r="I548" t="s">
        <v>16</v>
      </c>
      <c r="J548" s="13">
        <v>1596.59709562646</v>
      </c>
      <c r="K548" t="str">
        <f t="shared" si="16"/>
        <v>David Lilie</v>
      </c>
      <c r="M548" t="s">
        <v>1233</v>
      </c>
      <c r="N548" t="s">
        <v>196</v>
      </c>
      <c r="O548" s="26">
        <v>1</v>
      </c>
      <c r="R548" t="s">
        <v>414</v>
      </c>
      <c r="S548" s="26">
        <v>3</v>
      </c>
      <c r="U548" t="s">
        <v>2328</v>
      </c>
      <c r="V548" t="s">
        <v>2325</v>
      </c>
      <c r="W548" t="s">
        <v>2324</v>
      </c>
      <c r="X548" s="26">
        <v>1</v>
      </c>
    </row>
    <row r="549" spans="1:24" hidden="1" x14ac:dyDescent="0.35">
      <c r="A549">
        <f t="shared" si="17"/>
        <v>548</v>
      </c>
      <c r="B549">
        <v>2004</v>
      </c>
      <c r="C549" s="4" t="s">
        <v>109</v>
      </c>
      <c r="D549" s="4" t="s">
        <v>918</v>
      </c>
      <c r="E549" t="s">
        <v>1430</v>
      </c>
      <c r="F549" s="17">
        <v>576</v>
      </c>
      <c r="G549" s="17">
        <v>3</v>
      </c>
      <c r="H549" t="s">
        <v>1217</v>
      </c>
      <c r="I549" t="s">
        <v>1218</v>
      </c>
      <c r="J549" s="13">
        <v>1420.5058365707789</v>
      </c>
      <c r="K549" t="str">
        <f t="shared" si="16"/>
        <v>Brad Edmonds</v>
      </c>
      <c r="M549" t="s">
        <v>906</v>
      </c>
      <c r="N549" t="s">
        <v>1299</v>
      </c>
      <c r="O549" s="26">
        <v>1</v>
      </c>
      <c r="Q549" t="s">
        <v>381</v>
      </c>
      <c r="R549" t="s">
        <v>380</v>
      </c>
      <c r="S549" s="26">
        <v>4</v>
      </c>
      <c r="U549" t="s">
        <v>1163</v>
      </c>
      <c r="V549" t="s">
        <v>1162</v>
      </c>
      <c r="W549" t="s">
        <v>1161</v>
      </c>
      <c r="X549" s="26">
        <v>1</v>
      </c>
    </row>
    <row r="550" spans="1:24" hidden="1" x14ac:dyDescent="0.35">
      <c r="A550">
        <f t="shared" si="17"/>
        <v>549</v>
      </c>
      <c r="B550">
        <v>2004</v>
      </c>
      <c r="C550" s="4" t="s">
        <v>109</v>
      </c>
      <c r="D550" s="4" t="s">
        <v>918</v>
      </c>
      <c r="E550" t="s">
        <v>1430</v>
      </c>
      <c r="F550" s="17">
        <v>336</v>
      </c>
      <c r="G550" s="17">
        <v>4</v>
      </c>
      <c r="H550" t="s">
        <v>237</v>
      </c>
      <c r="I550" t="s">
        <v>13</v>
      </c>
      <c r="J550" s="13">
        <v>1295.5670999624788</v>
      </c>
      <c r="K550" t="str">
        <f t="shared" si="16"/>
        <v>Tom Goodwin</v>
      </c>
      <c r="N550" t="s">
        <v>44</v>
      </c>
      <c r="O550" s="26">
        <v>3</v>
      </c>
      <c r="Q550" t="s">
        <v>851</v>
      </c>
      <c r="R550" t="s">
        <v>850</v>
      </c>
      <c r="S550" s="26">
        <v>7</v>
      </c>
      <c r="U550" t="s">
        <v>1369</v>
      </c>
      <c r="V550" t="s">
        <v>1368</v>
      </c>
      <c r="W550" t="s">
        <v>1367</v>
      </c>
      <c r="X550" s="26">
        <v>3</v>
      </c>
    </row>
    <row r="551" spans="1:24" hidden="1" x14ac:dyDescent="0.35">
      <c r="A551">
        <f t="shared" si="17"/>
        <v>550</v>
      </c>
      <c r="B551">
        <v>2004</v>
      </c>
      <c r="C551" s="4" t="s">
        <v>109</v>
      </c>
      <c r="D551" s="4" t="s">
        <v>918</v>
      </c>
      <c r="E551" t="s">
        <v>1430</v>
      </c>
      <c r="F551" s="17">
        <v>288</v>
      </c>
      <c r="G551" s="17">
        <v>5</v>
      </c>
      <c r="H551" t="s">
        <v>1219</v>
      </c>
      <c r="I551" t="s">
        <v>1220</v>
      </c>
      <c r="J551" s="13">
        <v>1198.6570869544225</v>
      </c>
      <c r="K551" t="str">
        <f t="shared" si="16"/>
        <v>Desmond Portano</v>
      </c>
      <c r="M551" t="s">
        <v>92</v>
      </c>
      <c r="N551" t="s">
        <v>93</v>
      </c>
      <c r="O551" s="26">
        <v>7</v>
      </c>
      <c r="Q551" t="s">
        <v>830</v>
      </c>
      <c r="R551" t="s">
        <v>829</v>
      </c>
      <c r="S551" s="26">
        <v>4</v>
      </c>
      <c r="U551" t="s">
        <v>1274</v>
      </c>
      <c r="V551" t="s">
        <v>247</v>
      </c>
      <c r="W551" t="s">
        <v>866</v>
      </c>
      <c r="X551" s="26">
        <v>1</v>
      </c>
    </row>
    <row r="552" spans="1:24" hidden="1" x14ac:dyDescent="0.35">
      <c r="A552">
        <f t="shared" si="17"/>
        <v>551</v>
      </c>
      <c r="B552">
        <v>2004</v>
      </c>
      <c r="C552" s="4" t="s">
        <v>109</v>
      </c>
      <c r="D552" s="4" t="s">
        <v>918</v>
      </c>
      <c r="E552" t="s">
        <v>1430</v>
      </c>
      <c r="F552" s="17">
        <v>240</v>
      </c>
      <c r="G552" s="17">
        <v>6</v>
      </c>
      <c r="H552" t="s">
        <v>945</v>
      </c>
      <c r="I552" t="s">
        <v>946</v>
      </c>
      <c r="J552" s="13">
        <v>1119.4758409067977</v>
      </c>
      <c r="K552" t="str">
        <f t="shared" si="16"/>
        <v>Ray DiDonato</v>
      </c>
      <c r="M552" t="s">
        <v>709</v>
      </c>
      <c r="N552" t="s">
        <v>13</v>
      </c>
      <c r="O552" s="26">
        <v>4</v>
      </c>
      <c r="Q552" t="s">
        <v>1955</v>
      </c>
      <c r="R552" t="s">
        <v>2398</v>
      </c>
      <c r="S552" s="26">
        <v>6</v>
      </c>
      <c r="U552" t="s">
        <v>1630</v>
      </c>
      <c r="V552" t="s">
        <v>247</v>
      </c>
      <c r="W552" t="s">
        <v>246</v>
      </c>
      <c r="X552" s="26">
        <v>2</v>
      </c>
    </row>
    <row r="553" spans="1:24" hidden="1" x14ac:dyDescent="0.35">
      <c r="A553">
        <f t="shared" si="17"/>
        <v>552</v>
      </c>
      <c r="B553">
        <v>2004</v>
      </c>
      <c r="C553" s="4" t="s">
        <v>109</v>
      </c>
      <c r="D553" s="4" t="s">
        <v>918</v>
      </c>
      <c r="E553" t="s">
        <v>1430</v>
      </c>
      <c r="F553" s="17">
        <v>192</v>
      </c>
      <c r="G553" s="17">
        <v>7</v>
      </c>
      <c r="H553" t="s">
        <v>950</v>
      </c>
      <c r="I553" t="s">
        <v>142</v>
      </c>
      <c r="J553" s="13">
        <v>1052.5290512761844</v>
      </c>
      <c r="K553" t="str">
        <f t="shared" si="16"/>
        <v>Matt Treasure</v>
      </c>
      <c r="M553" t="s">
        <v>2443</v>
      </c>
      <c r="N553" t="s">
        <v>2444</v>
      </c>
      <c r="O553" s="26">
        <v>1</v>
      </c>
      <c r="Q553" t="s">
        <v>1510</v>
      </c>
      <c r="R553" t="s">
        <v>1509</v>
      </c>
      <c r="S553" s="26">
        <v>1</v>
      </c>
      <c r="U553" t="s">
        <v>208</v>
      </c>
      <c r="V553" t="s">
        <v>207</v>
      </c>
      <c r="W553" t="s">
        <v>206</v>
      </c>
      <c r="X553" s="26">
        <v>9</v>
      </c>
    </row>
    <row r="554" spans="1:24" hidden="1" x14ac:dyDescent="0.35">
      <c r="A554">
        <f t="shared" si="17"/>
        <v>553</v>
      </c>
      <c r="B554">
        <v>2004</v>
      </c>
      <c r="C554" s="4" t="s">
        <v>109</v>
      </c>
      <c r="D554" s="4" t="s">
        <v>918</v>
      </c>
      <c r="E554" t="s">
        <v>1430</v>
      </c>
      <c r="F554" s="17">
        <v>144</v>
      </c>
      <c r="G554" s="17">
        <v>8</v>
      </c>
      <c r="H554" t="s">
        <v>414</v>
      </c>
      <c r="I554" t="s">
        <v>413</v>
      </c>
      <c r="J554" s="13">
        <v>994.53710429849787</v>
      </c>
      <c r="K554" t="str">
        <f t="shared" si="16"/>
        <v>Bruce Kramer</v>
      </c>
      <c r="M554" t="s">
        <v>1000</v>
      </c>
      <c r="N554" t="s">
        <v>908</v>
      </c>
      <c r="O554" s="26">
        <v>2</v>
      </c>
      <c r="R554" t="s">
        <v>477</v>
      </c>
      <c r="S554" s="26">
        <v>1</v>
      </c>
      <c r="U554" t="s">
        <v>1287</v>
      </c>
      <c r="V554" t="s">
        <v>1286</v>
      </c>
      <c r="W554" t="s">
        <v>1285</v>
      </c>
      <c r="X554" s="26">
        <v>1</v>
      </c>
    </row>
    <row r="555" spans="1:24" hidden="1" x14ac:dyDescent="0.35">
      <c r="A555">
        <f t="shared" si="17"/>
        <v>554</v>
      </c>
      <c r="B555">
        <v>2004</v>
      </c>
      <c r="C555" s="4" t="s">
        <v>109</v>
      </c>
      <c r="D555" s="4" t="s">
        <v>45</v>
      </c>
      <c r="E555" t="s">
        <v>1429</v>
      </c>
      <c r="F555" s="17">
        <v>3589</v>
      </c>
      <c r="G555" s="17">
        <v>1</v>
      </c>
      <c r="H555" t="s">
        <v>1097</v>
      </c>
      <c r="I555" t="s">
        <v>16</v>
      </c>
      <c r="J555" s="13">
        <v>2195.8996524092336</v>
      </c>
      <c r="K555" t="str">
        <f t="shared" si="16"/>
        <v>David Lilie</v>
      </c>
      <c r="M555" t="s">
        <v>390</v>
      </c>
      <c r="N555" t="s">
        <v>391</v>
      </c>
      <c r="O555" s="26">
        <v>3</v>
      </c>
      <c r="Q555" t="s">
        <v>2325</v>
      </c>
      <c r="R555" t="s">
        <v>2324</v>
      </c>
      <c r="S555" s="26">
        <v>1</v>
      </c>
      <c r="U555" t="s">
        <v>474</v>
      </c>
      <c r="V555" t="s">
        <v>473</v>
      </c>
      <c r="W555" t="s">
        <v>472</v>
      </c>
      <c r="X555" s="26">
        <v>4</v>
      </c>
    </row>
    <row r="556" spans="1:24" hidden="1" x14ac:dyDescent="0.35">
      <c r="A556">
        <f t="shared" si="17"/>
        <v>555</v>
      </c>
      <c r="B556">
        <v>2004</v>
      </c>
      <c r="C556" s="4" t="s">
        <v>109</v>
      </c>
      <c r="D556" s="4" t="s">
        <v>45</v>
      </c>
      <c r="E556" t="s">
        <v>1429</v>
      </c>
      <c r="F556" s="17">
        <v>1884</v>
      </c>
      <c r="G556" s="17">
        <v>2</v>
      </c>
      <c r="H556" t="s">
        <v>1221</v>
      </c>
      <c r="I556" t="s">
        <v>661</v>
      </c>
      <c r="J556" s="13">
        <v>1894.8696567452523</v>
      </c>
      <c r="K556" t="str">
        <f t="shared" si="16"/>
        <v>Gregory Merritt</v>
      </c>
      <c r="M556" t="s">
        <v>1439</v>
      </c>
      <c r="N556" t="s">
        <v>384</v>
      </c>
      <c r="O556" s="26">
        <v>3</v>
      </c>
      <c r="Q556" t="s">
        <v>1162</v>
      </c>
      <c r="R556" t="s">
        <v>1161</v>
      </c>
      <c r="S556" s="26">
        <v>1</v>
      </c>
      <c r="U556" t="s">
        <v>637</v>
      </c>
      <c r="V556" t="s">
        <v>473</v>
      </c>
      <c r="W556" t="s">
        <v>636</v>
      </c>
      <c r="X556" s="26">
        <v>1</v>
      </c>
    </row>
    <row r="557" spans="1:24" hidden="1" x14ac:dyDescent="0.35">
      <c r="A557">
        <f t="shared" si="17"/>
        <v>556</v>
      </c>
      <c r="B557">
        <v>2004</v>
      </c>
      <c r="C557" s="4" t="s">
        <v>109</v>
      </c>
      <c r="D557" s="4" t="s">
        <v>45</v>
      </c>
      <c r="E557" t="s">
        <v>1429</v>
      </c>
      <c r="F557" s="17">
        <v>942</v>
      </c>
      <c r="G557" s="17">
        <v>3</v>
      </c>
      <c r="H557" t="s">
        <v>1219</v>
      </c>
      <c r="I557" t="s">
        <v>1220</v>
      </c>
      <c r="J557" s="13">
        <v>1718.7783976895712</v>
      </c>
      <c r="K557" t="str">
        <f t="shared" si="16"/>
        <v>Desmond Portano</v>
      </c>
      <c r="M557" t="s">
        <v>1283</v>
      </c>
      <c r="N557" t="s">
        <v>808</v>
      </c>
      <c r="O557" s="26">
        <v>1</v>
      </c>
      <c r="Q557" t="s">
        <v>1368</v>
      </c>
      <c r="R557" t="s">
        <v>1367</v>
      </c>
      <c r="S557" s="26">
        <v>3</v>
      </c>
      <c r="U557" t="s">
        <v>1120</v>
      </c>
      <c r="V557" t="s">
        <v>1119</v>
      </c>
      <c r="W557" t="s">
        <v>1118</v>
      </c>
      <c r="X557" s="26">
        <v>1</v>
      </c>
    </row>
    <row r="558" spans="1:24" hidden="1" x14ac:dyDescent="0.35">
      <c r="A558">
        <f t="shared" si="17"/>
        <v>557</v>
      </c>
      <c r="B558">
        <v>2004</v>
      </c>
      <c r="C558" s="4" t="s">
        <v>109</v>
      </c>
      <c r="D558" s="4" t="s">
        <v>45</v>
      </c>
      <c r="E558" t="s">
        <v>1429</v>
      </c>
      <c r="F558" s="17">
        <v>565</v>
      </c>
      <c r="G558" s="17">
        <v>4</v>
      </c>
      <c r="H558" t="s">
        <v>786</v>
      </c>
      <c r="I558" t="s">
        <v>787</v>
      </c>
      <c r="J558" s="13">
        <v>1593.8396610812711</v>
      </c>
      <c r="K558" t="str">
        <f t="shared" si="16"/>
        <v>Alvin West</v>
      </c>
      <c r="M558" t="s">
        <v>445</v>
      </c>
      <c r="N558" t="s">
        <v>446</v>
      </c>
      <c r="O558" s="26">
        <v>8</v>
      </c>
      <c r="Q558" t="s">
        <v>247</v>
      </c>
      <c r="R558" t="s">
        <v>866</v>
      </c>
      <c r="S558" s="26">
        <v>1</v>
      </c>
      <c r="U558" t="s">
        <v>229</v>
      </c>
      <c r="V558" t="s">
        <v>36</v>
      </c>
      <c r="W558" t="s">
        <v>35</v>
      </c>
      <c r="X558" s="26">
        <v>27</v>
      </c>
    </row>
    <row r="559" spans="1:24" hidden="1" x14ac:dyDescent="0.35">
      <c r="A559">
        <f t="shared" si="17"/>
        <v>558</v>
      </c>
      <c r="B559">
        <v>2004</v>
      </c>
      <c r="C559" s="4" t="s">
        <v>109</v>
      </c>
      <c r="D559" s="4" t="s">
        <v>45</v>
      </c>
      <c r="E559" t="s">
        <v>1429</v>
      </c>
      <c r="F559" s="17">
        <v>423</v>
      </c>
      <c r="G559" s="17">
        <v>5</v>
      </c>
      <c r="H559" t="s">
        <v>850</v>
      </c>
      <c r="I559" t="s">
        <v>851</v>
      </c>
      <c r="J559" s="13">
        <v>1496.9296480732148</v>
      </c>
      <c r="K559" t="str">
        <f t="shared" si="16"/>
        <v>Mordecai Schwartz</v>
      </c>
      <c r="M559" t="s">
        <v>820</v>
      </c>
      <c r="N559" t="s">
        <v>471</v>
      </c>
      <c r="O559" s="26">
        <v>2</v>
      </c>
      <c r="R559" t="s">
        <v>246</v>
      </c>
      <c r="S559" s="26">
        <v>2</v>
      </c>
      <c r="U559" t="s">
        <v>400</v>
      </c>
      <c r="V559" t="s">
        <v>36</v>
      </c>
      <c r="W559" t="s">
        <v>83</v>
      </c>
      <c r="X559" s="26">
        <v>16</v>
      </c>
    </row>
    <row r="560" spans="1:24" hidden="1" x14ac:dyDescent="0.35">
      <c r="A560">
        <f t="shared" si="17"/>
        <v>559</v>
      </c>
      <c r="B560">
        <v>2004</v>
      </c>
      <c r="C560" s="4" t="s">
        <v>109</v>
      </c>
      <c r="D560" s="4" t="s">
        <v>45</v>
      </c>
      <c r="E560" t="s">
        <v>1429</v>
      </c>
      <c r="F560" s="17">
        <v>329</v>
      </c>
      <c r="G560" s="17">
        <v>6</v>
      </c>
      <c r="H560" t="s">
        <v>238</v>
      </c>
      <c r="I560" t="s">
        <v>16</v>
      </c>
      <c r="J560" s="13">
        <v>1417.7484020255899</v>
      </c>
      <c r="K560" t="str">
        <f t="shared" si="16"/>
        <v>David Kuznick</v>
      </c>
      <c r="M560" t="s">
        <v>2483</v>
      </c>
      <c r="N560" t="s">
        <v>2484</v>
      </c>
      <c r="O560" s="26">
        <v>1</v>
      </c>
      <c r="Q560" t="s">
        <v>207</v>
      </c>
      <c r="R560" t="s">
        <v>206</v>
      </c>
      <c r="S560" s="26">
        <v>9</v>
      </c>
      <c r="U560" t="s">
        <v>1386</v>
      </c>
      <c r="V560" t="s">
        <v>1385</v>
      </c>
      <c r="W560" t="s">
        <v>1384</v>
      </c>
      <c r="X560" s="26">
        <v>1</v>
      </c>
    </row>
    <row r="561" spans="1:24" hidden="1" x14ac:dyDescent="0.35">
      <c r="A561">
        <f t="shared" si="17"/>
        <v>560</v>
      </c>
      <c r="B561">
        <v>2004</v>
      </c>
      <c r="C561" s="4" t="s">
        <v>109</v>
      </c>
      <c r="D561" s="4" t="s">
        <v>45</v>
      </c>
      <c r="E561" t="s">
        <v>1429</v>
      </c>
      <c r="F561" s="17">
        <v>235</v>
      </c>
      <c r="G561" s="17">
        <v>7</v>
      </c>
      <c r="H561" t="s">
        <v>70</v>
      </c>
      <c r="I561" t="s">
        <v>71</v>
      </c>
      <c r="J561" s="13">
        <v>1350.8016123949767</v>
      </c>
      <c r="K561" t="str">
        <f t="shared" si="16"/>
        <v>Scott Byron</v>
      </c>
      <c r="M561" t="s">
        <v>60</v>
      </c>
      <c r="N561" t="s">
        <v>61</v>
      </c>
      <c r="O561" s="26">
        <v>2</v>
      </c>
      <c r="Q561" t="s">
        <v>1286</v>
      </c>
      <c r="R561" t="s">
        <v>1285</v>
      </c>
      <c r="S561" s="26">
        <v>1</v>
      </c>
      <c r="U561" t="s">
        <v>1113</v>
      </c>
      <c r="V561" t="s">
        <v>1112</v>
      </c>
      <c r="W561" t="s">
        <v>1111</v>
      </c>
      <c r="X561" s="26">
        <v>9</v>
      </c>
    </row>
    <row r="562" spans="1:24" hidden="1" x14ac:dyDescent="0.35">
      <c r="A562">
        <f t="shared" si="17"/>
        <v>561</v>
      </c>
      <c r="B562">
        <v>2004</v>
      </c>
      <c r="C562" s="4" t="s">
        <v>109</v>
      </c>
      <c r="D562" s="4" t="s">
        <v>45</v>
      </c>
      <c r="E562" t="s">
        <v>1429</v>
      </c>
      <c r="F562" s="17">
        <v>188</v>
      </c>
      <c r="G562" s="17">
        <v>8</v>
      </c>
      <c r="H562" t="s">
        <v>903</v>
      </c>
      <c r="I562" t="s">
        <v>71</v>
      </c>
      <c r="J562" s="13">
        <v>1292.80966541729</v>
      </c>
      <c r="K562" t="str">
        <f t="shared" si="16"/>
        <v>Scott Harker</v>
      </c>
      <c r="M562" t="s">
        <v>217</v>
      </c>
      <c r="N562" t="s">
        <v>218</v>
      </c>
      <c r="O562" s="26">
        <v>17</v>
      </c>
      <c r="Q562" t="s">
        <v>473</v>
      </c>
      <c r="R562" t="s">
        <v>472</v>
      </c>
      <c r="S562" s="26">
        <v>4</v>
      </c>
      <c r="U562" t="s">
        <v>1034</v>
      </c>
      <c r="V562" t="s">
        <v>1033</v>
      </c>
      <c r="W562" t="s">
        <v>1032</v>
      </c>
      <c r="X562" s="26">
        <v>1</v>
      </c>
    </row>
    <row r="563" spans="1:24" hidden="1" x14ac:dyDescent="0.35">
      <c r="A563">
        <f t="shared" si="17"/>
        <v>562</v>
      </c>
      <c r="B563">
        <v>2004</v>
      </c>
      <c r="C563" s="4" t="s">
        <v>109</v>
      </c>
      <c r="D563" s="4" t="s">
        <v>45</v>
      </c>
      <c r="E563" t="s">
        <v>1429</v>
      </c>
      <c r="F563" s="17">
        <v>160</v>
      </c>
      <c r="G563" s="17">
        <v>9</v>
      </c>
      <c r="H563" t="s">
        <v>118</v>
      </c>
      <c r="I563" t="s">
        <v>415</v>
      </c>
      <c r="J563" s="13">
        <v>1241.6571429699088</v>
      </c>
      <c r="K563" t="str">
        <f t="shared" si="16"/>
        <v>Pete Segal</v>
      </c>
      <c r="M563" t="s">
        <v>633</v>
      </c>
      <c r="N563" t="s">
        <v>634</v>
      </c>
      <c r="O563" s="26">
        <v>1</v>
      </c>
      <c r="R563" t="s">
        <v>636</v>
      </c>
      <c r="S563" s="26">
        <v>1</v>
      </c>
      <c r="U563" t="s">
        <v>1634</v>
      </c>
      <c r="V563" t="s">
        <v>401</v>
      </c>
      <c r="W563" t="s">
        <v>402</v>
      </c>
      <c r="X563" s="26">
        <v>2</v>
      </c>
    </row>
    <row r="564" spans="1:24" hidden="1" x14ac:dyDescent="0.35">
      <c r="A564">
        <f t="shared" si="17"/>
        <v>563</v>
      </c>
      <c r="B564">
        <v>2004</v>
      </c>
      <c r="C564" s="4" t="s">
        <v>109</v>
      </c>
      <c r="D564" s="4" t="s">
        <v>45</v>
      </c>
      <c r="E564" t="s">
        <v>1429</v>
      </c>
      <c r="F564" s="17">
        <v>122</v>
      </c>
      <c r="G564" s="17">
        <v>10</v>
      </c>
      <c r="H564" t="s">
        <v>731</v>
      </c>
      <c r="I564" t="s">
        <v>384</v>
      </c>
      <c r="J564" s="13">
        <v>1195.8996524092336</v>
      </c>
      <c r="K564" t="str">
        <f t="shared" si="16"/>
        <v>Jeff Calkins</v>
      </c>
      <c r="M564" t="s">
        <v>2512</v>
      </c>
      <c r="N564" t="s">
        <v>659</v>
      </c>
      <c r="O564" s="26">
        <v>7</v>
      </c>
      <c r="Q564" t="s">
        <v>1119</v>
      </c>
      <c r="R564" t="s">
        <v>1118</v>
      </c>
      <c r="S564" s="26">
        <v>1</v>
      </c>
      <c r="U564" t="s">
        <v>845</v>
      </c>
      <c r="V564" t="s">
        <v>85</v>
      </c>
      <c r="W564" t="s">
        <v>711</v>
      </c>
      <c r="X564" s="26">
        <v>9</v>
      </c>
    </row>
    <row r="565" spans="1:24" hidden="1" x14ac:dyDescent="0.35">
      <c r="A565">
        <f t="shared" si="17"/>
        <v>564</v>
      </c>
      <c r="B565">
        <v>2004</v>
      </c>
      <c r="C565" s="4" t="s">
        <v>109</v>
      </c>
      <c r="D565" s="4" t="s">
        <v>45</v>
      </c>
      <c r="E565" t="s">
        <v>1429</v>
      </c>
      <c r="F565" s="17">
        <v>122</v>
      </c>
      <c r="G565" s="17">
        <v>11</v>
      </c>
      <c r="H565" t="s">
        <v>1038</v>
      </c>
      <c r="I565" t="s">
        <v>28</v>
      </c>
      <c r="J565" s="13">
        <v>1154.5069672510085</v>
      </c>
      <c r="K565" t="str">
        <f t="shared" si="16"/>
        <v>Chris Raimondi</v>
      </c>
      <c r="M565" t="s">
        <v>2285</v>
      </c>
      <c r="N565" t="s">
        <v>2286</v>
      </c>
      <c r="O565" s="26">
        <v>2</v>
      </c>
      <c r="Q565" t="s">
        <v>36</v>
      </c>
      <c r="R565" t="s">
        <v>35</v>
      </c>
      <c r="S565" s="26">
        <v>27</v>
      </c>
      <c r="U565" t="s">
        <v>2342</v>
      </c>
      <c r="V565" t="s">
        <v>85</v>
      </c>
      <c r="W565" t="s">
        <v>1504</v>
      </c>
      <c r="X565" s="26">
        <v>24</v>
      </c>
    </row>
    <row r="566" spans="1:24" hidden="1" x14ac:dyDescent="0.35">
      <c r="A566">
        <f t="shared" si="17"/>
        <v>565</v>
      </c>
      <c r="B566">
        <v>2004</v>
      </c>
      <c r="C566" s="4" t="s">
        <v>109</v>
      </c>
      <c r="D566" s="4" t="s">
        <v>45</v>
      </c>
      <c r="E566" t="s">
        <v>1429</v>
      </c>
      <c r="F566" s="17">
        <v>122</v>
      </c>
      <c r="G566" s="17">
        <v>12</v>
      </c>
      <c r="H566" t="s">
        <v>672</v>
      </c>
      <c r="I566" t="s">
        <v>673</v>
      </c>
      <c r="J566" s="13">
        <v>1116.7184063616087</v>
      </c>
      <c r="K566" t="str">
        <f t="shared" si="16"/>
        <v>Jazbo Burns</v>
      </c>
      <c r="M566" t="s">
        <v>860</v>
      </c>
      <c r="N566" t="s">
        <v>861</v>
      </c>
      <c r="O566" s="26">
        <v>2</v>
      </c>
      <c r="R566" t="s">
        <v>83</v>
      </c>
      <c r="S566" s="26">
        <v>16</v>
      </c>
      <c r="U566" t="s">
        <v>228</v>
      </c>
      <c r="V566" t="s">
        <v>227</v>
      </c>
      <c r="W566" t="s">
        <v>226</v>
      </c>
      <c r="X566" s="26">
        <v>24</v>
      </c>
    </row>
    <row r="567" spans="1:24" hidden="1" x14ac:dyDescent="0.35">
      <c r="A567">
        <f t="shared" si="17"/>
        <v>566</v>
      </c>
      <c r="B567">
        <v>2004</v>
      </c>
      <c r="C567" s="4" t="s">
        <v>109</v>
      </c>
      <c r="D567" s="4" t="s">
        <v>45</v>
      </c>
      <c r="E567" t="s">
        <v>1429</v>
      </c>
      <c r="F567" s="17">
        <v>122</v>
      </c>
      <c r="G567" s="17">
        <v>13</v>
      </c>
      <c r="H567" t="s">
        <v>1222</v>
      </c>
      <c r="I567" t="s">
        <v>136</v>
      </c>
      <c r="J567" s="13">
        <v>1081.9563001023969</v>
      </c>
      <c r="K567" t="str">
        <f t="shared" si="16"/>
        <v>John Fontinelli</v>
      </c>
      <c r="M567" t="s">
        <v>2470</v>
      </c>
      <c r="N567" t="s">
        <v>218</v>
      </c>
      <c r="O567" s="26">
        <v>1</v>
      </c>
      <c r="Q567" t="s">
        <v>1385</v>
      </c>
      <c r="R567" t="s">
        <v>1384</v>
      </c>
      <c r="S567" s="26">
        <v>1</v>
      </c>
      <c r="U567" t="s">
        <v>154</v>
      </c>
      <c r="V567" t="s">
        <v>11</v>
      </c>
      <c r="W567" t="s">
        <v>10</v>
      </c>
      <c r="X567" s="26">
        <v>10</v>
      </c>
    </row>
    <row r="568" spans="1:24" hidden="1" x14ac:dyDescent="0.35">
      <c r="A568">
        <f t="shared" si="17"/>
        <v>567</v>
      </c>
      <c r="B568">
        <v>2004</v>
      </c>
      <c r="C568" s="4" t="s">
        <v>109</v>
      </c>
      <c r="D568" s="4" t="s">
        <v>45</v>
      </c>
      <c r="E568" t="s">
        <v>1429</v>
      </c>
      <c r="F568" s="17">
        <v>122</v>
      </c>
      <c r="G568" s="17">
        <v>14</v>
      </c>
      <c r="H568" t="s">
        <v>1223</v>
      </c>
      <c r="I568" t="s">
        <v>65</v>
      </c>
      <c r="J568" s="13">
        <v>1049.7716167309957</v>
      </c>
      <c r="K568" t="str">
        <f t="shared" si="16"/>
        <v>Steve Zang</v>
      </c>
      <c r="M568" t="s">
        <v>890</v>
      </c>
      <c r="N568" t="s">
        <v>81</v>
      </c>
      <c r="O568" s="26">
        <v>5</v>
      </c>
      <c r="Q568" t="s">
        <v>1112</v>
      </c>
      <c r="R568" t="s">
        <v>1111</v>
      </c>
      <c r="S568" s="26">
        <v>9</v>
      </c>
      <c r="U568" t="s">
        <v>1580</v>
      </c>
      <c r="V568" t="s">
        <v>11</v>
      </c>
      <c r="W568" t="s">
        <v>291</v>
      </c>
      <c r="X568" s="26">
        <v>1</v>
      </c>
    </row>
    <row r="569" spans="1:24" hidden="1" x14ac:dyDescent="0.35">
      <c r="A569">
        <f t="shared" si="17"/>
        <v>568</v>
      </c>
      <c r="B569">
        <v>2004</v>
      </c>
      <c r="C569" s="4" t="s">
        <v>109</v>
      </c>
      <c r="D569" s="4" t="s">
        <v>45</v>
      </c>
      <c r="E569" t="s">
        <v>1429</v>
      </c>
      <c r="F569" s="17">
        <v>122</v>
      </c>
      <c r="G569" s="17">
        <v>15</v>
      </c>
      <c r="H569" t="s">
        <v>1224</v>
      </c>
      <c r="I569" t="s">
        <v>782</v>
      </c>
      <c r="J569" s="13">
        <v>1019.8083933535522</v>
      </c>
      <c r="K569" t="str">
        <f t="shared" si="16"/>
        <v>Dennis Scanlon</v>
      </c>
      <c r="N569" t="s">
        <v>2335</v>
      </c>
      <c r="O569" s="26">
        <v>2</v>
      </c>
      <c r="Q569" t="s">
        <v>1033</v>
      </c>
      <c r="R569" t="s">
        <v>1032</v>
      </c>
      <c r="S569" s="26">
        <v>1</v>
      </c>
      <c r="U569" t="s">
        <v>1584</v>
      </c>
      <c r="V569" t="s">
        <v>11</v>
      </c>
      <c r="W569" t="s">
        <v>710</v>
      </c>
      <c r="X569" s="26">
        <v>1</v>
      </c>
    </row>
    <row r="570" spans="1:24" hidden="1" x14ac:dyDescent="0.35">
      <c r="A570">
        <f t="shared" si="17"/>
        <v>569</v>
      </c>
      <c r="B570">
        <v>2004</v>
      </c>
      <c r="C570" s="4" t="s">
        <v>109</v>
      </c>
      <c r="D570" s="4" t="s">
        <v>45</v>
      </c>
      <c r="E570" t="s">
        <v>1429</v>
      </c>
      <c r="F570" s="17">
        <v>122</v>
      </c>
      <c r="G570" s="17">
        <v>16</v>
      </c>
      <c r="H570" t="s">
        <v>1225</v>
      </c>
      <c r="I570" t="s">
        <v>1226</v>
      </c>
      <c r="J570" s="13">
        <v>991.77966975330878</v>
      </c>
      <c r="K570" t="str">
        <f t="shared" si="16"/>
        <v>Emilio Porco</v>
      </c>
      <c r="M570" t="s">
        <v>715</v>
      </c>
      <c r="N570" t="s">
        <v>11</v>
      </c>
      <c r="O570" s="26">
        <v>3</v>
      </c>
      <c r="Q570" t="s">
        <v>401</v>
      </c>
      <c r="R570" t="s">
        <v>402</v>
      </c>
      <c r="S570" s="26">
        <v>2</v>
      </c>
      <c r="U570" t="s">
        <v>1687</v>
      </c>
      <c r="V570" t="s">
        <v>11</v>
      </c>
      <c r="W570" t="s">
        <v>1191</v>
      </c>
      <c r="X570" s="26">
        <v>1</v>
      </c>
    </row>
    <row r="571" spans="1:24" hidden="1" x14ac:dyDescent="0.35">
      <c r="A571">
        <f t="shared" si="17"/>
        <v>570</v>
      </c>
      <c r="B571">
        <v>2004</v>
      </c>
      <c r="C571" s="4" t="s">
        <v>109</v>
      </c>
      <c r="D571" s="4" t="s">
        <v>45</v>
      </c>
      <c r="E571" t="s">
        <v>1429</v>
      </c>
      <c r="F571" s="17">
        <v>122</v>
      </c>
      <c r="G571" s="17">
        <v>17</v>
      </c>
      <c r="H571" t="s">
        <v>866</v>
      </c>
      <c r="I571" t="s">
        <v>142</v>
      </c>
      <c r="J571" s="13">
        <v>965.45073103095967</v>
      </c>
      <c r="K571" t="str">
        <f t="shared" si="16"/>
        <v>Matt Matros</v>
      </c>
      <c r="M571" t="s">
        <v>313</v>
      </c>
      <c r="N571" t="s">
        <v>314</v>
      </c>
      <c r="O571" s="26">
        <v>11</v>
      </c>
      <c r="Q571" t="s">
        <v>85</v>
      </c>
      <c r="R571" t="s">
        <v>711</v>
      </c>
      <c r="S571" s="26">
        <v>9</v>
      </c>
      <c r="U571" t="s">
        <v>909</v>
      </c>
      <c r="V571" t="s">
        <v>11</v>
      </c>
      <c r="W571" t="s">
        <v>908</v>
      </c>
      <c r="X571" s="26">
        <v>1</v>
      </c>
    </row>
    <row r="572" spans="1:24" hidden="1" x14ac:dyDescent="0.35">
      <c r="A572">
        <f t="shared" si="17"/>
        <v>571</v>
      </c>
      <c r="B572">
        <v>2004</v>
      </c>
      <c r="C572" s="4" t="s">
        <v>109</v>
      </c>
      <c r="D572" s="4" t="s">
        <v>45</v>
      </c>
      <c r="E572" t="s">
        <v>1429</v>
      </c>
      <c r="F572" s="17">
        <v>122</v>
      </c>
      <c r="G572" s="17">
        <v>18</v>
      </c>
      <c r="H572" t="s">
        <v>1227</v>
      </c>
      <c r="I572" t="s">
        <v>153</v>
      </c>
      <c r="J572" s="13">
        <v>940.62714730592756</v>
      </c>
      <c r="K572" t="str">
        <f t="shared" si="16"/>
        <v>Stephen Benton</v>
      </c>
      <c r="M572" t="s">
        <v>1100</v>
      </c>
      <c r="N572" t="s">
        <v>1101</v>
      </c>
      <c r="O572" s="26">
        <v>1</v>
      </c>
      <c r="R572" t="s">
        <v>1504</v>
      </c>
      <c r="S572" s="26">
        <v>24</v>
      </c>
      <c r="U572" t="s">
        <v>113</v>
      </c>
      <c r="V572" t="s">
        <v>11</v>
      </c>
      <c r="W572" t="s">
        <v>14</v>
      </c>
      <c r="X572" s="26">
        <v>23</v>
      </c>
    </row>
    <row r="573" spans="1:24" hidden="1" x14ac:dyDescent="0.35">
      <c r="A573">
        <f t="shared" si="17"/>
        <v>572</v>
      </c>
      <c r="B573">
        <v>2004</v>
      </c>
      <c r="C573" s="4" t="s">
        <v>263</v>
      </c>
      <c r="D573" s="4" t="s">
        <v>45</v>
      </c>
      <c r="E573" t="s">
        <v>1429</v>
      </c>
      <c r="F573" s="17">
        <v>3710</v>
      </c>
      <c r="G573" s="17">
        <v>1</v>
      </c>
      <c r="H573" t="s">
        <v>821</v>
      </c>
      <c r="I573" t="s">
        <v>822</v>
      </c>
      <c r="J573" s="13">
        <v>2313.8672203691531</v>
      </c>
      <c r="K573" t="str">
        <f t="shared" si="16"/>
        <v>Gavin Smith</v>
      </c>
      <c r="N573" t="s">
        <v>487</v>
      </c>
      <c r="O573" s="26">
        <v>2</v>
      </c>
      <c r="Q573" t="s">
        <v>227</v>
      </c>
      <c r="R573" t="s">
        <v>226</v>
      </c>
      <c r="S573" s="26">
        <v>24</v>
      </c>
      <c r="U573" t="s">
        <v>938</v>
      </c>
      <c r="V573" t="s">
        <v>11</v>
      </c>
      <c r="W573" t="s">
        <v>937</v>
      </c>
      <c r="X573" s="26">
        <v>1</v>
      </c>
    </row>
    <row r="574" spans="1:24" hidden="1" x14ac:dyDescent="0.35">
      <c r="A574">
        <f t="shared" si="17"/>
        <v>573</v>
      </c>
      <c r="B574">
        <v>2004</v>
      </c>
      <c r="C574" s="4" t="s">
        <v>263</v>
      </c>
      <c r="D574" s="4" t="s">
        <v>45</v>
      </c>
      <c r="E574" t="s">
        <v>1429</v>
      </c>
      <c r="F574" s="17">
        <v>2970</v>
      </c>
      <c r="G574" s="17">
        <v>2</v>
      </c>
      <c r="H574" t="s">
        <v>974</v>
      </c>
      <c r="I574" t="s">
        <v>353</v>
      </c>
      <c r="J574" s="13">
        <v>2012.837224705172</v>
      </c>
      <c r="K574" t="str">
        <f t="shared" si="16"/>
        <v>Frank Brabec</v>
      </c>
      <c r="M574" t="s">
        <v>585</v>
      </c>
      <c r="N574" t="s">
        <v>676</v>
      </c>
      <c r="O574" s="26">
        <v>4</v>
      </c>
      <c r="Q574" t="s">
        <v>11</v>
      </c>
      <c r="R574" t="s">
        <v>10</v>
      </c>
      <c r="S574" s="26">
        <v>10</v>
      </c>
      <c r="U574" t="s">
        <v>1412</v>
      </c>
      <c r="V574" t="s">
        <v>11</v>
      </c>
      <c r="W574" t="s">
        <v>715</v>
      </c>
      <c r="X574" s="26">
        <v>3</v>
      </c>
    </row>
    <row r="575" spans="1:24" hidden="1" x14ac:dyDescent="0.35">
      <c r="A575">
        <f t="shared" si="17"/>
        <v>574</v>
      </c>
      <c r="B575">
        <v>2004</v>
      </c>
      <c r="C575" s="4" t="s">
        <v>263</v>
      </c>
      <c r="D575" s="4" t="s">
        <v>45</v>
      </c>
      <c r="E575" t="s">
        <v>1429</v>
      </c>
      <c r="F575" s="17">
        <v>2220</v>
      </c>
      <c r="G575" s="17">
        <v>3</v>
      </c>
      <c r="H575" t="s">
        <v>531</v>
      </c>
      <c r="I575" t="s">
        <v>271</v>
      </c>
      <c r="J575" s="13">
        <v>1836.7459656494909</v>
      </c>
      <c r="K575" t="str">
        <f t="shared" si="16"/>
        <v>Dan Nussbaum</v>
      </c>
      <c r="N575" t="s">
        <v>136</v>
      </c>
      <c r="O575" s="26">
        <v>14</v>
      </c>
      <c r="R575" t="s">
        <v>291</v>
      </c>
      <c r="S575" s="26">
        <v>1</v>
      </c>
      <c r="U575" t="s">
        <v>466</v>
      </c>
      <c r="V575" t="s">
        <v>11</v>
      </c>
      <c r="W575" t="s">
        <v>465</v>
      </c>
      <c r="X575" s="26">
        <v>5</v>
      </c>
    </row>
    <row r="576" spans="1:24" hidden="1" x14ac:dyDescent="0.35">
      <c r="A576">
        <f t="shared" si="17"/>
        <v>575</v>
      </c>
      <c r="B576">
        <v>2004</v>
      </c>
      <c r="C576" s="4" t="s">
        <v>263</v>
      </c>
      <c r="D576" s="4" t="s">
        <v>45</v>
      </c>
      <c r="E576" t="s">
        <v>1429</v>
      </c>
      <c r="F576" s="17">
        <v>1780</v>
      </c>
      <c r="G576" s="17">
        <v>4</v>
      </c>
      <c r="H576" t="s">
        <v>50</v>
      </c>
      <c r="I576" t="s">
        <v>25</v>
      </c>
      <c r="J576" s="13">
        <v>1711.8072290411908</v>
      </c>
      <c r="K576" t="str">
        <f t="shared" si="16"/>
        <v>Russell Fox</v>
      </c>
      <c r="M576" t="s">
        <v>304</v>
      </c>
      <c r="N576" t="s">
        <v>1003</v>
      </c>
      <c r="O576" s="26">
        <v>4</v>
      </c>
      <c r="R576" t="s">
        <v>710</v>
      </c>
      <c r="S576" s="26">
        <v>1</v>
      </c>
      <c r="U576" t="s">
        <v>1173</v>
      </c>
      <c r="V576" t="s">
        <v>11</v>
      </c>
      <c r="W576" t="s">
        <v>527</v>
      </c>
      <c r="X576" s="26">
        <v>15</v>
      </c>
    </row>
    <row r="577" spans="1:24" hidden="1" x14ac:dyDescent="0.35">
      <c r="A577">
        <f t="shared" si="17"/>
        <v>576</v>
      </c>
      <c r="B577">
        <v>2004</v>
      </c>
      <c r="C577" s="4" t="s">
        <v>263</v>
      </c>
      <c r="D577" s="4" t="s">
        <v>45</v>
      </c>
      <c r="E577" t="s">
        <v>1429</v>
      </c>
      <c r="F577" s="17">
        <v>1460</v>
      </c>
      <c r="G577" s="17">
        <v>5</v>
      </c>
      <c r="H577" t="s">
        <v>1235</v>
      </c>
      <c r="I577" t="s">
        <v>131</v>
      </c>
      <c r="J577" s="13">
        <v>1614.8972160331346</v>
      </c>
      <c r="K577" t="str">
        <f t="shared" si="16"/>
        <v>Alan Tiger</v>
      </c>
      <c r="N577" t="s">
        <v>1411</v>
      </c>
      <c r="O577" s="26">
        <v>1</v>
      </c>
      <c r="R577" t="s">
        <v>1191</v>
      </c>
      <c r="S577" s="26">
        <v>1</v>
      </c>
      <c r="U577" t="s">
        <v>2353</v>
      </c>
      <c r="V577" t="s">
        <v>11</v>
      </c>
      <c r="W577" t="s">
        <v>1807</v>
      </c>
      <c r="X577" s="26">
        <v>1</v>
      </c>
    </row>
    <row r="578" spans="1:24" hidden="1" x14ac:dyDescent="0.35">
      <c r="A578">
        <f t="shared" si="17"/>
        <v>577</v>
      </c>
      <c r="B578">
        <v>2004</v>
      </c>
      <c r="C578" s="4" t="s">
        <v>263</v>
      </c>
      <c r="D578" s="4" t="s">
        <v>45</v>
      </c>
      <c r="E578" t="s">
        <v>1429</v>
      </c>
      <c r="F578" s="17">
        <v>1190</v>
      </c>
      <c r="G578" s="17">
        <v>6</v>
      </c>
      <c r="H578" t="s">
        <v>545</v>
      </c>
      <c r="I578" t="s">
        <v>425</v>
      </c>
      <c r="J578" s="13">
        <v>1535.7159699855097</v>
      </c>
      <c r="K578" t="str">
        <f t="shared" ref="K578:K641" si="18">I578&amp;" "&amp;H578</f>
        <v>Tony Goldstein</v>
      </c>
      <c r="N578" t="s">
        <v>65</v>
      </c>
      <c r="O578" s="26">
        <v>9</v>
      </c>
      <c r="R578" t="s">
        <v>908</v>
      </c>
      <c r="S578" s="26">
        <v>1</v>
      </c>
      <c r="U578" t="s">
        <v>1420</v>
      </c>
      <c r="V578" t="s">
        <v>11</v>
      </c>
      <c r="W578" t="s">
        <v>183</v>
      </c>
      <c r="X578" s="26">
        <v>1</v>
      </c>
    </row>
    <row r="579" spans="1:24" hidden="1" x14ac:dyDescent="0.35">
      <c r="A579">
        <f t="shared" si="17"/>
        <v>578</v>
      </c>
      <c r="B579">
        <v>2004</v>
      </c>
      <c r="C579" s="4" t="s">
        <v>263</v>
      </c>
      <c r="D579" s="4" t="s">
        <v>45</v>
      </c>
      <c r="E579" t="s">
        <v>1429</v>
      </c>
      <c r="F579" s="17">
        <v>890</v>
      </c>
      <c r="G579" s="17">
        <v>7</v>
      </c>
      <c r="H579" t="s">
        <v>304</v>
      </c>
      <c r="I579" t="s">
        <v>65</v>
      </c>
      <c r="J579" s="13">
        <v>1468.7691803548964</v>
      </c>
      <c r="K579" t="str">
        <f t="shared" si="18"/>
        <v>Steve Pierce</v>
      </c>
      <c r="M579" t="s">
        <v>486</v>
      </c>
      <c r="N579" t="s">
        <v>487</v>
      </c>
      <c r="O579" s="26">
        <v>3</v>
      </c>
      <c r="R579" t="s">
        <v>14</v>
      </c>
      <c r="S579" s="26">
        <v>23</v>
      </c>
      <c r="U579" t="s">
        <v>1551</v>
      </c>
      <c r="V579" t="s">
        <v>11</v>
      </c>
      <c r="W579" t="s">
        <v>1172</v>
      </c>
      <c r="X579" s="26">
        <v>4</v>
      </c>
    </row>
    <row r="580" spans="1:24" hidden="1" x14ac:dyDescent="0.35">
      <c r="A580">
        <f t="shared" ref="A580:A643" si="19">A579+1</f>
        <v>579</v>
      </c>
      <c r="B580">
        <v>2004</v>
      </c>
      <c r="C580" s="4" t="s">
        <v>263</v>
      </c>
      <c r="D580" s="4" t="s">
        <v>45</v>
      </c>
      <c r="E580" t="s">
        <v>1429</v>
      </c>
      <c r="F580" s="17">
        <v>590</v>
      </c>
      <c r="G580" s="17">
        <v>8</v>
      </c>
      <c r="H580" t="s">
        <v>1234</v>
      </c>
      <c r="I580" t="s">
        <v>890</v>
      </c>
      <c r="J580" s="13">
        <v>1410.7772333772098</v>
      </c>
      <c r="K580" t="str">
        <f t="shared" si="18"/>
        <v>Perry Friedman</v>
      </c>
      <c r="M580" t="s">
        <v>1392</v>
      </c>
      <c r="N580" t="s">
        <v>1393</v>
      </c>
      <c r="O580" s="26">
        <v>1</v>
      </c>
      <c r="R580" t="s">
        <v>937</v>
      </c>
      <c r="S580" s="26">
        <v>1</v>
      </c>
      <c r="U580" t="s">
        <v>1350</v>
      </c>
      <c r="V580" t="s">
        <v>1349</v>
      </c>
      <c r="W580" t="s">
        <v>821</v>
      </c>
      <c r="X580" s="26">
        <v>2</v>
      </c>
    </row>
    <row r="581" spans="1:24" hidden="1" x14ac:dyDescent="0.35">
      <c r="A581">
        <f t="shared" si="19"/>
        <v>580</v>
      </c>
      <c r="B581">
        <v>2004</v>
      </c>
      <c r="C581" s="4" t="s">
        <v>263</v>
      </c>
      <c r="D581" s="4" t="s">
        <v>45</v>
      </c>
      <c r="E581" t="s">
        <v>1429</v>
      </c>
      <c r="F581" s="17">
        <v>300</v>
      </c>
      <c r="G581" s="17">
        <v>9</v>
      </c>
      <c r="H581" t="s">
        <v>764</v>
      </c>
      <c r="I581" t="s">
        <v>765</v>
      </c>
      <c r="J581" s="13">
        <v>1359.6247109298286</v>
      </c>
      <c r="K581" t="str">
        <f t="shared" si="18"/>
        <v>Michelle Ankenman</v>
      </c>
      <c r="M581" t="s">
        <v>529</v>
      </c>
      <c r="N581" t="s">
        <v>530</v>
      </c>
      <c r="O581" s="26">
        <v>1</v>
      </c>
      <c r="R581" t="s">
        <v>715</v>
      </c>
      <c r="S581" s="26">
        <v>3</v>
      </c>
      <c r="U581" t="s">
        <v>1409</v>
      </c>
      <c r="V581" t="s">
        <v>890</v>
      </c>
      <c r="W581" t="s">
        <v>1234</v>
      </c>
      <c r="X581" s="26">
        <v>3</v>
      </c>
    </row>
    <row r="582" spans="1:24" hidden="1" x14ac:dyDescent="0.35">
      <c r="A582">
        <f t="shared" si="19"/>
        <v>581</v>
      </c>
      <c r="B582">
        <v>2004</v>
      </c>
      <c r="C582" s="4" t="s">
        <v>263</v>
      </c>
      <c r="D582" s="4" t="s">
        <v>45</v>
      </c>
      <c r="E582" t="s">
        <v>1429</v>
      </c>
      <c r="F582" s="17">
        <v>200</v>
      </c>
      <c r="G582" s="17">
        <v>10</v>
      </c>
      <c r="H582" t="s">
        <v>406</v>
      </c>
      <c r="I582" t="s">
        <v>808</v>
      </c>
      <c r="J582" s="13">
        <v>1313.8672203691533</v>
      </c>
      <c r="K582" t="str">
        <f t="shared" si="18"/>
        <v>Marc Howard</v>
      </c>
      <c r="M582" t="s">
        <v>970</v>
      </c>
      <c r="N582" t="s">
        <v>971</v>
      </c>
      <c r="O582" s="26">
        <v>1</v>
      </c>
      <c r="R582" t="s">
        <v>465</v>
      </c>
      <c r="S582" s="26">
        <v>5</v>
      </c>
      <c r="U582" t="s">
        <v>891</v>
      </c>
      <c r="V582" t="s">
        <v>890</v>
      </c>
      <c r="W582" t="s">
        <v>889</v>
      </c>
      <c r="X582" s="26">
        <v>5</v>
      </c>
    </row>
    <row r="583" spans="1:24" hidden="1" x14ac:dyDescent="0.35">
      <c r="A583">
        <f t="shared" si="19"/>
        <v>582</v>
      </c>
      <c r="B583">
        <v>2004</v>
      </c>
      <c r="C583" s="4" t="s">
        <v>263</v>
      </c>
      <c r="D583" s="4" t="s">
        <v>45</v>
      </c>
      <c r="E583" t="s">
        <v>1429</v>
      </c>
      <c r="F583" s="17">
        <v>200</v>
      </c>
      <c r="G583" s="17">
        <v>11</v>
      </c>
      <c r="H583" t="s">
        <v>1236</v>
      </c>
      <c r="I583" t="s">
        <v>159</v>
      </c>
      <c r="J583" s="13">
        <v>1272.474535210928</v>
      </c>
      <c r="K583" t="str">
        <f t="shared" si="18"/>
        <v>Brian Judd</v>
      </c>
      <c r="M583" t="s">
        <v>1308</v>
      </c>
      <c r="N583" t="s">
        <v>1309</v>
      </c>
      <c r="O583" s="26">
        <v>2</v>
      </c>
      <c r="R583" t="s">
        <v>527</v>
      </c>
      <c r="S583" s="26">
        <v>15</v>
      </c>
      <c r="U583" t="s">
        <v>1464</v>
      </c>
      <c r="V583" t="s">
        <v>415</v>
      </c>
      <c r="W583" t="s">
        <v>118</v>
      </c>
      <c r="X583" s="26">
        <v>32</v>
      </c>
    </row>
    <row r="584" spans="1:24" hidden="1" x14ac:dyDescent="0.35">
      <c r="A584">
        <f t="shared" si="19"/>
        <v>583</v>
      </c>
      <c r="B584">
        <v>2004</v>
      </c>
      <c r="C584" s="4" t="s">
        <v>263</v>
      </c>
      <c r="D584" s="4" t="s">
        <v>45</v>
      </c>
      <c r="E584" t="s">
        <v>1429</v>
      </c>
      <c r="F584" s="17">
        <v>200</v>
      </c>
      <c r="G584" s="17">
        <v>12</v>
      </c>
      <c r="H584" t="s">
        <v>1237</v>
      </c>
      <c r="I584" t="s">
        <v>1238</v>
      </c>
      <c r="J584" s="13">
        <v>1234.6859743215284</v>
      </c>
      <c r="K584" t="str">
        <f t="shared" si="18"/>
        <v>Sassoun Sarhadian</v>
      </c>
      <c r="M584" t="s">
        <v>248</v>
      </c>
      <c r="N584" t="s">
        <v>249</v>
      </c>
      <c r="O584" s="26">
        <v>21</v>
      </c>
      <c r="R584" t="s">
        <v>1807</v>
      </c>
      <c r="S584" s="26">
        <v>1</v>
      </c>
      <c r="U584" t="s">
        <v>311</v>
      </c>
      <c r="V584" t="s">
        <v>119</v>
      </c>
      <c r="W584" t="s">
        <v>310</v>
      </c>
      <c r="X584" s="26">
        <v>9</v>
      </c>
    </row>
    <row r="585" spans="1:24" hidden="1" x14ac:dyDescent="0.35">
      <c r="A585">
        <f t="shared" si="19"/>
        <v>584</v>
      </c>
      <c r="B585">
        <v>2004</v>
      </c>
      <c r="C585" s="4" t="s">
        <v>263</v>
      </c>
      <c r="D585" s="4" t="s">
        <v>45</v>
      </c>
      <c r="E585" t="s">
        <v>1429</v>
      </c>
      <c r="F585" s="17">
        <v>150</v>
      </c>
      <c r="G585" s="17">
        <v>13</v>
      </c>
      <c r="H585" t="s">
        <v>1239</v>
      </c>
      <c r="I585" t="s">
        <v>196</v>
      </c>
      <c r="J585" s="13">
        <v>1199.9238680623166</v>
      </c>
      <c r="K585" t="str">
        <f t="shared" si="18"/>
        <v>Dave Roemer</v>
      </c>
      <c r="M585" t="s">
        <v>1225</v>
      </c>
      <c r="N585" t="s">
        <v>1226</v>
      </c>
      <c r="O585" s="26">
        <v>1</v>
      </c>
      <c r="R585" t="s">
        <v>183</v>
      </c>
      <c r="S585" s="26">
        <v>1</v>
      </c>
      <c r="U585" t="s">
        <v>985</v>
      </c>
      <c r="V585" t="s">
        <v>119</v>
      </c>
      <c r="W585" t="s">
        <v>984</v>
      </c>
      <c r="X585" s="26">
        <v>4</v>
      </c>
    </row>
    <row r="586" spans="1:24" hidden="1" x14ac:dyDescent="0.35">
      <c r="A586">
        <f t="shared" si="19"/>
        <v>585</v>
      </c>
      <c r="B586">
        <v>2004</v>
      </c>
      <c r="C586" s="4" t="s">
        <v>263</v>
      </c>
      <c r="D586" s="4" t="s">
        <v>45</v>
      </c>
      <c r="E586" t="s">
        <v>1429</v>
      </c>
      <c r="F586" s="17">
        <v>150</v>
      </c>
      <c r="G586" s="17">
        <v>14</v>
      </c>
      <c r="H586" t="s">
        <v>1240</v>
      </c>
      <c r="I586" t="s">
        <v>384</v>
      </c>
      <c r="J586" s="13">
        <v>1167.7391846909154</v>
      </c>
      <c r="K586" t="str">
        <f t="shared" si="18"/>
        <v>Jeff Siegal</v>
      </c>
      <c r="M586" t="s">
        <v>1219</v>
      </c>
      <c r="N586" t="s">
        <v>1220</v>
      </c>
      <c r="O586" s="26">
        <v>6</v>
      </c>
      <c r="R586" t="s">
        <v>1172</v>
      </c>
      <c r="S586" s="26">
        <v>4</v>
      </c>
      <c r="U586" t="s">
        <v>1377</v>
      </c>
      <c r="V586" t="s">
        <v>119</v>
      </c>
      <c r="W586" t="s">
        <v>1376</v>
      </c>
      <c r="X586" s="26">
        <v>2</v>
      </c>
    </row>
    <row r="587" spans="1:24" hidden="1" x14ac:dyDescent="0.35">
      <c r="A587">
        <f t="shared" si="19"/>
        <v>586</v>
      </c>
      <c r="B587">
        <v>2004</v>
      </c>
      <c r="C587" s="4" t="s">
        <v>263</v>
      </c>
      <c r="D587" s="4" t="s">
        <v>45</v>
      </c>
      <c r="E587" t="s">
        <v>1429</v>
      </c>
      <c r="F587" s="17">
        <v>150</v>
      </c>
      <c r="G587" s="17">
        <v>15</v>
      </c>
      <c r="H587" t="s">
        <v>14</v>
      </c>
      <c r="I587" t="s">
        <v>11</v>
      </c>
      <c r="J587" s="13">
        <v>1137.775961313472</v>
      </c>
      <c r="K587" t="str">
        <f t="shared" si="18"/>
        <v>Paul McMullin</v>
      </c>
      <c r="M587" t="s">
        <v>409</v>
      </c>
      <c r="N587" t="s">
        <v>408</v>
      </c>
      <c r="O587" s="26">
        <v>1</v>
      </c>
      <c r="Q587" t="s">
        <v>1349</v>
      </c>
      <c r="R587" t="s">
        <v>821</v>
      </c>
      <c r="S587" s="26">
        <v>2</v>
      </c>
      <c r="U587" t="s">
        <v>934</v>
      </c>
      <c r="V587" t="s">
        <v>119</v>
      </c>
      <c r="W587" t="s">
        <v>933</v>
      </c>
      <c r="X587" s="26">
        <v>1</v>
      </c>
    </row>
    <row r="588" spans="1:24" hidden="1" x14ac:dyDescent="0.35">
      <c r="A588">
        <f t="shared" si="19"/>
        <v>587</v>
      </c>
      <c r="B588">
        <v>2004</v>
      </c>
      <c r="C588" s="4" t="s">
        <v>263</v>
      </c>
      <c r="D588" s="4" t="s">
        <v>45</v>
      </c>
      <c r="E588" t="s">
        <v>1429</v>
      </c>
      <c r="F588" s="17">
        <v>100</v>
      </c>
      <c r="G588" s="17">
        <v>16</v>
      </c>
      <c r="H588" t="s">
        <v>1241</v>
      </c>
      <c r="I588" t="s">
        <v>58</v>
      </c>
      <c r="J588" s="13">
        <v>1109.7472377132285</v>
      </c>
      <c r="K588" t="str">
        <f t="shared" si="18"/>
        <v>Jim Watson</v>
      </c>
      <c r="M588" t="s">
        <v>323</v>
      </c>
      <c r="N588" t="s">
        <v>324</v>
      </c>
      <c r="O588" s="26">
        <v>14</v>
      </c>
      <c r="Q588" t="s">
        <v>890</v>
      </c>
      <c r="R588" t="s">
        <v>1234</v>
      </c>
      <c r="S588" s="26">
        <v>3</v>
      </c>
      <c r="U588" t="s">
        <v>1137</v>
      </c>
      <c r="V588" t="s">
        <v>119</v>
      </c>
      <c r="W588" t="s">
        <v>1136</v>
      </c>
      <c r="X588" s="26">
        <v>1</v>
      </c>
    </row>
    <row r="589" spans="1:24" hidden="1" x14ac:dyDescent="0.35">
      <c r="A589">
        <f t="shared" si="19"/>
        <v>588</v>
      </c>
      <c r="B589">
        <v>2004</v>
      </c>
      <c r="C589" s="4" t="s">
        <v>263</v>
      </c>
      <c r="D589" s="4" t="s">
        <v>45</v>
      </c>
      <c r="E589" t="s">
        <v>1429</v>
      </c>
      <c r="F589" s="17">
        <v>100</v>
      </c>
      <c r="G589" s="17">
        <v>17</v>
      </c>
      <c r="H589" t="s">
        <v>827</v>
      </c>
      <c r="I589" t="s">
        <v>52</v>
      </c>
      <c r="J589" s="13">
        <v>1083.4182989908793</v>
      </c>
      <c r="K589" t="str">
        <f t="shared" si="18"/>
        <v>Steven Evans</v>
      </c>
      <c r="M589" t="s">
        <v>772</v>
      </c>
      <c r="N589" t="s">
        <v>463</v>
      </c>
      <c r="O589" s="26">
        <v>1</v>
      </c>
      <c r="R589" t="s">
        <v>889</v>
      </c>
      <c r="S589" s="26">
        <v>5</v>
      </c>
      <c r="U589" t="s">
        <v>1702</v>
      </c>
      <c r="V589" t="s">
        <v>119</v>
      </c>
      <c r="W589" t="s">
        <v>1319</v>
      </c>
      <c r="X589" s="26">
        <v>1</v>
      </c>
    </row>
    <row r="590" spans="1:24" hidden="1" x14ac:dyDescent="0.35">
      <c r="A590">
        <f t="shared" si="19"/>
        <v>589</v>
      </c>
      <c r="B590">
        <v>2004</v>
      </c>
      <c r="C590" s="4" t="s">
        <v>263</v>
      </c>
      <c r="D590" s="4" t="s">
        <v>45</v>
      </c>
      <c r="E590" t="s">
        <v>1429</v>
      </c>
      <c r="F590" s="17">
        <v>100</v>
      </c>
      <c r="G590" s="17">
        <v>18</v>
      </c>
      <c r="H590" t="s">
        <v>1053</v>
      </c>
      <c r="I590" t="s">
        <v>128</v>
      </c>
      <c r="J590" s="13">
        <v>1058.5947152658473</v>
      </c>
      <c r="K590" t="str">
        <f t="shared" si="18"/>
        <v>Lee Crocker</v>
      </c>
      <c r="M590" t="s">
        <v>1281</v>
      </c>
      <c r="N590" t="s">
        <v>16</v>
      </c>
      <c r="O590" s="26">
        <v>1</v>
      </c>
      <c r="Q590" t="s">
        <v>415</v>
      </c>
      <c r="R590" t="s">
        <v>118</v>
      </c>
      <c r="S590" s="26">
        <v>32</v>
      </c>
      <c r="U590" t="s">
        <v>286</v>
      </c>
      <c r="V590" t="s">
        <v>119</v>
      </c>
      <c r="W590" t="s">
        <v>285</v>
      </c>
      <c r="X590" s="26">
        <v>21</v>
      </c>
    </row>
    <row r="591" spans="1:24" hidden="1" x14ac:dyDescent="0.35">
      <c r="A591">
        <f t="shared" si="19"/>
        <v>590</v>
      </c>
      <c r="B591">
        <v>2004</v>
      </c>
      <c r="C591" s="4" t="s">
        <v>263</v>
      </c>
      <c r="D591" s="4" t="s">
        <v>817</v>
      </c>
      <c r="E591" t="s">
        <v>944</v>
      </c>
      <c r="F591" s="17">
        <v>1420</v>
      </c>
      <c r="G591" s="17">
        <v>1</v>
      </c>
      <c r="H591" t="s">
        <v>310</v>
      </c>
      <c r="I591" t="s">
        <v>119</v>
      </c>
      <c r="J591" s="13">
        <v>2017.0333392987802</v>
      </c>
      <c r="K591" t="str">
        <f t="shared" si="18"/>
        <v>Peter Caldes</v>
      </c>
      <c r="M591" t="s">
        <v>2298</v>
      </c>
      <c r="N591" t="s">
        <v>28</v>
      </c>
      <c r="O591" s="26">
        <v>2</v>
      </c>
      <c r="Q591" t="s">
        <v>119</v>
      </c>
      <c r="R591" t="s">
        <v>310</v>
      </c>
      <c r="S591" s="26">
        <v>9</v>
      </c>
      <c r="U591" t="s">
        <v>378</v>
      </c>
      <c r="V591" t="s">
        <v>119</v>
      </c>
      <c r="W591" t="s">
        <v>377</v>
      </c>
      <c r="X591" s="26">
        <v>7</v>
      </c>
    </row>
    <row r="592" spans="1:24" hidden="1" x14ac:dyDescent="0.35">
      <c r="A592">
        <f t="shared" si="19"/>
        <v>591</v>
      </c>
      <c r="B592">
        <v>2004</v>
      </c>
      <c r="C592" s="4" t="s">
        <v>263</v>
      </c>
      <c r="D592" s="4" t="s">
        <v>817</v>
      </c>
      <c r="E592" t="s">
        <v>944</v>
      </c>
      <c r="F592" s="17">
        <v>1130</v>
      </c>
      <c r="G592" s="17">
        <v>2</v>
      </c>
      <c r="H592" t="s">
        <v>74</v>
      </c>
      <c r="I592" t="s">
        <v>75</v>
      </c>
      <c r="J592" s="13">
        <v>1716.003343634799</v>
      </c>
      <c r="K592" t="str">
        <f t="shared" si="18"/>
        <v>Sabyl Landrum</v>
      </c>
      <c r="M592" t="s">
        <v>1291</v>
      </c>
      <c r="N592" t="s">
        <v>58</v>
      </c>
      <c r="O592" s="26">
        <v>1</v>
      </c>
      <c r="R592" t="s">
        <v>984</v>
      </c>
      <c r="S592" s="26">
        <v>4</v>
      </c>
      <c r="U592" t="s">
        <v>1407</v>
      </c>
      <c r="V592" t="s">
        <v>1267</v>
      </c>
      <c r="W592" t="s">
        <v>1406</v>
      </c>
      <c r="X592" s="26">
        <v>1</v>
      </c>
    </row>
    <row r="593" spans="1:24" hidden="1" x14ac:dyDescent="0.35">
      <c r="A593">
        <f t="shared" si="19"/>
        <v>592</v>
      </c>
      <c r="B593">
        <v>2004</v>
      </c>
      <c r="C593" s="4" t="s">
        <v>263</v>
      </c>
      <c r="D593" s="4" t="s">
        <v>817</v>
      </c>
      <c r="E593" t="s">
        <v>944</v>
      </c>
      <c r="F593" s="17">
        <v>850</v>
      </c>
      <c r="G593" s="17">
        <v>3</v>
      </c>
      <c r="H593" t="s">
        <v>1234</v>
      </c>
      <c r="I593" t="s">
        <v>890</v>
      </c>
      <c r="J593" s="13">
        <v>1539.9120845791178</v>
      </c>
      <c r="K593" t="str">
        <f t="shared" si="18"/>
        <v>Perry Friedman</v>
      </c>
      <c r="M593" t="s">
        <v>858</v>
      </c>
      <c r="N593" t="s">
        <v>859</v>
      </c>
      <c r="O593" s="26">
        <v>1</v>
      </c>
      <c r="R593" t="s">
        <v>1376</v>
      </c>
      <c r="S593" s="26">
        <v>2</v>
      </c>
      <c r="U593" t="s">
        <v>1268</v>
      </c>
      <c r="V593" t="s">
        <v>1267</v>
      </c>
      <c r="W593" t="s">
        <v>1266</v>
      </c>
      <c r="X593" s="26">
        <v>2</v>
      </c>
    </row>
    <row r="594" spans="1:24" hidden="1" x14ac:dyDescent="0.35">
      <c r="A594">
        <f t="shared" si="19"/>
        <v>593</v>
      </c>
      <c r="B594">
        <v>2004</v>
      </c>
      <c r="C594" s="4" t="s">
        <v>263</v>
      </c>
      <c r="D594" s="4" t="s">
        <v>817</v>
      </c>
      <c r="E594" t="s">
        <v>944</v>
      </c>
      <c r="F594" s="17">
        <v>680</v>
      </c>
      <c r="G594" s="17">
        <v>4</v>
      </c>
      <c r="H594" t="s">
        <v>545</v>
      </c>
      <c r="I594" t="s">
        <v>425</v>
      </c>
      <c r="J594" s="13">
        <v>1414.9733479708177</v>
      </c>
      <c r="K594" t="str">
        <f t="shared" si="18"/>
        <v>Tony Goldstein</v>
      </c>
      <c r="M594" t="s">
        <v>841</v>
      </c>
      <c r="N594" t="s">
        <v>139</v>
      </c>
      <c r="O594" s="26">
        <v>1</v>
      </c>
      <c r="R594" t="s">
        <v>933</v>
      </c>
      <c r="S594" s="26">
        <v>1</v>
      </c>
      <c r="U594" t="s">
        <v>1495</v>
      </c>
      <c r="V594" t="s">
        <v>1444</v>
      </c>
      <c r="W594" t="s">
        <v>1442</v>
      </c>
      <c r="X594" s="26">
        <v>1</v>
      </c>
    </row>
    <row r="595" spans="1:24" hidden="1" x14ac:dyDescent="0.35">
      <c r="A595">
        <f t="shared" si="19"/>
        <v>594</v>
      </c>
      <c r="B595">
        <v>2004</v>
      </c>
      <c r="C595" s="4" t="s">
        <v>263</v>
      </c>
      <c r="D595" s="4" t="s">
        <v>817</v>
      </c>
      <c r="E595" t="s">
        <v>944</v>
      </c>
      <c r="F595" s="17">
        <v>570</v>
      </c>
      <c r="G595" s="17">
        <v>5</v>
      </c>
      <c r="H595" t="s">
        <v>580</v>
      </c>
      <c r="I595" t="s">
        <v>153</v>
      </c>
      <c r="J595" s="13">
        <v>1318.0633349627615</v>
      </c>
      <c r="K595" t="str">
        <f t="shared" si="18"/>
        <v>Stephen Cohen</v>
      </c>
      <c r="M595" t="s">
        <v>1038</v>
      </c>
      <c r="N595" t="s">
        <v>28</v>
      </c>
      <c r="O595" s="26">
        <v>5</v>
      </c>
      <c r="R595" t="s">
        <v>1136</v>
      </c>
      <c r="S595" s="26">
        <v>1</v>
      </c>
      <c r="U595" t="s">
        <v>1590</v>
      </c>
      <c r="V595" t="s">
        <v>812</v>
      </c>
      <c r="W595" t="s">
        <v>811</v>
      </c>
      <c r="X595" s="26">
        <v>1</v>
      </c>
    </row>
    <row r="596" spans="1:24" hidden="1" x14ac:dyDescent="0.35">
      <c r="A596">
        <f t="shared" si="19"/>
        <v>595</v>
      </c>
      <c r="B596">
        <v>2004</v>
      </c>
      <c r="C596" s="4" t="s">
        <v>263</v>
      </c>
      <c r="D596" s="4" t="s">
        <v>817</v>
      </c>
      <c r="E596" t="s">
        <v>944</v>
      </c>
      <c r="F596" s="17">
        <v>450</v>
      </c>
      <c r="G596" s="17">
        <v>6</v>
      </c>
      <c r="H596" t="s">
        <v>1172</v>
      </c>
      <c r="I596" t="s">
        <v>11</v>
      </c>
      <c r="J596" s="13">
        <v>1238.8820889151366</v>
      </c>
      <c r="K596" t="str">
        <f t="shared" si="18"/>
        <v>Paul Zuzelo</v>
      </c>
      <c r="M596" t="s">
        <v>1459</v>
      </c>
      <c r="N596" t="s">
        <v>516</v>
      </c>
      <c r="O596" s="26">
        <v>7</v>
      </c>
      <c r="R596" t="s">
        <v>1319</v>
      </c>
      <c r="S596" s="26">
        <v>1</v>
      </c>
      <c r="U596" t="s">
        <v>1638</v>
      </c>
      <c r="V596" t="s">
        <v>1229</v>
      </c>
      <c r="W596" t="s">
        <v>1228</v>
      </c>
      <c r="X596" s="26">
        <v>1</v>
      </c>
    </row>
    <row r="597" spans="1:24" hidden="1" x14ac:dyDescent="0.35">
      <c r="A597">
        <f t="shared" si="19"/>
        <v>596</v>
      </c>
      <c r="B597">
        <v>2004</v>
      </c>
      <c r="C597" s="4" t="s">
        <v>263</v>
      </c>
      <c r="D597" s="4" t="s">
        <v>817</v>
      </c>
      <c r="E597" t="s">
        <v>944</v>
      </c>
      <c r="F597" s="17">
        <v>340</v>
      </c>
      <c r="G597" s="17">
        <v>7</v>
      </c>
      <c r="H597" t="s">
        <v>273</v>
      </c>
      <c r="I597" t="s">
        <v>218</v>
      </c>
      <c r="J597" s="13">
        <v>1171.9352992845234</v>
      </c>
      <c r="K597" t="str">
        <f t="shared" si="18"/>
        <v>Michael Maurer</v>
      </c>
      <c r="M597" t="s">
        <v>2467</v>
      </c>
      <c r="N597" t="s">
        <v>196</v>
      </c>
      <c r="O597" s="26">
        <v>1</v>
      </c>
      <c r="R597" t="s">
        <v>285</v>
      </c>
      <c r="S597" s="26">
        <v>21</v>
      </c>
      <c r="U597" t="s">
        <v>2307</v>
      </c>
      <c r="V597" t="s">
        <v>2306</v>
      </c>
      <c r="W597" t="s">
        <v>2305</v>
      </c>
      <c r="X597" s="26">
        <v>4</v>
      </c>
    </row>
    <row r="598" spans="1:24" hidden="1" x14ac:dyDescent="0.35">
      <c r="A598">
        <f t="shared" si="19"/>
        <v>597</v>
      </c>
      <c r="B598">
        <v>2004</v>
      </c>
      <c r="C598" s="4" t="s">
        <v>263</v>
      </c>
      <c r="D598" s="4" t="s">
        <v>817</v>
      </c>
      <c r="E598" t="s">
        <v>944</v>
      </c>
      <c r="F598" s="17">
        <v>230</v>
      </c>
      <c r="G598" s="17">
        <v>8</v>
      </c>
      <c r="H598" t="s">
        <v>50</v>
      </c>
      <c r="I598" t="s">
        <v>25</v>
      </c>
      <c r="J598" s="13">
        <v>1113.9433523068367</v>
      </c>
      <c r="K598" t="str">
        <f t="shared" si="18"/>
        <v>Russell Fox</v>
      </c>
      <c r="M598" t="s">
        <v>1078</v>
      </c>
      <c r="N598" t="s">
        <v>471</v>
      </c>
      <c r="O598" s="26">
        <v>5</v>
      </c>
      <c r="R598" t="s">
        <v>377</v>
      </c>
      <c r="S598" s="26">
        <v>7</v>
      </c>
      <c r="U598" t="s">
        <v>2340</v>
      </c>
      <c r="V598" t="s">
        <v>2337</v>
      </c>
      <c r="W598" t="s">
        <v>2336</v>
      </c>
      <c r="X598" s="26">
        <v>1</v>
      </c>
    </row>
    <row r="599" spans="1:24" hidden="1" x14ac:dyDescent="0.35">
      <c r="A599">
        <f t="shared" si="19"/>
        <v>598</v>
      </c>
      <c r="B599">
        <v>2004</v>
      </c>
      <c r="C599" s="4" t="s">
        <v>263</v>
      </c>
      <c r="D599" s="4" t="s">
        <v>817</v>
      </c>
      <c r="E599" t="s">
        <v>944</v>
      </c>
      <c r="F599" s="17">
        <v>140</v>
      </c>
      <c r="G599" s="17">
        <v>9</v>
      </c>
      <c r="H599" t="s">
        <v>543</v>
      </c>
      <c r="I599" t="s">
        <v>67</v>
      </c>
      <c r="J599" s="13">
        <v>1062.7908298594555</v>
      </c>
      <c r="K599" t="str">
        <f t="shared" si="18"/>
        <v>Bob Herlien</v>
      </c>
      <c r="M599" t="s">
        <v>2333</v>
      </c>
      <c r="N599" t="s">
        <v>109</v>
      </c>
      <c r="O599" s="26">
        <v>1</v>
      </c>
      <c r="Q599" t="s">
        <v>1267</v>
      </c>
      <c r="R599" t="s">
        <v>1406</v>
      </c>
      <c r="S599" s="26">
        <v>1</v>
      </c>
      <c r="U599" t="s">
        <v>283</v>
      </c>
      <c r="V599" t="s">
        <v>282</v>
      </c>
      <c r="W599" t="s">
        <v>281</v>
      </c>
      <c r="X599" s="26">
        <v>14</v>
      </c>
    </row>
    <row r="600" spans="1:24" hidden="1" x14ac:dyDescent="0.35">
      <c r="A600">
        <f t="shared" si="19"/>
        <v>599</v>
      </c>
      <c r="B600">
        <v>2004</v>
      </c>
      <c r="C600" s="4" t="s">
        <v>263</v>
      </c>
      <c r="D600" s="4" t="s">
        <v>817</v>
      </c>
      <c r="E600" t="s">
        <v>944</v>
      </c>
      <c r="F600" s="17">
        <v>140</v>
      </c>
      <c r="G600" s="17">
        <v>10</v>
      </c>
      <c r="H600" t="s">
        <v>967</v>
      </c>
      <c r="I600" t="s">
        <v>131</v>
      </c>
      <c r="J600" s="13">
        <v>1017.0333392987802</v>
      </c>
      <c r="K600" t="str">
        <f t="shared" si="18"/>
        <v>Alan Bernstein</v>
      </c>
      <c r="M600" t="s">
        <v>2334</v>
      </c>
      <c r="N600" t="s">
        <v>399</v>
      </c>
      <c r="O600" s="26">
        <v>1</v>
      </c>
      <c r="R600" t="s">
        <v>1266</v>
      </c>
      <c r="S600" s="26">
        <v>2</v>
      </c>
      <c r="U600" t="s">
        <v>2494</v>
      </c>
      <c r="V600" t="s">
        <v>282</v>
      </c>
      <c r="W600" t="s">
        <v>1843</v>
      </c>
      <c r="X600" s="26">
        <v>1</v>
      </c>
    </row>
    <row r="601" spans="1:24" hidden="1" x14ac:dyDescent="0.35">
      <c r="A601">
        <f t="shared" si="19"/>
        <v>600</v>
      </c>
      <c r="B601">
        <v>2004</v>
      </c>
      <c r="C601" s="4" t="s">
        <v>263</v>
      </c>
      <c r="D601" s="4" t="s">
        <v>817</v>
      </c>
      <c r="E601" t="s">
        <v>944</v>
      </c>
      <c r="F601" s="17">
        <v>140</v>
      </c>
      <c r="G601" s="17">
        <v>11</v>
      </c>
      <c r="H601" t="s">
        <v>226</v>
      </c>
      <c r="I601" t="s">
        <v>227</v>
      </c>
      <c r="J601" s="13">
        <v>975.64065414055517</v>
      </c>
      <c r="K601" t="str">
        <f t="shared" si="18"/>
        <v>Patti Beadles</v>
      </c>
      <c r="M601" t="s">
        <v>526</v>
      </c>
      <c r="N601" t="s">
        <v>136</v>
      </c>
      <c r="O601" s="26">
        <v>10</v>
      </c>
      <c r="Q601" t="s">
        <v>1444</v>
      </c>
      <c r="R601" t="s">
        <v>1442</v>
      </c>
      <c r="S601" s="26">
        <v>1</v>
      </c>
      <c r="U601" t="s">
        <v>506</v>
      </c>
      <c r="V601" t="s">
        <v>282</v>
      </c>
      <c r="W601" t="s">
        <v>505</v>
      </c>
      <c r="X601" s="26">
        <v>1</v>
      </c>
    </row>
    <row r="602" spans="1:24" hidden="1" x14ac:dyDescent="0.35">
      <c r="A602">
        <f t="shared" si="19"/>
        <v>601</v>
      </c>
      <c r="B602">
        <v>2004</v>
      </c>
      <c r="C602" s="4" t="s">
        <v>263</v>
      </c>
      <c r="D602" s="4" t="s">
        <v>817</v>
      </c>
      <c r="E602" t="s">
        <v>944</v>
      </c>
      <c r="F602" s="17">
        <v>140</v>
      </c>
      <c r="G602" s="17">
        <v>12</v>
      </c>
      <c r="H602" t="s">
        <v>306</v>
      </c>
      <c r="I602" t="s">
        <v>694</v>
      </c>
      <c r="J602" s="13">
        <v>937.85209325115534</v>
      </c>
      <c r="K602" t="str">
        <f t="shared" si="18"/>
        <v>J P Massar</v>
      </c>
      <c r="M602" t="s">
        <v>2415</v>
      </c>
      <c r="N602" t="s">
        <v>159</v>
      </c>
      <c r="O602" s="26">
        <v>1</v>
      </c>
      <c r="Q602" t="s">
        <v>812</v>
      </c>
      <c r="R602" t="s">
        <v>811</v>
      </c>
      <c r="S602" s="26">
        <v>1</v>
      </c>
      <c r="U602" t="s">
        <v>2343</v>
      </c>
      <c r="V602" t="s">
        <v>946</v>
      </c>
      <c r="W602" t="s">
        <v>945</v>
      </c>
      <c r="X602" s="26">
        <v>8</v>
      </c>
    </row>
    <row r="603" spans="1:24" hidden="1" x14ac:dyDescent="0.35">
      <c r="A603">
        <f t="shared" si="19"/>
        <v>602</v>
      </c>
      <c r="B603">
        <v>2004</v>
      </c>
      <c r="C603" s="4" t="s">
        <v>263</v>
      </c>
      <c r="D603" s="4" t="s">
        <v>817</v>
      </c>
      <c r="E603" t="s">
        <v>944</v>
      </c>
      <c r="F603" s="17">
        <v>140</v>
      </c>
      <c r="G603" s="17">
        <v>13</v>
      </c>
      <c r="H603" t="s">
        <v>195</v>
      </c>
      <c r="I603" t="s">
        <v>196</v>
      </c>
      <c r="J603" s="13">
        <v>903.08998699194353</v>
      </c>
      <c r="K603" t="str">
        <f t="shared" si="18"/>
        <v>Dave Tahajian</v>
      </c>
      <c r="M603" t="s">
        <v>1103</v>
      </c>
      <c r="N603" t="s">
        <v>136</v>
      </c>
      <c r="O603" s="26">
        <v>4</v>
      </c>
      <c r="Q603" t="s">
        <v>1229</v>
      </c>
      <c r="R603" t="s">
        <v>1228</v>
      </c>
      <c r="S603" s="26">
        <v>1</v>
      </c>
      <c r="U603" t="s">
        <v>372</v>
      </c>
      <c r="V603" t="s">
        <v>49</v>
      </c>
      <c r="W603" t="s">
        <v>48</v>
      </c>
      <c r="X603" s="26">
        <v>11</v>
      </c>
    </row>
    <row r="604" spans="1:24" hidden="1" x14ac:dyDescent="0.35">
      <c r="A604">
        <f t="shared" si="19"/>
        <v>603</v>
      </c>
      <c r="B604">
        <v>2004</v>
      </c>
      <c r="C604" s="4" t="s">
        <v>263</v>
      </c>
      <c r="D604" s="4" t="s">
        <v>110</v>
      </c>
      <c r="E604" t="s">
        <v>1430</v>
      </c>
      <c r="F604" s="17">
        <v>2620</v>
      </c>
      <c r="G604" s="17">
        <v>1</v>
      </c>
      <c r="H604" t="s">
        <v>111</v>
      </c>
      <c r="I604" t="s">
        <v>16</v>
      </c>
      <c r="J604" s="13">
        <v>2206.8258760318495</v>
      </c>
      <c r="K604" t="str">
        <f t="shared" si="18"/>
        <v>David Fruchter</v>
      </c>
      <c r="M604" t="s">
        <v>1066</v>
      </c>
      <c r="N604" t="s">
        <v>142</v>
      </c>
      <c r="O604" s="26">
        <v>1</v>
      </c>
      <c r="Q604" t="s">
        <v>2306</v>
      </c>
      <c r="R604" t="s">
        <v>2305</v>
      </c>
      <c r="S604" s="26">
        <v>4</v>
      </c>
      <c r="U604" t="s">
        <v>1348</v>
      </c>
      <c r="V604" t="s">
        <v>22</v>
      </c>
      <c r="W604" t="s">
        <v>804</v>
      </c>
      <c r="X604" s="26">
        <v>5</v>
      </c>
    </row>
    <row r="605" spans="1:24" hidden="1" x14ac:dyDescent="0.35">
      <c r="A605">
        <f t="shared" si="19"/>
        <v>604</v>
      </c>
      <c r="B605">
        <v>2004</v>
      </c>
      <c r="C605" s="4" t="s">
        <v>263</v>
      </c>
      <c r="D605" s="4" t="s">
        <v>110</v>
      </c>
      <c r="E605" t="s">
        <v>1430</v>
      </c>
      <c r="F605" s="17">
        <v>2090</v>
      </c>
      <c r="G605" s="17">
        <v>2</v>
      </c>
      <c r="H605" t="s">
        <v>601</v>
      </c>
      <c r="I605" t="s">
        <v>58</v>
      </c>
      <c r="J605" s="13">
        <v>1905.7958803678682</v>
      </c>
      <c r="K605" t="str">
        <f t="shared" si="18"/>
        <v>Jim Bullard</v>
      </c>
      <c r="M605" t="s">
        <v>22</v>
      </c>
      <c r="N605" t="s">
        <v>181</v>
      </c>
      <c r="O605" s="26">
        <v>1</v>
      </c>
      <c r="Q605" t="s">
        <v>2337</v>
      </c>
      <c r="R605" t="s">
        <v>2336</v>
      </c>
      <c r="S605" s="26">
        <v>1</v>
      </c>
      <c r="U605" t="s">
        <v>225</v>
      </c>
      <c r="V605" t="s">
        <v>22</v>
      </c>
      <c r="W605" t="s">
        <v>90</v>
      </c>
      <c r="X605" s="26">
        <v>13</v>
      </c>
    </row>
    <row r="606" spans="1:24" hidden="1" x14ac:dyDescent="0.35">
      <c r="A606">
        <f t="shared" si="19"/>
        <v>605</v>
      </c>
      <c r="B606">
        <v>2004</v>
      </c>
      <c r="C606" s="4" t="s">
        <v>263</v>
      </c>
      <c r="D606" s="4" t="s">
        <v>110</v>
      </c>
      <c r="E606" t="s">
        <v>1430</v>
      </c>
      <c r="F606" s="17">
        <v>1560</v>
      </c>
      <c r="G606" s="17">
        <v>3</v>
      </c>
      <c r="H606" t="s">
        <v>595</v>
      </c>
      <c r="I606" t="s">
        <v>28</v>
      </c>
      <c r="J606" s="13">
        <v>1729.7046213121871</v>
      </c>
      <c r="K606" t="str">
        <f t="shared" si="18"/>
        <v>Chris Straghalis</v>
      </c>
      <c r="M606" t="s">
        <v>27</v>
      </c>
      <c r="N606" t="s">
        <v>192</v>
      </c>
      <c r="O606" s="26">
        <v>1</v>
      </c>
      <c r="Q606" t="s">
        <v>282</v>
      </c>
      <c r="R606" t="s">
        <v>281</v>
      </c>
      <c r="S606" s="26">
        <v>14</v>
      </c>
      <c r="U606" t="s">
        <v>792</v>
      </c>
      <c r="V606" t="s">
        <v>463</v>
      </c>
      <c r="W606" t="s">
        <v>791</v>
      </c>
      <c r="X606" s="26">
        <v>1</v>
      </c>
    </row>
    <row r="607" spans="1:24" hidden="1" x14ac:dyDescent="0.35">
      <c r="A607">
        <f t="shared" si="19"/>
        <v>606</v>
      </c>
      <c r="B607">
        <v>2004</v>
      </c>
      <c r="C607" s="4" t="s">
        <v>263</v>
      </c>
      <c r="D607" s="4" t="s">
        <v>110</v>
      </c>
      <c r="E607" t="s">
        <v>1430</v>
      </c>
      <c r="F607" s="17">
        <v>1300</v>
      </c>
      <c r="G607" s="17">
        <v>4</v>
      </c>
      <c r="H607" t="s">
        <v>231</v>
      </c>
      <c r="I607" t="s">
        <v>232</v>
      </c>
      <c r="J607" s="13">
        <v>1604.765884703887</v>
      </c>
      <c r="K607" t="str">
        <f t="shared" si="18"/>
        <v>Adam Bachrach</v>
      </c>
      <c r="N607" t="s">
        <v>28</v>
      </c>
      <c r="O607" s="26">
        <v>11</v>
      </c>
      <c r="R607" t="s">
        <v>1843</v>
      </c>
      <c r="S607" s="26">
        <v>1</v>
      </c>
      <c r="U607" t="s">
        <v>2349</v>
      </c>
      <c r="V607" t="s">
        <v>463</v>
      </c>
      <c r="W607" t="s">
        <v>21</v>
      </c>
      <c r="X607" s="26">
        <v>61</v>
      </c>
    </row>
    <row r="608" spans="1:24" hidden="1" x14ac:dyDescent="0.35">
      <c r="A608">
        <f t="shared" si="19"/>
        <v>607</v>
      </c>
      <c r="B608">
        <v>2004</v>
      </c>
      <c r="C608" s="4" t="s">
        <v>263</v>
      </c>
      <c r="D608" s="4" t="s">
        <v>110</v>
      </c>
      <c r="E608" t="s">
        <v>1430</v>
      </c>
      <c r="F608" s="17">
        <v>1040</v>
      </c>
      <c r="G608" s="17">
        <v>5</v>
      </c>
      <c r="H608" t="s">
        <v>273</v>
      </c>
      <c r="I608" t="s">
        <v>218</v>
      </c>
      <c r="J608" s="13">
        <v>1507.8558716958307</v>
      </c>
      <c r="K608" t="str">
        <f t="shared" si="18"/>
        <v>Michael Maurer</v>
      </c>
      <c r="M608" t="s">
        <v>775</v>
      </c>
      <c r="N608" t="s">
        <v>139</v>
      </c>
      <c r="O608" s="26">
        <v>5</v>
      </c>
      <c r="R608" t="s">
        <v>505</v>
      </c>
      <c r="S608" s="26">
        <v>1</v>
      </c>
      <c r="U608" t="s">
        <v>1663</v>
      </c>
      <c r="V608" t="s">
        <v>463</v>
      </c>
      <c r="W608" t="s">
        <v>769</v>
      </c>
      <c r="X608" s="26">
        <v>1</v>
      </c>
    </row>
    <row r="609" spans="1:24" hidden="1" x14ac:dyDescent="0.35">
      <c r="A609">
        <f t="shared" si="19"/>
        <v>608</v>
      </c>
      <c r="B609">
        <v>2004</v>
      </c>
      <c r="C609" s="4" t="s">
        <v>263</v>
      </c>
      <c r="D609" s="4" t="s">
        <v>110</v>
      </c>
      <c r="E609" t="s">
        <v>1430</v>
      </c>
      <c r="F609" s="17">
        <v>780</v>
      </c>
      <c r="G609" s="17">
        <v>6</v>
      </c>
      <c r="H609" t="s">
        <v>363</v>
      </c>
      <c r="I609" t="s">
        <v>364</v>
      </c>
      <c r="J609" s="13">
        <v>1428.6746256482058</v>
      </c>
      <c r="K609" t="str">
        <f t="shared" si="18"/>
        <v>Warren Sander</v>
      </c>
      <c r="M609" t="s">
        <v>1244</v>
      </c>
      <c r="N609" t="s">
        <v>324</v>
      </c>
      <c r="O609" s="26">
        <v>4</v>
      </c>
      <c r="Q609" t="s">
        <v>946</v>
      </c>
      <c r="R609" t="s">
        <v>945</v>
      </c>
      <c r="S609" s="26">
        <v>8</v>
      </c>
      <c r="U609" t="s">
        <v>1536</v>
      </c>
      <c r="V609" t="s">
        <v>463</v>
      </c>
      <c r="W609" t="s">
        <v>810</v>
      </c>
      <c r="X609" s="26">
        <v>5</v>
      </c>
    </row>
    <row r="610" spans="1:24" hidden="1" x14ac:dyDescent="0.35">
      <c r="A610">
        <f t="shared" si="19"/>
        <v>609</v>
      </c>
      <c r="B610">
        <v>2004</v>
      </c>
      <c r="C610" s="4" t="s">
        <v>263</v>
      </c>
      <c r="D610" s="4" t="s">
        <v>110</v>
      </c>
      <c r="E610" t="s">
        <v>1430</v>
      </c>
      <c r="F610" s="17">
        <v>520</v>
      </c>
      <c r="G610" s="17">
        <v>7</v>
      </c>
      <c r="H610" t="s">
        <v>629</v>
      </c>
      <c r="I610" t="s">
        <v>20</v>
      </c>
      <c r="J610" s="13">
        <v>1361.7278360175926</v>
      </c>
      <c r="K610" t="str">
        <f t="shared" si="18"/>
        <v>Barry Tanenbaum</v>
      </c>
      <c r="M610" t="s">
        <v>302</v>
      </c>
      <c r="N610" t="s">
        <v>81</v>
      </c>
      <c r="O610" s="26">
        <v>10</v>
      </c>
      <c r="Q610" t="s">
        <v>49</v>
      </c>
      <c r="R610" t="s">
        <v>48</v>
      </c>
      <c r="S610" s="26">
        <v>11</v>
      </c>
      <c r="U610" t="s">
        <v>464</v>
      </c>
      <c r="V610" t="s">
        <v>463</v>
      </c>
      <c r="W610" t="s">
        <v>357</v>
      </c>
      <c r="X610" s="26">
        <v>6</v>
      </c>
    </row>
    <row r="611" spans="1:24" hidden="1" x14ac:dyDescent="0.35">
      <c r="A611">
        <f t="shared" si="19"/>
        <v>610</v>
      </c>
      <c r="B611">
        <v>2004</v>
      </c>
      <c r="C611" s="4" t="s">
        <v>263</v>
      </c>
      <c r="D611" s="4" t="s">
        <v>110</v>
      </c>
      <c r="E611" t="s">
        <v>1430</v>
      </c>
      <c r="F611" s="17">
        <v>310</v>
      </c>
      <c r="G611" s="17">
        <v>8</v>
      </c>
      <c r="H611" t="s">
        <v>86</v>
      </c>
      <c r="I611" t="s">
        <v>271</v>
      </c>
      <c r="J611" s="13">
        <v>1303.7358890399059</v>
      </c>
      <c r="K611" t="str">
        <f t="shared" si="18"/>
        <v>Dan Goldman</v>
      </c>
      <c r="M611" t="s">
        <v>2398</v>
      </c>
      <c r="N611" t="s">
        <v>1514</v>
      </c>
      <c r="O611" s="26">
        <v>1</v>
      </c>
      <c r="Q611" t="s">
        <v>22</v>
      </c>
      <c r="R611" t="s">
        <v>804</v>
      </c>
      <c r="S611" s="26">
        <v>5</v>
      </c>
      <c r="U611" t="s">
        <v>2457</v>
      </c>
      <c r="V611" t="s">
        <v>463</v>
      </c>
      <c r="W611" t="s">
        <v>2456</v>
      </c>
      <c r="X611" s="26">
        <v>1</v>
      </c>
    </row>
    <row r="612" spans="1:24" hidden="1" x14ac:dyDescent="0.35">
      <c r="A612">
        <f t="shared" si="19"/>
        <v>611</v>
      </c>
      <c r="B612">
        <v>2004</v>
      </c>
      <c r="C612" s="4" t="s">
        <v>263</v>
      </c>
      <c r="D612" s="4" t="s">
        <v>110</v>
      </c>
      <c r="E612" t="s">
        <v>1430</v>
      </c>
      <c r="F612" s="17">
        <v>210</v>
      </c>
      <c r="G612" s="17">
        <v>9</v>
      </c>
      <c r="H612" t="s">
        <v>711</v>
      </c>
      <c r="I612" t="s">
        <v>85</v>
      </c>
      <c r="J612" s="13">
        <v>1252.5833665925247</v>
      </c>
      <c r="K612" t="str">
        <f t="shared" si="18"/>
        <v>Patrick Kirwan</v>
      </c>
      <c r="N612" t="s">
        <v>1955</v>
      </c>
      <c r="O612" s="26">
        <v>6</v>
      </c>
      <c r="R612" t="s">
        <v>90</v>
      </c>
      <c r="S612" s="26">
        <v>13</v>
      </c>
      <c r="U612" t="s">
        <v>1605</v>
      </c>
      <c r="V612" t="s">
        <v>463</v>
      </c>
      <c r="W612" t="s">
        <v>275</v>
      </c>
      <c r="X612" s="26">
        <v>5</v>
      </c>
    </row>
    <row r="613" spans="1:24" hidden="1" x14ac:dyDescent="0.35">
      <c r="A613">
        <f t="shared" si="19"/>
        <v>612</v>
      </c>
      <c r="B613">
        <v>2004</v>
      </c>
      <c r="C613" s="4" t="s">
        <v>263</v>
      </c>
      <c r="D613" s="4" t="s">
        <v>1232</v>
      </c>
      <c r="E613" t="s">
        <v>1432</v>
      </c>
      <c r="F613" s="17">
        <v>370</v>
      </c>
      <c r="G613" s="17">
        <v>1</v>
      </c>
      <c r="H613" t="s">
        <v>1233</v>
      </c>
      <c r="I613" t="s">
        <v>196</v>
      </c>
      <c r="J613" s="13">
        <v>1556.3025007672873</v>
      </c>
      <c r="K613" t="str">
        <f t="shared" si="18"/>
        <v>Dave Orr</v>
      </c>
      <c r="M613" t="s">
        <v>640</v>
      </c>
      <c r="N613" t="s">
        <v>410</v>
      </c>
      <c r="O613" s="26">
        <v>2</v>
      </c>
      <c r="Q613" t="s">
        <v>463</v>
      </c>
      <c r="R613" t="s">
        <v>791</v>
      </c>
      <c r="S613" s="26">
        <v>1</v>
      </c>
      <c r="U613" t="s">
        <v>1660</v>
      </c>
      <c r="V613" t="s">
        <v>463</v>
      </c>
      <c r="W613" t="s">
        <v>772</v>
      </c>
      <c r="X613" s="26">
        <v>1</v>
      </c>
    </row>
    <row r="614" spans="1:24" hidden="1" x14ac:dyDescent="0.35">
      <c r="A614">
        <f t="shared" si="19"/>
        <v>613</v>
      </c>
      <c r="B614">
        <v>2004</v>
      </c>
      <c r="C614" s="4" t="s">
        <v>263</v>
      </c>
      <c r="D614" s="4" t="s">
        <v>1232</v>
      </c>
      <c r="E614" t="s">
        <v>1432</v>
      </c>
      <c r="F614" s="17">
        <v>320</v>
      </c>
      <c r="G614" s="17">
        <v>2</v>
      </c>
      <c r="H614" t="s">
        <v>1078</v>
      </c>
      <c r="I614" t="s">
        <v>471</v>
      </c>
      <c r="J614" s="13">
        <v>1255.272505103306</v>
      </c>
      <c r="K614" t="str">
        <f t="shared" si="18"/>
        <v>Greg Raymer</v>
      </c>
      <c r="M614" t="s">
        <v>2300</v>
      </c>
      <c r="N614" t="s">
        <v>2301</v>
      </c>
      <c r="O614" s="26">
        <v>1</v>
      </c>
      <c r="R614" t="s">
        <v>21</v>
      </c>
      <c r="S614" s="26">
        <v>61</v>
      </c>
      <c r="U614" t="s">
        <v>201</v>
      </c>
      <c r="V614" t="s">
        <v>200</v>
      </c>
      <c r="W614" t="s">
        <v>161</v>
      </c>
      <c r="X614" s="26">
        <v>27</v>
      </c>
    </row>
    <row r="615" spans="1:24" hidden="1" x14ac:dyDescent="0.35">
      <c r="A615">
        <f t="shared" si="19"/>
        <v>614</v>
      </c>
      <c r="B615">
        <v>2004</v>
      </c>
      <c r="C615" s="4" t="s">
        <v>263</v>
      </c>
      <c r="D615" s="4" t="s">
        <v>1232</v>
      </c>
      <c r="E615" t="s">
        <v>1432</v>
      </c>
      <c r="F615" s="17">
        <v>250</v>
      </c>
      <c r="G615" s="17">
        <v>3</v>
      </c>
      <c r="H615" t="s">
        <v>74</v>
      </c>
      <c r="I615" t="s">
        <v>75</v>
      </c>
      <c r="J615" s="13">
        <v>1079.1812460476249</v>
      </c>
      <c r="K615" t="str">
        <f t="shared" si="18"/>
        <v>Sabyl Landrum</v>
      </c>
      <c r="M615" t="s">
        <v>1239</v>
      </c>
      <c r="N615" t="s">
        <v>196</v>
      </c>
      <c r="O615" s="26">
        <v>1</v>
      </c>
      <c r="R615" t="s">
        <v>769</v>
      </c>
      <c r="S615" s="26">
        <v>1</v>
      </c>
      <c r="U615" t="s">
        <v>698</v>
      </c>
      <c r="V615" t="s">
        <v>200</v>
      </c>
      <c r="W615" t="s">
        <v>697</v>
      </c>
      <c r="X615" s="26">
        <v>6</v>
      </c>
    </row>
    <row r="616" spans="1:24" hidden="1" x14ac:dyDescent="0.35">
      <c r="A616">
        <f t="shared" si="19"/>
        <v>615</v>
      </c>
      <c r="B616">
        <v>2004</v>
      </c>
      <c r="C616" s="4" t="s">
        <v>263</v>
      </c>
      <c r="D616" s="4" t="s">
        <v>1232</v>
      </c>
      <c r="E616" t="s">
        <v>1432</v>
      </c>
      <c r="F616" s="17">
        <v>180</v>
      </c>
      <c r="G616" s="17">
        <v>4</v>
      </c>
      <c r="H616" t="s">
        <v>1103</v>
      </c>
      <c r="I616" t="s">
        <v>136</v>
      </c>
      <c r="J616" s="13">
        <v>954.24250943932486</v>
      </c>
      <c r="K616" t="str">
        <f t="shared" si="18"/>
        <v>John Reeves</v>
      </c>
      <c r="M616" t="s">
        <v>57</v>
      </c>
      <c r="N616" t="s">
        <v>350</v>
      </c>
      <c r="O616" s="26">
        <v>3</v>
      </c>
      <c r="R616" t="s">
        <v>810</v>
      </c>
      <c r="S616" s="26">
        <v>5</v>
      </c>
      <c r="U616" t="s">
        <v>1243</v>
      </c>
      <c r="V616" t="s">
        <v>200</v>
      </c>
      <c r="W616" t="s">
        <v>388</v>
      </c>
      <c r="X616" s="26">
        <v>7</v>
      </c>
    </row>
    <row r="617" spans="1:24" hidden="1" x14ac:dyDescent="0.35">
      <c r="A617">
        <f t="shared" si="19"/>
        <v>616</v>
      </c>
      <c r="B617">
        <v>2004</v>
      </c>
      <c r="C617" s="4" t="s">
        <v>263</v>
      </c>
      <c r="D617" s="4" t="s">
        <v>1232</v>
      </c>
      <c r="E617" t="s">
        <v>1432</v>
      </c>
      <c r="F617" s="17">
        <v>140</v>
      </c>
      <c r="G617" s="17">
        <v>5</v>
      </c>
      <c r="H617" t="s">
        <v>1175</v>
      </c>
      <c r="I617" t="s">
        <v>65</v>
      </c>
      <c r="J617" s="13">
        <v>857.3324964312684</v>
      </c>
      <c r="K617" t="str">
        <f t="shared" si="18"/>
        <v>Steve Day</v>
      </c>
      <c r="N617" t="s">
        <v>480</v>
      </c>
      <c r="O617" s="26">
        <v>1</v>
      </c>
      <c r="R617" t="s">
        <v>357</v>
      </c>
      <c r="S617" s="26">
        <v>6</v>
      </c>
      <c r="U617" t="s">
        <v>802</v>
      </c>
      <c r="V617" t="s">
        <v>200</v>
      </c>
      <c r="W617" t="s">
        <v>801</v>
      </c>
      <c r="X617" s="26">
        <v>4</v>
      </c>
    </row>
    <row r="618" spans="1:24" hidden="1" x14ac:dyDescent="0.35">
      <c r="A618">
        <f t="shared" si="19"/>
        <v>617</v>
      </c>
      <c r="B618">
        <v>2004</v>
      </c>
      <c r="C618" s="4" t="s">
        <v>263</v>
      </c>
      <c r="D618" s="4" t="s">
        <v>1232</v>
      </c>
      <c r="E618" t="s">
        <v>1432</v>
      </c>
      <c r="F618" s="17">
        <v>110</v>
      </c>
      <c r="G618" s="17">
        <v>6</v>
      </c>
      <c r="H618" t="s">
        <v>958</v>
      </c>
      <c r="I618" t="s">
        <v>122</v>
      </c>
      <c r="J618" s="13">
        <v>778.15125038364363</v>
      </c>
      <c r="K618" t="str">
        <f t="shared" si="18"/>
        <v>Andy Bloch</v>
      </c>
      <c r="N618" t="s">
        <v>58</v>
      </c>
      <c r="O618" s="26">
        <v>8</v>
      </c>
      <c r="R618" t="s">
        <v>2456</v>
      </c>
      <c r="S618" s="26">
        <v>1</v>
      </c>
      <c r="U618" t="s">
        <v>2701</v>
      </c>
      <c r="V618" t="s">
        <v>200</v>
      </c>
      <c r="W618" t="s">
        <v>1861</v>
      </c>
      <c r="X618" s="26">
        <v>1</v>
      </c>
    </row>
    <row r="619" spans="1:24" hidden="1" x14ac:dyDescent="0.35">
      <c r="A619">
        <f t="shared" si="19"/>
        <v>618</v>
      </c>
      <c r="B619">
        <v>2004</v>
      </c>
      <c r="C619" s="4" t="s">
        <v>893</v>
      </c>
      <c r="D619" s="4" t="s">
        <v>1207</v>
      </c>
      <c r="E619" t="s">
        <v>1432</v>
      </c>
      <c r="F619" s="17">
        <v>740</v>
      </c>
      <c r="G619" s="17">
        <v>1</v>
      </c>
      <c r="H619" t="s">
        <v>764</v>
      </c>
      <c r="I619" t="s">
        <v>901</v>
      </c>
      <c r="J619" s="13">
        <v>1477.1212547196624</v>
      </c>
      <c r="K619" t="str">
        <f t="shared" si="18"/>
        <v>Jerrod Ankenman</v>
      </c>
      <c r="N619" t="s">
        <v>370</v>
      </c>
      <c r="O619" s="26">
        <v>3</v>
      </c>
      <c r="R619" t="s">
        <v>275</v>
      </c>
      <c r="S619" s="26">
        <v>5</v>
      </c>
      <c r="U619" t="s">
        <v>693</v>
      </c>
      <c r="V619" t="s">
        <v>200</v>
      </c>
      <c r="W619" t="s">
        <v>692</v>
      </c>
      <c r="X619" s="26">
        <v>15</v>
      </c>
    </row>
    <row r="620" spans="1:24" hidden="1" x14ac:dyDescent="0.35">
      <c r="A620">
        <f t="shared" si="19"/>
        <v>619</v>
      </c>
      <c r="B620">
        <v>2004</v>
      </c>
      <c r="C620" s="4" t="s">
        <v>893</v>
      </c>
      <c r="D620" s="4" t="s">
        <v>1207</v>
      </c>
      <c r="E620" t="s">
        <v>1432</v>
      </c>
      <c r="F620" s="17">
        <v>410</v>
      </c>
      <c r="G620" s="17">
        <v>2</v>
      </c>
      <c r="H620" t="s">
        <v>545</v>
      </c>
      <c r="I620" t="s">
        <v>425</v>
      </c>
      <c r="J620" s="13">
        <v>1176.0912590556811</v>
      </c>
      <c r="K620" t="str">
        <f t="shared" si="18"/>
        <v>Tony Goldstein</v>
      </c>
      <c r="M620" t="s">
        <v>1507</v>
      </c>
      <c r="N620" t="s">
        <v>153</v>
      </c>
      <c r="O620" s="26">
        <v>3</v>
      </c>
      <c r="R620" t="s">
        <v>772</v>
      </c>
      <c r="S620" s="26">
        <v>1</v>
      </c>
      <c r="U620" t="s">
        <v>347</v>
      </c>
      <c r="V620" t="s">
        <v>200</v>
      </c>
      <c r="W620" t="s">
        <v>346</v>
      </c>
      <c r="X620" s="26">
        <v>2</v>
      </c>
    </row>
    <row r="621" spans="1:24" hidden="1" x14ac:dyDescent="0.35">
      <c r="A621">
        <f t="shared" si="19"/>
        <v>620</v>
      </c>
      <c r="B621">
        <v>2004</v>
      </c>
      <c r="C621" s="4" t="s">
        <v>893</v>
      </c>
      <c r="D621" s="4" t="s">
        <v>1207</v>
      </c>
      <c r="E621" t="s">
        <v>1432</v>
      </c>
      <c r="F621" s="17">
        <v>250</v>
      </c>
      <c r="G621" s="17">
        <v>3</v>
      </c>
      <c r="H621" t="s">
        <v>1208</v>
      </c>
      <c r="I621" t="s">
        <v>353</v>
      </c>
      <c r="J621" s="13">
        <v>1000</v>
      </c>
      <c r="K621" t="str">
        <f t="shared" si="18"/>
        <v>Frank Jerome</v>
      </c>
      <c r="M621" t="s">
        <v>2373</v>
      </c>
      <c r="N621" t="s">
        <v>2374</v>
      </c>
      <c r="O621" s="26">
        <v>7</v>
      </c>
      <c r="Q621" t="s">
        <v>200</v>
      </c>
      <c r="R621" t="s">
        <v>161</v>
      </c>
      <c r="S621" s="26">
        <v>27</v>
      </c>
      <c r="U621" t="s">
        <v>1633</v>
      </c>
      <c r="V621" t="s">
        <v>861</v>
      </c>
      <c r="W621" t="s">
        <v>860</v>
      </c>
      <c r="X621" s="26">
        <v>2</v>
      </c>
    </row>
    <row r="622" spans="1:24" hidden="1" x14ac:dyDescent="0.35">
      <c r="A622">
        <f t="shared" si="19"/>
        <v>621</v>
      </c>
      <c r="B622">
        <v>2004</v>
      </c>
      <c r="C622" s="4" t="s">
        <v>893</v>
      </c>
      <c r="D622" s="4" t="s">
        <v>1207</v>
      </c>
      <c r="E622" t="s">
        <v>1432</v>
      </c>
      <c r="F622" s="17">
        <v>170</v>
      </c>
      <c r="G622" s="17">
        <v>4</v>
      </c>
      <c r="H622" t="s">
        <v>972</v>
      </c>
      <c r="I622" t="s">
        <v>81</v>
      </c>
      <c r="J622" s="13">
        <v>875.06126339169998</v>
      </c>
      <c r="K622" t="str">
        <f t="shared" si="18"/>
        <v>Don Condit</v>
      </c>
      <c r="M622" t="s">
        <v>358</v>
      </c>
      <c r="N622" t="s">
        <v>359</v>
      </c>
      <c r="O622" s="26">
        <v>3</v>
      </c>
      <c r="R622" t="s">
        <v>697</v>
      </c>
      <c r="S622" s="26">
        <v>6</v>
      </c>
      <c r="U622" t="s">
        <v>1648</v>
      </c>
      <c r="V622" t="s">
        <v>1019</v>
      </c>
      <c r="W622" t="s">
        <v>1114</v>
      </c>
      <c r="X622" s="26">
        <v>1</v>
      </c>
    </row>
    <row r="623" spans="1:24" hidden="1" x14ac:dyDescent="0.35">
      <c r="A623">
        <f t="shared" si="19"/>
        <v>622</v>
      </c>
      <c r="B623">
        <v>2004</v>
      </c>
      <c r="C623" s="4" t="s">
        <v>893</v>
      </c>
      <c r="D623" s="4" t="s">
        <v>1207</v>
      </c>
      <c r="E623" t="s">
        <v>1432</v>
      </c>
      <c r="F623" s="17">
        <v>80</v>
      </c>
      <c r="G623" s="17">
        <v>5</v>
      </c>
      <c r="H623" t="s">
        <v>323</v>
      </c>
      <c r="I623" t="s">
        <v>324</v>
      </c>
      <c r="J623" s="13">
        <v>778.15125038364351</v>
      </c>
      <c r="K623" t="str">
        <f t="shared" si="18"/>
        <v>Andrew Prock</v>
      </c>
      <c r="N623" t="s">
        <v>77</v>
      </c>
      <c r="O623" s="26">
        <v>2</v>
      </c>
      <c r="R623" t="s">
        <v>388</v>
      </c>
      <c r="S623" s="26">
        <v>7</v>
      </c>
      <c r="U623" t="s">
        <v>1496</v>
      </c>
      <c r="V623" t="s">
        <v>1019</v>
      </c>
      <c r="W623" t="s">
        <v>1215</v>
      </c>
      <c r="X623" s="26">
        <v>1</v>
      </c>
    </row>
    <row r="624" spans="1:24" hidden="1" x14ac:dyDescent="0.35">
      <c r="A624">
        <f t="shared" si="19"/>
        <v>623</v>
      </c>
      <c r="B624">
        <v>2004</v>
      </c>
      <c r="C624" s="4" t="s">
        <v>893</v>
      </c>
      <c r="D624" s="4" t="s">
        <v>509</v>
      </c>
      <c r="E624" t="s">
        <v>509</v>
      </c>
      <c r="F624" s="17">
        <v>1185</v>
      </c>
      <c r="G624" s="17">
        <v>1</v>
      </c>
      <c r="H624" t="s">
        <v>764</v>
      </c>
      <c r="I624" t="s">
        <v>901</v>
      </c>
      <c r="J624" s="13">
        <v>1732.3937598229686</v>
      </c>
      <c r="K624" t="str">
        <f t="shared" si="18"/>
        <v>Jerrod Ankenman</v>
      </c>
      <c r="M624" t="s">
        <v>76</v>
      </c>
      <c r="N624" t="s">
        <v>77</v>
      </c>
      <c r="O624" s="26">
        <v>4</v>
      </c>
      <c r="R624" t="s">
        <v>801</v>
      </c>
      <c r="S624" s="26">
        <v>4</v>
      </c>
      <c r="U624" t="s">
        <v>1362</v>
      </c>
      <c r="V624" t="s">
        <v>1361</v>
      </c>
      <c r="W624" t="s">
        <v>420</v>
      </c>
      <c r="X624" s="26">
        <v>2</v>
      </c>
    </row>
    <row r="625" spans="1:24" hidden="1" x14ac:dyDescent="0.35">
      <c r="A625">
        <f t="shared" si="19"/>
        <v>624</v>
      </c>
      <c r="B625">
        <v>2004</v>
      </c>
      <c r="C625" s="4" t="s">
        <v>893</v>
      </c>
      <c r="D625" s="4" t="s">
        <v>509</v>
      </c>
      <c r="E625" t="s">
        <v>509</v>
      </c>
      <c r="F625" s="17">
        <v>680</v>
      </c>
      <c r="G625" s="17">
        <v>2</v>
      </c>
      <c r="H625" t="s">
        <v>545</v>
      </c>
      <c r="I625" t="s">
        <v>425</v>
      </c>
      <c r="J625" s="13">
        <v>1431.3637641589874</v>
      </c>
      <c r="K625" t="str">
        <f t="shared" si="18"/>
        <v>Tony Goldstein</v>
      </c>
      <c r="M625" t="s">
        <v>51</v>
      </c>
      <c r="N625" t="s">
        <v>153</v>
      </c>
      <c r="O625" s="26">
        <v>8</v>
      </c>
      <c r="R625" t="s">
        <v>1861</v>
      </c>
      <c r="S625" s="26">
        <v>1</v>
      </c>
      <c r="U625" t="s">
        <v>2389</v>
      </c>
      <c r="V625" t="s">
        <v>665</v>
      </c>
      <c r="W625" t="s">
        <v>2388</v>
      </c>
      <c r="X625" s="26">
        <v>1</v>
      </c>
    </row>
    <row r="626" spans="1:24" hidden="1" x14ac:dyDescent="0.35">
      <c r="A626">
        <f t="shared" si="19"/>
        <v>625</v>
      </c>
      <c r="B626">
        <v>2004</v>
      </c>
      <c r="C626" s="4" t="s">
        <v>893</v>
      </c>
      <c r="D626" s="4" t="s">
        <v>509</v>
      </c>
      <c r="E626" t="s">
        <v>509</v>
      </c>
      <c r="F626" s="17">
        <v>355</v>
      </c>
      <c r="G626" s="17">
        <v>3</v>
      </c>
      <c r="H626" t="s">
        <v>597</v>
      </c>
      <c r="I626" t="s">
        <v>598</v>
      </c>
      <c r="J626" s="13">
        <v>1255.2725051033062</v>
      </c>
      <c r="K626" t="str">
        <f t="shared" si="18"/>
        <v>Lou Krieger</v>
      </c>
      <c r="M626" t="s">
        <v>1080</v>
      </c>
      <c r="N626" t="s">
        <v>25</v>
      </c>
      <c r="O626" s="26">
        <v>4</v>
      </c>
      <c r="R626" t="s">
        <v>692</v>
      </c>
      <c r="S626" s="26">
        <v>15</v>
      </c>
      <c r="U626" t="s">
        <v>1594</v>
      </c>
      <c r="V626" t="s">
        <v>665</v>
      </c>
      <c r="W626" t="s">
        <v>813</v>
      </c>
      <c r="X626" s="26">
        <v>1</v>
      </c>
    </row>
    <row r="627" spans="1:24" hidden="1" x14ac:dyDescent="0.35">
      <c r="A627">
        <f t="shared" si="19"/>
        <v>626</v>
      </c>
      <c r="B627">
        <v>2004</v>
      </c>
      <c r="C627" s="4" t="s">
        <v>893</v>
      </c>
      <c r="D627" s="4" t="s">
        <v>509</v>
      </c>
      <c r="E627" t="s">
        <v>509</v>
      </c>
      <c r="F627" s="17">
        <v>210</v>
      </c>
      <c r="G627" s="17">
        <v>4</v>
      </c>
      <c r="H627" t="s">
        <v>836</v>
      </c>
      <c r="I627" t="s">
        <v>136</v>
      </c>
      <c r="J627" s="13">
        <v>1130.3337684950061</v>
      </c>
      <c r="K627" t="str">
        <f t="shared" si="18"/>
        <v>John Grout</v>
      </c>
      <c r="M627" t="s">
        <v>168</v>
      </c>
      <c r="N627" t="s">
        <v>136</v>
      </c>
      <c r="O627" s="26">
        <v>1</v>
      </c>
      <c r="R627" t="s">
        <v>346</v>
      </c>
      <c r="S627" s="26">
        <v>2</v>
      </c>
      <c r="U627" t="s">
        <v>785</v>
      </c>
      <c r="V627" t="s">
        <v>665</v>
      </c>
      <c r="W627" t="s">
        <v>784</v>
      </c>
      <c r="X627" s="26">
        <v>1</v>
      </c>
    </row>
    <row r="628" spans="1:24" hidden="1" x14ac:dyDescent="0.35">
      <c r="A628">
        <f t="shared" si="19"/>
        <v>627</v>
      </c>
      <c r="B628">
        <v>2004</v>
      </c>
      <c r="C628" s="4" t="s">
        <v>893</v>
      </c>
      <c r="D628" s="4" t="s">
        <v>509</v>
      </c>
      <c r="E628" t="s">
        <v>509</v>
      </c>
      <c r="F628" s="17">
        <v>165</v>
      </c>
      <c r="G628" s="17">
        <v>5</v>
      </c>
      <c r="H628" t="s">
        <v>226</v>
      </c>
      <c r="I628" t="s">
        <v>227</v>
      </c>
      <c r="J628" s="13">
        <v>1033.4237554869499</v>
      </c>
      <c r="K628" t="str">
        <f t="shared" si="18"/>
        <v>Patti Beadles</v>
      </c>
      <c r="M628" t="s">
        <v>17</v>
      </c>
      <c r="N628" t="s">
        <v>18</v>
      </c>
      <c r="O628" s="26">
        <v>1</v>
      </c>
      <c r="Q628" t="s">
        <v>861</v>
      </c>
      <c r="R628" t="s">
        <v>860</v>
      </c>
      <c r="S628" s="26">
        <v>2</v>
      </c>
      <c r="U628" t="s">
        <v>749</v>
      </c>
      <c r="V628" t="s">
        <v>665</v>
      </c>
      <c r="W628" t="s">
        <v>340</v>
      </c>
      <c r="X628" s="26">
        <v>7</v>
      </c>
    </row>
    <row r="629" spans="1:24" hidden="1" x14ac:dyDescent="0.35">
      <c r="A629">
        <f t="shared" si="19"/>
        <v>628</v>
      </c>
      <c r="B629">
        <v>2004</v>
      </c>
      <c r="C629" s="4" t="s">
        <v>893</v>
      </c>
      <c r="D629" s="4" t="s">
        <v>509</v>
      </c>
      <c r="E629" t="s">
        <v>509</v>
      </c>
      <c r="F629" s="17">
        <v>135</v>
      </c>
      <c r="G629" s="17">
        <v>6</v>
      </c>
      <c r="H629" t="s">
        <v>304</v>
      </c>
      <c r="I629" t="s">
        <v>1003</v>
      </c>
      <c r="J629" s="13">
        <v>954.24250943932498</v>
      </c>
      <c r="K629" t="str">
        <f t="shared" si="18"/>
        <v>Jan Pierce</v>
      </c>
      <c r="M629" t="s">
        <v>25</v>
      </c>
      <c r="N629" t="s">
        <v>16</v>
      </c>
      <c r="O629" s="26">
        <v>1</v>
      </c>
      <c r="Q629" t="s">
        <v>1019</v>
      </c>
      <c r="R629" t="s">
        <v>1114</v>
      </c>
      <c r="S629" s="26">
        <v>1</v>
      </c>
      <c r="U629" t="s">
        <v>666</v>
      </c>
      <c r="V629" t="s">
        <v>665</v>
      </c>
      <c r="W629" t="s">
        <v>664</v>
      </c>
      <c r="X629" s="26">
        <v>5</v>
      </c>
    </row>
    <row r="630" spans="1:24" hidden="1" x14ac:dyDescent="0.35">
      <c r="A630">
        <f t="shared" si="19"/>
        <v>629</v>
      </c>
      <c r="B630">
        <v>2004</v>
      </c>
      <c r="C630" s="4" t="s">
        <v>893</v>
      </c>
      <c r="D630" s="4" t="s">
        <v>509</v>
      </c>
      <c r="E630" t="s">
        <v>509</v>
      </c>
      <c r="F630" s="17">
        <v>105</v>
      </c>
      <c r="G630" s="17">
        <v>7</v>
      </c>
      <c r="H630" t="s">
        <v>83</v>
      </c>
      <c r="I630" t="s">
        <v>36</v>
      </c>
      <c r="J630" s="13">
        <v>887.29571980871185</v>
      </c>
      <c r="K630" t="str">
        <f t="shared" si="18"/>
        <v>Nolan Hee</v>
      </c>
      <c r="N630" t="s">
        <v>26</v>
      </c>
      <c r="O630" s="26">
        <v>3</v>
      </c>
      <c r="R630" t="s">
        <v>1215</v>
      </c>
      <c r="S630" s="26">
        <v>1</v>
      </c>
      <c r="U630" t="s">
        <v>718</v>
      </c>
      <c r="V630" t="s">
        <v>665</v>
      </c>
      <c r="W630" t="s">
        <v>461</v>
      </c>
      <c r="X630" s="26">
        <v>7</v>
      </c>
    </row>
    <row r="631" spans="1:24" hidden="1" x14ac:dyDescent="0.35">
      <c r="A631">
        <f t="shared" si="19"/>
        <v>630</v>
      </c>
      <c r="B631">
        <v>2004</v>
      </c>
      <c r="C631" s="4" t="s">
        <v>893</v>
      </c>
      <c r="D631" s="4" t="s">
        <v>509</v>
      </c>
      <c r="E631" t="s">
        <v>509</v>
      </c>
      <c r="F631" s="17">
        <v>75</v>
      </c>
      <c r="G631" s="17">
        <v>8</v>
      </c>
      <c r="H631" t="s">
        <v>74</v>
      </c>
      <c r="I631" t="s">
        <v>75</v>
      </c>
      <c r="J631" s="13">
        <v>829.30377283102507</v>
      </c>
      <c r="K631" t="str">
        <f t="shared" si="18"/>
        <v>Sabyl Landrum</v>
      </c>
      <c r="M631" t="s">
        <v>1082</v>
      </c>
      <c r="N631" t="s">
        <v>52</v>
      </c>
      <c r="O631" s="26">
        <v>1</v>
      </c>
      <c r="Q631" t="s">
        <v>665</v>
      </c>
      <c r="R631" t="s">
        <v>773</v>
      </c>
      <c r="S631" s="26">
        <v>2</v>
      </c>
      <c r="U631" t="s">
        <v>1689</v>
      </c>
      <c r="V631" t="s">
        <v>665</v>
      </c>
      <c r="W631" t="s">
        <v>1316</v>
      </c>
      <c r="X631" s="26">
        <v>1</v>
      </c>
    </row>
    <row r="632" spans="1:24" hidden="1" x14ac:dyDescent="0.35">
      <c r="A632">
        <f t="shared" si="19"/>
        <v>631</v>
      </c>
      <c r="B632">
        <v>2004</v>
      </c>
      <c r="C632" s="4" t="s">
        <v>893</v>
      </c>
      <c r="D632" s="4" t="s">
        <v>509</v>
      </c>
      <c r="E632" t="s">
        <v>509</v>
      </c>
      <c r="F632" s="17">
        <v>60</v>
      </c>
      <c r="G632" s="17">
        <v>9</v>
      </c>
      <c r="H632" t="s">
        <v>715</v>
      </c>
      <c r="I632" t="s">
        <v>11</v>
      </c>
      <c r="J632" s="13">
        <v>778.15125038364374</v>
      </c>
      <c r="K632" t="str">
        <f t="shared" si="18"/>
        <v>Paul Person</v>
      </c>
      <c r="M632" t="s">
        <v>1073</v>
      </c>
      <c r="N632" t="s">
        <v>744</v>
      </c>
      <c r="O632" s="26">
        <v>2</v>
      </c>
      <c r="R632" t="s">
        <v>2388</v>
      </c>
      <c r="S632" s="26">
        <v>1</v>
      </c>
      <c r="U632" t="s">
        <v>856</v>
      </c>
      <c r="V632" t="s">
        <v>855</v>
      </c>
      <c r="W632" t="s">
        <v>716</v>
      </c>
      <c r="X632" s="26">
        <v>2</v>
      </c>
    </row>
    <row r="633" spans="1:24" hidden="1" x14ac:dyDescent="0.35">
      <c r="A633">
        <f t="shared" si="19"/>
        <v>632</v>
      </c>
      <c r="B633">
        <v>2004</v>
      </c>
      <c r="C633" s="4" t="s">
        <v>893</v>
      </c>
      <c r="D633" s="4" t="s">
        <v>1205</v>
      </c>
      <c r="E633" t="s">
        <v>1429</v>
      </c>
      <c r="F633" s="17">
        <v>1630</v>
      </c>
      <c r="G633" s="17">
        <v>1</v>
      </c>
      <c r="H633" t="s">
        <v>74</v>
      </c>
      <c r="I633" t="s">
        <v>75</v>
      </c>
      <c r="J633" s="13">
        <v>1707.5701760979362</v>
      </c>
      <c r="K633" t="str">
        <f t="shared" si="18"/>
        <v>Sabyl Landrum</v>
      </c>
      <c r="M633" t="s">
        <v>95</v>
      </c>
      <c r="N633" t="s">
        <v>71</v>
      </c>
      <c r="O633" s="26">
        <v>22</v>
      </c>
      <c r="R633" t="s">
        <v>813</v>
      </c>
      <c r="S633" s="26">
        <v>1</v>
      </c>
      <c r="U633" t="s">
        <v>1695</v>
      </c>
      <c r="V633" t="s">
        <v>552</v>
      </c>
      <c r="W633" t="s">
        <v>551</v>
      </c>
      <c r="X633" s="26">
        <v>1</v>
      </c>
    </row>
    <row r="634" spans="1:24" hidden="1" x14ac:dyDescent="0.35">
      <c r="A634">
        <f t="shared" si="19"/>
        <v>633</v>
      </c>
      <c r="B634">
        <v>2004</v>
      </c>
      <c r="C634" s="4" t="s">
        <v>893</v>
      </c>
      <c r="D634" s="4" t="s">
        <v>1205</v>
      </c>
      <c r="E634" t="s">
        <v>1429</v>
      </c>
      <c r="F634" s="17">
        <v>940</v>
      </c>
      <c r="G634" s="17">
        <v>2</v>
      </c>
      <c r="H634" t="s">
        <v>972</v>
      </c>
      <c r="I634" t="s">
        <v>81</v>
      </c>
      <c r="J634" s="13">
        <v>1406.5401804339549</v>
      </c>
      <c r="K634" t="str">
        <f t="shared" si="18"/>
        <v>Don Condit</v>
      </c>
      <c r="M634" t="s">
        <v>363</v>
      </c>
      <c r="N634" t="s">
        <v>364</v>
      </c>
      <c r="O634" s="26">
        <v>19</v>
      </c>
      <c r="R634" t="s">
        <v>784</v>
      </c>
      <c r="S634" s="26">
        <v>1</v>
      </c>
      <c r="U634" t="s">
        <v>338</v>
      </c>
      <c r="V634" t="s">
        <v>337</v>
      </c>
      <c r="W634" t="s">
        <v>336</v>
      </c>
      <c r="X634" s="26">
        <v>1</v>
      </c>
    </row>
    <row r="635" spans="1:24" hidden="1" x14ac:dyDescent="0.35">
      <c r="A635">
        <f t="shared" si="19"/>
        <v>634</v>
      </c>
      <c r="B635">
        <v>2004</v>
      </c>
      <c r="C635" s="4" t="s">
        <v>893</v>
      </c>
      <c r="D635" s="4" t="s">
        <v>1205</v>
      </c>
      <c r="E635" t="s">
        <v>1429</v>
      </c>
      <c r="F635" s="17">
        <v>490</v>
      </c>
      <c r="G635" s="17">
        <v>3</v>
      </c>
      <c r="H635" t="s">
        <v>764</v>
      </c>
      <c r="I635" t="s">
        <v>765</v>
      </c>
      <c r="J635" s="13">
        <v>1230.4489213782738</v>
      </c>
      <c r="K635" t="str">
        <f t="shared" si="18"/>
        <v>Michelle Ankenman</v>
      </c>
      <c r="M635" t="s">
        <v>1363</v>
      </c>
      <c r="N635" t="s">
        <v>1364</v>
      </c>
      <c r="O635" s="26">
        <v>3</v>
      </c>
      <c r="R635" t="s">
        <v>340</v>
      </c>
      <c r="S635" s="26">
        <v>7</v>
      </c>
      <c r="U635" t="s">
        <v>222</v>
      </c>
      <c r="V635" t="s">
        <v>221</v>
      </c>
      <c r="W635" t="s">
        <v>220</v>
      </c>
      <c r="X635" s="26">
        <v>9</v>
      </c>
    </row>
    <row r="636" spans="1:24" hidden="1" x14ac:dyDescent="0.35">
      <c r="A636">
        <f t="shared" si="19"/>
        <v>635</v>
      </c>
      <c r="B636">
        <v>2004</v>
      </c>
      <c r="C636" s="4" t="s">
        <v>893</v>
      </c>
      <c r="D636" s="4" t="s">
        <v>1205</v>
      </c>
      <c r="E636" t="s">
        <v>1429</v>
      </c>
      <c r="F636" s="17">
        <v>265</v>
      </c>
      <c r="G636" s="17">
        <v>4.5</v>
      </c>
      <c r="H636" t="s">
        <v>74</v>
      </c>
      <c r="I636" t="s">
        <v>153</v>
      </c>
      <c r="J636" s="13">
        <v>1054.3576623225924</v>
      </c>
      <c r="K636" t="str">
        <f t="shared" si="18"/>
        <v>Stephen Landrum</v>
      </c>
      <c r="M636" t="s">
        <v>2428</v>
      </c>
      <c r="N636" t="s">
        <v>2429</v>
      </c>
      <c r="O636" s="26">
        <v>2</v>
      </c>
      <c r="R636" t="s">
        <v>664</v>
      </c>
      <c r="S636" s="26">
        <v>5</v>
      </c>
      <c r="U636" t="s">
        <v>1265</v>
      </c>
      <c r="V636" t="s">
        <v>1264</v>
      </c>
      <c r="W636" t="s">
        <v>1263</v>
      </c>
      <c r="X636" s="26">
        <v>1</v>
      </c>
    </row>
    <row r="637" spans="1:24" x14ac:dyDescent="0.35">
      <c r="A637">
        <f t="shared" si="19"/>
        <v>636</v>
      </c>
      <c r="B637">
        <v>2004</v>
      </c>
      <c r="C637" s="4" t="s">
        <v>893</v>
      </c>
      <c r="D637" s="4" t="s">
        <v>1205</v>
      </c>
      <c r="E637" t="s">
        <v>1429</v>
      </c>
      <c r="F637" s="17">
        <v>265</v>
      </c>
      <c r="G637" s="17">
        <v>4.5</v>
      </c>
      <c r="H637" t="s">
        <v>313</v>
      </c>
      <c r="I637" t="s">
        <v>314</v>
      </c>
      <c r="J637" s="13">
        <v>1054.3576623225924</v>
      </c>
      <c r="K637" t="str">
        <f t="shared" si="18"/>
        <v>Gerald Petersen</v>
      </c>
      <c r="M637" t="s">
        <v>1237</v>
      </c>
      <c r="N637" t="s">
        <v>1238</v>
      </c>
      <c r="O637" s="26">
        <v>1</v>
      </c>
      <c r="R637" t="s">
        <v>461</v>
      </c>
      <c r="S637" s="26">
        <v>7</v>
      </c>
      <c r="U637" t="s">
        <v>1526</v>
      </c>
      <c r="V637" t="s">
        <v>205</v>
      </c>
      <c r="W637" t="s">
        <v>204</v>
      </c>
      <c r="X637" s="26">
        <v>39</v>
      </c>
    </row>
    <row r="638" spans="1:24" hidden="1" x14ac:dyDescent="0.35">
      <c r="A638">
        <f t="shared" si="19"/>
        <v>637</v>
      </c>
      <c r="B638">
        <v>2004</v>
      </c>
      <c r="C638" s="4" t="s">
        <v>893</v>
      </c>
      <c r="D638" s="4" t="s">
        <v>1205</v>
      </c>
      <c r="E638" t="s">
        <v>1429</v>
      </c>
      <c r="F638" s="17">
        <v>165</v>
      </c>
      <c r="G638" s="17">
        <v>7</v>
      </c>
      <c r="H638" t="s">
        <v>226</v>
      </c>
      <c r="I638" t="s">
        <v>227</v>
      </c>
      <c r="J638" s="13">
        <v>862.4721360836794</v>
      </c>
      <c r="K638" t="str">
        <f t="shared" si="18"/>
        <v>Patti Beadles</v>
      </c>
      <c r="M638" t="s">
        <v>993</v>
      </c>
      <c r="N638" t="s">
        <v>205</v>
      </c>
      <c r="O638" s="26">
        <v>1</v>
      </c>
      <c r="R638" t="s">
        <v>1316</v>
      </c>
      <c r="S638" s="26">
        <v>1</v>
      </c>
      <c r="U638" t="s">
        <v>469</v>
      </c>
      <c r="V638" t="s">
        <v>205</v>
      </c>
      <c r="W638" t="s">
        <v>202</v>
      </c>
      <c r="X638" s="26">
        <v>16</v>
      </c>
    </row>
    <row r="639" spans="1:24" hidden="1" x14ac:dyDescent="0.35">
      <c r="A639">
        <f t="shared" si="19"/>
        <v>638</v>
      </c>
      <c r="B639">
        <v>2004</v>
      </c>
      <c r="C639" s="4" t="s">
        <v>893</v>
      </c>
      <c r="D639" s="4" t="s">
        <v>1205</v>
      </c>
      <c r="E639" t="s">
        <v>1429</v>
      </c>
      <c r="F639" s="17">
        <v>165</v>
      </c>
      <c r="G639" s="17">
        <v>7</v>
      </c>
      <c r="H639" t="s">
        <v>206</v>
      </c>
      <c r="I639" t="s">
        <v>207</v>
      </c>
      <c r="J639" s="13">
        <v>862.4721360836794</v>
      </c>
      <c r="K639" t="str">
        <f t="shared" si="18"/>
        <v>Nick Christenson</v>
      </c>
      <c r="M639" t="s">
        <v>1121</v>
      </c>
      <c r="N639" t="s">
        <v>13</v>
      </c>
      <c r="O639" s="26">
        <v>1</v>
      </c>
      <c r="Q639" t="s">
        <v>1361</v>
      </c>
      <c r="R639" t="s">
        <v>420</v>
      </c>
      <c r="S639" s="26">
        <v>2</v>
      </c>
      <c r="U639" t="s">
        <v>994</v>
      </c>
      <c r="V639" t="s">
        <v>205</v>
      </c>
      <c r="W639" t="s">
        <v>993</v>
      </c>
      <c r="X639" s="26">
        <v>1</v>
      </c>
    </row>
    <row r="640" spans="1:24" hidden="1" x14ac:dyDescent="0.35">
      <c r="A640">
        <f t="shared" si="19"/>
        <v>639</v>
      </c>
      <c r="B640">
        <v>2004</v>
      </c>
      <c r="C640" s="4" t="s">
        <v>893</v>
      </c>
      <c r="D640" s="4" t="s">
        <v>1205</v>
      </c>
      <c r="E640" t="s">
        <v>1429</v>
      </c>
      <c r="F640" s="17">
        <v>165</v>
      </c>
      <c r="G640" s="17">
        <v>7</v>
      </c>
      <c r="H640" t="s">
        <v>1206</v>
      </c>
      <c r="I640" t="s">
        <v>159</v>
      </c>
      <c r="J640" s="13">
        <v>862.4721360836794</v>
      </c>
      <c r="K640" t="str">
        <f t="shared" si="18"/>
        <v>Brian Goetz</v>
      </c>
      <c r="M640" t="s">
        <v>882</v>
      </c>
      <c r="N640" t="s">
        <v>388</v>
      </c>
      <c r="O640" s="26">
        <v>1</v>
      </c>
      <c r="Q640" t="s">
        <v>855</v>
      </c>
      <c r="R640" t="s">
        <v>716</v>
      </c>
      <c r="S640" s="26">
        <v>2</v>
      </c>
      <c r="U640" t="s">
        <v>1381</v>
      </c>
      <c r="V640" t="s">
        <v>205</v>
      </c>
      <c r="W640" t="s">
        <v>1020</v>
      </c>
      <c r="X640" s="26">
        <v>2</v>
      </c>
    </row>
    <row r="641" spans="1:24" hidden="1" x14ac:dyDescent="0.35">
      <c r="A641">
        <f t="shared" si="19"/>
        <v>640</v>
      </c>
      <c r="B641">
        <v>2004</v>
      </c>
      <c r="C641" s="4" t="s">
        <v>893</v>
      </c>
      <c r="D641" s="4" t="s">
        <v>1203</v>
      </c>
      <c r="E641" t="s">
        <v>133</v>
      </c>
      <c r="F641" s="17">
        <v>965</v>
      </c>
      <c r="G641" s="17">
        <v>1</v>
      </c>
      <c r="H641" t="s">
        <v>597</v>
      </c>
      <c r="I641" t="s">
        <v>598</v>
      </c>
      <c r="J641" s="13">
        <v>1591.0646070264991</v>
      </c>
      <c r="K641" t="str">
        <f t="shared" si="18"/>
        <v>Lou Krieger</v>
      </c>
      <c r="M641" t="s">
        <v>1224</v>
      </c>
      <c r="N641" t="s">
        <v>782</v>
      </c>
      <c r="O641" s="26">
        <v>1</v>
      </c>
      <c r="Q641" t="s">
        <v>552</v>
      </c>
      <c r="R641" t="s">
        <v>551</v>
      </c>
      <c r="S641" s="26">
        <v>1</v>
      </c>
      <c r="U641" t="s">
        <v>126</v>
      </c>
      <c r="V641" t="s">
        <v>125</v>
      </c>
      <c r="W641" t="s">
        <v>124</v>
      </c>
      <c r="X641" s="26">
        <v>4</v>
      </c>
    </row>
    <row r="642" spans="1:24" hidden="1" x14ac:dyDescent="0.35">
      <c r="A642">
        <f t="shared" si="19"/>
        <v>641</v>
      </c>
      <c r="B642">
        <v>2004</v>
      </c>
      <c r="C642" s="4" t="s">
        <v>893</v>
      </c>
      <c r="D642" s="4" t="s">
        <v>1203</v>
      </c>
      <c r="E642" t="s">
        <v>133</v>
      </c>
      <c r="F642" s="17">
        <v>535</v>
      </c>
      <c r="G642" s="17">
        <v>2</v>
      </c>
      <c r="H642" t="s">
        <v>836</v>
      </c>
      <c r="I642" t="s">
        <v>136</v>
      </c>
      <c r="J642" s="13">
        <v>1290.0346113625178</v>
      </c>
      <c r="K642" t="str">
        <f t="shared" ref="K642:K705" si="20">I642&amp;" "&amp;H642</f>
        <v>John Grout</v>
      </c>
      <c r="M642" t="s">
        <v>551</v>
      </c>
      <c r="N642" t="s">
        <v>552</v>
      </c>
      <c r="O642" s="26">
        <v>1</v>
      </c>
      <c r="Q642" t="s">
        <v>337</v>
      </c>
      <c r="R642" t="s">
        <v>336</v>
      </c>
      <c r="S642" s="26">
        <v>1</v>
      </c>
      <c r="U642" t="s">
        <v>288</v>
      </c>
      <c r="V642" t="s">
        <v>125</v>
      </c>
      <c r="W642" t="s">
        <v>287</v>
      </c>
      <c r="X642" s="26">
        <v>8</v>
      </c>
    </row>
    <row r="643" spans="1:24" hidden="1" x14ac:dyDescent="0.35">
      <c r="A643">
        <f t="shared" si="19"/>
        <v>642</v>
      </c>
      <c r="B643">
        <v>2004</v>
      </c>
      <c r="C643" s="4" t="s">
        <v>893</v>
      </c>
      <c r="D643" s="4" t="s">
        <v>1203</v>
      </c>
      <c r="E643" t="s">
        <v>133</v>
      </c>
      <c r="F643" s="17">
        <v>320</v>
      </c>
      <c r="G643" s="17">
        <v>3</v>
      </c>
      <c r="H643" t="s">
        <v>1204</v>
      </c>
      <c r="I643" t="s">
        <v>269</v>
      </c>
      <c r="J643" s="13">
        <v>1113.9433523068367</v>
      </c>
      <c r="K643" t="str">
        <f t="shared" si="20"/>
        <v>Keith Wurster</v>
      </c>
      <c r="M643" t="s">
        <v>1169</v>
      </c>
      <c r="N643" t="s">
        <v>56</v>
      </c>
      <c r="O643" s="26">
        <v>1</v>
      </c>
      <c r="Q643" t="s">
        <v>221</v>
      </c>
      <c r="R643" t="s">
        <v>220</v>
      </c>
      <c r="S643" s="26">
        <v>9</v>
      </c>
      <c r="U643" t="s">
        <v>250</v>
      </c>
      <c r="V643" t="s">
        <v>249</v>
      </c>
      <c r="W643" t="s">
        <v>248</v>
      </c>
      <c r="X643" s="26">
        <v>21</v>
      </c>
    </row>
    <row r="644" spans="1:24" hidden="1" x14ac:dyDescent="0.35">
      <c r="A644">
        <f t="shared" ref="A644:A707" si="21">A643+1</f>
        <v>643</v>
      </c>
      <c r="B644">
        <v>2004</v>
      </c>
      <c r="C644" s="4" t="s">
        <v>893</v>
      </c>
      <c r="D644" s="4" t="s">
        <v>1203</v>
      </c>
      <c r="E644" t="s">
        <v>133</v>
      </c>
      <c r="F644" s="17">
        <v>215</v>
      </c>
      <c r="G644" s="17">
        <v>4</v>
      </c>
      <c r="H644" t="s">
        <v>1102</v>
      </c>
      <c r="I644" t="s">
        <v>521</v>
      </c>
      <c r="J644" s="13">
        <v>989.00461569853667</v>
      </c>
      <c r="K644" t="str">
        <f t="shared" si="20"/>
        <v>Chuck Artigues</v>
      </c>
      <c r="M644" t="s">
        <v>135</v>
      </c>
      <c r="N644" t="s">
        <v>136</v>
      </c>
      <c r="O644" s="26">
        <v>8</v>
      </c>
      <c r="Q644" t="s">
        <v>1264</v>
      </c>
      <c r="R644" t="s">
        <v>1263</v>
      </c>
      <c r="S644" s="26">
        <v>1</v>
      </c>
      <c r="U644" t="s">
        <v>2490</v>
      </c>
      <c r="V644" t="s">
        <v>2489</v>
      </c>
      <c r="W644" t="s">
        <v>1978</v>
      </c>
      <c r="X644" s="26">
        <v>1</v>
      </c>
    </row>
    <row r="645" spans="1:24" hidden="1" x14ac:dyDescent="0.35">
      <c r="A645">
        <f t="shared" si="21"/>
        <v>644</v>
      </c>
      <c r="B645">
        <v>2004</v>
      </c>
      <c r="C645" s="4" t="s">
        <v>893</v>
      </c>
      <c r="D645" s="4" t="s">
        <v>1203</v>
      </c>
      <c r="E645" t="s">
        <v>133</v>
      </c>
      <c r="F645" s="17">
        <v>110</v>
      </c>
      <c r="G645" s="17">
        <v>5</v>
      </c>
      <c r="H645" t="s">
        <v>323</v>
      </c>
      <c r="I645" t="s">
        <v>324</v>
      </c>
      <c r="J645" s="13">
        <v>892.0946026904802</v>
      </c>
      <c r="K645" t="str">
        <f t="shared" si="20"/>
        <v>Andrew Prock</v>
      </c>
      <c r="N645" t="s">
        <v>1073</v>
      </c>
      <c r="O645" s="26">
        <v>4</v>
      </c>
      <c r="Q645" t="s">
        <v>205</v>
      </c>
      <c r="R645" t="s">
        <v>204</v>
      </c>
      <c r="S645" s="26">
        <v>39</v>
      </c>
      <c r="U645" t="s">
        <v>2409</v>
      </c>
      <c r="V645" t="s">
        <v>25</v>
      </c>
      <c r="W645" t="s">
        <v>2408</v>
      </c>
      <c r="X645" s="26">
        <v>2</v>
      </c>
    </row>
    <row r="646" spans="1:24" hidden="1" x14ac:dyDescent="0.35">
      <c r="A646">
        <f t="shared" si="21"/>
        <v>645</v>
      </c>
      <c r="B646">
        <v>2004</v>
      </c>
      <c r="C646" s="5" t="s">
        <v>8</v>
      </c>
      <c r="D646" s="5" t="s">
        <v>995</v>
      </c>
      <c r="E646" t="s">
        <v>1430</v>
      </c>
      <c r="F646" s="17">
        <v>1248</v>
      </c>
      <c r="G646" s="17">
        <v>1</v>
      </c>
      <c r="H646" t="s">
        <v>1078</v>
      </c>
      <c r="I646" t="s">
        <v>471</v>
      </c>
      <c r="J646" s="13">
        <v>1716.0033436347992</v>
      </c>
      <c r="K646" t="str">
        <f t="shared" si="20"/>
        <v>Greg Raymer</v>
      </c>
      <c r="M646" t="s">
        <v>563</v>
      </c>
      <c r="N646" t="s">
        <v>564</v>
      </c>
      <c r="O646" s="26">
        <v>4</v>
      </c>
      <c r="R646" t="s">
        <v>202</v>
      </c>
      <c r="S646" s="26">
        <v>16</v>
      </c>
      <c r="U646" t="s">
        <v>917</v>
      </c>
      <c r="V646" t="s">
        <v>25</v>
      </c>
      <c r="W646" t="s">
        <v>50</v>
      </c>
      <c r="X646" s="26">
        <v>44</v>
      </c>
    </row>
    <row r="647" spans="1:24" hidden="1" x14ac:dyDescent="0.35">
      <c r="A647">
        <f t="shared" si="21"/>
        <v>646</v>
      </c>
      <c r="B647">
        <v>2004</v>
      </c>
      <c r="C647" s="5" t="s">
        <v>8</v>
      </c>
      <c r="D647" s="5" t="s">
        <v>995</v>
      </c>
      <c r="E647" t="s">
        <v>1430</v>
      </c>
      <c r="F647" s="17">
        <v>656</v>
      </c>
      <c r="G647" s="17">
        <v>2</v>
      </c>
      <c r="H647" t="s">
        <v>74</v>
      </c>
      <c r="I647" t="s">
        <v>75</v>
      </c>
      <c r="J647" s="13">
        <v>1414.9733479708179</v>
      </c>
      <c r="K647" t="str">
        <f t="shared" si="20"/>
        <v>Sabyl Landrum</v>
      </c>
      <c r="M647" t="s">
        <v>1387</v>
      </c>
      <c r="N647" t="s">
        <v>391</v>
      </c>
      <c r="O647" s="26">
        <v>1</v>
      </c>
      <c r="R647" t="s">
        <v>993</v>
      </c>
      <c r="S647" s="26">
        <v>1</v>
      </c>
      <c r="U647" t="s">
        <v>508</v>
      </c>
      <c r="V647" t="s">
        <v>25</v>
      </c>
      <c r="W647" t="s">
        <v>507</v>
      </c>
      <c r="X647" s="26">
        <v>1</v>
      </c>
    </row>
    <row r="648" spans="1:24" hidden="1" x14ac:dyDescent="0.35">
      <c r="A648">
        <f t="shared" si="21"/>
        <v>647</v>
      </c>
      <c r="B648">
        <v>2004</v>
      </c>
      <c r="C648" s="5" t="s">
        <v>8</v>
      </c>
      <c r="D648" s="5" t="s">
        <v>995</v>
      </c>
      <c r="E648" t="s">
        <v>1430</v>
      </c>
      <c r="F648" s="17">
        <v>343</v>
      </c>
      <c r="G648" s="17">
        <v>3</v>
      </c>
      <c r="H648" t="s">
        <v>1189</v>
      </c>
      <c r="I648" t="s">
        <v>1190</v>
      </c>
      <c r="J648" s="13">
        <v>1238.8820889151368</v>
      </c>
      <c r="K648" t="str">
        <f t="shared" si="20"/>
        <v>Marty Stilling</v>
      </c>
      <c r="M648" t="s">
        <v>1144</v>
      </c>
      <c r="N648" t="s">
        <v>44</v>
      </c>
      <c r="O648" s="26">
        <v>3</v>
      </c>
      <c r="R648" t="s">
        <v>1020</v>
      </c>
      <c r="S648" s="26">
        <v>2</v>
      </c>
      <c r="U648" t="s">
        <v>1081</v>
      </c>
      <c r="V648" t="s">
        <v>25</v>
      </c>
      <c r="W648" t="s">
        <v>1080</v>
      </c>
      <c r="X648" s="26">
        <v>4</v>
      </c>
    </row>
    <row r="649" spans="1:24" hidden="1" x14ac:dyDescent="0.35">
      <c r="A649">
        <f t="shared" si="21"/>
        <v>648</v>
      </c>
      <c r="B649">
        <v>2004</v>
      </c>
      <c r="C649" s="5" t="s">
        <v>8</v>
      </c>
      <c r="D649" s="5" t="s">
        <v>995</v>
      </c>
      <c r="E649" t="s">
        <v>1430</v>
      </c>
      <c r="F649" s="17">
        <v>265</v>
      </c>
      <c r="G649" s="17">
        <v>4</v>
      </c>
      <c r="H649" t="s">
        <v>111</v>
      </c>
      <c r="I649" t="s">
        <v>16</v>
      </c>
      <c r="J649" s="13">
        <v>1113.9433523068369</v>
      </c>
      <c r="K649" t="str">
        <f t="shared" si="20"/>
        <v>David Fruchter</v>
      </c>
      <c r="M649" t="s">
        <v>2476</v>
      </c>
      <c r="N649" t="s">
        <v>77</v>
      </c>
      <c r="O649" s="26">
        <v>7</v>
      </c>
      <c r="Q649" t="s">
        <v>125</v>
      </c>
      <c r="R649" t="s">
        <v>124</v>
      </c>
      <c r="S649" s="26">
        <v>4</v>
      </c>
      <c r="U649" t="s">
        <v>2380</v>
      </c>
      <c r="V649" t="s">
        <v>98</v>
      </c>
      <c r="W649" t="s">
        <v>2368</v>
      </c>
      <c r="X649" s="26">
        <v>1</v>
      </c>
    </row>
    <row r="650" spans="1:24" hidden="1" x14ac:dyDescent="0.35">
      <c r="A650">
        <f t="shared" si="21"/>
        <v>649</v>
      </c>
      <c r="B650">
        <v>2004</v>
      </c>
      <c r="C650" s="5" t="s">
        <v>8</v>
      </c>
      <c r="D650" s="5" t="s">
        <v>995</v>
      </c>
      <c r="E650" t="s">
        <v>1430</v>
      </c>
      <c r="F650" s="17">
        <v>187</v>
      </c>
      <c r="G650" s="17">
        <v>5</v>
      </c>
      <c r="H650" t="s">
        <v>64</v>
      </c>
      <c r="I650" t="s">
        <v>65</v>
      </c>
      <c r="J650" s="13">
        <v>1017.0333392987802</v>
      </c>
      <c r="K650" t="str">
        <f t="shared" si="20"/>
        <v>Steve Daniel</v>
      </c>
      <c r="M650" t="s">
        <v>724</v>
      </c>
      <c r="N650" t="s">
        <v>725</v>
      </c>
      <c r="O650" s="26">
        <v>2</v>
      </c>
      <c r="R650" t="s">
        <v>287</v>
      </c>
      <c r="S650" s="26">
        <v>8</v>
      </c>
      <c r="U650" t="s">
        <v>940</v>
      </c>
      <c r="V650" t="s">
        <v>98</v>
      </c>
      <c r="W650" t="s">
        <v>939</v>
      </c>
      <c r="X650" s="26">
        <v>1</v>
      </c>
    </row>
    <row r="651" spans="1:24" hidden="1" x14ac:dyDescent="0.35">
      <c r="A651">
        <f t="shared" si="21"/>
        <v>650</v>
      </c>
      <c r="B651">
        <v>2004</v>
      </c>
      <c r="C651" s="5" t="s">
        <v>8</v>
      </c>
      <c r="D651" s="5" t="s">
        <v>995</v>
      </c>
      <c r="E651" t="s">
        <v>1430</v>
      </c>
      <c r="F651" s="17">
        <v>141</v>
      </c>
      <c r="G651" s="17">
        <v>6</v>
      </c>
      <c r="H651" t="s">
        <v>310</v>
      </c>
      <c r="I651" t="s">
        <v>119</v>
      </c>
      <c r="J651" s="13">
        <v>937.85209325115557</v>
      </c>
      <c r="K651" t="str">
        <f t="shared" si="20"/>
        <v>Peter Caldes</v>
      </c>
      <c r="M651" t="s">
        <v>850</v>
      </c>
      <c r="N651" t="s">
        <v>851</v>
      </c>
      <c r="O651" s="26">
        <v>7</v>
      </c>
      <c r="Q651" t="s">
        <v>249</v>
      </c>
      <c r="R651" t="s">
        <v>248</v>
      </c>
      <c r="S651" s="26">
        <v>21</v>
      </c>
      <c r="U651" t="s">
        <v>1649</v>
      </c>
      <c r="V651" t="s">
        <v>98</v>
      </c>
      <c r="W651" t="s">
        <v>403</v>
      </c>
      <c r="X651" s="26">
        <v>1</v>
      </c>
    </row>
    <row r="652" spans="1:24" hidden="1" x14ac:dyDescent="0.35">
      <c r="A652">
        <f t="shared" si="21"/>
        <v>651</v>
      </c>
      <c r="B652">
        <v>2004</v>
      </c>
      <c r="C652" s="5" t="s">
        <v>8</v>
      </c>
      <c r="D652" s="5" t="s">
        <v>995</v>
      </c>
      <c r="E652" t="s">
        <v>1430</v>
      </c>
      <c r="F652" s="17">
        <v>109</v>
      </c>
      <c r="G652" s="17">
        <v>7</v>
      </c>
      <c r="H652" t="s">
        <v>731</v>
      </c>
      <c r="I652" t="s">
        <v>384</v>
      </c>
      <c r="J652" s="13">
        <v>870.90530362054244</v>
      </c>
      <c r="K652" t="str">
        <f t="shared" si="20"/>
        <v>Jeff Calkins</v>
      </c>
      <c r="M652" t="s">
        <v>285</v>
      </c>
      <c r="N652" t="s">
        <v>119</v>
      </c>
      <c r="O652" s="26">
        <v>21</v>
      </c>
      <c r="Q652" t="s">
        <v>2489</v>
      </c>
      <c r="R652" t="s">
        <v>1978</v>
      </c>
      <c r="S652" s="26">
        <v>1</v>
      </c>
      <c r="U652" t="s">
        <v>210</v>
      </c>
      <c r="V652" t="s">
        <v>98</v>
      </c>
      <c r="W652" t="s">
        <v>97</v>
      </c>
      <c r="X652" s="26">
        <v>6</v>
      </c>
    </row>
    <row r="653" spans="1:24" hidden="1" x14ac:dyDescent="0.35">
      <c r="A653">
        <f t="shared" si="21"/>
        <v>652</v>
      </c>
      <c r="B653">
        <v>2004</v>
      </c>
      <c r="C653" s="5" t="s">
        <v>8</v>
      </c>
      <c r="D653" s="5" t="s">
        <v>995</v>
      </c>
      <c r="E653" t="s">
        <v>1430</v>
      </c>
      <c r="F653" s="17">
        <v>93</v>
      </c>
      <c r="G653" s="17">
        <v>8</v>
      </c>
      <c r="H653" t="s">
        <v>653</v>
      </c>
      <c r="I653" t="s">
        <v>654</v>
      </c>
      <c r="J653" s="13">
        <v>812.91335664285566</v>
      </c>
      <c r="K653" t="str">
        <f t="shared" si="20"/>
        <v>Gloria Brown</v>
      </c>
      <c r="M653" t="s">
        <v>118</v>
      </c>
      <c r="N653" t="s">
        <v>243</v>
      </c>
      <c r="O653" s="26">
        <v>4</v>
      </c>
      <c r="Q653" t="s">
        <v>25</v>
      </c>
      <c r="R653" t="s">
        <v>2408</v>
      </c>
      <c r="S653" s="26">
        <v>2</v>
      </c>
      <c r="U653" t="s">
        <v>1698</v>
      </c>
      <c r="V653" t="s">
        <v>1251</v>
      </c>
      <c r="W653" t="s">
        <v>1250</v>
      </c>
      <c r="X653" s="26">
        <v>1</v>
      </c>
    </row>
    <row r="654" spans="1:24" hidden="1" x14ac:dyDescent="0.35">
      <c r="A654">
        <f t="shared" si="21"/>
        <v>653</v>
      </c>
      <c r="B654">
        <v>2004</v>
      </c>
      <c r="C654" s="5" t="s">
        <v>8</v>
      </c>
      <c r="D654" s="5" t="s">
        <v>995</v>
      </c>
      <c r="E654" t="s">
        <v>1430</v>
      </c>
      <c r="F654" s="17">
        <v>78</v>
      </c>
      <c r="G654" s="17">
        <v>9</v>
      </c>
      <c r="H654" t="s">
        <v>251</v>
      </c>
      <c r="I654" t="s">
        <v>252</v>
      </c>
      <c r="J654" s="13">
        <v>761.76083419547433</v>
      </c>
      <c r="K654" t="str">
        <f t="shared" si="20"/>
        <v>Linda Lewis</v>
      </c>
      <c r="N654" t="s">
        <v>415</v>
      </c>
      <c r="O654" s="26">
        <v>32</v>
      </c>
      <c r="R654" t="s">
        <v>50</v>
      </c>
      <c r="S654" s="26">
        <v>44</v>
      </c>
      <c r="U654" t="s">
        <v>1541</v>
      </c>
      <c r="V654" t="s">
        <v>75</v>
      </c>
      <c r="W654" t="s">
        <v>74</v>
      </c>
      <c r="X654" s="26">
        <v>35</v>
      </c>
    </row>
    <row r="655" spans="1:24" hidden="1" x14ac:dyDescent="0.35">
      <c r="A655">
        <f t="shared" si="21"/>
        <v>654</v>
      </c>
      <c r="B655">
        <v>2004</v>
      </c>
      <c r="C655" s="5" t="s">
        <v>8</v>
      </c>
      <c r="D655" s="5" t="s">
        <v>45</v>
      </c>
      <c r="E655" t="s">
        <v>1429</v>
      </c>
      <c r="F655" s="17">
        <v>1992</v>
      </c>
      <c r="G655" s="17">
        <v>1</v>
      </c>
      <c r="H655" t="s">
        <v>128</v>
      </c>
      <c r="I655" t="s">
        <v>443</v>
      </c>
      <c r="J655" s="13">
        <v>1919.078092376074</v>
      </c>
      <c r="K655" t="str">
        <f t="shared" si="20"/>
        <v>Ming Lee</v>
      </c>
      <c r="M655" t="s">
        <v>455</v>
      </c>
      <c r="N655" t="s">
        <v>136</v>
      </c>
      <c r="O655" s="26">
        <v>6</v>
      </c>
      <c r="R655" t="s">
        <v>507</v>
      </c>
      <c r="S655" s="26">
        <v>1</v>
      </c>
      <c r="U655" t="s">
        <v>1497</v>
      </c>
      <c r="V655" t="s">
        <v>1454</v>
      </c>
      <c r="W655" t="s">
        <v>1453</v>
      </c>
      <c r="X655" s="26">
        <v>1</v>
      </c>
    </row>
    <row r="656" spans="1:24" hidden="1" x14ac:dyDescent="0.35">
      <c r="A656">
        <f t="shared" si="21"/>
        <v>655</v>
      </c>
      <c r="B656">
        <v>2004</v>
      </c>
      <c r="C656" s="5" t="s">
        <v>8</v>
      </c>
      <c r="D656" s="5" t="s">
        <v>45</v>
      </c>
      <c r="E656" t="s">
        <v>1429</v>
      </c>
      <c r="F656" s="17">
        <v>1046</v>
      </c>
      <c r="G656" s="17">
        <v>2</v>
      </c>
      <c r="H656" t="s">
        <v>1069</v>
      </c>
      <c r="I656" t="s">
        <v>16</v>
      </c>
      <c r="J656" s="13">
        <v>1618.0480967120927</v>
      </c>
      <c r="K656" t="str">
        <f t="shared" si="20"/>
        <v>David Huberman</v>
      </c>
      <c r="M656" t="s">
        <v>501</v>
      </c>
      <c r="N656" t="s">
        <v>502</v>
      </c>
      <c r="O656" s="26">
        <v>1</v>
      </c>
      <c r="R656" t="s">
        <v>1080</v>
      </c>
      <c r="S656" s="26">
        <v>4</v>
      </c>
      <c r="U656" t="s">
        <v>1675</v>
      </c>
      <c r="V656" t="s">
        <v>884</v>
      </c>
      <c r="W656" t="s">
        <v>883</v>
      </c>
      <c r="X656" s="26">
        <v>5</v>
      </c>
    </row>
    <row r="657" spans="1:24" hidden="1" x14ac:dyDescent="0.35">
      <c r="A657">
        <f t="shared" si="21"/>
        <v>656</v>
      </c>
      <c r="B657">
        <v>2004</v>
      </c>
      <c r="C657" s="5" t="s">
        <v>8</v>
      </c>
      <c r="D657" s="5" t="s">
        <v>45</v>
      </c>
      <c r="E657" t="s">
        <v>1429</v>
      </c>
      <c r="F657" s="17">
        <v>548</v>
      </c>
      <c r="G657" s="17">
        <v>3</v>
      </c>
      <c r="H657" t="s">
        <v>74</v>
      </c>
      <c r="I657" t="s">
        <v>75</v>
      </c>
      <c r="J657" s="13">
        <v>1441.9568376564116</v>
      </c>
      <c r="K657" t="str">
        <f t="shared" si="20"/>
        <v>Sabyl Landrum</v>
      </c>
      <c r="M657" t="s">
        <v>412</v>
      </c>
      <c r="N657" t="s">
        <v>77</v>
      </c>
      <c r="O657" s="26">
        <v>1</v>
      </c>
      <c r="Q657" t="s">
        <v>98</v>
      </c>
      <c r="R657" t="s">
        <v>2368</v>
      </c>
      <c r="S657" s="26">
        <v>1</v>
      </c>
      <c r="U657" t="s">
        <v>371</v>
      </c>
      <c r="V657" t="s">
        <v>370</v>
      </c>
      <c r="W657" t="s">
        <v>57</v>
      </c>
      <c r="X657" s="26">
        <v>3</v>
      </c>
    </row>
    <row r="658" spans="1:24" hidden="1" x14ac:dyDescent="0.35">
      <c r="A658">
        <f t="shared" si="21"/>
        <v>657</v>
      </c>
      <c r="B658">
        <v>2004</v>
      </c>
      <c r="C658" s="5" t="s">
        <v>8</v>
      </c>
      <c r="D658" s="5" t="s">
        <v>45</v>
      </c>
      <c r="E658" t="s">
        <v>1429</v>
      </c>
      <c r="F658" s="17">
        <v>423</v>
      </c>
      <c r="G658" s="17">
        <v>4</v>
      </c>
      <c r="H658" t="s">
        <v>870</v>
      </c>
      <c r="I658" t="s">
        <v>528</v>
      </c>
      <c r="J658" s="13">
        <v>1317.0181010481117</v>
      </c>
      <c r="K658" t="str">
        <f t="shared" si="20"/>
        <v>Tim Woodbury</v>
      </c>
      <c r="M658" t="s">
        <v>1517</v>
      </c>
      <c r="N658" t="s">
        <v>1005</v>
      </c>
      <c r="O658" s="26">
        <v>1</v>
      </c>
      <c r="R658" t="s">
        <v>939</v>
      </c>
      <c r="S658" s="26">
        <v>1</v>
      </c>
      <c r="U658" t="s">
        <v>2464</v>
      </c>
      <c r="V658" t="s">
        <v>1073</v>
      </c>
      <c r="W658" t="s">
        <v>2463</v>
      </c>
      <c r="X658" s="26">
        <v>1</v>
      </c>
    </row>
    <row r="659" spans="1:24" hidden="1" x14ac:dyDescent="0.35">
      <c r="A659">
        <f t="shared" si="21"/>
        <v>658</v>
      </c>
      <c r="B659">
        <v>2004</v>
      </c>
      <c r="C659" s="5" t="s">
        <v>8</v>
      </c>
      <c r="D659" s="5" t="s">
        <v>45</v>
      </c>
      <c r="E659" t="s">
        <v>1429</v>
      </c>
      <c r="F659" s="17">
        <v>299</v>
      </c>
      <c r="G659" s="17">
        <v>5</v>
      </c>
      <c r="H659" t="s">
        <v>118</v>
      </c>
      <c r="I659" t="s">
        <v>415</v>
      </c>
      <c r="J659" s="13">
        <v>1220.108088040055</v>
      </c>
      <c r="K659" t="str">
        <f t="shared" si="20"/>
        <v>Pete Segal</v>
      </c>
      <c r="M659" t="s">
        <v>1075</v>
      </c>
      <c r="N659" t="s">
        <v>232</v>
      </c>
      <c r="O659" s="26">
        <v>1</v>
      </c>
      <c r="R659" t="s">
        <v>403</v>
      </c>
      <c r="S659" s="26">
        <v>1</v>
      </c>
      <c r="U659" t="s">
        <v>1617</v>
      </c>
      <c r="V659" t="s">
        <v>330</v>
      </c>
      <c r="W659" t="s">
        <v>658</v>
      </c>
      <c r="X659" s="26">
        <v>3</v>
      </c>
    </row>
    <row r="660" spans="1:24" hidden="1" x14ac:dyDescent="0.35">
      <c r="A660">
        <f t="shared" si="21"/>
        <v>659</v>
      </c>
      <c r="B660">
        <v>2004</v>
      </c>
      <c r="C660" s="5" t="s">
        <v>8</v>
      </c>
      <c r="D660" s="5" t="s">
        <v>45</v>
      </c>
      <c r="E660" t="s">
        <v>1429</v>
      </c>
      <c r="F660" s="17">
        <v>224</v>
      </c>
      <c r="G660" s="17">
        <v>6</v>
      </c>
      <c r="H660" t="s">
        <v>366</v>
      </c>
      <c r="I660" t="s">
        <v>61</v>
      </c>
      <c r="J660" s="13">
        <v>1140.9268419924304</v>
      </c>
      <c r="K660" t="str">
        <f t="shared" si="20"/>
        <v>Len Greenberg</v>
      </c>
      <c r="N660" t="s">
        <v>942</v>
      </c>
      <c r="O660" s="26">
        <v>3</v>
      </c>
      <c r="R660" t="s">
        <v>97</v>
      </c>
      <c r="S660" s="26">
        <v>6</v>
      </c>
      <c r="U660" t="s">
        <v>331</v>
      </c>
      <c r="V660" t="s">
        <v>330</v>
      </c>
      <c r="W660" t="s">
        <v>329</v>
      </c>
      <c r="X660" s="26">
        <v>2</v>
      </c>
    </row>
    <row r="661" spans="1:24" hidden="1" x14ac:dyDescent="0.35">
      <c r="A661">
        <f t="shared" si="21"/>
        <v>660</v>
      </c>
      <c r="B661">
        <v>2004</v>
      </c>
      <c r="C661" s="5" t="s">
        <v>8</v>
      </c>
      <c r="D661" s="5" t="s">
        <v>45</v>
      </c>
      <c r="E661" t="s">
        <v>1429</v>
      </c>
      <c r="F661" s="17">
        <v>175</v>
      </c>
      <c r="G661" s="17">
        <v>7</v>
      </c>
      <c r="H661" t="s">
        <v>352</v>
      </c>
      <c r="I661" t="s">
        <v>353</v>
      </c>
      <c r="J661" s="13">
        <v>1073.9800523618173</v>
      </c>
      <c r="K661" t="str">
        <f t="shared" si="20"/>
        <v>Frank Sordi</v>
      </c>
      <c r="M661" t="s">
        <v>105</v>
      </c>
      <c r="N661" t="s">
        <v>106</v>
      </c>
      <c r="O661" s="26">
        <v>34</v>
      </c>
      <c r="Q661" t="s">
        <v>1251</v>
      </c>
      <c r="R661" t="s">
        <v>1250</v>
      </c>
      <c r="S661" s="26">
        <v>1</v>
      </c>
      <c r="U661" t="s">
        <v>1579</v>
      </c>
      <c r="V661" t="s">
        <v>1168</v>
      </c>
      <c r="W661" t="s">
        <v>1167</v>
      </c>
      <c r="X661" s="26">
        <v>1</v>
      </c>
    </row>
    <row r="662" spans="1:24" hidden="1" x14ac:dyDescent="0.35">
      <c r="A662">
        <f t="shared" si="21"/>
        <v>661</v>
      </c>
      <c r="B662">
        <v>2004</v>
      </c>
      <c r="C662" s="5" t="s">
        <v>8</v>
      </c>
      <c r="D662" s="5" t="s">
        <v>45</v>
      </c>
      <c r="E662" t="s">
        <v>1429</v>
      </c>
      <c r="F662" s="17">
        <v>149</v>
      </c>
      <c r="G662" s="17">
        <v>8</v>
      </c>
      <c r="H662" t="s">
        <v>857</v>
      </c>
      <c r="I662" t="s">
        <v>13</v>
      </c>
      <c r="J662" s="13">
        <v>1015.9881053841304</v>
      </c>
      <c r="K662" t="str">
        <f t="shared" si="20"/>
        <v>Tom O'Boyle</v>
      </c>
      <c r="M662" t="s">
        <v>1114</v>
      </c>
      <c r="N662" t="s">
        <v>1019</v>
      </c>
      <c r="O662" s="26">
        <v>1</v>
      </c>
      <c r="Q662" t="s">
        <v>75</v>
      </c>
      <c r="R662" t="s">
        <v>74</v>
      </c>
      <c r="S662" s="26">
        <v>35</v>
      </c>
      <c r="U662" t="s">
        <v>1498</v>
      </c>
      <c r="V662" t="s">
        <v>1238</v>
      </c>
      <c r="W662" t="s">
        <v>1237</v>
      </c>
      <c r="X662" s="26">
        <v>1</v>
      </c>
    </row>
    <row r="663" spans="1:24" hidden="1" x14ac:dyDescent="0.35">
      <c r="A663">
        <f t="shared" si="21"/>
        <v>662</v>
      </c>
      <c r="B663">
        <v>2004</v>
      </c>
      <c r="C663" s="5" t="s">
        <v>8</v>
      </c>
      <c r="D663" s="5" t="s">
        <v>45</v>
      </c>
      <c r="E663" t="s">
        <v>1429</v>
      </c>
      <c r="F663" s="17">
        <v>124</v>
      </c>
      <c r="G663" s="17">
        <v>9</v>
      </c>
      <c r="H663" t="s">
        <v>43</v>
      </c>
      <c r="I663" t="s">
        <v>218</v>
      </c>
      <c r="J663" s="13">
        <v>964.83558293674912</v>
      </c>
      <c r="K663" t="str">
        <f t="shared" si="20"/>
        <v>Michael Klein</v>
      </c>
      <c r="M663" t="s">
        <v>540</v>
      </c>
      <c r="N663" t="s">
        <v>65</v>
      </c>
      <c r="O663" s="26">
        <v>2</v>
      </c>
      <c r="Q663" t="s">
        <v>1454</v>
      </c>
      <c r="R663" t="s">
        <v>1453</v>
      </c>
      <c r="S663" s="26">
        <v>1</v>
      </c>
      <c r="U663" t="s">
        <v>1183</v>
      </c>
      <c r="V663" t="s">
        <v>71</v>
      </c>
      <c r="W663" t="s">
        <v>1182</v>
      </c>
      <c r="X663" s="26">
        <v>1</v>
      </c>
    </row>
    <row r="664" spans="1:24" hidden="1" x14ac:dyDescent="0.35">
      <c r="A664">
        <f t="shared" si="21"/>
        <v>663</v>
      </c>
      <c r="B664">
        <v>2004</v>
      </c>
      <c r="C664" s="4" t="s">
        <v>8</v>
      </c>
      <c r="D664" s="4" t="s">
        <v>348</v>
      </c>
      <c r="E664" t="s">
        <v>1432</v>
      </c>
      <c r="F664" s="17">
        <v>945</v>
      </c>
      <c r="G664" s="17">
        <v>1</v>
      </c>
      <c r="H664" t="s">
        <v>310</v>
      </c>
      <c r="I664" t="s">
        <v>119</v>
      </c>
      <c r="J664" s="13">
        <v>772.03402217513781</v>
      </c>
      <c r="K664" t="str">
        <f t="shared" si="20"/>
        <v>Peter Caldes</v>
      </c>
      <c r="M664" t="s">
        <v>714</v>
      </c>
      <c r="N664" t="s">
        <v>528</v>
      </c>
      <c r="O664" s="26">
        <v>7</v>
      </c>
      <c r="Q664" t="s">
        <v>884</v>
      </c>
      <c r="R664" t="s">
        <v>883</v>
      </c>
      <c r="S664" s="26">
        <v>5</v>
      </c>
      <c r="U664" t="s">
        <v>518</v>
      </c>
      <c r="V664" t="s">
        <v>71</v>
      </c>
      <c r="W664" t="s">
        <v>70</v>
      </c>
      <c r="X664" s="26">
        <v>36</v>
      </c>
    </row>
    <row r="665" spans="1:24" hidden="1" x14ac:dyDescent="0.35">
      <c r="A665">
        <f t="shared" si="21"/>
        <v>664</v>
      </c>
      <c r="B665">
        <v>2004</v>
      </c>
      <c r="C665" s="4" t="s">
        <v>8</v>
      </c>
      <c r="D665" s="4" t="s">
        <v>348</v>
      </c>
      <c r="E665" t="s">
        <v>1432</v>
      </c>
      <c r="F665" s="17">
        <v>945</v>
      </c>
      <c r="G665" s="17">
        <v>1</v>
      </c>
      <c r="H665" t="s">
        <v>950</v>
      </c>
      <c r="I665" t="s">
        <v>142</v>
      </c>
      <c r="J665" s="13">
        <v>772.03402217513781</v>
      </c>
      <c r="K665" t="str">
        <f t="shared" si="20"/>
        <v>Matt Treasure</v>
      </c>
      <c r="M665" t="s">
        <v>748</v>
      </c>
      <c r="N665" t="s">
        <v>89</v>
      </c>
      <c r="O665" s="26">
        <v>4</v>
      </c>
      <c r="Q665" t="s">
        <v>370</v>
      </c>
      <c r="R665" t="s">
        <v>57</v>
      </c>
      <c r="S665" s="26">
        <v>3</v>
      </c>
      <c r="U665" t="s">
        <v>1139</v>
      </c>
      <c r="V665" t="s">
        <v>71</v>
      </c>
      <c r="W665" t="s">
        <v>1138</v>
      </c>
      <c r="X665" s="26">
        <v>1</v>
      </c>
    </row>
    <row r="666" spans="1:24" hidden="1" x14ac:dyDescent="0.35">
      <c r="A666">
        <f t="shared" si="21"/>
        <v>665</v>
      </c>
      <c r="B666">
        <v>2004</v>
      </c>
      <c r="C666" s="4" t="s">
        <v>8</v>
      </c>
      <c r="D666" s="4" t="s">
        <v>348</v>
      </c>
      <c r="E666" t="s">
        <v>1432</v>
      </c>
      <c r="F666" s="17">
        <v>525</v>
      </c>
      <c r="G666" s="17">
        <v>2</v>
      </c>
      <c r="H666" t="s">
        <v>1191</v>
      </c>
      <c r="I666" t="s">
        <v>11</v>
      </c>
      <c r="J666" s="13">
        <v>621.51902434314718</v>
      </c>
      <c r="K666" t="str">
        <f t="shared" si="20"/>
        <v>Paul Hodosh</v>
      </c>
      <c r="M666" t="s">
        <v>1240</v>
      </c>
      <c r="N666" t="s">
        <v>384</v>
      </c>
      <c r="O666" s="26">
        <v>1</v>
      </c>
      <c r="Q666" t="s">
        <v>1073</v>
      </c>
      <c r="R666" t="s">
        <v>2463</v>
      </c>
      <c r="S666" s="26">
        <v>1</v>
      </c>
      <c r="U666" t="s">
        <v>904</v>
      </c>
      <c r="V666" t="s">
        <v>71</v>
      </c>
      <c r="W666" t="s">
        <v>903</v>
      </c>
      <c r="X666" s="26">
        <v>9</v>
      </c>
    </row>
    <row r="667" spans="1:24" hidden="1" x14ac:dyDescent="0.35">
      <c r="A667">
        <f t="shared" si="21"/>
        <v>666</v>
      </c>
      <c r="B667">
        <v>2004</v>
      </c>
      <c r="C667" s="4" t="s">
        <v>8</v>
      </c>
      <c r="D667" s="4" t="s">
        <v>348</v>
      </c>
      <c r="E667" t="s">
        <v>1432</v>
      </c>
      <c r="F667" s="17">
        <v>525</v>
      </c>
      <c r="G667" s="17">
        <v>2</v>
      </c>
      <c r="H667" t="s">
        <v>1189</v>
      </c>
      <c r="I667" t="s">
        <v>1190</v>
      </c>
      <c r="J667" s="13">
        <v>621.51902434314718</v>
      </c>
      <c r="K667" t="str">
        <f t="shared" si="20"/>
        <v>Marty Stilling</v>
      </c>
      <c r="M667" t="s">
        <v>465</v>
      </c>
      <c r="N667" t="s">
        <v>11</v>
      </c>
      <c r="O667" s="26">
        <v>5</v>
      </c>
      <c r="R667" t="s">
        <v>135</v>
      </c>
      <c r="S667" s="26">
        <v>4</v>
      </c>
      <c r="U667" t="s">
        <v>1643</v>
      </c>
      <c r="V667" t="s">
        <v>71</v>
      </c>
      <c r="W667" t="s">
        <v>1230</v>
      </c>
      <c r="X667" s="26">
        <v>1</v>
      </c>
    </row>
    <row r="668" spans="1:24" hidden="1" x14ac:dyDescent="0.35">
      <c r="A668">
        <f t="shared" si="21"/>
        <v>667</v>
      </c>
      <c r="B668">
        <v>2004</v>
      </c>
      <c r="C668" s="4" t="s">
        <v>8</v>
      </c>
      <c r="D668" s="4" t="s">
        <v>348</v>
      </c>
      <c r="E668" t="s">
        <v>1432</v>
      </c>
      <c r="F668" s="17">
        <v>315</v>
      </c>
      <c r="G668" s="17">
        <v>3</v>
      </c>
      <c r="H668" t="s">
        <v>64</v>
      </c>
      <c r="I668" t="s">
        <v>65</v>
      </c>
      <c r="J668" s="13">
        <v>533.47339481530662</v>
      </c>
      <c r="K668" t="str">
        <f t="shared" si="20"/>
        <v>Steve Daniel</v>
      </c>
      <c r="M668" t="s">
        <v>2363</v>
      </c>
      <c r="N668" t="s">
        <v>2364</v>
      </c>
      <c r="O668" s="26">
        <v>5</v>
      </c>
      <c r="Q668" t="s">
        <v>330</v>
      </c>
      <c r="R668" t="s">
        <v>658</v>
      </c>
      <c r="S668" s="26">
        <v>3</v>
      </c>
      <c r="U668" t="s">
        <v>1375</v>
      </c>
      <c r="V668" t="s">
        <v>71</v>
      </c>
      <c r="W668" t="s">
        <v>1374</v>
      </c>
      <c r="X668" s="26">
        <v>2</v>
      </c>
    </row>
    <row r="669" spans="1:24" hidden="1" x14ac:dyDescent="0.35">
      <c r="A669">
        <f t="shared" si="21"/>
        <v>668</v>
      </c>
      <c r="B669">
        <v>2004</v>
      </c>
      <c r="C669" s="4" t="s">
        <v>8</v>
      </c>
      <c r="D669" s="4" t="s">
        <v>348</v>
      </c>
      <c r="E669" t="s">
        <v>1432</v>
      </c>
      <c r="F669" s="17">
        <v>315</v>
      </c>
      <c r="G669" s="17">
        <v>3</v>
      </c>
      <c r="H669" t="s">
        <v>363</v>
      </c>
      <c r="I669" t="s">
        <v>364</v>
      </c>
      <c r="J669" s="13">
        <v>533.47339481530662</v>
      </c>
      <c r="K669" t="str">
        <f t="shared" si="20"/>
        <v>Warren Sander</v>
      </c>
      <c r="M669" t="s">
        <v>1533</v>
      </c>
      <c r="N669" t="s">
        <v>71</v>
      </c>
      <c r="O669" s="26">
        <v>1</v>
      </c>
      <c r="R669" t="s">
        <v>329</v>
      </c>
      <c r="S669" s="26">
        <v>2</v>
      </c>
      <c r="U669" t="s">
        <v>209</v>
      </c>
      <c r="V669" t="s">
        <v>71</v>
      </c>
      <c r="W669" t="s">
        <v>95</v>
      </c>
      <c r="X669" s="26">
        <v>22</v>
      </c>
    </row>
    <row r="670" spans="1:24" hidden="1" x14ac:dyDescent="0.35">
      <c r="A670">
        <f t="shared" si="21"/>
        <v>669</v>
      </c>
      <c r="B670">
        <v>2004</v>
      </c>
      <c r="C670" s="4" t="s">
        <v>8</v>
      </c>
      <c r="D670" s="4" t="s">
        <v>348</v>
      </c>
      <c r="E670" t="s">
        <v>1432</v>
      </c>
      <c r="F670" s="17">
        <v>210</v>
      </c>
      <c r="G670" s="17">
        <v>4</v>
      </c>
      <c r="H670" t="s">
        <v>43</v>
      </c>
      <c r="I670" t="s">
        <v>218</v>
      </c>
      <c r="J670" s="13">
        <v>471.00402651115661</v>
      </c>
      <c r="K670" t="str">
        <f t="shared" si="20"/>
        <v>Michael Klein</v>
      </c>
      <c r="M670" t="s">
        <v>702</v>
      </c>
      <c r="N670" t="s">
        <v>703</v>
      </c>
      <c r="O670" s="26">
        <v>2</v>
      </c>
      <c r="Q670" t="s">
        <v>1168</v>
      </c>
      <c r="R670" t="s">
        <v>1167</v>
      </c>
      <c r="S670" s="26">
        <v>1</v>
      </c>
      <c r="U670" t="s">
        <v>1710</v>
      </c>
      <c r="V670" t="s">
        <v>71</v>
      </c>
      <c r="W670" t="s">
        <v>1533</v>
      </c>
      <c r="X670" s="26">
        <v>1</v>
      </c>
    </row>
    <row r="671" spans="1:24" hidden="1" x14ac:dyDescent="0.35">
      <c r="A671">
        <f t="shared" si="21"/>
        <v>670</v>
      </c>
      <c r="B671">
        <v>2004</v>
      </c>
      <c r="C671" s="4" t="s">
        <v>8</v>
      </c>
      <c r="D671" s="4" t="s">
        <v>348</v>
      </c>
      <c r="E671" t="s">
        <v>1432</v>
      </c>
      <c r="F671" s="17">
        <v>210</v>
      </c>
      <c r="G671" s="17">
        <v>4</v>
      </c>
      <c r="H671" t="s">
        <v>130</v>
      </c>
      <c r="I671" t="s">
        <v>131</v>
      </c>
      <c r="J671" s="13">
        <v>471.00402651115661</v>
      </c>
      <c r="K671" t="str">
        <f t="shared" si="20"/>
        <v>Alan Stuart</v>
      </c>
      <c r="N671" t="s">
        <v>218</v>
      </c>
      <c r="O671" s="26">
        <v>3</v>
      </c>
      <c r="Q671" t="s">
        <v>1238</v>
      </c>
      <c r="R671" t="s">
        <v>1237</v>
      </c>
      <c r="S671" s="26">
        <v>1</v>
      </c>
      <c r="U671" t="s">
        <v>932</v>
      </c>
      <c r="V671" t="s">
        <v>71</v>
      </c>
      <c r="W671" t="s">
        <v>931</v>
      </c>
      <c r="X671" s="26">
        <v>3</v>
      </c>
    </row>
    <row r="672" spans="1:24" hidden="1" x14ac:dyDescent="0.35">
      <c r="A672">
        <f t="shared" si="21"/>
        <v>671</v>
      </c>
      <c r="B672">
        <v>2004</v>
      </c>
      <c r="C672" s="4" t="s">
        <v>8</v>
      </c>
      <c r="D672" s="4" t="s">
        <v>348</v>
      </c>
      <c r="E672" t="s">
        <v>1432</v>
      </c>
      <c r="F672" s="17">
        <v>105</v>
      </c>
      <c r="G672" s="17">
        <v>5</v>
      </c>
      <c r="H672" t="s">
        <v>1021</v>
      </c>
      <c r="I672" t="s">
        <v>1022</v>
      </c>
      <c r="J672" s="13">
        <v>422.54902000712843</v>
      </c>
      <c r="K672" t="str">
        <f t="shared" si="20"/>
        <v>Mitch Firestone</v>
      </c>
      <c r="M672" t="s">
        <v>1002</v>
      </c>
      <c r="N672" t="s">
        <v>28</v>
      </c>
      <c r="O672" s="26">
        <v>1</v>
      </c>
      <c r="Q672" t="s">
        <v>71</v>
      </c>
      <c r="R672" t="s">
        <v>1182</v>
      </c>
      <c r="S672" s="26">
        <v>1</v>
      </c>
      <c r="U672" t="s">
        <v>2338</v>
      </c>
      <c r="V672" t="s">
        <v>815</v>
      </c>
      <c r="W672" t="s">
        <v>999</v>
      </c>
      <c r="X672" s="26">
        <v>8</v>
      </c>
    </row>
    <row r="673" spans="1:24" hidden="1" x14ac:dyDescent="0.35">
      <c r="A673">
        <f t="shared" si="21"/>
        <v>672</v>
      </c>
      <c r="B673">
        <v>2004</v>
      </c>
      <c r="C673" s="4" t="s">
        <v>8</v>
      </c>
      <c r="D673" s="4" t="s">
        <v>348</v>
      </c>
      <c r="E673" t="s">
        <v>1432</v>
      </c>
      <c r="F673" s="17">
        <v>105</v>
      </c>
      <c r="G673" s="17">
        <v>5</v>
      </c>
      <c r="H673" t="s">
        <v>111</v>
      </c>
      <c r="I673" t="s">
        <v>16</v>
      </c>
      <c r="J673" s="13">
        <v>422.54902000712843</v>
      </c>
      <c r="K673" t="str">
        <f t="shared" si="20"/>
        <v>David Fruchter</v>
      </c>
      <c r="M673" t="s">
        <v>896</v>
      </c>
      <c r="N673" t="s">
        <v>139</v>
      </c>
      <c r="O673" s="26">
        <v>3</v>
      </c>
      <c r="R673" t="s">
        <v>70</v>
      </c>
      <c r="S673" s="26">
        <v>36</v>
      </c>
      <c r="U673" t="s">
        <v>1603</v>
      </c>
      <c r="V673" t="s">
        <v>815</v>
      </c>
      <c r="W673" t="s">
        <v>1515</v>
      </c>
      <c r="X673" s="26">
        <v>2</v>
      </c>
    </row>
    <row r="674" spans="1:24" hidden="1" x14ac:dyDescent="0.35">
      <c r="A674">
        <f t="shared" si="21"/>
        <v>673</v>
      </c>
      <c r="B674">
        <v>2004</v>
      </c>
      <c r="C674" s="4" t="s">
        <v>583</v>
      </c>
      <c r="D674" s="4" t="s">
        <v>509</v>
      </c>
      <c r="E674" t="s">
        <v>509</v>
      </c>
      <c r="F674" s="17">
        <v>1108</v>
      </c>
      <c r="G674" s="17">
        <v>1</v>
      </c>
      <c r="H674" t="s">
        <v>1192</v>
      </c>
      <c r="I674" t="s">
        <v>1193</v>
      </c>
      <c r="J674" s="13">
        <v>1681.2412373755872</v>
      </c>
      <c r="K674" t="str">
        <f t="shared" si="20"/>
        <v>Shawn Lauderdale</v>
      </c>
      <c r="M674" t="s">
        <v>1335</v>
      </c>
      <c r="N674" t="s">
        <v>1269</v>
      </c>
      <c r="O674" s="26">
        <v>3</v>
      </c>
      <c r="R674" t="s">
        <v>1138</v>
      </c>
      <c r="S674" s="26">
        <v>1</v>
      </c>
      <c r="U674" t="s">
        <v>1598</v>
      </c>
      <c r="V674" t="s">
        <v>706</v>
      </c>
      <c r="W674" t="s">
        <v>705</v>
      </c>
      <c r="X674" s="26">
        <v>1</v>
      </c>
    </row>
    <row r="675" spans="1:24" hidden="1" x14ac:dyDescent="0.35">
      <c r="A675">
        <f t="shared" si="21"/>
        <v>674</v>
      </c>
      <c r="B675">
        <v>2004</v>
      </c>
      <c r="C675" s="4" t="s">
        <v>583</v>
      </c>
      <c r="D675" s="4" t="s">
        <v>509</v>
      </c>
      <c r="E675" t="s">
        <v>509</v>
      </c>
      <c r="F675" s="17">
        <v>673</v>
      </c>
      <c r="G675" s="17">
        <v>2</v>
      </c>
      <c r="H675" t="s">
        <v>543</v>
      </c>
      <c r="I675" t="s">
        <v>67</v>
      </c>
      <c r="J675" s="13">
        <v>1380.2112417116059</v>
      </c>
      <c r="K675" t="str">
        <f t="shared" si="20"/>
        <v>Bob Herlien</v>
      </c>
      <c r="M675" t="s">
        <v>774</v>
      </c>
      <c r="N675" t="s">
        <v>480</v>
      </c>
      <c r="O675" s="26">
        <v>1</v>
      </c>
      <c r="R675" t="s">
        <v>903</v>
      </c>
      <c r="S675" s="26">
        <v>9</v>
      </c>
      <c r="U675" t="s">
        <v>1089</v>
      </c>
      <c r="V675" t="s">
        <v>1088</v>
      </c>
      <c r="W675" t="s">
        <v>1087</v>
      </c>
      <c r="X675" s="26">
        <v>1</v>
      </c>
    </row>
    <row r="676" spans="1:24" hidden="1" x14ac:dyDescent="0.35">
      <c r="A676">
        <f t="shared" si="21"/>
        <v>675</v>
      </c>
      <c r="B676">
        <v>2004</v>
      </c>
      <c r="C676" s="4" t="s">
        <v>583</v>
      </c>
      <c r="D676" s="4" t="s">
        <v>509</v>
      </c>
      <c r="E676" t="s">
        <v>509</v>
      </c>
      <c r="F676" s="17">
        <v>475</v>
      </c>
      <c r="G676" s="17">
        <v>3</v>
      </c>
      <c r="H676" t="s">
        <v>689</v>
      </c>
      <c r="I676" t="s">
        <v>61</v>
      </c>
      <c r="J676" s="13">
        <v>1204.1199826559248</v>
      </c>
      <c r="K676" t="str">
        <f t="shared" si="20"/>
        <v>Len Forsyth</v>
      </c>
      <c r="M676" t="s">
        <v>700</v>
      </c>
      <c r="N676" t="s">
        <v>701</v>
      </c>
      <c r="O676" s="26">
        <v>3</v>
      </c>
      <c r="R676" t="s">
        <v>1230</v>
      </c>
      <c r="S676" s="26">
        <v>1</v>
      </c>
      <c r="U676" t="s">
        <v>1272</v>
      </c>
      <c r="V676" t="s">
        <v>1271</v>
      </c>
      <c r="W676" t="s">
        <v>1270</v>
      </c>
      <c r="X676" s="26">
        <v>1</v>
      </c>
    </row>
    <row r="677" spans="1:24" hidden="1" x14ac:dyDescent="0.35">
      <c r="A677">
        <f t="shared" si="21"/>
        <v>676</v>
      </c>
      <c r="B677">
        <v>2004</v>
      </c>
      <c r="C677" s="4" t="s">
        <v>583</v>
      </c>
      <c r="D677" s="4" t="s">
        <v>509</v>
      </c>
      <c r="E677" t="s">
        <v>509</v>
      </c>
      <c r="F677" s="17">
        <v>396</v>
      </c>
      <c r="G677" s="17">
        <v>4</v>
      </c>
      <c r="H677" t="s">
        <v>358</v>
      </c>
      <c r="I677" t="s">
        <v>77</v>
      </c>
      <c r="J677" s="13">
        <v>1079.1812460476247</v>
      </c>
      <c r="K677" t="str">
        <f t="shared" si="20"/>
        <v>Eric Rosenberg</v>
      </c>
      <c r="M677" t="s">
        <v>821</v>
      </c>
      <c r="N677" t="s">
        <v>267</v>
      </c>
      <c r="O677" s="26">
        <v>2</v>
      </c>
      <c r="R677" t="s">
        <v>251</v>
      </c>
      <c r="S677" s="26">
        <v>3</v>
      </c>
      <c r="U677" t="s">
        <v>1158</v>
      </c>
      <c r="V677" t="s">
        <v>1157</v>
      </c>
      <c r="W677" t="s">
        <v>1156</v>
      </c>
      <c r="X677" s="26">
        <v>2</v>
      </c>
    </row>
    <row r="678" spans="1:24" hidden="1" x14ac:dyDescent="0.35">
      <c r="A678">
        <f t="shared" si="21"/>
        <v>677</v>
      </c>
      <c r="B678">
        <v>2004</v>
      </c>
      <c r="C678" s="4" t="s">
        <v>583</v>
      </c>
      <c r="D678" s="4" t="s">
        <v>509</v>
      </c>
      <c r="E678" t="s">
        <v>509</v>
      </c>
      <c r="F678" s="17">
        <v>316</v>
      </c>
      <c r="G678" s="17">
        <v>5</v>
      </c>
      <c r="H678" t="s">
        <v>1152</v>
      </c>
      <c r="I678" t="s">
        <v>388</v>
      </c>
      <c r="J678" s="13">
        <v>982.2712330395683</v>
      </c>
      <c r="K678" t="str">
        <f t="shared" si="20"/>
        <v>Charles Zino</v>
      </c>
      <c r="N678" t="s">
        <v>822</v>
      </c>
      <c r="O678" s="26">
        <v>8</v>
      </c>
      <c r="R678" t="s">
        <v>1374</v>
      </c>
      <c r="S678" s="26">
        <v>2</v>
      </c>
      <c r="U678" t="s">
        <v>2379</v>
      </c>
      <c r="V678" t="s">
        <v>2364</v>
      </c>
      <c r="W678" t="s">
        <v>2363</v>
      </c>
      <c r="X678" s="26">
        <v>5</v>
      </c>
    </row>
    <row r="679" spans="1:24" hidden="1" x14ac:dyDescent="0.35">
      <c r="A679">
        <f t="shared" si="21"/>
        <v>678</v>
      </c>
      <c r="B679">
        <v>2004</v>
      </c>
      <c r="C679" s="4" t="s">
        <v>583</v>
      </c>
      <c r="D679" s="4" t="s">
        <v>509</v>
      </c>
      <c r="E679" t="s">
        <v>509</v>
      </c>
      <c r="F679" s="17">
        <v>277</v>
      </c>
      <c r="G679" s="17">
        <v>6</v>
      </c>
      <c r="H679" t="s">
        <v>420</v>
      </c>
      <c r="I679" t="s">
        <v>1022</v>
      </c>
      <c r="J679" s="13">
        <v>903.08998699194353</v>
      </c>
      <c r="K679" t="str">
        <f t="shared" si="20"/>
        <v>Mitch Jacobs</v>
      </c>
      <c r="N679" t="s">
        <v>1349</v>
      </c>
      <c r="O679" s="26">
        <v>2</v>
      </c>
      <c r="R679" t="s">
        <v>95</v>
      </c>
      <c r="S679" s="26">
        <v>22</v>
      </c>
      <c r="U679" t="s">
        <v>511</v>
      </c>
      <c r="V679" t="s">
        <v>510</v>
      </c>
      <c r="W679" t="s">
        <v>86</v>
      </c>
      <c r="X679" s="26">
        <v>9</v>
      </c>
    </row>
    <row r="680" spans="1:24" hidden="1" x14ac:dyDescent="0.35">
      <c r="A680">
        <f t="shared" si="21"/>
        <v>679</v>
      </c>
      <c r="B680">
        <v>2004</v>
      </c>
      <c r="C680" s="4" t="s">
        <v>583</v>
      </c>
      <c r="D680" s="4" t="s">
        <v>509</v>
      </c>
      <c r="E680" t="s">
        <v>509</v>
      </c>
      <c r="F680" s="17">
        <v>237</v>
      </c>
      <c r="G680" s="17">
        <v>7</v>
      </c>
      <c r="H680" t="s">
        <v>527</v>
      </c>
      <c r="I680" t="s">
        <v>11</v>
      </c>
      <c r="J680" s="13">
        <v>836.14319736133041</v>
      </c>
      <c r="K680" t="str">
        <f t="shared" si="20"/>
        <v>Paul Stine</v>
      </c>
      <c r="M680" t="s">
        <v>1257</v>
      </c>
      <c r="N680" t="s">
        <v>13</v>
      </c>
      <c r="O680" s="26">
        <v>5</v>
      </c>
      <c r="R680" t="s">
        <v>1533</v>
      </c>
      <c r="S680" s="26">
        <v>1</v>
      </c>
      <c r="U680" t="s">
        <v>1570</v>
      </c>
      <c r="V680" t="s">
        <v>510</v>
      </c>
      <c r="W680" t="s">
        <v>251</v>
      </c>
      <c r="X680" s="26">
        <v>5</v>
      </c>
    </row>
    <row r="681" spans="1:24" hidden="1" x14ac:dyDescent="0.35">
      <c r="A681">
        <f t="shared" si="21"/>
        <v>680</v>
      </c>
      <c r="B681">
        <v>2004</v>
      </c>
      <c r="C681" s="4" t="s">
        <v>583</v>
      </c>
      <c r="D681" s="4" t="s">
        <v>509</v>
      </c>
      <c r="E681" t="s">
        <v>509</v>
      </c>
      <c r="F681" s="17">
        <v>198</v>
      </c>
      <c r="G681" s="17">
        <v>8</v>
      </c>
      <c r="H681" t="s">
        <v>128</v>
      </c>
      <c r="I681" t="s">
        <v>16</v>
      </c>
      <c r="J681" s="13">
        <v>778.15125038364363</v>
      </c>
      <c r="K681" t="str">
        <f t="shared" si="20"/>
        <v>David Lee</v>
      </c>
      <c r="M681" t="s">
        <v>2287</v>
      </c>
      <c r="N681" t="s">
        <v>139</v>
      </c>
      <c r="O681" s="26">
        <v>1</v>
      </c>
      <c r="R681" t="s">
        <v>931</v>
      </c>
      <c r="S681" s="26">
        <v>3</v>
      </c>
      <c r="U681" t="s">
        <v>1304</v>
      </c>
      <c r="V681" t="s">
        <v>510</v>
      </c>
      <c r="W681" t="s">
        <v>1303</v>
      </c>
      <c r="X681" s="26">
        <v>1</v>
      </c>
    </row>
    <row r="682" spans="1:24" hidden="1" x14ac:dyDescent="0.35">
      <c r="A682">
        <f t="shared" si="21"/>
        <v>681</v>
      </c>
      <c r="B682">
        <v>2004</v>
      </c>
      <c r="C682" s="4" t="s">
        <v>583</v>
      </c>
      <c r="D682" s="4" t="s">
        <v>509</v>
      </c>
      <c r="E682" t="s">
        <v>509</v>
      </c>
      <c r="F682" s="17">
        <v>158</v>
      </c>
      <c r="G682" s="17">
        <v>9</v>
      </c>
      <c r="H682" t="s">
        <v>681</v>
      </c>
      <c r="I682" t="s">
        <v>13</v>
      </c>
      <c r="J682" s="13">
        <v>726.9987279362623</v>
      </c>
      <c r="K682" t="str">
        <f t="shared" si="20"/>
        <v>Tom Valentino</v>
      </c>
      <c r="M682" t="s">
        <v>352</v>
      </c>
      <c r="N682" t="s">
        <v>353</v>
      </c>
      <c r="O682" s="26">
        <v>6</v>
      </c>
      <c r="Q682" t="s">
        <v>815</v>
      </c>
      <c r="R682" t="s">
        <v>999</v>
      </c>
      <c r="S682" s="26">
        <v>8</v>
      </c>
      <c r="U682" t="s">
        <v>1615</v>
      </c>
      <c r="V682" t="s">
        <v>1193</v>
      </c>
      <c r="W682" t="s">
        <v>1192</v>
      </c>
      <c r="X682" s="26">
        <v>3</v>
      </c>
    </row>
    <row r="683" spans="1:24" hidden="1" x14ac:dyDescent="0.35">
      <c r="A683">
        <f t="shared" si="21"/>
        <v>682</v>
      </c>
      <c r="B683">
        <v>2004</v>
      </c>
      <c r="C683" s="4" t="s">
        <v>583</v>
      </c>
      <c r="D683" s="4" t="s">
        <v>509</v>
      </c>
      <c r="E683" t="s">
        <v>509</v>
      </c>
      <c r="F683" s="17">
        <v>122</v>
      </c>
      <c r="G683" s="17">
        <v>10</v>
      </c>
      <c r="H683" t="s">
        <v>72</v>
      </c>
      <c r="I683" t="s">
        <v>73</v>
      </c>
      <c r="J683" s="13">
        <v>681.24123737558716</v>
      </c>
      <c r="K683" t="str">
        <f t="shared" si="20"/>
        <v>Corey Imsdahl</v>
      </c>
      <c r="M683" t="s">
        <v>931</v>
      </c>
      <c r="N683" t="s">
        <v>71</v>
      </c>
      <c r="O683" s="26">
        <v>3</v>
      </c>
      <c r="R683" t="s">
        <v>1515</v>
      </c>
      <c r="S683" s="26">
        <v>2</v>
      </c>
      <c r="U683" t="s">
        <v>1457</v>
      </c>
      <c r="V683" t="s">
        <v>1456</v>
      </c>
      <c r="W683" t="s">
        <v>1013</v>
      </c>
      <c r="X683" s="26">
        <v>3</v>
      </c>
    </row>
    <row r="684" spans="1:24" hidden="1" x14ac:dyDescent="0.35">
      <c r="A684">
        <f t="shared" si="21"/>
        <v>683</v>
      </c>
      <c r="B684">
        <v>2004</v>
      </c>
      <c r="C684" s="4" t="s">
        <v>583</v>
      </c>
      <c r="D684" s="4" t="s">
        <v>45</v>
      </c>
      <c r="E684" t="s">
        <v>1429</v>
      </c>
      <c r="F684" s="17">
        <v>1434</v>
      </c>
      <c r="G684" s="17">
        <v>1</v>
      </c>
      <c r="H684" t="s">
        <v>1194</v>
      </c>
      <c r="I684" t="s">
        <v>1195</v>
      </c>
      <c r="J684" s="13">
        <v>1732.3937598229686</v>
      </c>
      <c r="K684" t="str">
        <f t="shared" si="20"/>
        <v>Grant Beardsley</v>
      </c>
      <c r="M684" t="s">
        <v>279</v>
      </c>
      <c r="N684" t="s">
        <v>16</v>
      </c>
      <c r="O684" s="26">
        <v>5</v>
      </c>
      <c r="Q684" t="s">
        <v>706</v>
      </c>
      <c r="R684" t="s">
        <v>705</v>
      </c>
      <c r="S684" s="26">
        <v>1</v>
      </c>
      <c r="U684" t="s">
        <v>1582</v>
      </c>
      <c r="V684" t="s">
        <v>1411</v>
      </c>
      <c r="W684" t="s">
        <v>1410</v>
      </c>
      <c r="X684" s="26">
        <v>1</v>
      </c>
    </row>
    <row r="685" spans="1:24" hidden="1" x14ac:dyDescent="0.35">
      <c r="A685">
        <f t="shared" si="21"/>
        <v>684</v>
      </c>
      <c r="B685">
        <v>2004</v>
      </c>
      <c r="C685" s="4" t="s">
        <v>583</v>
      </c>
      <c r="D685" s="4" t="s">
        <v>45</v>
      </c>
      <c r="E685" t="s">
        <v>1429</v>
      </c>
      <c r="F685" s="17">
        <v>1100</v>
      </c>
      <c r="G685" s="17">
        <v>2</v>
      </c>
      <c r="H685" t="s">
        <v>684</v>
      </c>
      <c r="I685" t="s">
        <v>521</v>
      </c>
      <c r="J685" s="13">
        <v>1431.3637641589874</v>
      </c>
      <c r="K685" t="str">
        <f t="shared" si="20"/>
        <v>Chuck Bayne</v>
      </c>
      <c r="M685" t="s">
        <v>2472</v>
      </c>
      <c r="N685" t="s">
        <v>16</v>
      </c>
      <c r="O685" s="26">
        <v>1</v>
      </c>
      <c r="Q685" t="s">
        <v>1088</v>
      </c>
      <c r="R685" t="s">
        <v>1087</v>
      </c>
      <c r="S685" s="26">
        <v>1</v>
      </c>
      <c r="U685" t="s">
        <v>1588</v>
      </c>
      <c r="V685" t="s">
        <v>1411</v>
      </c>
      <c r="W685" t="s">
        <v>304</v>
      </c>
      <c r="X685" s="26">
        <v>1</v>
      </c>
    </row>
    <row r="686" spans="1:24" hidden="1" x14ac:dyDescent="0.35">
      <c r="A686">
        <f t="shared" si="21"/>
        <v>685</v>
      </c>
      <c r="B686">
        <v>2004</v>
      </c>
      <c r="C686" s="4" t="s">
        <v>583</v>
      </c>
      <c r="D686" s="4" t="s">
        <v>45</v>
      </c>
      <c r="E686" t="s">
        <v>1429</v>
      </c>
      <c r="F686" s="17">
        <v>1000</v>
      </c>
      <c r="G686" s="17">
        <v>3</v>
      </c>
      <c r="H686" t="s">
        <v>709</v>
      </c>
      <c r="I686" t="s">
        <v>13</v>
      </c>
      <c r="J686" s="13">
        <v>1255.2725051033062</v>
      </c>
      <c r="K686" t="str">
        <f t="shared" si="20"/>
        <v>Tom Overton</v>
      </c>
      <c r="M686" t="s">
        <v>682</v>
      </c>
      <c r="N686" t="s">
        <v>56</v>
      </c>
      <c r="O686" s="26">
        <v>2</v>
      </c>
      <c r="Q686" t="s">
        <v>1271</v>
      </c>
      <c r="R686" t="s">
        <v>1270</v>
      </c>
      <c r="S686" s="26">
        <v>1</v>
      </c>
      <c r="U686" t="s">
        <v>2437</v>
      </c>
      <c r="V686" t="s">
        <v>2008</v>
      </c>
      <c r="W686" t="s">
        <v>974</v>
      </c>
      <c r="X686" s="26">
        <v>1</v>
      </c>
    </row>
    <row r="687" spans="1:24" hidden="1" x14ac:dyDescent="0.35">
      <c r="A687">
        <f t="shared" si="21"/>
        <v>686</v>
      </c>
      <c r="B687">
        <v>2004</v>
      </c>
      <c r="C687" s="4" t="s">
        <v>583</v>
      </c>
      <c r="D687" s="4" t="s">
        <v>45</v>
      </c>
      <c r="E687" t="s">
        <v>1429</v>
      </c>
      <c r="F687" s="17">
        <v>620</v>
      </c>
      <c r="G687" s="17">
        <v>4</v>
      </c>
      <c r="H687" t="s">
        <v>1200</v>
      </c>
      <c r="I687" t="s">
        <v>44</v>
      </c>
      <c r="J687" s="13">
        <v>1130.3337684950061</v>
      </c>
      <c r="K687" t="str">
        <f t="shared" si="20"/>
        <v>Mike Zavison</v>
      </c>
      <c r="M687" t="s">
        <v>889</v>
      </c>
      <c r="N687" t="s">
        <v>890</v>
      </c>
      <c r="O687" s="26">
        <v>5</v>
      </c>
      <c r="Q687" t="s">
        <v>1157</v>
      </c>
      <c r="R687" t="s">
        <v>1156</v>
      </c>
      <c r="S687" s="26">
        <v>2</v>
      </c>
      <c r="U687" t="s">
        <v>2449</v>
      </c>
      <c r="V687" t="s">
        <v>2448</v>
      </c>
      <c r="W687" t="s">
        <v>484</v>
      </c>
      <c r="X687" s="26">
        <v>3</v>
      </c>
    </row>
    <row r="688" spans="1:24" hidden="1" x14ac:dyDescent="0.35">
      <c r="A688">
        <f t="shared" si="21"/>
        <v>687</v>
      </c>
      <c r="B688">
        <v>2004</v>
      </c>
      <c r="C688" s="4" t="s">
        <v>583</v>
      </c>
      <c r="D688" s="4" t="s">
        <v>45</v>
      </c>
      <c r="E688" t="s">
        <v>1429</v>
      </c>
      <c r="F688" s="17">
        <v>496</v>
      </c>
      <c r="G688" s="17">
        <v>5</v>
      </c>
      <c r="H688" t="s">
        <v>956</v>
      </c>
      <c r="I688" t="s">
        <v>13</v>
      </c>
      <c r="J688" s="13">
        <v>1033.4237554869499</v>
      </c>
      <c r="K688" t="str">
        <f t="shared" si="20"/>
        <v>Tom Delaino   </v>
      </c>
      <c r="M688" t="s">
        <v>825</v>
      </c>
      <c r="N688" t="s">
        <v>826</v>
      </c>
      <c r="O688" s="26">
        <v>1</v>
      </c>
      <c r="Q688" t="s">
        <v>2364</v>
      </c>
      <c r="R688" t="s">
        <v>2363</v>
      </c>
      <c r="S688" s="26">
        <v>5</v>
      </c>
      <c r="U688" t="s">
        <v>1125</v>
      </c>
      <c r="V688" t="s">
        <v>1124</v>
      </c>
      <c r="W688" t="s">
        <v>1123</v>
      </c>
      <c r="X688" s="26">
        <v>1</v>
      </c>
    </row>
    <row r="689" spans="1:24" hidden="1" x14ac:dyDescent="0.35">
      <c r="A689">
        <f t="shared" si="21"/>
        <v>688</v>
      </c>
      <c r="B689">
        <v>2004</v>
      </c>
      <c r="C689" s="4" t="s">
        <v>583</v>
      </c>
      <c r="D689" s="4" t="s">
        <v>45</v>
      </c>
      <c r="E689" t="s">
        <v>1429</v>
      </c>
      <c r="F689" s="17">
        <v>434</v>
      </c>
      <c r="G689" s="17">
        <v>6</v>
      </c>
      <c r="H689" t="s">
        <v>543</v>
      </c>
      <c r="I689" t="s">
        <v>67</v>
      </c>
      <c r="J689" s="13">
        <v>954.24250943932498</v>
      </c>
      <c r="K689" t="str">
        <f t="shared" si="20"/>
        <v>Bob Herlien</v>
      </c>
      <c r="M689" t="s">
        <v>1340</v>
      </c>
      <c r="N689" t="s">
        <v>1341</v>
      </c>
      <c r="O689" s="26">
        <v>1</v>
      </c>
      <c r="Q689" t="s">
        <v>510</v>
      </c>
      <c r="R689" t="s">
        <v>86</v>
      </c>
      <c r="S689" s="26">
        <v>9</v>
      </c>
      <c r="U689" t="s">
        <v>1383</v>
      </c>
      <c r="V689" t="s">
        <v>1382</v>
      </c>
      <c r="W689" t="s">
        <v>80</v>
      </c>
      <c r="X689" s="26">
        <v>1</v>
      </c>
    </row>
    <row r="690" spans="1:24" hidden="1" x14ac:dyDescent="0.35">
      <c r="A690">
        <f t="shared" si="21"/>
        <v>689</v>
      </c>
      <c r="B690">
        <v>2004</v>
      </c>
      <c r="C690" s="4" t="s">
        <v>583</v>
      </c>
      <c r="D690" s="4" t="s">
        <v>45</v>
      </c>
      <c r="E690" t="s">
        <v>1429</v>
      </c>
      <c r="F690" s="17">
        <v>372</v>
      </c>
      <c r="G690" s="17">
        <v>7</v>
      </c>
      <c r="H690" t="s">
        <v>1152</v>
      </c>
      <c r="I690" t="s">
        <v>388</v>
      </c>
      <c r="J690" s="13">
        <v>887.29571980871185</v>
      </c>
      <c r="K690" t="str">
        <f t="shared" si="20"/>
        <v>Charles Zino</v>
      </c>
      <c r="M690" t="s">
        <v>514</v>
      </c>
      <c r="N690" t="s">
        <v>515</v>
      </c>
      <c r="O690" s="26">
        <v>5</v>
      </c>
      <c r="R690" t="s">
        <v>251</v>
      </c>
      <c r="S690" s="26">
        <v>5</v>
      </c>
      <c r="U690" t="s">
        <v>258</v>
      </c>
      <c r="V690" t="s">
        <v>257</v>
      </c>
      <c r="W690" t="s">
        <v>256</v>
      </c>
      <c r="X690" s="26">
        <v>14</v>
      </c>
    </row>
    <row r="691" spans="1:24" hidden="1" x14ac:dyDescent="0.35">
      <c r="A691">
        <f t="shared" si="21"/>
        <v>690</v>
      </c>
      <c r="B691">
        <v>2004</v>
      </c>
      <c r="C691" s="4" t="s">
        <v>583</v>
      </c>
      <c r="D691" s="4" t="s">
        <v>45</v>
      </c>
      <c r="E691" t="s">
        <v>1429</v>
      </c>
      <c r="F691" s="17">
        <v>310</v>
      </c>
      <c r="G691" s="17">
        <v>8</v>
      </c>
      <c r="H691" t="s">
        <v>1201</v>
      </c>
      <c r="I691" t="s">
        <v>153</v>
      </c>
      <c r="J691" s="13">
        <v>829.30377283102507</v>
      </c>
      <c r="K691" t="str">
        <f t="shared" si="20"/>
        <v>Stephen Braud</v>
      </c>
      <c r="M691" t="s">
        <v>1105</v>
      </c>
      <c r="N691" t="s">
        <v>1106</v>
      </c>
      <c r="O691" s="26">
        <v>6</v>
      </c>
      <c r="R691" t="s">
        <v>1303</v>
      </c>
      <c r="S691" s="26">
        <v>1</v>
      </c>
      <c r="U691" t="s">
        <v>1378</v>
      </c>
      <c r="V691" t="s">
        <v>153</v>
      </c>
      <c r="W691" t="s">
        <v>1227</v>
      </c>
      <c r="X691" s="26">
        <v>3</v>
      </c>
    </row>
    <row r="692" spans="1:24" hidden="1" x14ac:dyDescent="0.35">
      <c r="A692">
        <f t="shared" si="21"/>
        <v>691</v>
      </c>
      <c r="B692">
        <v>2004</v>
      </c>
      <c r="C692" s="4" t="s">
        <v>583</v>
      </c>
      <c r="D692" s="4" t="s">
        <v>45</v>
      </c>
      <c r="E692" t="s">
        <v>1429</v>
      </c>
      <c r="F692" s="17">
        <v>248</v>
      </c>
      <c r="G692" s="17">
        <v>9</v>
      </c>
      <c r="H692" t="s">
        <v>1202</v>
      </c>
      <c r="I692" t="s">
        <v>65</v>
      </c>
      <c r="J692" s="13">
        <v>778.15125038364374</v>
      </c>
      <c r="K692" t="str">
        <f t="shared" si="20"/>
        <v>Steve Jewett</v>
      </c>
      <c r="M692" t="s">
        <v>189</v>
      </c>
      <c r="N692" t="s">
        <v>190</v>
      </c>
      <c r="O692" s="26">
        <v>4</v>
      </c>
      <c r="Q692" t="s">
        <v>1193</v>
      </c>
      <c r="R692" t="s">
        <v>1192</v>
      </c>
      <c r="S692" s="26">
        <v>3</v>
      </c>
      <c r="U692" t="s">
        <v>1527</v>
      </c>
      <c r="V692" t="s">
        <v>153</v>
      </c>
      <c r="W692" t="s">
        <v>1519</v>
      </c>
      <c r="X692" s="26">
        <v>7</v>
      </c>
    </row>
    <row r="693" spans="1:24" hidden="1" x14ac:dyDescent="0.35">
      <c r="A693">
        <f t="shared" si="21"/>
        <v>692</v>
      </c>
      <c r="B693">
        <v>2004</v>
      </c>
      <c r="C693" s="4" t="s">
        <v>583</v>
      </c>
      <c r="D693" s="4" t="s">
        <v>45</v>
      </c>
      <c r="E693" t="s">
        <v>1429</v>
      </c>
      <c r="F693" s="17">
        <v>186</v>
      </c>
      <c r="G693" s="17">
        <v>10</v>
      </c>
      <c r="H693" t="s">
        <v>384</v>
      </c>
      <c r="I693" t="s">
        <v>425</v>
      </c>
      <c r="J693" s="13">
        <v>732.3937598229686</v>
      </c>
      <c r="K693" t="str">
        <f t="shared" si="20"/>
        <v>Tony Jeff</v>
      </c>
      <c r="M693" t="s">
        <v>377</v>
      </c>
      <c r="N693" t="s">
        <v>119</v>
      </c>
      <c r="O693" s="26">
        <v>7</v>
      </c>
      <c r="Q693" t="s">
        <v>1456</v>
      </c>
      <c r="R693" t="s">
        <v>1013</v>
      </c>
      <c r="S693" s="26">
        <v>3</v>
      </c>
      <c r="U693" t="s">
        <v>1499</v>
      </c>
      <c r="V693" t="s">
        <v>153</v>
      </c>
      <c r="W693" t="s">
        <v>1201</v>
      </c>
      <c r="X693" s="26">
        <v>1</v>
      </c>
    </row>
    <row r="694" spans="1:24" hidden="1" x14ac:dyDescent="0.35">
      <c r="A694">
        <f t="shared" si="21"/>
        <v>693</v>
      </c>
      <c r="B694">
        <v>2004</v>
      </c>
      <c r="C694" s="4" t="s">
        <v>583</v>
      </c>
      <c r="D694" s="4" t="s">
        <v>770</v>
      </c>
      <c r="E694" t="s">
        <v>1430</v>
      </c>
      <c r="F694" s="17">
        <v>1108</v>
      </c>
      <c r="G694" s="17">
        <v>1</v>
      </c>
      <c r="H694" t="s">
        <v>388</v>
      </c>
      <c r="I694" t="s">
        <v>200</v>
      </c>
      <c r="J694" s="13">
        <v>1681.2412373755872</v>
      </c>
      <c r="K694" t="str">
        <f t="shared" si="20"/>
        <v>Rick Charles</v>
      </c>
      <c r="M694" t="s">
        <v>2465</v>
      </c>
      <c r="N694" t="s">
        <v>2173</v>
      </c>
      <c r="O694" s="26">
        <v>1</v>
      </c>
      <c r="Q694" t="s">
        <v>1411</v>
      </c>
      <c r="R694" t="s">
        <v>1410</v>
      </c>
      <c r="S694" s="26">
        <v>1</v>
      </c>
      <c r="U694" t="s">
        <v>763</v>
      </c>
      <c r="V694" t="s">
        <v>153</v>
      </c>
      <c r="W694" t="s">
        <v>762</v>
      </c>
      <c r="X694" s="26">
        <v>3</v>
      </c>
    </row>
    <row r="695" spans="1:24" hidden="1" x14ac:dyDescent="0.35">
      <c r="A695">
        <f t="shared" si="21"/>
        <v>694</v>
      </c>
      <c r="B695">
        <v>2004</v>
      </c>
      <c r="C695" s="4" t="s">
        <v>583</v>
      </c>
      <c r="D695" s="4" t="s">
        <v>770</v>
      </c>
      <c r="E695" t="s">
        <v>1430</v>
      </c>
      <c r="F695" s="17">
        <v>673</v>
      </c>
      <c r="G695" s="17">
        <v>2</v>
      </c>
      <c r="H695" t="s">
        <v>709</v>
      </c>
      <c r="I695" t="s">
        <v>13</v>
      </c>
      <c r="J695" s="13">
        <v>1380.2112417116059</v>
      </c>
      <c r="K695" t="str">
        <f t="shared" si="20"/>
        <v>Tom Overton</v>
      </c>
      <c r="M695" t="s">
        <v>245</v>
      </c>
      <c r="N695" t="s">
        <v>136</v>
      </c>
      <c r="O695" s="26">
        <v>1</v>
      </c>
      <c r="R695" t="s">
        <v>304</v>
      </c>
      <c r="S695" s="26">
        <v>1</v>
      </c>
      <c r="U695" t="s">
        <v>581</v>
      </c>
      <c r="V695" t="s">
        <v>153</v>
      </c>
      <c r="W695" t="s">
        <v>580</v>
      </c>
      <c r="X695" s="26">
        <v>4</v>
      </c>
    </row>
    <row r="696" spans="1:24" hidden="1" x14ac:dyDescent="0.35">
      <c r="A696">
        <f t="shared" si="21"/>
        <v>695</v>
      </c>
      <c r="B696">
        <v>2004</v>
      </c>
      <c r="C696" s="4" t="s">
        <v>583</v>
      </c>
      <c r="D696" s="4" t="s">
        <v>770</v>
      </c>
      <c r="E696" t="s">
        <v>1430</v>
      </c>
      <c r="F696" s="17">
        <v>475</v>
      </c>
      <c r="G696" s="17">
        <v>3</v>
      </c>
      <c r="H696" t="s">
        <v>128</v>
      </c>
      <c r="I696" t="s">
        <v>16</v>
      </c>
      <c r="J696" s="13">
        <v>1204.1199826559248</v>
      </c>
      <c r="K696" t="str">
        <f t="shared" si="20"/>
        <v>David Lee</v>
      </c>
      <c r="M696" t="s">
        <v>1189</v>
      </c>
      <c r="N696" t="s">
        <v>1190</v>
      </c>
      <c r="O696" s="26">
        <v>4</v>
      </c>
      <c r="Q696" t="s">
        <v>2008</v>
      </c>
      <c r="R696" t="s">
        <v>974</v>
      </c>
      <c r="S696" s="26">
        <v>1</v>
      </c>
      <c r="U696" t="s">
        <v>1620</v>
      </c>
      <c r="V696" t="s">
        <v>153</v>
      </c>
      <c r="W696" t="s">
        <v>420</v>
      </c>
      <c r="X696" s="26">
        <v>5</v>
      </c>
    </row>
    <row r="697" spans="1:24" hidden="1" x14ac:dyDescent="0.35">
      <c r="A697">
        <f t="shared" si="21"/>
        <v>696</v>
      </c>
      <c r="B697">
        <v>2004</v>
      </c>
      <c r="C697" s="4" t="s">
        <v>583</v>
      </c>
      <c r="D697" s="4" t="s">
        <v>770</v>
      </c>
      <c r="E697" t="s">
        <v>1430</v>
      </c>
      <c r="F697" s="17">
        <v>396</v>
      </c>
      <c r="G697" s="17">
        <v>4</v>
      </c>
      <c r="H697" t="s">
        <v>281</v>
      </c>
      <c r="I697" t="s">
        <v>282</v>
      </c>
      <c r="J697" s="13">
        <v>1079.1812460476247</v>
      </c>
      <c r="K697" t="str">
        <f t="shared" si="20"/>
        <v>Randy Collack</v>
      </c>
      <c r="M697" t="s">
        <v>527</v>
      </c>
      <c r="N697" t="s">
        <v>11</v>
      </c>
      <c r="O697" s="26">
        <v>15</v>
      </c>
      <c r="Q697" t="s">
        <v>2448</v>
      </c>
      <c r="R697" t="s">
        <v>484</v>
      </c>
      <c r="S697" s="26">
        <v>3</v>
      </c>
      <c r="U697" t="s">
        <v>2404</v>
      </c>
      <c r="V697" t="s">
        <v>153</v>
      </c>
      <c r="W697" t="s">
        <v>116</v>
      </c>
      <c r="X697" s="26">
        <v>1</v>
      </c>
    </row>
    <row r="698" spans="1:24" hidden="1" x14ac:dyDescent="0.35">
      <c r="A698">
        <f t="shared" si="21"/>
        <v>697</v>
      </c>
      <c r="B698">
        <v>2004</v>
      </c>
      <c r="C698" s="4" t="s">
        <v>583</v>
      </c>
      <c r="D698" s="4" t="s">
        <v>770</v>
      </c>
      <c r="E698" t="s">
        <v>1430</v>
      </c>
      <c r="F698" s="17">
        <v>316</v>
      </c>
      <c r="G698" s="17">
        <v>5</v>
      </c>
      <c r="H698" t="s">
        <v>1156</v>
      </c>
      <c r="I698" t="s">
        <v>1157</v>
      </c>
      <c r="J698" s="13">
        <v>982.2712330395683</v>
      </c>
      <c r="K698" t="str">
        <f t="shared" si="20"/>
        <v>Shane Mabile</v>
      </c>
      <c r="N698" t="s">
        <v>528</v>
      </c>
      <c r="O698" s="26">
        <v>3</v>
      </c>
      <c r="Q698" t="s">
        <v>1124</v>
      </c>
      <c r="R698" t="s">
        <v>1123</v>
      </c>
      <c r="S698" s="26">
        <v>1</v>
      </c>
      <c r="U698" t="s">
        <v>309</v>
      </c>
      <c r="V698" t="s">
        <v>153</v>
      </c>
      <c r="W698" t="s">
        <v>74</v>
      </c>
      <c r="X698" s="26">
        <v>7</v>
      </c>
    </row>
    <row r="699" spans="1:24" hidden="1" x14ac:dyDescent="0.35">
      <c r="A699">
        <f t="shared" si="21"/>
        <v>698</v>
      </c>
      <c r="B699">
        <v>2004</v>
      </c>
      <c r="C699" s="4" t="s">
        <v>583</v>
      </c>
      <c r="D699" s="4" t="s">
        <v>770</v>
      </c>
      <c r="E699" t="s">
        <v>1430</v>
      </c>
      <c r="F699" s="17">
        <v>277</v>
      </c>
      <c r="G699" s="17">
        <v>6</v>
      </c>
      <c r="H699" t="s">
        <v>1194</v>
      </c>
      <c r="I699" t="s">
        <v>1195</v>
      </c>
      <c r="J699" s="13">
        <v>903.08998699194353</v>
      </c>
      <c r="K699" t="str">
        <f t="shared" si="20"/>
        <v>Grant Beardsley</v>
      </c>
      <c r="M699" t="s">
        <v>719</v>
      </c>
      <c r="N699" t="s">
        <v>410</v>
      </c>
      <c r="O699" s="26">
        <v>2</v>
      </c>
      <c r="Q699" t="s">
        <v>1382</v>
      </c>
      <c r="R699" t="s">
        <v>80</v>
      </c>
      <c r="S699" s="26">
        <v>1</v>
      </c>
      <c r="U699" t="s">
        <v>1500</v>
      </c>
      <c r="V699" t="s">
        <v>153</v>
      </c>
      <c r="W699" t="s">
        <v>351</v>
      </c>
      <c r="X699" s="26">
        <v>15</v>
      </c>
    </row>
    <row r="700" spans="1:24" hidden="1" x14ac:dyDescent="0.35">
      <c r="A700">
        <f t="shared" si="21"/>
        <v>699</v>
      </c>
      <c r="B700">
        <v>2004</v>
      </c>
      <c r="C700" s="4" t="s">
        <v>583</v>
      </c>
      <c r="D700" s="4" t="s">
        <v>770</v>
      </c>
      <c r="E700" t="s">
        <v>1430</v>
      </c>
      <c r="F700" s="17">
        <v>237</v>
      </c>
      <c r="G700" s="17">
        <v>7</v>
      </c>
      <c r="H700" t="s">
        <v>183</v>
      </c>
      <c r="I700" t="s">
        <v>13</v>
      </c>
      <c r="J700" s="13">
        <v>836.14319736133041</v>
      </c>
      <c r="K700" t="str">
        <f t="shared" si="20"/>
        <v>Tom White</v>
      </c>
      <c r="M700" t="s">
        <v>595</v>
      </c>
      <c r="N700" t="s">
        <v>28</v>
      </c>
      <c r="O700" s="26">
        <v>6</v>
      </c>
      <c r="Q700" t="s">
        <v>257</v>
      </c>
      <c r="R700" t="s">
        <v>256</v>
      </c>
      <c r="S700" s="26">
        <v>14</v>
      </c>
      <c r="U700" t="s">
        <v>1606</v>
      </c>
      <c r="V700" t="s">
        <v>153</v>
      </c>
      <c r="W700" t="s">
        <v>1507</v>
      </c>
      <c r="X700" s="26">
        <v>3</v>
      </c>
    </row>
    <row r="701" spans="1:24" hidden="1" x14ac:dyDescent="0.35">
      <c r="A701">
        <f t="shared" si="21"/>
        <v>700</v>
      </c>
      <c r="B701">
        <v>2004</v>
      </c>
      <c r="C701" s="4" t="s">
        <v>583</v>
      </c>
      <c r="D701" s="4" t="s">
        <v>770</v>
      </c>
      <c r="E701" t="s">
        <v>1430</v>
      </c>
      <c r="F701" s="17">
        <v>198</v>
      </c>
      <c r="G701" s="17">
        <v>8</v>
      </c>
      <c r="H701" t="s">
        <v>1196</v>
      </c>
      <c r="I701" t="s">
        <v>1197</v>
      </c>
      <c r="J701" s="13">
        <v>778.15125038364363</v>
      </c>
      <c r="K701" t="str">
        <f t="shared" si="20"/>
        <v>Gordy Swalm</v>
      </c>
      <c r="M701" t="s">
        <v>1250</v>
      </c>
      <c r="N701" t="s">
        <v>1251</v>
      </c>
      <c r="O701" s="26">
        <v>1</v>
      </c>
      <c r="Q701" t="s">
        <v>153</v>
      </c>
      <c r="R701" t="s">
        <v>1227</v>
      </c>
      <c r="S701" s="26">
        <v>3</v>
      </c>
      <c r="U701" t="s">
        <v>454</v>
      </c>
      <c r="V701" t="s">
        <v>153</v>
      </c>
      <c r="W701" t="s">
        <v>51</v>
      </c>
      <c r="X701" s="26">
        <v>8</v>
      </c>
    </row>
    <row r="702" spans="1:24" hidden="1" x14ac:dyDescent="0.35">
      <c r="A702">
        <f t="shared" si="21"/>
        <v>701</v>
      </c>
      <c r="B702">
        <v>2004</v>
      </c>
      <c r="C702" s="4" t="s">
        <v>583</v>
      </c>
      <c r="D702" s="4" t="s">
        <v>770</v>
      </c>
      <c r="E702" t="s">
        <v>1430</v>
      </c>
      <c r="F702" s="17">
        <v>158</v>
      </c>
      <c r="G702" s="17">
        <v>9</v>
      </c>
      <c r="H702" t="s">
        <v>1198</v>
      </c>
      <c r="I702" t="s">
        <v>65</v>
      </c>
      <c r="J702" s="13">
        <v>726.9987279362623</v>
      </c>
      <c r="K702" t="str">
        <f t="shared" si="20"/>
        <v>Steve Kovach</v>
      </c>
      <c r="M702" t="s">
        <v>90</v>
      </c>
      <c r="N702" t="s">
        <v>22</v>
      </c>
      <c r="O702" s="26">
        <v>13</v>
      </c>
      <c r="R702" t="s">
        <v>1519</v>
      </c>
      <c r="S702" s="26">
        <v>7</v>
      </c>
      <c r="U702" t="s">
        <v>606</v>
      </c>
      <c r="V702" t="s">
        <v>153</v>
      </c>
      <c r="W702" t="s">
        <v>605</v>
      </c>
      <c r="X702" s="26">
        <v>2</v>
      </c>
    </row>
    <row r="703" spans="1:24" hidden="1" x14ac:dyDescent="0.35">
      <c r="A703">
        <f t="shared" si="21"/>
        <v>702</v>
      </c>
      <c r="B703">
        <v>2004</v>
      </c>
      <c r="C703" s="4" t="s">
        <v>583</v>
      </c>
      <c r="D703" s="4" t="s">
        <v>770</v>
      </c>
      <c r="E703" t="s">
        <v>1430</v>
      </c>
      <c r="F703" s="17">
        <v>122</v>
      </c>
      <c r="G703" s="17">
        <v>10</v>
      </c>
      <c r="H703" t="s">
        <v>1199</v>
      </c>
      <c r="I703" t="s">
        <v>16</v>
      </c>
      <c r="J703" s="13">
        <v>681.24123737558716</v>
      </c>
      <c r="K703" t="str">
        <f t="shared" si="20"/>
        <v>David Newberry</v>
      </c>
      <c r="M703" t="s">
        <v>130</v>
      </c>
      <c r="N703" t="s">
        <v>131</v>
      </c>
      <c r="O703" s="26">
        <v>20</v>
      </c>
      <c r="R703" t="s">
        <v>1201</v>
      </c>
      <c r="S703" s="26">
        <v>1</v>
      </c>
      <c r="U703" t="s">
        <v>134</v>
      </c>
      <c r="V703" t="s">
        <v>87</v>
      </c>
      <c r="W703" t="s">
        <v>86</v>
      </c>
      <c r="X703" s="26">
        <v>19</v>
      </c>
    </row>
    <row r="704" spans="1:24" hidden="1" x14ac:dyDescent="0.35">
      <c r="A704">
        <f t="shared" si="21"/>
        <v>703</v>
      </c>
      <c r="B704">
        <v>2004</v>
      </c>
      <c r="C704" s="4" t="s">
        <v>1209</v>
      </c>
      <c r="D704" s="4" t="s">
        <v>509</v>
      </c>
      <c r="E704" t="s">
        <v>509</v>
      </c>
      <c r="F704" s="17">
        <v>896</v>
      </c>
      <c r="G704" s="17">
        <v>1</v>
      </c>
      <c r="H704" t="s">
        <v>183</v>
      </c>
      <c r="I704" t="s">
        <v>13</v>
      </c>
      <c r="J704" s="13">
        <v>1544.0680443502756</v>
      </c>
      <c r="K704" t="str">
        <f t="shared" si="20"/>
        <v>Tom White</v>
      </c>
      <c r="M704" t="s">
        <v>1146</v>
      </c>
      <c r="N704" t="s">
        <v>79</v>
      </c>
      <c r="O704" s="26">
        <v>6</v>
      </c>
      <c r="R704" t="s">
        <v>762</v>
      </c>
      <c r="S704" s="26">
        <v>3</v>
      </c>
      <c r="U704" t="s">
        <v>1577</v>
      </c>
      <c r="V704" t="s">
        <v>65</v>
      </c>
      <c r="W704" t="s">
        <v>699</v>
      </c>
      <c r="X704" s="26">
        <v>1</v>
      </c>
    </row>
    <row r="705" spans="1:24" hidden="1" x14ac:dyDescent="0.35">
      <c r="A705">
        <f t="shared" si="21"/>
        <v>704</v>
      </c>
      <c r="B705">
        <v>2004</v>
      </c>
      <c r="C705" s="4" t="s">
        <v>1209</v>
      </c>
      <c r="D705" s="4" t="s">
        <v>509</v>
      </c>
      <c r="E705" t="s">
        <v>509</v>
      </c>
      <c r="F705" s="17">
        <v>560</v>
      </c>
      <c r="G705" s="17">
        <v>2</v>
      </c>
      <c r="H705" t="s">
        <v>588</v>
      </c>
      <c r="I705" t="s">
        <v>353</v>
      </c>
      <c r="J705" s="13">
        <v>1243.0380486862944</v>
      </c>
      <c r="K705" t="str">
        <f t="shared" si="20"/>
        <v>Frank Bruegger</v>
      </c>
      <c r="M705" t="s">
        <v>1196</v>
      </c>
      <c r="N705" t="s">
        <v>1197</v>
      </c>
      <c r="O705" s="26">
        <v>1</v>
      </c>
      <c r="R705" t="s">
        <v>580</v>
      </c>
      <c r="S705" s="26">
        <v>4</v>
      </c>
      <c r="U705" t="s">
        <v>1347</v>
      </c>
      <c r="V705" t="s">
        <v>65</v>
      </c>
      <c r="W705" t="s">
        <v>1214</v>
      </c>
      <c r="X705" s="26">
        <v>4</v>
      </c>
    </row>
    <row r="706" spans="1:24" hidden="1" x14ac:dyDescent="0.35">
      <c r="A706">
        <f t="shared" si="21"/>
        <v>705</v>
      </c>
      <c r="B706">
        <v>2004</v>
      </c>
      <c r="C706" s="4" t="s">
        <v>1209</v>
      </c>
      <c r="D706" s="4" t="s">
        <v>509</v>
      </c>
      <c r="E706" t="s">
        <v>509</v>
      </c>
      <c r="F706" s="17">
        <v>448</v>
      </c>
      <c r="G706" s="17">
        <v>3</v>
      </c>
      <c r="H706" t="s">
        <v>804</v>
      </c>
      <c r="I706" t="s">
        <v>644</v>
      </c>
      <c r="J706" s="13">
        <v>1066.9467896306132</v>
      </c>
      <c r="K706" t="str">
        <f t="shared" ref="K706:K769" si="22">I706&amp;" "&amp;H706</f>
        <v>Ed Barrett</v>
      </c>
      <c r="M706" t="s">
        <v>1807</v>
      </c>
      <c r="N706" t="s">
        <v>11</v>
      </c>
      <c r="O706" s="26">
        <v>1</v>
      </c>
      <c r="R706" t="s">
        <v>420</v>
      </c>
      <c r="S706" s="26">
        <v>5</v>
      </c>
      <c r="U706" t="s">
        <v>1556</v>
      </c>
      <c r="V706" t="s">
        <v>65</v>
      </c>
      <c r="W706" t="s">
        <v>824</v>
      </c>
      <c r="X706" s="26">
        <v>2</v>
      </c>
    </row>
    <row r="707" spans="1:24" hidden="1" x14ac:dyDescent="0.35">
      <c r="A707">
        <f t="shared" si="21"/>
        <v>706</v>
      </c>
      <c r="B707">
        <v>2004</v>
      </c>
      <c r="C707" s="4" t="s">
        <v>1209</v>
      </c>
      <c r="D707" s="4" t="s">
        <v>509</v>
      </c>
      <c r="E707" t="s">
        <v>509</v>
      </c>
      <c r="F707" s="17">
        <v>308</v>
      </c>
      <c r="G707" s="17">
        <v>4</v>
      </c>
      <c r="H707" t="s">
        <v>1210</v>
      </c>
      <c r="I707" t="s">
        <v>1011</v>
      </c>
      <c r="J707" s="13">
        <v>942.00805302231322</v>
      </c>
      <c r="K707" t="str">
        <f t="shared" si="22"/>
        <v>Barbara Bowen</v>
      </c>
      <c r="M707" t="s">
        <v>346</v>
      </c>
      <c r="N707" t="s">
        <v>200</v>
      </c>
      <c r="O707" s="26">
        <v>2</v>
      </c>
      <c r="R707" t="s">
        <v>116</v>
      </c>
      <c r="S707" s="26">
        <v>1</v>
      </c>
      <c r="U707" t="s">
        <v>427</v>
      </c>
      <c r="V707" t="s">
        <v>65</v>
      </c>
      <c r="W707" t="s">
        <v>64</v>
      </c>
      <c r="X707" s="26">
        <v>48</v>
      </c>
    </row>
    <row r="708" spans="1:24" hidden="1" x14ac:dyDescent="0.35">
      <c r="A708">
        <f t="shared" ref="A708:A771" si="23">A707+1</f>
        <v>707</v>
      </c>
      <c r="B708">
        <v>2004</v>
      </c>
      <c r="C708" s="4" t="s">
        <v>1209</v>
      </c>
      <c r="D708" s="4" t="s">
        <v>509</v>
      </c>
      <c r="E708" t="s">
        <v>509</v>
      </c>
      <c r="F708" s="17">
        <v>224</v>
      </c>
      <c r="G708" s="17">
        <v>5</v>
      </c>
      <c r="H708" t="s">
        <v>689</v>
      </c>
      <c r="I708" t="s">
        <v>61</v>
      </c>
      <c r="J708" s="13">
        <v>845.09804001425687</v>
      </c>
      <c r="K708" t="str">
        <f t="shared" si="22"/>
        <v>Len Forsyth</v>
      </c>
      <c r="M708" t="s">
        <v>195</v>
      </c>
      <c r="N708" t="s">
        <v>196</v>
      </c>
      <c r="O708" s="26">
        <v>19</v>
      </c>
      <c r="R708" t="s">
        <v>74</v>
      </c>
      <c r="S708" s="26">
        <v>7</v>
      </c>
      <c r="U708" t="s">
        <v>1176</v>
      </c>
      <c r="V708" t="s">
        <v>65</v>
      </c>
      <c r="W708" t="s">
        <v>1175</v>
      </c>
      <c r="X708" s="26">
        <v>2</v>
      </c>
    </row>
    <row r="709" spans="1:24" hidden="1" x14ac:dyDescent="0.35">
      <c r="A709">
        <f t="shared" si="23"/>
        <v>708</v>
      </c>
      <c r="B709">
        <v>2004</v>
      </c>
      <c r="C709" s="4" t="s">
        <v>1209</v>
      </c>
      <c r="D709" s="4" t="s">
        <v>509</v>
      </c>
      <c r="E709" t="s">
        <v>509</v>
      </c>
      <c r="F709" s="17">
        <v>196</v>
      </c>
      <c r="G709" s="17">
        <v>6</v>
      </c>
      <c r="H709" t="s">
        <v>857</v>
      </c>
      <c r="I709" t="s">
        <v>13</v>
      </c>
      <c r="J709" s="13">
        <v>765.91679396663199</v>
      </c>
      <c r="K709" t="str">
        <f t="shared" si="22"/>
        <v>Tom O'Boyle</v>
      </c>
      <c r="M709" t="s">
        <v>721</v>
      </c>
      <c r="N709" t="s">
        <v>196</v>
      </c>
      <c r="O709" s="26">
        <v>1</v>
      </c>
      <c r="R709" t="s">
        <v>351</v>
      </c>
      <c r="S709" s="26">
        <v>15</v>
      </c>
      <c r="U709" t="s">
        <v>624</v>
      </c>
      <c r="V709" t="s">
        <v>65</v>
      </c>
      <c r="W709" t="s">
        <v>623</v>
      </c>
      <c r="X709" s="26">
        <v>6</v>
      </c>
    </row>
    <row r="710" spans="1:24" hidden="1" x14ac:dyDescent="0.35">
      <c r="A710">
        <f t="shared" si="23"/>
        <v>709</v>
      </c>
      <c r="B710">
        <v>2004</v>
      </c>
      <c r="C710" s="4" t="s">
        <v>1209</v>
      </c>
      <c r="D710" s="4" t="s">
        <v>509</v>
      </c>
      <c r="E710" t="s">
        <v>509</v>
      </c>
      <c r="F710" s="17">
        <v>168</v>
      </c>
      <c r="G710" s="17">
        <v>7</v>
      </c>
      <c r="H710" t="s">
        <v>1210</v>
      </c>
      <c r="I710" t="s">
        <v>353</v>
      </c>
      <c r="J710" s="13">
        <v>698.97000433601886</v>
      </c>
      <c r="K710" t="str">
        <f t="shared" si="22"/>
        <v>Frank Bowen</v>
      </c>
      <c r="M710" t="s">
        <v>853</v>
      </c>
      <c r="N710" t="s">
        <v>854</v>
      </c>
      <c r="O710" s="26">
        <v>1</v>
      </c>
      <c r="R710" t="s">
        <v>1507</v>
      </c>
      <c r="S710" s="26">
        <v>3</v>
      </c>
      <c r="U710" t="s">
        <v>1273</v>
      </c>
      <c r="V710" t="s">
        <v>65</v>
      </c>
      <c r="W710" t="s">
        <v>1202</v>
      </c>
      <c r="X710" s="26">
        <v>5</v>
      </c>
    </row>
    <row r="711" spans="1:24" hidden="1" x14ac:dyDescent="0.35">
      <c r="A711">
        <f t="shared" si="23"/>
        <v>710</v>
      </c>
      <c r="B711">
        <v>2004</v>
      </c>
      <c r="C711" s="4" t="s">
        <v>1209</v>
      </c>
      <c r="D711" s="4" t="s">
        <v>45</v>
      </c>
      <c r="E711" t="s">
        <v>1429</v>
      </c>
      <c r="F711" s="17">
        <v>1440</v>
      </c>
      <c r="G711" s="17">
        <v>1</v>
      </c>
      <c r="H711" t="s">
        <v>960</v>
      </c>
      <c r="I711" t="s">
        <v>136</v>
      </c>
      <c r="J711" s="13">
        <v>1556.3025007672873</v>
      </c>
      <c r="K711" t="str">
        <f t="shared" si="22"/>
        <v>John Harkness</v>
      </c>
      <c r="M711" t="s">
        <v>629</v>
      </c>
      <c r="N711" t="s">
        <v>20</v>
      </c>
      <c r="O711" s="26">
        <v>7</v>
      </c>
      <c r="R711" t="s">
        <v>51</v>
      </c>
      <c r="S711" s="26">
        <v>8</v>
      </c>
      <c r="U711" t="s">
        <v>1681</v>
      </c>
      <c r="V711" t="s">
        <v>65</v>
      </c>
      <c r="W711" t="s">
        <v>1198</v>
      </c>
      <c r="X711" s="26">
        <v>1</v>
      </c>
    </row>
    <row r="712" spans="1:24" hidden="1" x14ac:dyDescent="0.35">
      <c r="A712">
        <f t="shared" si="23"/>
        <v>711</v>
      </c>
      <c r="B712">
        <v>2004</v>
      </c>
      <c r="C712" s="4" t="s">
        <v>1209</v>
      </c>
      <c r="D712" s="4" t="s">
        <v>45</v>
      </c>
      <c r="E712" t="s">
        <v>1429</v>
      </c>
      <c r="F712" s="17">
        <v>599</v>
      </c>
      <c r="G712" s="17">
        <v>2</v>
      </c>
      <c r="H712" t="s">
        <v>1214</v>
      </c>
      <c r="I712" t="s">
        <v>65</v>
      </c>
      <c r="J712" s="13">
        <v>1255.272505103306</v>
      </c>
      <c r="K712" t="str">
        <f t="shared" si="22"/>
        <v>Steve Bjordammen</v>
      </c>
      <c r="N712" t="s">
        <v>630</v>
      </c>
      <c r="O712" s="26">
        <v>4</v>
      </c>
      <c r="R712" t="s">
        <v>605</v>
      </c>
      <c r="S712" s="26">
        <v>2</v>
      </c>
      <c r="U712" t="s">
        <v>2439</v>
      </c>
      <c r="V712" t="s">
        <v>65</v>
      </c>
      <c r="W712" t="s">
        <v>2438</v>
      </c>
      <c r="X712" s="26">
        <v>1</v>
      </c>
    </row>
    <row r="713" spans="1:24" hidden="1" x14ac:dyDescent="0.35">
      <c r="A713">
        <f t="shared" si="23"/>
        <v>712</v>
      </c>
      <c r="B713">
        <v>2004</v>
      </c>
      <c r="C713" s="4" t="s">
        <v>1209</v>
      </c>
      <c r="D713" s="4" t="s">
        <v>45</v>
      </c>
      <c r="E713" t="s">
        <v>1429</v>
      </c>
      <c r="F713" s="17">
        <v>599</v>
      </c>
      <c r="G713" s="17">
        <v>3</v>
      </c>
      <c r="H713" t="s">
        <v>1215</v>
      </c>
      <c r="I713" t="s">
        <v>1019</v>
      </c>
      <c r="J713" s="13">
        <v>1079.1812460476249</v>
      </c>
      <c r="K713" t="str">
        <f t="shared" si="22"/>
        <v>Rob Verzera</v>
      </c>
      <c r="M713" t="s">
        <v>915</v>
      </c>
      <c r="N713" t="s">
        <v>44</v>
      </c>
      <c r="O713" s="26">
        <v>1</v>
      </c>
      <c r="Q713" t="s">
        <v>87</v>
      </c>
      <c r="R713" t="s">
        <v>86</v>
      </c>
      <c r="S713" s="26">
        <v>19</v>
      </c>
      <c r="U713" t="s">
        <v>819</v>
      </c>
      <c r="V713" t="s">
        <v>65</v>
      </c>
      <c r="W713" t="s">
        <v>818</v>
      </c>
      <c r="X713" s="26">
        <v>5</v>
      </c>
    </row>
    <row r="714" spans="1:24" hidden="1" x14ac:dyDescent="0.35">
      <c r="A714">
        <f t="shared" si="23"/>
        <v>713</v>
      </c>
      <c r="B714">
        <v>2004</v>
      </c>
      <c r="C714" s="4" t="s">
        <v>1209</v>
      </c>
      <c r="D714" s="4" t="s">
        <v>45</v>
      </c>
      <c r="E714" t="s">
        <v>1429</v>
      </c>
      <c r="F714" s="17">
        <v>252</v>
      </c>
      <c r="G714" s="17">
        <v>4</v>
      </c>
      <c r="H714" t="s">
        <v>1202</v>
      </c>
      <c r="I714" t="s">
        <v>65</v>
      </c>
      <c r="J714" s="13">
        <v>954.24250943932486</v>
      </c>
      <c r="K714" t="str">
        <f t="shared" si="22"/>
        <v>Steve Jewett</v>
      </c>
      <c r="M714" t="s">
        <v>656</v>
      </c>
      <c r="N714" t="s">
        <v>16</v>
      </c>
      <c r="O714" s="26">
        <v>5</v>
      </c>
      <c r="Q714" t="s">
        <v>65</v>
      </c>
      <c r="R714" t="s">
        <v>699</v>
      </c>
      <c r="S714" s="26">
        <v>1</v>
      </c>
      <c r="U714" t="s">
        <v>305</v>
      </c>
      <c r="V714" t="s">
        <v>65</v>
      </c>
      <c r="W714" t="s">
        <v>304</v>
      </c>
      <c r="X714" s="26">
        <v>9</v>
      </c>
    </row>
    <row r="715" spans="1:24" hidden="1" x14ac:dyDescent="0.35">
      <c r="A715">
        <f t="shared" si="23"/>
        <v>714</v>
      </c>
      <c r="B715">
        <v>2004</v>
      </c>
      <c r="C715" s="4" t="s">
        <v>1209</v>
      </c>
      <c r="D715" s="4" t="s">
        <v>45</v>
      </c>
      <c r="E715" t="s">
        <v>1429</v>
      </c>
      <c r="F715" s="17">
        <v>216</v>
      </c>
      <c r="G715" s="17">
        <v>5</v>
      </c>
      <c r="H715" t="s">
        <v>684</v>
      </c>
      <c r="I715" t="s">
        <v>521</v>
      </c>
      <c r="J715" s="13">
        <v>857.3324964312684</v>
      </c>
      <c r="K715" t="str">
        <f t="shared" si="22"/>
        <v>Chuck Bayne</v>
      </c>
      <c r="N715" t="s">
        <v>81</v>
      </c>
      <c r="O715" s="26">
        <v>4</v>
      </c>
      <c r="R715" t="s">
        <v>1214</v>
      </c>
      <c r="S715" s="26">
        <v>4</v>
      </c>
      <c r="U715" t="s">
        <v>541</v>
      </c>
      <c r="V715" t="s">
        <v>65</v>
      </c>
      <c r="W715" t="s">
        <v>540</v>
      </c>
      <c r="X715" s="26">
        <v>2</v>
      </c>
    </row>
    <row r="716" spans="1:24" hidden="1" x14ac:dyDescent="0.35">
      <c r="A716">
        <f t="shared" si="23"/>
        <v>715</v>
      </c>
      <c r="B716">
        <v>2004</v>
      </c>
      <c r="C716" s="4" t="s">
        <v>1209</v>
      </c>
      <c r="D716" s="4" t="s">
        <v>45</v>
      </c>
      <c r="E716" t="s">
        <v>1429</v>
      </c>
      <c r="F716" s="17">
        <v>180</v>
      </c>
      <c r="G716" s="17">
        <v>6</v>
      </c>
      <c r="H716" t="s">
        <v>1216</v>
      </c>
      <c r="I716" t="s">
        <v>58</v>
      </c>
      <c r="J716" s="13">
        <v>778.15125038364363</v>
      </c>
      <c r="K716" t="str">
        <f t="shared" si="22"/>
        <v>Jim Lemons</v>
      </c>
      <c r="N716" t="s">
        <v>1402</v>
      </c>
      <c r="O716" s="26">
        <v>1</v>
      </c>
      <c r="R716" t="s">
        <v>824</v>
      </c>
      <c r="S716" s="26">
        <v>2</v>
      </c>
      <c r="U716" t="s">
        <v>1553</v>
      </c>
      <c r="V716" t="s">
        <v>65</v>
      </c>
      <c r="W716" t="s">
        <v>216</v>
      </c>
      <c r="X716" s="26">
        <v>6</v>
      </c>
    </row>
    <row r="717" spans="1:24" hidden="1" x14ac:dyDescent="0.35">
      <c r="A717">
        <f t="shared" si="23"/>
        <v>716</v>
      </c>
      <c r="B717">
        <v>2004</v>
      </c>
      <c r="C717" s="4" t="s">
        <v>1209</v>
      </c>
      <c r="D717" s="4" t="s">
        <v>45</v>
      </c>
      <c r="E717" t="s">
        <v>1429</v>
      </c>
      <c r="F717" s="17">
        <v>144</v>
      </c>
      <c r="G717" s="17">
        <v>7</v>
      </c>
      <c r="H717" t="s">
        <v>1210</v>
      </c>
      <c r="I717" t="s">
        <v>353</v>
      </c>
      <c r="J717" s="13">
        <v>711.2044607530305</v>
      </c>
      <c r="K717" t="str">
        <f t="shared" si="22"/>
        <v>Frank Bowen</v>
      </c>
      <c r="M717" t="s">
        <v>1275</v>
      </c>
      <c r="N717" t="s">
        <v>1276</v>
      </c>
      <c r="O717" s="26">
        <v>1</v>
      </c>
      <c r="R717" t="s">
        <v>64</v>
      </c>
      <c r="S717" s="26">
        <v>48</v>
      </c>
      <c r="U717" t="s">
        <v>1247</v>
      </c>
      <c r="V717" t="s">
        <v>65</v>
      </c>
      <c r="W717" t="s">
        <v>1223</v>
      </c>
      <c r="X717" s="26">
        <v>5</v>
      </c>
    </row>
    <row r="718" spans="1:24" hidden="1" x14ac:dyDescent="0.35">
      <c r="A718">
        <f t="shared" si="23"/>
        <v>717</v>
      </c>
      <c r="B718">
        <v>2004</v>
      </c>
      <c r="C718" s="4" t="s">
        <v>1209</v>
      </c>
      <c r="D718" s="4" t="s">
        <v>45</v>
      </c>
      <c r="E718" t="s">
        <v>1429</v>
      </c>
      <c r="F718" s="17">
        <v>108</v>
      </c>
      <c r="G718" s="17">
        <v>8</v>
      </c>
      <c r="H718" t="s">
        <v>442</v>
      </c>
      <c r="I718" t="s">
        <v>429</v>
      </c>
      <c r="J718" s="13">
        <v>653.21251377534372</v>
      </c>
      <c r="K718" t="str">
        <f t="shared" si="22"/>
        <v>Mary Massey</v>
      </c>
      <c r="M718" t="s">
        <v>2424</v>
      </c>
      <c r="N718" t="s">
        <v>2425</v>
      </c>
      <c r="O718" s="26">
        <v>1</v>
      </c>
      <c r="R718" t="s">
        <v>1175</v>
      </c>
      <c r="S718" s="26">
        <v>2</v>
      </c>
      <c r="U718" t="s">
        <v>1705</v>
      </c>
      <c r="V718" t="s">
        <v>52</v>
      </c>
      <c r="W718" t="s">
        <v>864</v>
      </c>
      <c r="X718" s="26">
        <v>1</v>
      </c>
    </row>
    <row r="719" spans="1:24" hidden="1" x14ac:dyDescent="0.35">
      <c r="A719">
        <f t="shared" si="23"/>
        <v>718</v>
      </c>
      <c r="B719">
        <v>2004</v>
      </c>
      <c r="C719" s="4" t="s">
        <v>1209</v>
      </c>
      <c r="D719" s="4" t="s">
        <v>1211</v>
      </c>
      <c r="E719" t="s">
        <v>1432</v>
      </c>
      <c r="F719" s="17">
        <v>699</v>
      </c>
      <c r="G719" s="17">
        <v>1</v>
      </c>
      <c r="H719" t="s">
        <v>1212</v>
      </c>
      <c r="I719" t="s">
        <v>1213</v>
      </c>
      <c r="J719" s="13">
        <v>1531.478917042255</v>
      </c>
      <c r="K719" t="str">
        <f t="shared" si="22"/>
        <v>J. Wright</v>
      </c>
      <c r="M719" t="s">
        <v>923</v>
      </c>
      <c r="N719" t="s">
        <v>924</v>
      </c>
      <c r="O719" s="26">
        <v>1</v>
      </c>
      <c r="R719" t="s">
        <v>623</v>
      </c>
      <c r="S719" s="26">
        <v>6</v>
      </c>
      <c r="U719" t="s">
        <v>230</v>
      </c>
      <c r="V719" t="s">
        <v>52</v>
      </c>
      <c r="W719" t="s">
        <v>100</v>
      </c>
      <c r="X719" s="26">
        <v>21</v>
      </c>
    </row>
    <row r="720" spans="1:24" hidden="1" x14ac:dyDescent="0.35">
      <c r="A720">
        <f t="shared" si="23"/>
        <v>719</v>
      </c>
      <c r="B720">
        <v>2004</v>
      </c>
      <c r="C720" s="4" t="s">
        <v>1209</v>
      </c>
      <c r="D720" s="4" t="s">
        <v>1211</v>
      </c>
      <c r="E720" t="s">
        <v>1432</v>
      </c>
      <c r="F720" s="17">
        <v>599</v>
      </c>
      <c r="G720" s="17">
        <v>2</v>
      </c>
      <c r="H720" t="s">
        <v>183</v>
      </c>
      <c r="I720" t="s">
        <v>13</v>
      </c>
      <c r="J720" s="13">
        <v>1230.4489213782738</v>
      </c>
      <c r="K720" t="str">
        <f t="shared" si="22"/>
        <v>Tom White</v>
      </c>
      <c r="M720" t="s">
        <v>329</v>
      </c>
      <c r="N720" t="s">
        <v>330</v>
      </c>
      <c r="O720" s="26">
        <v>2</v>
      </c>
      <c r="R720" t="s">
        <v>1202</v>
      </c>
      <c r="S720" s="26">
        <v>5</v>
      </c>
      <c r="U720" t="s">
        <v>828</v>
      </c>
      <c r="V720" t="s">
        <v>52</v>
      </c>
      <c r="W720" t="s">
        <v>827</v>
      </c>
      <c r="X720" s="26">
        <v>2</v>
      </c>
    </row>
    <row r="721" spans="1:24" hidden="1" x14ac:dyDescent="0.35">
      <c r="A721">
        <f t="shared" si="23"/>
        <v>720</v>
      </c>
      <c r="B721">
        <v>2004</v>
      </c>
      <c r="C721" s="4" t="s">
        <v>1209</v>
      </c>
      <c r="D721" s="4" t="s">
        <v>1211</v>
      </c>
      <c r="E721" t="s">
        <v>1432</v>
      </c>
      <c r="F721" s="17">
        <v>558</v>
      </c>
      <c r="G721" s="17">
        <v>3</v>
      </c>
      <c r="H721" t="s">
        <v>442</v>
      </c>
      <c r="I721" t="s">
        <v>429</v>
      </c>
      <c r="J721" s="13">
        <v>1054.3576623225927</v>
      </c>
      <c r="K721" t="str">
        <f t="shared" si="22"/>
        <v>Mary Massey</v>
      </c>
      <c r="M721" t="s">
        <v>2420</v>
      </c>
      <c r="N721" t="s">
        <v>2421</v>
      </c>
      <c r="O721" s="26">
        <v>1</v>
      </c>
      <c r="R721" t="s">
        <v>1198</v>
      </c>
      <c r="S721" s="26">
        <v>1</v>
      </c>
      <c r="U721" t="s">
        <v>1528</v>
      </c>
      <c r="V721" t="s">
        <v>52</v>
      </c>
      <c r="W721" t="s">
        <v>1505</v>
      </c>
      <c r="X721" s="26">
        <v>3</v>
      </c>
    </row>
    <row r="722" spans="1:24" hidden="1" x14ac:dyDescent="0.35">
      <c r="A722">
        <f t="shared" si="23"/>
        <v>721</v>
      </c>
      <c r="B722">
        <v>2004</v>
      </c>
      <c r="C722" s="4" t="s">
        <v>1209</v>
      </c>
      <c r="D722" s="4" t="s">
        <v>1211</v>
      </c>
      <c r="E722" t="s">
        <v>1432</v>
      </c>
      <c r="F722" s="17">
        <v>300</v>
      </c>
      <c r="G722" s="17">
        <v>4</v>
      </c>
      <c r="H722" t="s">
        <v>684</v>
      </c>
      <c r="I722" t="s">
        <v>521</v>
      </c>
      <c r="J722" s="13">
        <v>929.41892571429275</v>
      </c>
      <c r="K722" t="str">
        <f t="shared" si="22"/>
        <v>Chuck Bayne</v>
      </c>
      <c r="M722" t="s">
        <v>636</v>
      </c>
      <c r="N722" t="s">
        <v>473</v>
      </c>
      <c r="O722" s="26">
        <v>1</v>
      </c>
      <c r="R722" t="s">
        <v>2438</v>
      </c>
      <c r="S722" s="26">
        <v>1</v>
      </c>
      <c r="U722" t="s">
        <v>1544</v>
      </c>
      <c r="V722" t="s">
        <v>52</v>
      </c>
      <c r="W722" t="s">
        <v>536</v>
      </c>
      <c r="X722" s="26">
        <v>3</v>
      </c>
    </row>
    <row r="723" spans="1:24" hidden="1" x14ac:dyDescent="0.35">
      <c r="A723">
        <f t="shared" si="23"/>
        <v>722</v>
      </c>
      <c r="B723">
        <v>2004</v>
      </c>
      <c r="C723" s="4" t="s">
        <v>1209</v>
      </c>
      <c r="D723" s="4" t="s">
        <v>1211</v>
      </c>
      <c r="E723" t="s">
        <v>1432</v>
      </c>
      <c r="F723" s="17">
        <v>219</v>
      </c>
      <c r="G723" s="17">
        <v>5</v>
      </c>
      <c r="H723" t="s">
        <v>74</v>
      </c>
      <c r="I723" t="s">
        <v>75</v>
      </c>
      <c r="J723" s="13">
        <v>832.50891270623629</v>
      </c>
      <c r="K723" t="str">
        <f t="shared" si="22"/>
        <v>Sabyl Landrum</v>
      </c>
      <c r="M723" t="s">
        <v>1235</v>
      </c>
      <c r="N723" t="s">
        <v>131</v>
      </c>
      <c r="O723" s="26">
        <v>4</v>
      </c>
      <c r="R723" t="s">
        <v>818</v>
      </c>
      <c r="S723" s="26">
        <v>5</v>
      </c>
      <c r="U723" t="s">
        <v>1694</v>
      </c>
      <c r="V723" t="s">
        <v>52</v>
      </c>
      <c r="W723" t="s">
        <v>1082</v>
      </c>
      <c r="X723" s="26">
        <v>1</v>
      </c>
    </row>
    <row r="724" spans="1:24" hidden="1" x14ac:dyDescent="0.35">
      <c r="A724">
        <f t="shared" si="23"/>
        <v>723</v>
      </c>
      <c r="B724">
        <v>2004</v>
      </c>
      <c r="C724" s="4" t="s">
        <v>1209</v>
      </c>
      <c r="D724" s="4" t="s">
        <v>1211</v>
      </c>
      <c r="E724" t="s">
        <v>1432</v>
      </c>
      <c r="F724" s="17">
        <v>190</v>
      </c>
      <c r="G724" s="17">
        <v>6</v>
      </c>
      <c r="H724" t="s">
        <v>804</v>
      </c>
      <c r="I724" t="s">
        <v>22</v>
      </c>
      <c r="J724" s="13">
        <v>753.32766665861152</v>
      </c>
      <c r="K724" t="str">
        <f t="shared" si="22"/>
        <v>Rich Barrett</v>
      </c>
      <c r="M724" t="s">
        <v>1358</v>
      </c>
      <c r="N724" t="s">
        <v>1359</v>
      </c>
      <c r="O724" s="26">
        <v>1</v>
      </c>
      <c r="R724" t="s">
        <v>304</v>
      </c>
      <c r="S724" s="26">
        <v>9</v>
      </c>
      <c r="U724" t="s">
        <v>2315</v>
      </c>
      <c r="V724" t="s">
        <v>1962</v>
      </c>
      <c r="W724" t="s">
        <v>1060</v>
      </c>
      <c r="X724" s="26">
        <v>1</v>
      </c>
    </row>
    <row r="725" spans="1:24" hidden="1" x14ac:dyDescent="0.35">
      <c r="A725">
        <f t="shared" si="23"/>
        <v>724</v>
      </c>
      <c r="B725">
        <v>2004</v>
      </c>
      <c r="C725" s="4" t="s">
        <v>1209</v>
      </c>
      <c r="D725" s="4" t="s">
        <v>1211</v>
      </c>
      <c r="E725" t="s">
        <v>1432</v>
      </c>
      <c r="F725" s="17">
        <v>163</v>
      </c>
      <c r="G725" s="17">
        <v>7</v>
      </c>
      <c r="H725" t="s">
        <v>1199</v>
      </c>
      <c r="I725" t="s">
        <v>16</v>
      </c>
      <c r="J725" s="13">
        <v>686.38087702799828</v>
      </c>
      <c r="K725" t="str">
        <f t="shared" si="22"/>
        <v>David Newberry</v>
      </c>
      <c r="M725" t="s">
        <v>254</v>
      </c>
      <c r="N725" t="s">
        <v>136</v>
      </c>
      <c r="O725" s="26">
        <v>2</v>
      </c>
      <c r="R725" t="s">
        <v>540</v>
      </c>
      <c r="S725" s="26">
        <v>2</v>
      </c>
      <c r="U725" t="s">
        <v>1679</v>
      </c>
      <c r="V725" t="s">
        <v>1450</v>
      </c>
      <c r="W725" t="s">
        <v>1449</v>
      </c>
      <c r="X725" s="26">
        <v>1</v>
      </c>
    </row>
    <row r="726" spans="1:24" hidden="1" x14ac:dyDescent="0.35">
      <c r="A726">
        <f t="shared" si="23"/>
        <v>725</v>
      </c>
      <c r="B726">
        <v>2005</v>
      </c>
      <c r="C726" s="4" t="s">
        <v>109</v>
      </c>
      <c r="D726" s="4" t="s">
        <v>944</v>
      </c>
      <c r="E726" t="s">
        <v>944</v>
      </c>
      <c r="F726" s="17">
        <v>1584</v>
      </c>
      <c r="G726" s="17">
        <v>1</v>
      </c>
      <c r="H726" t="s">
        <v>340</v>
      </c>
      <c r="I726" t="s">
        <v>665</v>
      </c>
      <c r="J726" s="13">
        <v>1819.5439355418687</v>
      </c>
      <c r="K726" t="str">
        <f t="shared" si="22"/>
        <v>Robert Catlett</v>
      </c>
      <c r="M726" t="s">
        <v>334</v>
      </c>
      <c r="N726" t="s">
        <v>139</v>
      </c>
      <c r="O726" s="26">
        <v>1</v>
      </c>
      <c r="R726" t="s">
        <v>216</v>
      </c>
      <c r="S726" s="26">
        <v>6</v>
      </c>
      <c r="U726" t="s">
        <v>2350</v>
      </c>
      <c r="V726" t="s">
        <v>2335</v>
      </c>
      <c r="W726" t="s">
        <v>890</v>
      </c>
      <c r="X726" s="26">
        <v>2</v>
      </c>
    </row>
    <row r="727" spans="1:24" hidden="1" x14ac:dyDescent="0.35">
      <c r="A727">
        <f t="shared" si="23"/>
        <v>726</v>
      </c>
      <c r="B727">
        <v>2005</v>
      </c>
      <c r="C727" s="4" t="s">
        <v>109</v>
      </c>
      <c r="D727" s="4" t="s">
        <v>944</v>
      </c>
      <c r="E727" t="s">
        <v>944</v>
      </c>
      <c r="F727" s="17">
        <v>910</v>
      </c>
      <c r="G727" s="17">
        <v>2</v>
      </c>
      <c r="H727" t="s">
        <v>141</v>
      </c>
      <c r="I727" t="s">
        <v>142</v>
      </c>
      <c r="J727" s="13">
        <v>1518.5139398778874</v>
      </c>
      <c r="K727" t="str">
        <f t="shared" si="22"/>
        <v>Matt Ivester</v>
      </c>
      <c r="M727" t="s">
        <v>1371</v>
      </c>
      <c r="N727" t="s">
        <v>1372</v>
      </c>
      <c r="O727" s="26">
        <v>2</v>
      </c>
      <c r="R727" t="s">
        <v>1223</v>
      </c>
      <c r="S727" s="26">
        <v>5</v>
      </c>
      <c r="U727" t="s">
        <v>2513</v>
      </c>
      <c r="V727" t="s">
        <v>659</v>
      </c>
      <c r="W727" t="s">
        <v>2512</v>
      </c>
      <c r="X727" s="26">
        <v>7</v>
      </c>
    </row>
    <row r="728" spans="1:24" hidden="1" x14ac:dyDescent="0.35">
      <c r="A728">
        <f t="shared" si="23"/>
        <v>727</v>
      </c>
      <c r="B728">
        <v>2005</v>
      </c>
      <c r="C728" s="4" t="s">
        <v>109</v>
      </c>
      <c r="D728" s="4" t="s">
        <v>944</v>
      </c>
      <c r="E728" t="s">
        <v>944</v>
      </c>
      <c r="F728" s="17">
        <v>475</v>
      </c>
      <c r="G728" s="17">
        <v>3</v>
      </c>
      <c r="H728" t="s">
        <v>764</v>
      </c>
      <c r="I728" t="s">
        <v>901</v>
      </c>
      <c r="J728" s="13">
        <v>1342.4226808222063</v>
      </c>
      <c r="K728" t="str">
        <f t="shared" si="22"/>
        <v>Jerrod Ankenman</v>
      </c>
      <c r="M728" t="s">
        <v>1126</v>
      </c>
      <c r="N728" t="s">
        <v>480</v>
      </c>
      <c r="O728" s="26">
        <v>3</v>
      </c>
      <c r="Q728" t="s">
        <v>52</v>
      </c>
      <c r="R728" t="s">
        <v>864</v>
      </c>
      <c r="S728" s="26">
        <v>1</v>
      </c>
      <c r="U728" t="s">
        <v>925</v>
      </c>
      <c r="V728" t="s">
        <v>924</v>
      </c>
      <c r="W728" t="s">
        <v>923</v>
      </c>
      <c r="X728" s="26">
        <v>1</v>
      </c>
    </row>
    <row r="729" spans="1:24" hidden="1" x14ac:dyDescent="0.35">
      <c r="A729">
        <f t="shared" si="23"/>
        <v>728</v>
      </c>
      <c r="B729">
        <v>2005</v>
      </c>
      <c r="C729" s="4" t="s">
        <v>109</v>
      </c>
      <c r="D729" s="4" t="s">
        <v>944</v>
      </c>
      <c r="E729" t="s">
        <v>944</v>
      </c>
      <c r="F729" s="17">
        <v>277</v>
      </c>
      <c r="G729" s="17">
        <v>4</v>
      </c>
      <c r="H729" t="s">
        <v>118</v>
      </c>
      <c r="I729" t="s">
        <v>415</v>
      </c>
      <c r="J729" s="13">
        <v>1217.4839442139062</v>
      </c>
      <c r="K729" t="str">
        <f t="shared" si="22"/>
        <v>Pete Segal</v>
      </c>
      <c r="M729" t="s">
        <v>1452</v>
      </c>
      <c r="N729" t="s">
        <v>16</v>
      </c>
      <c r="O729" s="26">
        <v>2</v>
      </c>
      <c r="R729" t="s">
        <v>100</v>
      </c>
      <c r="S729" s="26">
        <v>21</v>
      </c>
      <c r="U729" t="s">
        <v>155</v>
      </c>
      <c r="V729" t="s">
        <v>30</v>
      </c>
      <c r="W729" t="s">
        <v>29</v>
      </c>
      <c r="X729" s="26">
        <v>12</v>
      </c>
    </row>
    <row r="730" spans="1:24" hidden="1" x14ac:dyDescent="0.35">
      <c r="A730">
        <f t="shared" si="23"/>
        <v>729</v>
      </c>
      <c r="B730">
        <v>2005</v>
      </c>
      <c r="C730" s="4" t="s">
        <v>109</v>
      </c>
      <c r="D730" s="4" t="s">
        <v>944</v>
      </c>
      <c r="E730" t="s">
        <v>944</v>
      </c>
      <c r="F730" s="17">
        <v>237</v>
      </c>
      <c r="G730" s="17">
        <v>5</v>
      </c>
      <c r="H730" t="s">
        <v>1143</v>
      </c>
      <c r="I730" t="s">
        <v>848</v>
      </c>
      <c r="J730" s="13">
        <v>1120.5739312058499</v>
      </c>
      <c r="K730" t="str">
        <f t="shared" si="22"/>
        <v>Jason Balter</v>
      </c>
      <c r="M730" t="s">
        <v>963</v>
      </c>
      <c r="N730" t="s">
        <v>964</v>
      </c>
      <c r="O730" s="26">
        <v>1</v>
      </c>
      <c r="R730" t="s">
        <v>827</v>
      </c>
      <c r="S730" s="26">
        <v>2</v>
      </c>
      <c r="U730" t="s">
        <v>1307</v>
      </c>
      <c r="V730" t="s">
        <v>1306</v>
      </c>
      <c r="W730" t="s">
        <v>1305</v>
      </c>
      <c r="X730" s="26">
        <v>1</v>
      </c>
    </row>
    <row r="731" spans="1:24" hidden="1" x14ac:dyDescent="0.35">
      <c r="A731">
        <f t="shared" si="23"/>
        <v>730</v>
      </c>
      <c r="B731">
        <v>2005</v>
      </c>
      <c r="C731" s="4" t="s">
        <v>109</v>
      </c>
      <c r="D731" s="4" t="s">
        <v>944</v>
      </c>
      <c r="E731" t="s">
        <v>944</v>
      </c>
      <c r="F731" s="17">
        <v>198</v>
      </c>
      <c r="G731" s="17">
        <v>6</v>
      </c>
      <c r="H731" t="s">
        <v>1144</v>
      </c>
      <c r="I731" t="s">
        <v>44</v>
      </c>
      <c r="J731" s="13">
        <v>1041.392685158225</v>
      </c>
      <c r="K731" t="str">
        <f t="shared" si="22"/>
        <v>Mike Schmidt</v>
      </c>
      <c r="M731" t="s">
        <v>950</v>
      </c>
      <c r="N731" t="s">
        <v>142</v>
      </c>
      <c r="O731" s="26">
        <v>8</v>
      </c>
      <c r="R731" t="s">
        <v>1505</v>
      </c>
      <c r="S731" s="26">
        <v>3</v>
      </c>
      <c r="U731" t="s">
        <v>949</v>
      </c>
      <c r="V731" t="s">
        <v>948</v>
      </c>
      <c r="W731" t="s">
        <v>947</v>
      </c>
      <c r="X731" s="26">
        <v>4</v>
      </c>
    </row>
    <row r="732" spans="1:24" hidden="1" x14ac:dyDescent="0.35">
      <c r="A732">
        <f t="shared" si="23"/>
        <v>731</v>
      </c>
      <c r="B732">
        <v>2005</v>
      </c>
      <c r="C732" s="4" t="s">
        <v>109</v>
      </c>
      <c r="D732" s="4" t="s">
        <v>944</v>
      </c>
      <c r="E732" t="s">
        <v>944</v>
      </c>
      <c r="F732" s="17">
        <v>158</v>
      </c>
      <c r="G732" s="17">
        <v>7</v>
      </c>
      <c r="H732" t="s">
        <v>1146</v>
      </c>
      <c r="I732" t="s">
        <v>79</v>
      </c>
      <c r="J732" s="13">
        <v>974.44589552761192</v>
      </c>
      <c r="K732" t="str">
        <f t="shared" si="22"/>
        <v>Kevin Suffecool</v>
      </c>
      <c r="M732" t="s">
        <v>621</v>
      </c>
      <c r="N732" t="s">
        <v>16</v>
      </c>
      <c r="O732" s="26">
        <v>4</v>
      </c>
      <c r="R732" t="s">
        <v>536</v>
      </c>
      <c r="S732" s="26">
        <v>3</v>
      </c>
      <c r="U732" t="s">
        <v>1628</v>
      </c>
      <c r="V732" t="s">
        <v>955</v>
      </c>
      <c r="W732" t="s">
        <v>954</v>
      </c>
      <c r="X732" s="26">
        <v>3</v>
      </c>
    </row>
    <row r="733" spans="1:24" hidden="1" x14ac:dyDescent="0.35">
      <c r="A733">
        <f t="shared" si="23"/>
        <v>732</v>
      </c>
      <c r="B733">
        <v>2005</v>
      </c>
      <c r="C733" s="4" t="s">
        <v>109</v>
      </c>
      <c r="D733" s="4" t="s">
        <v>944</v>
      </c>
      <c r="E733" t="s">
        <v>944</v>
      </c>
      <c r="F733" s="17">
        <v>118</v>
      </c>
      <c r="G733" s="17">
        <v>8</v>
      </c>
      <c r="H733" t="s">
        <v>960</v>
      </c>
      <c r="I733" t="s">
        <v>136</v>
      </c>
      <c r="J733" s="13">
        <v>916.45394854992526</v>
      </c>
      <c r="K733" t="str">
        <f t="shared" si="22"/>
        <v>John Harkness</v>
      </c>
      <c r="M733" t="s">
        <v>316</v>
      </c>
      <c r="N733" t="s">
        <v>269</v>
      </c>
      <c r="O733" s="26">
        <v>12</v>
      </c>
      <c r="R733" t="s">
        <v>1082</v>
      </c>
      <c r="S733" s="26">
        <v>1</v>
      </c>
      <c r="U733" t="s">
        <v>2422</v>
      </c>
      <c r="V733" t="s">
        <v>2421</v>
      </c>
      <c r="W733" t="s">
        <v>2420</v>
      </c>
      <c r="X733" s="26">
        <v>1</v>
      </c>
    </row>
    <row r="734" spans="1:24" hidden="1" x14ac:dyDescent="0.35">
      <c r="A734">
        <f t="shared" si="23"/>
        <v>733</v>
      </c>
      <c r="B734">
        <v>2005</v>
      </c>
      <c r="C734" s="4" t="s">
        <v>109</v>
      </c>
      <c r="D734" s="4" t="s">
        <v>918</v>
      </c>
      <c r="E734" t="s">
        <v>1430</v>
      </c>
      <c r="F734" s="17">
        <v>2256</v>
      </c>
      <c r="G734" s="17">
        <v>1</v>
      </c>
      <c r="H734" t="s">
        <v>248</v>
      </c>
      <c r="I734" t="s">
        <v>249</v>
      </c>
      <c r="J734" s="13">
        <v>1973.1278535996985</v>
      </c>
      <c r="K734" t="str">
        <f t="shared" si="22"/>
        <v>Ross Poppel</v>
      </c>
      <c r="M734" t="s">
        <v>97</v>
      </c>
      <c r="N734" t="s">
        <v>98</v>
      </c>
      <c r="O734" s="26">
        <v>6</v>
      </c>
      <c r="Q734" t="s">
        <v>1962</v>
      </c>
      <c r="R734" t="s">
        <v>1060</v>
      </c>
      <c r="S734" s="26">
        <v>1</v>
      </c>
      <c r="U734" t="s">
        <v>652</v>
      </c>
      <c r="V734" t="s">
        <v>117</v>
      </c>
      <c r="W734" t="s">
        <v>173</v>
      </c>
      <c r="X734" s="26">
        <v>4</v>
      </c>
    </row>
    <row r="735" spans="1:24" hidden="1" x14ac:dyDescent="0.35">
      <c r="A735">
        <f t="shared" si="23"/>
        <v>734</v>
      </c>
      <c r="B735">
        <v>2005</v>
      </c>
      <c r="C735" s="4" t="s">
        <v>109</v>
      </c>
      <c r="D735" s="4" t="s">
        <v>918</v>
      </c>
      <c r="E735" t="s">
        <v>1430</v>
      </c>
      <c r="F735" s="17">
        <v>1297</v>
      </c>
      <c r="G735" s="17">
        <v>2</v>
      </c>
      <c r="H735" t="s">
        <v>731</v>
      </c>
      <c r="I735" t="s">
        <v>732</v>
      </c>
      <c r="J735" s="13">
        <v>1596.59709562646</v>
      </c>
      <c r="K735" t="str">
        <f t="shared" si="22"/>
        <v>Lauri Calkins</v>
      </c>
      <c r="M735" t="s">
        <v>593</v>
      </c>
      <c r="N735" t="s">
        <v>139</v>
      </c>
      <c r="O735" s="26">
        <v>5</v>
      </c>
      <c r="Q735" t="s">
        <v>1450</v>
      </c>
      <c r="R735" t="s">
        <v>1449</v>
      </c>
      <c r="S735" s="26">
        <v>1</v>
      </c>
      <c r="U735" t="s">
        <v>930</v>
      </c>
      <c r="V735" t="s">
        <v>117</v>
      </c>
      <c r="W735" t="s">
        <v>929</v>
      </c>
      <c r="X735" s="26">
        <v>1</v>
      </c>
    </row>
    <row r="736" spans="1:24" hidden="1" x14ac:dyDescent="0.35">
      <c r="A736">
        <f t="shared" si="23"/>
        <v>735</v>
      </c>
      <c r="B736">
        <v>2005</v>
      </c>
      <c r="C736" s="4" t="s">
        <v>109</v>
      </c>
      <c r="D736" s="4" t="s">
        <v>918</v>
      </c>
      <c r="E736" t="s">
        <v>1430</v>
      </c>
      <c r="F736" s="17">
        <v>677</v>
      </c>
      <c r="G736" s="17">
        <v>3</v>
      </c>
      <c r="H736" t="s">
        <v>268</v>
      </c>
      <c r="I736" t="s">
        <v>269</v>
      </c>
      <c r="J736" s="13">
        <v>1420.5058365707789</v>
      </c>
      <c r="K736" t="str">
        <f t="shared" si="22"/>
        <v>Keith Fichtemaier</v>
      </c>
      <c r="M736" t="s">
        <v>505</v>
      </c>
      <c r="N736" t="s">
        <v>282</v>
      </c>
      <c r="O736" s="26">
        <v>1</v>
      </c>
      <c r="Q736" t="s">
        <v>2335</v>
      </c>
      <c r="R736" t="s">
        <v>890</v>
      </c>
      <c r="S736" s="26">
        <v>2</v>
      </c>
      <c r="U736" t="s">
        <v>863</v>
      </c>
      <c r="V736" t="s">
        <v>117</v>
      </c>
      <c r="W736" t="s">
        <v>862</v>
      </c>
      <c r="X736" s="26">
        <v>6</v>
      </c>
    </row>
    <row r="737" spans="1:24" hidden="1" x14ac:dyDescent="0.35">
      <c r="A737">
        <f t="shared" si="23"/>
        <v>736</v>
      </c>
      <c r="B737">
        <v>2005</v>
      </c>
      <c r="C737" s="4" t="s">
        <v>109</v>
      </c>
      <c r="D737" s="4" t="s">
        <v>918</v>
      </c>
      <c r="E737" t="s">
        <v>1430</v>
      </c>
      <c r="F737" s="17">
        <v>395</v>
      </c>
      <c r="G737" s="17">
        <v>4</v>
      </c>
      <c r="H737" t="s">
        <v>558</v>
      </c>
      <c r="I737" t="s">
        <v>79</v>
      </c>
      <c r="J737" s="13">
        <v>1295.5670999624788</v>
      </c>
      <c r="K737" t="str">
        <f t="shared" si="22"/>
        <v>Kevin Conlon</v>
      </c>
      <c r="M737" t="s">
        <v>1406</v>
      </c>
      <c r="N737" t="s">
        <v>1267</v>
      </c>
      <c r="O737" s="26">
        <v>1</v>
      </c>
      <c r="Q737" t="s">
        <v>659</v>
      </c>
      <c r="R737" t="s">
        <v>2512</v>
      </c>
      <c r="S737" s="26">
        <v>7</v>
      </c>
      <c r="U737" t="s">
        <v>1616</v>
      </c>
      <c r="V737" t="s">
        <v>117</v>
      </c>
      <c r="W737" t="s">
        <v>116</v>
      </c>
      <c r="X737" s="26">
        <v>5</v>
      </c>
    </row>
    <row r="738" spans="1:24" hidden="1" x14ac:dyDescent="0.35">
      <c r="A738">
        <f t="shared" si="23"/>
        <v>737</v>
      </c>
      <c r="B738">
        <v>2005</v>
      </c>
      <c r="C738" s="4" t="s">
        <v>109</v>
      </c>
      <c r="D738" s="4" t="s">
        <v>918</v>
      </c>
      <c r="E738" t="s">
        <v>1430</v>
      </c>
      <c r="F738" s="17">
        <v>310</v>
      </c>
      <c r="G738" s="17">
        <v>5</v>
      </c>
      <c r="H738" t="s">
        <v>1114</v>
      </c>
      <c r="I738" t="s">
        <v>1019</v>
      </c>
      <c r="J738" s="13">
        <v>1198.6570869544225</v>
      </c>
      <c r="K738" t="str">
        <f t="shared" si="22"/>
        <v>Rob Shepard</v>
      </c>
      <c r="M738" t="s">
        <v>1316</v>
      </c>
      <c r="N738" t="s">
        <v>665</v>
      </c>
      <c r="O738" s="26">
        <v>1</v>
      </c>
      <c r="Q738" t="s">
        <v>924</v>
      </c>
      <c r="R738" t="s">
        <v>923</v>
      </c>
      <c r="S738" s="26">
        <v>1</v>
      </c>
      <c r="U738" t="s">
        <v>493</v>
      </c>
      <c r="V738" t="s">
        <v>117</v>
      </c>
      <c r="W738" t="s">
        <v>418</v>
      </c>
      <c r="X738" s="26">
        <v>4</v>
      </c>
    </row>
    <row r="739" spans="1:24" hidden="1" x14ac:dyDescent="0.35">
      <c r="A739">
        <f t="shared" si="23"/>
        <v>738</v>
      </c>
      <c r="B739">
        <v>2005</v>
      </c>
      <c r="C739" s="4" t="s">
        <v>109</v>
      </c>
      <c r="D739" s="4" t="s">
        <v>918</v>
      </c>
      <c r="E739" t="s">
        <v>1430</v>
      </c>
      <c r="F739" s="17">
        <v>254</v>
      </c>
      <c r="G739" s="17">
        <v>6</v>
      </c>
      <c r="H739" t="s">
        <v>860</v>
      </c>
      <c r="I739" t="s">
        <v>861</v>
      </c>
      <c r="J739" s="13">
        <v>1119.4758409067977</v>
      </c>
      <c r="K739" t="str">
        <f t="shared" si="22"/>
        <v>Rith Peou</v>
      </c>
      <c r="M739" t="s">
        <v>561</v>
      </c>
      <c r="N739" t="s">
        <v>562</v>
      </c>
      <c r="O739" s="26">
        <v>1</v>
      </c>
      <c r="Q739" t="s">
        <v>30</v>
      </c>
      <c r="R739" t="s">
        <v>29</v>
      </c>
      <c r="S739" s="26">
        <v>12</v>
      </c>
      <c r="U739" t="s">
        <v>1110</v>
      </c>
      <c r="V739" t="s">
        <v>528</v>
      </c>
      <c r="W739" t="s">
        <v>1109</v>
      </c>
      <c r="X739" s="26">
        <v>1</v>
      </c>
    </row>
    <row r="740" spans="1:24" hidden="1" x14ac:dyDescent="0.35">
      <c r="A740">
        <f t="shared" si="23"/>
        <v>739</v>
      </c>
      <c r="B740">
        <v>2005</v>
      </c>
      <c r="C740" s="4" t="s">
        <v>109</v>
      </c>
      <c r="D740" s="4" t="s">
        <v>918</v>
      </c>
      <c r="E740" t="s">
        <v>1430</v>
      </c>
      <c r="F740" s="17">
        <v>197</v>
      </c>
      <c r="G740" s="17">
        <v>7</v>
      </c>
      <c r="H740" t="s">
        <v>731</v>
      </c>
      <c r="I740" t="s">
        <v>384</v>
      </c>
      <c r="J740" s="13">
        <v>1052.5290512761844</v>
      </c>
      <c r="K740" t="str">
        <f t="shared" si="22"/>
        <v>Jeff Calkins</v>
      </c>
      <c r="M740" t="s">
        <v>745</v>
      </c>
      <c r="N740" t="s">
        <v>746</v>
      </c>
      <c r="O740" s="26">
        <v>1</v>
      </c>
      <c r="Q740" t="s">
        <v>1306</v>
      </c>
      <c r="R740" t="s">
        <v>1305</v>
      </c>
      <c r="S740" s="26">
        <v>1</v>
      </c>
      <c r="U740" t="s">
        <v>1609</v>
      </c>
      <c r="V740" t="s">
        <v>528</v>
      </c>
      <c r="W740" t="s">
        <v>648</v>
      </c>
      <c r="X740" s="26">
        <v>1</v>
      </c>
    </row>
    <row r="741" spans="1:24" hidden="1" x14ac:dyDescent="0.35">
      <c r="A741">
        <f t="shared" si="23"/>
        <v>740</v>
      </c>
      <c r="B741">
        <v>2005</v>
      </c>
      <c r="C741" s="4" t="s">
        <v>109</v>
      </c>
      <c r="D741" s="4" t="s">
        <v>918</v>
      </c>
      <c r="E741" t="s">
        <v>1430</v>
      </c>
      <c r="F741" s="17">
        <v>113</v>
      </c>
      <c r="G741" s="17">
        <v>8</v>
      </c>
      <c r="H741" t="s">
        <v>759</v>
      </c>
      <c r="I741" t="s">
        <v>760</v>
      </c>
      <c r="J741" s="13">
        <v>994.53710429849787</v>
      </c>
      <c r="K741" t="str">
        <f t="shared" si="22"/>
        <v>Victor Luzarraga</v>
      </c>
      <c r="M741" t="s">
        <v>681</v>
      </c>
      <c r="N741" t="s">
        <v>13</v>
      </c>
      <c r="O741" s="26">
        <v>4</v>
      </c>
      <c r="Q741" t="s">
        <v>948</v>
      </c>
      <c r="R741" t="s">
        <v>947</v>
      </c>
      <c r="S741" s="26">
        <v>4</v>
      </c>
      <c r="U741" t="s">
        <v>1353</v>
      </c>
      <c r="V741" t="s">
        <v>528</v>
      </c>
      <c r="W741" t="s">
        <v>1352</v>
      </c>
      <c r="X741" s="26">
        <v>1</v>
      </c>
    </row>
    <row r="742" spans="1:24" hidden="1" x14ac:dyDescent="0.35">
      <c r="A742">
        <f t="shared" si="23"/>
        <v>741</v>
      </c>
      <c r="B742">
        <v>2005</v>
      </c>
      <c r="C742" s="4" t="s">
        <v>109</v>
      </c>
      <c r="D742" s="4" t="s">
        <v>45</v>
      </c>
      <c r="E742" t="s">
        <v>1429</v>
      </c>
      <c r="F742" s="17">
        <v>5686</v>
      </c>
      <c r="G742" s="17">
        <v>1</v>
      </c>
      <c r="H742" t="s">
        <v>999</v>
      </c>
      <c r="I742" t="s">
        <v>815</v>
      </c>
      <c r="J742" s="13">
        <v>2298.8530764097068</v>
      </c>
      <c r="K742" t="str">
        <f t="shared" si="22"/>
        <v>Sean McGuiness</v>
      </c>
      <c r="M742" t="s">
        <v>883</v>
      </c>
      <c r="N742" t="s">
        <v>884</v>
      </c>
      <c r="O742" s="26">
        <v>5</v>
      </c>
      <c r="Q742" t="s">
        <v>955</v>
      </c>
      <c r="R742" t="s">
        <v>954</v>
      </c>
      <c r="S742" s="26">
        <v>3</v>
      </c>
      <c r="U742" t="s">
        <v>1547</v>
      </c>
      <c r="V742" t="s">
        <v>528</v>
      </c>
      <c r="W742" t="s">
        <v>714</v>
      </c>
      <c r="X742" s="26">
        <v>7</v>
      </c>
    </row>
    <row r="743" spans="1:24" hidden="1" x14ac:dyDescent="0.35">
      <c r="A743">
        <f t="shared" si="23"/>
        <v>742</v>
      </c>
      <c r="B743">
        <v>2005</v>
      </c>
      <c r="C743" s="4" t="s">
        <v>109</v>
      </c>
      <c r="D743" s="4" t="s">
        <v>45</v>
      </c>
      <c r="E743" t="s">
        <v>1429</v>
      </c>
      <c r="F743" s="17">
        <v>2985</v>
      </c>
      <c r="G743" s="17">
        <v>2</v>
      </c>
      <c r="H743" t="s">
        <v>459</v>
      </c>
      <c r="I743" t="s">
        <v>136</v>
      </c>
      <c r="J743" s="13">
        <v>1894.8696567452523</v>
      </c>
      <c r="K743" t="str">
        <f t="shared" si="22"/>
        <v>John Bonaguro</v>
      </c>
      <c r="M743" t="s">
        <v>418</v>
      </c>
      <c r="N743" t="s">
        <v>117</v>
      </c>
      <c r="O743" s="26">
        <v>4</v>
      </c>
      <c r="Q743" t="s">
        <v>2421</v>
      </c>
      <c r="R743" t="s">
        <v>2420</v>
      </c>
      <c r="S743" s="26">
        <v>1</v>
      </c>
      <c r="U743" t="s">
        <v>1568</v>
      </c>
      <c r="V743" t="s">
        <v>528</v>
      </c>
      <c r="W743" t="s">
        <v>527</v>
      </c>
      <c r="X743" s="26">
        <v>3</v>
      </c>
    </row>
    <row r="744" spans="1:24" hidden="1" x14ac:dyDescent="0.35">
      <c r="A744">
        <f t="shared" si="23"/>
        <v>743</v>
      </c>
      <c r="B744">
        <v>2005</v>
      </c>
      <c r="C744" s="4" t="s">
        <v>109</v>
      </c>
      <c r="D744" s="4" t="s">
        <v>45</v>
      </c>
      <c r="E744" t="s">
        <v>1429</v>
      </c>
      <c r="F744" s="17">
        <v>1492</v>
      </c>
      <c r="G744" s="17">
        <v>3</v>
      </c>
      <c r="H744" t="s">
        <v>1115</v>
      </c>
      <c r="I744" t="s">
        <v>1116</v>
      </c>
      <c r="J744" s="13">
        <v>1718.7783976895712</v>
      </c>
      <c r="K744" t="str">
        <f t="shared" si="22"/>
        <v>Crystal Haggard</v>
      </c>
      <c r="M744" t="s">
        <v>2391</v>
      </c>
      <c r="N744" t="s">
        <v>16</v>
      </c>
      <c r="O744" s="26">
        <v>1</v>
      </c>
      <c r="Q744" t="s">
        <v>117</v>
      </c>
      <c r="R744" t="s">
        <v>173</v>
      </c>
      <c r="S744" s="26">
        <v>4</v>
      </c>
      <c r="U744" t="s">
        <v>590</v>
      </c>
      <c r="V744" t="s">
        <v>528</v>
      </c>
      <c r="W744" t="s">
        <v>183</v>
      </c>
      <c r="X744" s="26">
        <v>1</v>
      </c>
    </row>
    <row r="745" spans="1:24" hidden="1" x14ac:dyDescent="0.35">
      <c r="A745">
        <f t="shared" si="23"/>
        <v>744</v>
      </c>
      <c r="B745">
        <v>2005</v>
      </c>
      <c r="C745" s="4" t="s">
        <v>109</v>
      </c>
      <c r="D745" s="4" t="s">
        <v>45</v>
      </c>
      <c r="E745" t="s">
        <v>1429</v>
      </c>
      <c r="F745" s="17">
        <v>896</v>
      </c>
      <c r="G745" s="17">
        <v>4</v>
      </c>
      <c r="H745" t="s">
        <v>1118</v>
      </c>
      <c r="I745" t="s">
        <v>1119</v>
      </c>
      <c r="J745" s="13">
        <v>1593.8396610812711</v>
      </c>
      <c r="K745" t="str">
        <f t="shared" si="22"/>
        <v>Noelle Huard</v>
      </c>
      <c r="M745" t="s">
        <v>298</v>
      </c>
      <c r="N745" t="s">
        <v>131</v>
      </c>
      <c r="O745" s="26">
        <v>3</v>
      </c>
      <c r="R745" t="s">
        <v>929</v>
      </c>
      <c r="S745" s="26">
        <v>1</v>
      </c>
      <c r="U745" t="s">
        <v>986</v>
      </c>
      <c r="V745" t="s">
        <v>528</v>
      </c>
      <c r="W745" t="s">
        <v>870</v>
      </c>
      <c r="X745" s="26">
        <v>8</v>
      </c>
    </row>
    <row r="746" spans="1:24" hidden="1" x14ac:dyDescent="0.35">
      <c r="A746">
        <f t="shared" si="23"/>
        <v>745</v>
      </c>
      <c r="B746">
        <v>2005</v>
      </c>
      <c r="C746" s="4" t="s">
        <v>109</v>
      </c>
      <c r="D746" s="4" t="s">
        <v>45</v>
      </c>
      <c r="E746" t="s">
        <v>1429</v>
      </c>
      <c r="F746" s="17">
        <v>672</v>
      </c>
      <c r="G746" s="17">
        <v>5</v>
      </c>
      <c r="H746" t="s">
        <v>1121</v>
      </c>
      <c r="I746" t="s">
        <v>13</v>
      </c>
      <c r="J746" s="13">
        <v>1496.9296480732148</v>
      </c>
      <c r="K746" t="str">
        <f t="shared" si="22"/>
        <v>Tom Savitsky</v>
      </c>
      <c r="M746" t="s">
        <v>1215</v>
      </c>
      <c r="N746" t="s">
        <v>1019</v>
      </c>
      <c r="O746" s="26">
        <v>1</v>
      </c>
      <c r="R746" t="s">
        <v>862</v>
      </c>
      <c r="S746" s="26">
        <v>6</v>
      </c>
      <c r="U746" t="s">
        <v>322</v>
      </c>
      <c r="V746" t="s">
        <v>321</v>
      </c>
      <c r="W746" t="s">
        <v>320</v>
      </c>
      <c r="X746" s="26">
        <v>16</v>
      </c>
    </row>
    <row r="747" spans="1:24" hidden="1" x14ac:dyDescent="0.35">
      <c r="A747">
        <f t="shared" si="23"/>
        <v>746</v>
      </c>
      <c r="B747">
        <v>2005</v>
      </c>
      <c r="C747" s="4" t="s">
        <v>109</v>
      </c>
      <c r="D747" s="4" t="s">
        <v>45</v>
      </c>
      <c r="E747" t="s">
        <v>1429</v>
      </c>
      <c r="F747" s="17">
        <v>522</v>
      </c>
      <c r="G747" s="17">
        <v>6</v>
      </c>
      <c r="H747" t="s">
        <v>1045</v>
      </c>
      <c r="I747" t="s">
        <v>16</v>
      </c>
      <c r="J747" s="13">
        <v>1417.7484020255899</v>
      </c>
      <c r="K747" t="str">
        <f t="shared" si="22"/>
        <v>David Albis</v>
      </c>
      <c r="M747" t="s">
        <v>422</v>
      </c>
      <c r="N747" t="s">
        <v>142</v>
      </c>
      <c r="O747" s="26">
        <v>2</v>
      </c>
      <c r="R747" t="s">
        <v>116</v>
      </c>
      <c r="S747" s="26">
        <v>5</v>
      </c>
      <c r="U747" t="s">
        <v>453</v>
      </c>
      <c r="V747" t="s">
        <v>334</v>
      </c>
      <c r="W747" t="s">
        <v>452</v>
      </c>
      <c r="X747" s="26">
        <v>6</v>
      </c>
    </row>
    <row r="748" spans="1:24" hidden="1" x14ac:dyDescent="0.35">
      <c r="A748">
        <f t="shared" si="23"/>
        <v>747</v>
      </c>
      <c r="B748">
        <v>2005</v>
      </c>
      <c r="C748" s="4" t="s">
        <v>109</v>
      </c>
      <c r="D748" s="4" t="s">
        <v>45</v>
      </c>
      <c r="E748" t="s">
        <v>1429</v>
      </c>
      <c r="F748" s="17">
        <v>373</v>
      </c>
      <c r="G748" s="17">
        <v>7</v>
      </c>
      <c r="H748" t="s">
        <v>1123</v>
      </c>
      <c r="I748" t="s">
        <v>1124</v>
      </c>
      <c r="J748" s="13">
        <v>1350.8016123949767</v>
      </c>
      <c r="K748" t="str">
        <f t="shared" si="22"/>
        <v>Stacy Conrad</v>
      </c>
      <c r="M748" t="s">
        <v>1266</v>
      </c>
      <c r="N748" t="s">
        <v>1267</v>
      </c>
      <c r="O748" s="26">
        <v>2</v>
      </c>
      <c r="R748" t="s">
        <v>418</v>
      </c>
      <c r="S748" s="26">
        <v>4</v>
      </c>
      <c r="U748" t="s">
        <v>335</v>
      </c>
      <c r="V748" t="s">
        <v>334</v>
      </c>
      <c r="W748" t="s">
        <v>333</v>
      </c>
      <c r="X748" s="26">
        <v>1</v>
      </c>
    </row>
    <row r="749" spans="1:24" hidden="1" x14ac:dyDescent="0.35">
      <c r="A749">
        <f t="shared" si="23"/>
        <v>748</v>
      </c>
      <c r="B749">
        <v>2005</v>
      </c>
      <c r="C749" s="4" t="s">
        <v>109</v>
      </c>
      <c r="D749" s="4" t="s">
        <v>45</v>
      </c>
      <c r="E749" t="s">
        <v>1429</v>
      </c>
      <c r="F749" s="17">
        <v>299</v>
      </c>
      <c r="G749" s="17">
        <v>8</v>
      </c>
      <c r="H749" t="s">
        <v>1126</v>
      </c>
      <c r="I749" t="s">
        <v>480</v>
      </c>
      <c r="J749" s="13">
        <v>1292.80966541729</v>
      </c>
      <c r="K749" t="str">
        <f t="shared" si="22"/>
        <v>James Tolliver</v>
      </c>
      <c r="M749" t="s">
        <v>716</v>
      </c>
      <c r="N749" t="s">
        <v>564</v>
      </c>
      <c r="O749" s="26">
        <v>2</v>
      </c>
      <c r="Q749" t="s">
        <v>528</v>
      </c>
      <c r="R749" t="s">
        <v>1109</v>
      </c>
      <c r="S749" s="26">
        <v>1</v>
      </c>
      <c r="U749" t="s">
        <v>1587</v>
      </c>
      <c r="V749" t="s">
        <v>13</v>
      </c>
      <c r="W749" t="s">
        <v>1060</v>
      </c>
      <c r="X749" s="26">
        <v>4</v>
      </c>
    </row>
    <row r="750" spans="1:24" hidden="1" x14ac:dyDescent="0.35">
      <c r="A750">
        <f t="shared" si="23"/>
        <v>749</v>
      </c>
      <c r="B750">
        <v>2005</v>
      </c>
      <c r="C750" s="4" t="s">
        <v>109</v>
      </c>
      <c r="D750" s="4" t="s">
        <v>45</v>
      </c>
      <c r="E750" t="s">
        <v>1429</v>
      </c>
      <c r="F750" s="17">
        <v>254</v>
      </c>
      <c r="G750" s="17">
        <v>9</v>
      </c>
      <c r="H750" t="s">
        <v>1127</v>
      </c>
      <c r="I750" t="s">
        <v>843</v>
      </c>
      <c r="J750" s="13">
        <v>1241.6571429699088</v>
      </c>
      <c r="K750" t="str">
        <f t="shared" si="22"/>
        <v>Fred Meier</v>
      </c>
      <c r="N750" t="s">
        <v>855</v>
      </c>
      <c r="O750" s="26">
        <v>2</v>
      </c>
      <c r="R750" t="s">
        <v>648</v>
      </c>
      <c r="S750" s="26">
        <v>1</v>
      </c>
      <c r="U750" t="s">
        <v>339</v>
      </c>
      <c r="V750" t="s">
        <v>13</v>
      </c>
      <c r="W750" t="s">
        <v>12</v>
      </c>
      <c r="X750" s="26">
        <v>17</v>
      </c>
    </row>
    <row r="751" spans="1:24" hidden="1" x14ac:dyDescent="0.35">
      <c r="A751">
        <f t="shared" si="23"/>
        <v>750</v>
      </c>
      <c r="B751">
        <v>2005</v>
      </c>
      <c r="C751" s="4" t="s">
        <v>109</v>
      </c>
      <c r="D751" s="4" t="s">
        <v>45</v>
      </c>
      <c r="E751" t="s">
        <v>1429</v>
      </c>
      <c r="F751" s="17">
        <v>194</v>
      </c>
      <c r="G751" s="17">
        <v>10</v>
      </c>
      <c r="H751" t="s">
        <v>1129</v>
      </c>
      <c r="I751" t="s">
        <v>492</v>
      </c>
      <c r="J751" s="13">
        <v>1195.8996524092336</v>
      </c>
      <c r="K751" t="str">
        <f t="shared" si="22"/>
        <v>William Constandino</v>
      </c>
      <c r="M751" t="s">
        <v>256</v>
      </c>
      <c r="N751" t="s">
        <v>257</v>
      </c>
      <c r="O751" s="26">
        <v>14</v>
      </c>
      <c r="R751" t="s">
        <v>1352</v>
      </c>
      <c r="S751" s="26">
        <v>1</v>
      </c>
      <c r="U751" t="s">
        <v>957</v>
      </c>
      <c r="V751" t="s">
        <v>13</v>
      </c>
      <c r="W751" t="s">
        <v>956</v>
      </c>
      <c r="X751" s="26">
        <v>2</v>
      </c>
    </row>
    <row r="752" spans="1:24" hidden="1" x14ac:dyDescent="0.35">
      <c r="A752">
        <f t="shared" si="23"/>
        <v>751</v>
      </c>
      <c r="B752">
        <v>2005</v>
      </c>
      <c r="C752" s="4" t="s">
        <v>109</v>
      </c>
      <c r="D752" s="4" t="s">
        <v>45</v>
      </c>
      <c r="E752" t="s">
        <v>1429</v>
      </c>
      <c r="F752" s="17">
        <v>194</v>
      </c>
      <c r="G752" s="17">
        <v>11</v>
      </c>
      <c r="H752" t="s">
        <v>1083</v>
      </c>
      <c r="I752" t="s">
        <v>927</v>
      </c>
      <c r="J752" s="13">
        <v>1154.5069672510085</v>
      </c>
      <c r="K752" t="str">
        <f t="shared" si="22"/>
        <v>Jay Guild</v>
      </c>
      <c r="M752" t="s">
        <v>216</v>
      </c>
      <c r="N752" t="s">
        <v>65</v>
      </c>
      <c r="O752" s="26">
        <v>6</v>
      </c>
      <c r="R752" t="s">
        <v>714</v>
      </c>
      <c r="S752" s="26">
        <v>7</v>
      </c>
      <c r="U752" t="s">
        <v>809</v>
      </c>
      <c r="V752" t="s">
        <v>13</v>
      </c>
      <c r="W752" t="s">
        <v>237</v>
      </c>
      <c r="X752" s="26">
        <v>12</v>
      </c>
    </row>
    <row r="753" spans="1:24" hidden="1" x14ac:dyDescent="0.35">
      <c r="A753">
        <f t="shared" si="23"/>
        <v>752</v>
      </c>
      <c r="B753">
        <v>2005</v>
      </c>
      <c r="C753" s="4" t="s">
        <v>109</v>
      </c>
      <c r="D753" s="4" t="s">
        <v>45</v>
      </c>
      <c r="E753" t="s">
        <v>1429</v>
      </c>
      <c r="F753" s="17">
        <v>194</v>
      </c>
      <c r="G753" s="17">
        <v>12</v>
      </c>
      <c r="H753" t="s">
        <v>1131</v>
      </c>
      <c r="I753" t="s">
        <v>404</v>
      </c>
      <c r="J753" s="13">
        <v>1116.7184063616087</v>
      </c>
      <c r="K753" t="str">
        <f t="shared" si="22"/>
        <v>George Francis</v>
      </c>
      <c r="M753" t="s">
        <v>1418</v>
      </c>
      <c r="N753" t="s">
        <v>101</v>
      </c>
      <c r="O753" s="26">
        <v>1</v>
      </c>
      <c r="R753" t="s">
        <v>527</v>
      </c>
      <c r="S753" s="26">
        <v>3</v>
      </c>
      <c r="U753" t="s">
        <v>1091</v>
      </c>
      <c r="V753" t="s">
        <v>13</v>
      </c>
      <c r="W753" t="s">
        <v>1090</v>
      </c>
      <c r="X753" s="26">
        <v>1</v>
      </c>
    </row>
    <row r="754" spans="1:24" hidden="1" x14ac:dyDescent="0.35">
      <c r="A754">
        <f t="shared" si="23"/>
        <v>753</v>
      </c>
      <c r="B754">
        <v>2005</v>
      </c>
      <c r="C754" s="4" t="s">
        <v>109</v>
      </c>
      <c r="D754" s="4" t="s">
        <v>45</v>
      </c>
      <c r="E754" t="s">
        <v>1429</v>
      </c>
      <c r="F754" s="17">
        <v>194</v>
      </c>
      <c r="G754" s="17">
        <v>13</v>
      </c>
      <c r="H754" t="s">
        <v>1133</v>
      </c>
      <c r="I754" t="s">
        <v>779</v>
      </c>
      <c r="J754" s="13">
        <v>1081.9563001023969</v>
      </c>
      <c r="K754" t="str">
        <f t="shared" si="22"/>
        <v>Joshua DeBoo</v>
      </c>
      <c r="M754" t="s">
        <v>1241</v>
      </c>
      <c r="N754" t="s">
        <v>58</v>
      </c>
      <c r="O754" s="26">
        <v>1</v>
      </c>
      <c r="R754" t="s">
        <v>183</v>
      </c>
      <c r="S754" s="26">
        <v>1</v>
      </c>
      <c r="U754" t="s">
        <v>1501</v>
      </c>
      <c r="V754" t="s">
        <v>13</v>
      </c>
      <c r="W754" t="s">
        <v>23</v>
      </c>
      <c r="X754" s="26">
        <v>10</v>
      </c>
    </row>
    <row r="755" spans="1:24" hidden="1" x14ac:dyDescent="0.35">
      <c r="A755">
        <f t="shared" si="23"/>
        <v>754</v>
      </c>
      <c r="B755">
        <v>2005</v>
      </c>
      <c r="C755" s="4" t="s">
        <v>109</v>
      </c>
      <c r="D755" s="4" t="s">
        <v>45</v>
      </c>
      <c r="E755" t="s">
        <v>1429</v>
      </c>
      <c r="F755" s="17">
        <v>194</v>
      </c>
      <c r="G755" s="17">
        <v>14</v>
      </c>
      <c r="H755" t="s">
        <v>826</v>
      </c>
      <c r="I755" t="s">
        <v>67</v>
      </c>
      <c r="J755" s="13">
        <v>1049.7716167309957</v>
      </c>
      <c r="K755" t="str">
        <f t="shared" si="22"/>
        <v>Bob Kelly</v>
      </c>
      <c r="M755" t="s">
        <v>405</v>
      </c>
      <c r="N755" t="s">
        <v>404</v>
      </c>
      <c r="O755" s="26">
        <v>6</v>
      </c>
      <c r="R755" t="s">
        <v>870</v>
      </c>
      <c r="S755" s="26">
        <v>8</v>
      </c>
      <c r="U755" t="s">
        <v>1422</v>
      </c>
      <c r="V755" t="s">
        <v>13</v>
      </c>
      <c r="W755" t="s">
        <v>1421</v>
      </c>
      <c r="X755" s="26">
        <v>1</v>
      </c>
    </row>
    <row r="756" spans="1:24" hidden="1" x14ac:dyDescent="0.35">
      <c r="A756">
        <f t="shared" si="23"/>
        <v>755</v>
      </c>
      <c r="B756">
        <v>2005</v>
      </c>
      <c r="C756" s="4" t="s">
        <v>109</v>
      </c>
      <c r="D756" s="4" t="s">
        <v>45</v>
      </c>
      <c r="E756" t="s">
        <v>1429</v>
      </c>
      <c r="F756" s="17">
        <v>194</v>
      </c>
      <c r="G756" s="17">
        <v>15</v>
      </c>
      <c r="H756" t="s">
        <v>1136</v>
      </c>
      <c r="I756" t="s">
        <v>119</v>
      </c>
      <c r="J756" s="13">
        <v>1019.8083933535522</v>
      </c>
      <c r="K756" t="str">
        <f t="shared" si="22"/>
        <v>Peter Kim</v>
      </c>
      <c r="M756" t="s">
        <v>1092</v>
      </c>
      <c r="N756" t="s">
        <v>1093</v>
      </c>
      <c r="O756" s="26">
        <v>4</v>
      </c>
      <c r="Q756" t="s">
        <v>321</v>
      </c>
      <c r="R756" t="s">
        <v>320</v>
      </c>
      <c r="S756" s="26">
        <v>16</v>
      </c>
      <c r="U756" t="s">
        <v>1095</v>
      </c>
      <c r="V756" t="s">
        <v>13</v>
      </c>
      <c r="W756" t="s">
        <v>857</v>
      </c>
      <c r="X756" s="26">
        <v>6</v>
      </c>
    </row>
    <row r="757" spans="1:24" hidden="1" x14ac:dyDescent="0.35">
      <c r="A757">
        <f t="shared" si="23"/>
        <v>756</v>
      </c>
      <c r="B757">
        <v>2005</v>
      </c>
      <c r="C757" s="4" t="s">
        <v>109</v>
      </c>
      <c r="D757" s="4" t="s">
        <v>45</v>
      </c>
      <c r="E757" t="s">
        <v>1429</v>
      </c>
      <c r="F757" s="17">
        <v>194</v>
      </c>
      <c r="G757" s="17">
        <v>16</v>
      </c>
      <c r="H757" t="s">
        <v>1138</v>
      </c>
      <c r="I757" t="s">
        <v>71</v>
      </c>
      <c r="J757" s="13">
        <v>991.77966975330878</v>
      </c>
      <c r="K757" t="str">
        <f t="shared" si="22"/>
        <v>Scott Chase</v>
      </c>
      <c r="M757" t="s">
        <v>618</v>
      </c>
      <c r="N757" t="s">
        <v>521</v>
      </c>
      <c r="O757" s="26">
        <v>9</v>
      </c>
      <c r="Q757" t="s">
        <v>334</v>
      </c>
      <c r="R757" t="s">
        <v>452</v>
      </c>
      <c r="S757" s="26">
        <v>6</v>
      </c>
      <c r="U757" t="s">
        <v>1068</v>
      </c>
      <c r="V757" t="s">
        <v>13</v>
      </c>
      <c r="W757" t="s">
        <v>709</v>
      </c>
      <c r="X757" s="26">
        <v>4</v>
      </c>
    </row>
    <row r="758" spans="1:24" hidden="1" x14ac:dyDescent="0.35">
      <c r="A758">
        <f t="shared" si="23"/>
        <v>757</v>
      </c>
      <c r="B758">
        <v>2005</v>
      </c>
      <c r="C758" s="4" t="s">
        <v>109</v>
      </c>
      <c r="D758" s="4" t="s">
        <v>45</v>
      </c>
      <c r="E758" t="s">
        <v>1429</v>
      </c>
      <c r="F758" s="17">
        <v>194</v>
      </c>
      <c r="G758" s="17">
        <v>17</v>
      </c>
      <c r="H758" t="s">
        <v>1140</v>
      </c>
      <c r="I758" t="s">
        <v>1141</v>
      </c>
      <c r="J758" s="13">
        <v>965.45073103095967</v>
      </c>
      <c r="K758" t="str">
        <f t="shared" si="22"/>
        <v>Billy Barnes</v>
      </c>
      <c r="M758" t="s">
        <v>1346</v>
      </c>
      <c r="N758" t="s">
        <v>136</v>
      </c>
      <c r="O758" s="26">
        <v>1</v>
      </c>
      <c r="R758" t="s">
        <v>333</v>
      </c>
      <c r="S758" s="26">
        <v>1</v>
      </c>
      <c r="U758" t="s">
        <v>1122</v>
      </c>
      <c r="V758" t="s">
        <v>13</v>
      </c>
      <c r="W758" t="s">
        <v>1121</v>
      </c>
      <c r="X758" s="26">
        <v>1</v>
      </c>
    </row>
    <row r="759" spans="1:24" hidden="1" x14ac:dyDescent="0.35">
      <c r="A759">
        <f t="shared" si="23"/>
        <v>758</v>
      </c>
      <c r="B759">
        <v>2005</v>
      </c>
      <c r="C759" s="4" t="s">
        <v>109</v>
      </c>
      <c r="D759" s="4" t="s">
        <v>45</v>
      </c>
      <c r="E759" t="s">
        <v>1429</v>
      </c>
      <c r="F759" s="17">
        <v>194</v>
      </c>
      <c r="G759" s="17">
        <v>18</v>
      </c>
      <c r="H759" t="s">
        <v>850</v>
      </c>
      <c r="I759" t="s">
        <v>851</v>
      </c>
      <c r="J759" s="13">
        <v>940.62714730592756</v>
      </c>
      <c r="K759" t="str">
        <f t="shared" si="22"/>
        <v>Mordecai Schwartz</v>
      </c>
      <c r="M759" t="s">
        <v>786</v>
      </c>
      <c r="N759" t="s">
        <v>787</v>
      </c>
      <c r="O759" s="26">
        <v>2</v>
      </c>
      <c r="Q759" t="s">
        <v>13</v>
      </c>
      <c r="R759" t="s">
        <v>1060</v>
      </c>
      <c r="S759" s="26">
        <v>4</v>
      </c>
      <c r="U759" t="s">
        <v>1258</v>
      </c>
      <c r="V759" t="s">
        <v>13</v>
      </c>
      <c r="W759" t="s">
        <v>1257</v>
      </c>
      <c r="X759" s="26">
        <v>5</v>
      </c>
    </row>
    <row r="760" spans="1:24" hidden="1" x14ac:dyDescent="0.35">
      <c r="A760">
        <f t="shared" si="23"/>
        <v>759</v>
      </c>
      <c r="B760">
        <v>2005</v>
      </c>
      <c r="C760" s="4" t="s">
        <v>263</v>
      </c>
      <c r="D760" s="4" t="s">
        <v>962</v>
      </c>
      <c r="E760" t="s">
        <v>944</v>
      </c>
      <c r="F760" s="17">
        <v>1240</v>
      </c>
      <c r="G760" s="17">
        <v>1</v>
      </c>
      <c r="H760" t="s">
        <v>74</v>
      </c>
      <c r="I760" t="s">
        <v>75</v>
      </c>
      <c r="J760" s="13">
        <v>1903.0899869919435</v>
      </c>
      <c r="K760" t="str">
        <f t="shared" si="22"/>
        <v>Sabyl Landrum</v>
      </c>
      <c r="M760" t="s">
        <v>183</v>
      </c>
      <c r="N760" t="s">
        <v>101</v>
      </c>
      <c r="O760" s="26">
        <v>8</v>
      </c>
      <c r="R760" t="s">
        <v>12</v>
      </c>
      <c r="S760" s="26">
        <v>17</v>
      </c>
      <c r="U760" t="s">
        <v>1622</v>
      </c>
      <c r="V760" t="s">
        <v>13</v>
      </c>
      <c r="W760" t="s">
        <v>681</v>
      </c>
      <c r="X760" s="26">
        <v>4</v>
      </c>
    </row>
    <row r="761" spans="1:24" hidden="1" x14ac:dyDescent="0.35">
      <c r="A761">
        <f t="shared" si="23"/>
        <v>760</v>
      </c>
      <c r="B761">
        <v>2005</v>
      </c>
      <c r="C761" s="4" t="s">
        <v>263</v>
      </c>
      <c r="D761" s="4" t="s">
        <v>962</v>
      </c>
      <c r="E761" t="s">
        <v>944</v>
      </c>
      <c r="F761" s="17">
        <v>990</v>
      </c>
      <c r="G761" s="17">
        <v>2</v>
      </c>
      <c r="H761" t="s">
        <v>248</v>
      </c>
      <c r="I761" t="s">
        <v>249</v>
      </c>
      <c r="J761" s="13">
        <v>1602.0599913279623</v>
      </c>
      <c r="K761" t="str">
        <f t="shared" si="22"/>
        <v>Ross Poppel</v>
      </c>
      <c r="N761" t="s">
        <v>11</v>
      </c>
      <c r="O761" s="26">
        <v>1</v>
      </c>
      <c r="R761" t="s">
        <v>956</v>
      </c>
      <c r="S761" s="26">
        <v>2</v>
      </c>
      <c r="U761" t="s">
        <v>290</v>
      </c>
      <c r="V761" t="s">
        <v>13</v>
      </c>
      <c r="W761" t="s">
        <v>183</v>
      </c>
      <c r="X761" s="26">
        <v>13</v>
      </c>
    </row>
    <row r="762" spans="1:24" hidden="1" x14ac:dyDescent="0.35">
      <c r="A762">
        <f t="shared" si="23"/>
        <v>761</v>
      </c>
      <c r="B762">
        <v>2005</v>
      </c>
      <c r="C762" s="4" t="s">
        <v>263</v>
      </c>
      <c r="D762" s="4" t="s">
        <v>962</v>
      </c>
      <c r="E762" t="s">
        <v>944</v>
      </c>
      <c r="F762" s="17">
        <v>740</v>
      </c>
      <c r="G762" s="17">
        <v>3</v>
      </c>
      <c r="H762" t="s">
        <v>302</v>
      </c>
      <c r="I762" t="s">
        <v>81</v>
      </c>
      <c r="J762" s="13">
        <v>1425.9687322722812</v>
      </c>
      <c r="K762" t="str">
        <f t="shared" si="22"/>
        <v>Don Rieck</v>
      </c>
      <c r="N762" t="s">
        <v>528</v>
      </c>
      <c r="O762" s="26">
        <v>1</v>
      </c>
      <c r="R762" t="s">
        <v>237</v>
      </c>
      <c r="S762" s="26">
        <v>12</v>
      </c>
      <c r="U762" t="s">
        <v>1414</v>
      </c>
      <c r="V762" t="s">
        <v>425</v>
      </c>
      <c r="W762" t="s">
        <v>1413</v>
      </c>
      <c r="X762" s="26">
        <v>1</v>
      </c>
    </row>
    <row r="763" spans="1:24" hidden="1" x14ac:dyDescent="0.35">
      <c r="A763">
        <f t="shared" si="23"/>
        <v>762</v>
      </c>
      <c r="B763">
        <v>2005</v>
      </c>
      <c r="C763" s="4" t="s">
        <v>263</v>
      </c>
      <c r="D763" s="4" t="s">
        <v>962</v>
      </c>
      <c r="E763" t="s">
        <v>944</v>
      </c>
      <c r="F763" s="17">
        <v>590</v>
      </c>
      <c r="G763" s="17">
        <v>4</v>
      </c>
      <c r="H763" t="s">
        <v>1172</v>
      </c>
      <c r="I763" t="s">
        <v>11</v>
      </c>
      <c r="J763" s="13">
        <v>1301.0299956639813</v>
      </c>
      <c r="K763" t="str">
        <f t="shared" si="22"/>
        <v>Paul Zuzelo</v>
      </c>
      <c r="N763" t="s">
        <v>13</v>
      </c>
      <c r="O763" s="26">
        <v>13</v>
      </c>
      <c r="R763" t="s">
        <v>1090</v>
      </c>
      <c r="S763" s="26">
        <v>1</v>
      </c>
      <c r="U763" t="s">
        <v>426</v>
      </c>
      <c r="V763" t="s">
        <v>425</v>
      </c>
      <c r="W763" t="s">
        <v>424</v>
      </c>
      <c r="X763" s="26">
        <v>1</v>
      </c>
    </row>
    <row r="764" spans="1:24" hidden="1" x14ac:dyDescent="0.35">
      <c r="A764">
        <f t="shared" si="23"/>
        <v>763</v>
      </c>
      <c r="B764">
        <v>2005</v>
      </c>
      <c r="C764" s="4" t="s">
        <v>263</v>
      </c>
      <c r="D764" s="4" t="s">
        <v>962</v>
      </c>
      <c r="E764" t="s">
        <v>944</v>
      </c>
      <c r="F764" s="17">
        <v>500</v>
      </c>
      <c r="G764" s="17">
        <v>5</v>
      </c>
      <c r="H764" t="s">
        <v>960</v>
      </c>
      <c r="I764" t="s">
        <v>136</v>
      </c>
      <c r="J764" s="13">
        <v>1204.1199826559246</v>
      </c>
      <c r="K764" t="str">
        <f t="shared" si="22"/>
        <v>John Harkness</v>
      </c>
      <c r="M764" t="s">
        <v>1344</v>
      </c>
      <c r="N764" t="s">
        <v>1345</v>
      </c>
      <c r="O764" s="26">
        <v>1</v>
      </c>
      <c r="R764" t="s">
        <v>23</v>
      </c>
      <c r="S764" s="26">
        <v>10</v>
      </c>
      <c r="U764" t="s">
        <v>1056</v>
      </c>
      <c r="V764" t="s">
        <v>425</v>
      </c>
      <c r="W764" t="s">
        <v>545</v>
      </c>
      <c r="X764" s="26">
        <v>8</v>
      </c>
    </row>
    <row r="765" spans="1:24" hidden="1" x14ac:dyDescent="0.35">
      <c r="A765">
        <f t="shared" si="23"/>
        <v>764</v>
      </c>
      <c r="B765">
        <v>2005</v>
      </c>
      <c r="C765" s="4" t="s">
        <v>263</v>
      </c>
      <c r="D765" s="4" t="s">
        <v>962</v>
      </c>
      <c r="E765" t="s">
        <v>944</v>
      </c>
      <c r="F765" s="17">
        <v>400</v>
      </c>
      <c r="G765" s="17">
        <v>6</v>
      </c>
      <c r="H765" t="s">
        <v>958</v>
      </c>
      <c r="I765" t="s">
        <v>122</v>
      </c>
      <c r="J765" s="13">
        <v>1124.9387366082999</v>
      </c>
      <c r="K765" t="str">
        <f t="shared" si="22"/>
        <v>Andy Bloch</v>
      </c>
      <c r="M765" t="s">
        <v>2311</v>
      </c>
      <c r="N765" t="s">
        <v>1393</v>
      </c>
      <c r="O765" s="26">
        <v>2</v>
      </c>
      <c r="R765" t="s">
        <v>1421</v>
      </c>
      <c r="S765" s="26">
        <v>1</v>
      </c>
      <c r="U765" t="s">
        <v>1502</v>
      </c>
      <c r="V765" t="s">
        <v>425</v>
      </c>
      <c r="W765" t="s">
        <v>384</v>
      </c>
      <c r="X765" s="26">
        <v>1</v>
      </c>
    </row>
    <row r="766" spans="1:24" hidden="1" x14ac:dyDescent="0.35">
      <c r="A766">
        <f t="shared" si="23"/>
        <v>765</v>
      </c>
      <c r="B766">
        <v>2005</v>
      </c>
      <c r="C766" s="4" t="s">
        <v>263</v>
      </c>
      <c r="D766" s="4" t="s">
        <v>962</v>
      </c>
      <c r="E766" t="s">
        <v>944</v>
      </c>
      <c r="F766" s="17">
        <v>300</v>
      </c>
      <c r="G766" s="17">
        <v>7</v>
      </c>
      <c r="H766" t="s">
        <v>527</v>
      </c>
      <c r="I766" t="s">
        <v>11</v>
      </c>
      <c r="J766" s="13">
        <v>1057.9919469776869</v>
      </c>
      <c r="K766" t="str">
        <f t="shared" si="22"/>
        <v>Paul Stine</v>
      </c>
      <c r="M766" t="s">
        <v>138</v>
      </c>
      <c r="N766" t="s">
        <v>139</v>
      </c>
      <c r="O766" s="26">
        <v>2</v>
      </c>
      <c r="R766" t="s">
        <v>857</v>
      </c>
      <c r="S766" s="26">
        <v>6</v>
      </c>
      <c r="U766" t="s">
        <v>163</v>
      </c>
      <c r="V766" t="s">
        <v>162</v>
      </c>
      <c r="W766" t="s">
        <v>161</v>
      </c>
      <c r="X766" s="26">
        <v>19</v>
      </c>
    </row>
    <row r="767" spans="1:24" hidden="1" x14ac:dyDescent="0.35">
      <c r="A767">
        <f t="shared" si="23"/>
        <v>766</v>
      </c>
      <c r="B767">
        <v>2005</v>
      </c>
      <c r="C767" s="4" t="s">
        <v>263</v>
      </c>
      <c r="D767" s="4" t="s">
        <v>962</v>
      </c>
      <c r="E767" t="s">
        <v>944</v>
      </c>
      <c r="F767" s="17">
        <v>200</v>
      </c>
      <c r="G767" s="17">
        <v>8</v>
      </c>
      <c r="H767" t="s">
        <v>820</v>
      </c>
      <c r="I767" t="s">
        <v>471</v>
      </c>
      <c r="J767" s="13">
        <v>1000</v>
      </c>
      <c r="K767" t="str">
        <f t="shared" si="22"/>
        <v>Greg Pappas</v>
      </c>
      <c r="M767" t="s">
        <v>803</v>
      </c>
      <c r="N767" t="s">
        <v>495</v>
      </c>
      <c r="O767" s="26">
        <v>4</v>
      </c>
      <c r="R767" t="s">
        <v>709</v>
      </c>
      <c r="S767" s="26">
        <v>4</v>
      </c>
      <c r="U767" t="s">
        <v>2344</v>
      </c>
      <c r="V767" t="s">
        <v>495</v>
      </c>
      <c r="W767" t="s">
        <v>803</v>
      </c>
      <c r="X767" s="26">
        <v>4</v>
      </c>
    </row>
    <row r="768" spans="1:24" hidden="1" x14ac:dyDescent="0.35">
      <c r="A768">
        <f t="shared" si="23"/>
        <v>767</v>
      </c>
      <c r="B768">
        <v>2005</v>
      </c>
      <c r="C768" s="4" t="s">
        <v>263</v>
      </c>
      <c r="D768" s="4" t="s">
        <v>962</v>
      </c>
      <c r="E768" t="s">
        <v>944</v>
      </c>
      <c r="F768" s="17">
        <v>150</v>
      </c>
      <c r="G768" s="17">
        <v>9</v>
      </c>
      <c r="H768" t="s">
        <v>1504</v>
      </c>
      <c r="I768" t="s">
        <v>85</v>
      </c>
      <c r="J768" s="13">
        <v>948.84747755261867</v>
      </c>
      <c r="K768" t="str">
        <f t="shared" si="22"/>
        <v>Patrick Milligan</v>
      </c>
      <c r="M768" t="s">
        <v>1020</v>
      </c>
      <c r="N768" t="s">
        <v>1451</v>
      </c>
      <c r="O768" s="26">
        <v>1</v>
      </c>
      <c r="R768" t="s">
        <v>1121</v>
      </c>
      <c r="S768" s="26">
        <v>1</v>
      </c>
      <c r="U768" t="s">
        <v>1188</v>
      </c>
      <c r="V768" t="s">
        <v>1187</v>
      </c>
      <c r="W768" t="s">
        <v>1186</v>
      </c>
      <c r="X768" s="26">
        <v>1</v>
      </c>
    </row>
    <row r="769" spans="1:24" hidden="1" x14ac:dyDescent="0.35">
      <c r="A769">
        <f t="shared" si="23"/>
        <v>768</v>
      </c>
      <c r="B769">
        <v>2005</v>
      </c>
      <c r="C769" s="4" t="s">
        <v>263</v>
      </c>
      <c r="D769" s="4" t="s">
        <v>962</v>
      </c>
      <c r="E769" t="s">
        <v>944</v>
      </c>
      <c r="F769" s="17">
        <v>150</v>
      </c>
      <c r="G769" s="17">
        <v>10</v>
      </c>
      <c r="H769" t="s">
        <v>697</v>
      </c>
      <c r="I769" t="s">
        <v>200</v>
      </c>
      <c r="J769" s="13">
        <v>903.08998699194353</v>
      </c>
      <c r="K769" t="str">
        <f t="shared" si="22"/>
        <v>Rick Bevan</v>
      </c>
      <c r="N769" t="s">
        <v>28</v>
      </c>
      <c r="O769" s="26">
        <v>1</v>
      </c>
      <c r="R769" t="s">
        <v>1257</v>
      </c>
      <c r="S769" s="26">
        <v>5</v>
      </c>
      <c r="U769" t="s">
        <v>730</v>
      </c>
      <c r="V769" t="s">
        <v>729</v>
      </c>
      <c r="W769" t="s">
        <v>428</v>
      </c>
      <c r="X769" s="26">
        <v>1</v>
      </c>
    </row>
    <row r="770" spans="1:24" hidden="1" x14ac:dyDescent="0.35">
      <c r="A770">
        <f t="shared" si="23"/>
        <v>769</v>
      </c>
      <c r="B770">
        <v>2005</v>
      </c>
      <c r="C770" s="4" t="s">
        <v>263</v>
      </c>
      <c r="D770" s="4" t="s">
        <v>1051</v>
      </c>
      <c r="E770" t="s">
        <v>1051</v>
      </c>
      <c r="F770" s="17">
        <v>1060</v>
      </c>
      <c r="G770" s="17">
        <v>1</v>
      </c>
      <c r="H770" t="s">
        <v>148</v>
      </c>
      <c r="I770" t="s">
        <v>149</v>
      </c>
      <c r="J770" s="13">
        <v>1851.2583487190752</v>
      </c>
      <c r="K770" t="str">
        <f t="shared" ref="K770:K833" si="24">I770&amp;" "&amp;H770</f>
        <v>Alex Ziselman</v>
      </c>
      <c r="N770" t="s">
        <v>205</v>
      </c>
      <c r="O770" s="26">
        <v>2</v>
      </c>
      <c r="R770" t="s">
        <v>681</v>
      </c>
      <c r="S770" s="26">
        <v>4</v>
      </c>
      <c r="U770" t="s">
        <v>1651</v>
      </c>
      <c r="V770" t="s">
        <v>395</v>
      </c>
      <c r="W770" t="s">
        <v>394</v>
      </c>
      <c r="X770" s="26">
        <v>1</v>
      </c>
    </row>
    <row r="771" spans="1:24" hidden="1" x14ac:dyDescent="0.35">
      <c r="A771">
        <f t="shared" si="23"/>
        <v>770</v>
      </c>
      <c r="B771">
        <v>2005</v>
      </c>
      <c r="C771" s="4" t="s">
        <v>263</v>
      </c>
      <c r="D771" s="4" t="s">
        <v>1051</v>
      </c>
      <c r="E771" t="s">
        <v>1051</v>
      </c>
      <c r="F771" s="17">
        <v>850</v>
      </c>
      <c r="G771" s="17">
        <v>2</v>
      </c>
      <c r="H771" t="s">
        <v>593</v>
      </c>
      <c r="I771" t="s">
        <v>139</v>
      </c>
      <c r="J771" s="13">
        <v>1550.228353055094</v>
      </c>
      <c r="K771" t="str">
        <f t="shared" si="24"/>
        <v>Mark Trombley</v>
      </c>
      <c r="M771" t="s">
        <v>605</v>
      </c>
      <c r="N771" t="s">
        <v>153</v>
      </c>
      <c r="O771" s="26">
        <v>2</v>
      </c>
      <c r="R771" t="s">
        <v>183</v>
      </c>
      <c r="S771" s="26">
        <v>13</v>
      </c>
      <c r="U771" t="s">
        <v>761</v>
      </c>
      <c r="V771" t="s">
        <v>760</v>
      </c>
      <c r="W771" t="s">
        <v>759</v>
      </c>
      <c r="X771" s="26">
        <v>4</v>
      </c>
    </row>
    <row r="772" spans="1:24" hidden="1" x14ac:dyDescent="0.35">
      <c r="A772">
        <f t="shared" ref="A772:A835" si="25">A771+1</f>
        <v>771</v>
      </c>
      <c r="B772">
        <v>2005</v>
      </c>
      <c r="C772" s="4" t="s">
        <v>263</v>
      </c>
      <c r="D772" s="4" t="s">
        <v>1051</v>
      </c>
      <c r="E772" t="s">
        <v>1051</v>
      </c>
      <c r="F772" s="17">
        <v>640</v>
      </c>
      <c r="G772" s="17">
        <v>3</v>
      </c>
      <c r="H772" t="s">
        <v>629</v>
      </c>
      <c r="I772" t="s">
        <v>20</v>
      </c>
      <c r="J772" s="13">
        <v>1374.1370939994129</v>
      </c>
      <c r="K772" t="str">
        <f t="shared" si="24"/>
        <v>Barry Tanenbaum</v>
      </c>
      <c r="M772" t="s">
        <v>777</v>
      </c>
      <c r="N772" t="s">
        <v>139</v>
      </c>
      <c r="O772" s="26">
        <v>1</v>
      </c>
      <c r="Q772" t="s">
        <v>425</v>
      </c>
      <c r="R772" t="s">
        <v>1413</v>
      </c>
      <c r="S772" s="26">
        <v>1</v>
      </c>
      <c r="U772" t="s">
        <v>1707</v>
      </c>
      <c r="V772" t="s">
        <v>1345</v>
      </c>
      <c r="W772" t="s">
        <v>1344</v>
      </c>
      <c r="X772" s="26">
        <v>1</v>
      </c>
    </row>
    <row r="773" spans="1:24" hidden="1" x14ac:dyDescent="0.35">
      <c r="A773">
        <f t="shared" si="25"/>
        <v>772</v>
      </c>
      <c r="B773">
        <v>2005</v>
      </c>
      <c r="C773" s="4" t="s">
        <v>263</v>
      </c>
      <c r="D773" s="4" t="s">
        <v>1051</v>
      </c>
      <c r="E773" t="s">
        <v>1051</v>
      </c>
      <c r="F773" s="17">
        <v>510</v>
      </c>
      <c r="G773" s="17">
        <v>4</v>
      </c>
      <c r="H773" t="s">
        <v>1053</v>
      </c>
      <c r="I773" t="s">
        <v>128</v>
      </c>
      <c r="J773" s="13">
        <v>1249.1983573911129</v>
      </c>
      <c r="K773" t="str">
        <f t="shared" si="24"/>
        <v>Lee Crocker</v>
      </c>
      <c r="M773" t="s">
        <v>1460</v>
      </c>
      <c r="N773" t="s">
        <v>1461</v>
      </c>
      <c r="O773" s="26">
        <v>8</v>
      </c>
      <c r="R773" t="s">
        <v>424</v>
      </c>
      <c r="S773" s="26">
        <v>1</v>
      </c>
      <c r="U773" t="s">
        <v>2442</v>
      </c>
      <c r="V773" t="s">
        <v>2441</v>
      </c>
      <c r="W773" t="s">
        <v>2440</v>
      </c>
      <c r="X773" s="26">
        <v>1</v>
      </c>
    </row>
    <row r="774" spans="1:24" hidden="1" x14ac:dyDescent="0.35">
      <c r="A774">
        <f t="shared" si="25"/>
        <v>773</v>
      </c>
      <c r="B774">
        <v>2005</v>
      </c>
      <c r="C774" s="4" t="s">
        <v>263</v>
      </c>
      <c r="D774" s="4" t="s">
        <v>1051</v>
      </c>
      <c r="E774" t="s">
        <v>1051</v>
      </c>
      <c r="F774" s="17">
        <v>430</v>
      </c>
      <c r="G774" s="17">
        <v>5</v>
      </c>
      <c r="H774" t="s">
        <v>1133</v>
      </c>
      <c r="I774" t="s">
        <v>779</v>
      </c>
      <c r="J774" s="13">
        <v>1152.2883443830563</v>
      </c>
      <c r="K774" t="str">
        <f t="shared" si="24"/>
        <v>Joshua DeBoo</v>
      </c>
      <c r="M774" t="s">
        <v>870</v>
      </c>
      <c r="N774" t="s">
        <v>528</v>
      </c>
      <c r="O774" s="26">
        <v>8</v>
      </c>
      <c r="R774" t="s">
        <v>545</v>
      </c>
      <c r="S774" s="26">
        <v>8</v>
      </c>
      <c r="U774" t="s">
        <v>2375</v>
      </c>
      <c r="V774" t="s">
        <v>2374</v>
      </c>
      <c r="W774" t="s">
        <v>2373</v>
      </c>
      <c r="X774" s="26">
        <v>7</v>
      </c>
    </row>
    <row r="775" spans="1:24" hidden="1" x14ac:dyDescent="0.35">
      <c r="A775">
        <f t="shared" si="25"/>
        <v>774</v>
      </c>
      <c r="B775">
        <v>2005</v>
      </c>
      <c r="C775" s="4" t="s">
        <v>263</v>
      </c>
      <c r="D775" s="4" t="s">
        <v>1051</v>
      </c>
      <c r="E775" t="s">
        <v>1051</v>
      </c>
      <c r="F775" s="17">
        <v>340</v>
      </c>
      <c r="G775" s="17">
        <v>6</v>
      </c>
      <c r="H775" t="s">
        <v>601</v>
      </c>
      <c r="I775" t="s">
        <v>58</v>
      </c>
      <c r="J775" s="13">
        <v>1073.1070983354316</v>
      </c>
      <c r="K775" t="str">
        <f t="shared" si="24"/>
        <v>Jim Bullard</v>
      </c>
      <c r="M775" t="s">
        <v>831</v>
      </c>
      <c r="N775" t="s">
        <v>384</v>
      </c>
      <c r="O775" s="26">
        <v>5</v>
      </c>
      <c r="R775" t="s">
        <v>384</v>
      </c>
      <c r="S775" s="26">
        <v>1</v>
      </c>
      <c r="U775" t="s">
        <v>1558</v>
      </c>
      <c r="V775" t="s">
        <v>1171</v>
      </c>
      <c r="W775" t="s">
        <v>1170</v>
      </c>
      <c r="X775" s="26">
        <v>2</v>
      </c>
    </row>
    <row r="776" spans="1:24" hidden="1" x14ac:dyDescent="0.35">
      <c r="A776">
        <f t="shared" si="25"/>
        <v>775</v>
      </c>
      <c r="B776">
        <v>2005</v>
      </c>
      <c r="C776" s="4" t="s">
        <v>263</v>
      </c>
      <c r="D776" s="4" t="s">
        <v>1051</v>
      </c>
      <c r="E776" t="s">
        <v>1051</v>
      </c>
      <c r="F776" s="17">
        <v>260</v>
      </c>
      <c r="G776" s="17">
        <v>7</v>
      </c>
      <c r="H776" t="s">
        <v>74</v>
      </c>
      <c r="I776" t="s">
        <v>75</v>
      </c>
      <c r="J776" s="13">
        <v>1006.1603087048186</v>
      </c>
      <c r="K776" t="str">
        <f t="shared" si="24"/>
        <v>Sabyl Landrum</v>
      </c>
      <c r="M776" t="s">
        <v>570</v>
      </c>
      <c r="N776" t="s">
        <v>571</v>
      </c>
      <c r="O776" s="26">
        <v>1</v>
      </c>
      <c r="Q776" t="s">
        <v>162</v>
      </c>
      <c r="R776" t="s">
        <v>161</v>
      </c>
      <c r="S776" s="26">
        <v>19</v>
      </c>
      <c r="U776" t="s">
        <v>365</v>
      </c>
      <c r="V776" t="s">
        <v>364</v>
      </c>
      <c r="W776" t="s">
        <v>363</v>
      </c>
      <c r="X776" s="26">
        <v>19</v>
      </c>
    </row>
    <row r="777" spans="1:24" hidden="1" x14ac:dyDescent="0.35">
      <c r="A777">
        <f t="shared" si="25"/>
        <v>776</v>
      </c>
      <c r="B777">
        <v>2005</v>
      </c>
      <c r="C777" s="4" t="s">
        <v>263</v>
      </c>
      <c r="D777" s="4" t="s">
        <v>1051</v>
      </c>
      <c r="E777" t="s">
        <v>1051</v>
      </c>
      <c r="F777" s="17">
        <v>170</v>
      </c>
      <c r="G777" s="17">
        <v>8</v>
      </c>
      <c r="H777" t="s">
        <v>88</v>
      </c>
      <c r="I777" t="s">
        <v>89</v>
      </c>
      <c r="J777" s="13">
        <v>948.1683617271317</v>
      </c>
      <c r="K777" t="str">
        <f t="shared" si="24"/>
        <v>Ken Kubey</v>
      </c>
      <c r="M777" t="s">
        <v>1212</v>
      </c>
      <c r="N777" t="s">
        <v>1213</v>
      </c>
      <c r="O777" s="26">
        <v>1</v>
      </c>
      <c r="Q777" t="s">
        <v>495</v>
      </c>
      <c r="R777" t="s">
        <v>803</v>
      </c>
      <c r="S777" s="26">
        <v>4</v>
      </c>
      <c r="U777" t="s">
        <v>1530</v>
      </c>
      <c r="V777" t="s">
        <v>1521</v>
      </c>
      <c r="W777" t="s">
        <v>1520</v>
      </c>
      <c r="X777" s="26">
        <v>1</v>
      </c>
    </row>
    <row r="778" spans="1:24" hidden="1" x14ac:dyDescent="0.35">
      <c r="A778">
        <f t="shared" si="25"/>
        <v>777</v>
      </c>
      <c r="B778">
        <v>2005</v>
      </c>
      <c r="C778" s="4" t="s">
        <v>263</v>
      </c>
      <c r="D778" s="4" t="s">
        <v>45</v>
      </c>
      <c r="E778" t="s">
        <v>1429</v>
      </c>
      <c r="F778" s="17">
        <v>5050</v>
      </c>
      <c r="G778" s="17">
        <v>1</v>
      </c>
      <c r="H778" t="s">
        <v>890</v>
      </c>
      <c r="I778" t="s">
        <v>81</v>
      </c>
      <c r="J778" s="13">
        <v>2340.4441148401183</v>
      </c>
      <c r="K778" t="str">
        <f t="shared" si="24"/>
        <v>Don Perry</v>
      </c>
      <c r="M778" t="s">
        <v>1442</v>
      </c>
      <c r="N778" t="s">
        <v>737</v>
      </c>
      <c r="O778" s="26">
        <v>1</v>
      </c>
      <c r="Q778" t="s">
        <v>1187</v>
      </c>
      <c r="R778" t="s">
        <v>1186</v>
      </c>
      <c r="S778" s="26">
        <v>1</v>
      </c>
      <c r="U778" t="s">
        <v>1703</v>
      </c>
      <c r="V778" t="s">
        <v>1359</v>
      </c>
      <c r="W778" t="s">
        <v>1358</v>
      </c>
      <c r="X778" s="26">
        <v>1</v>
      </c>
    </row>
    <row r="779" spans="1:24" hidden="1" x14ac:dyDescent="0.35">
      <c r="A779">
        <f t="shared" si="25"/>
        <v>778</v>
      </c>
      <c r="B779">
        <v>2005</v>
      </c>
      <c r="C779" s="4" t="s">
        <v>263</v>
      </c>
      <c r="D779" s="4" t="s">
        <v>45</v>
      </c>
      <c r="E779" t="s">
        <v>1429</v>
      </c>
      <c r="F779" s="17">
        <v>4050</v>
      </c>
      <c r="G779" s="17">
        <v>2</v>
      </c>
      <c r="H779" t="s">
        <v>206</v>
      </c>
      <c r="I779" t="s">
        <v>207</v>
      </c>
      <c r="J779" s="13">
        <v>2039.4141191761373</v>
      </c>
      <c r="K779" t="str">
        <f t="shared" si="24"/>
        <v>Nick Christenson</v>
      </c>
      <c r="N779" t="s">
        <v>1444</v>
      </c>
      <c r="O779" s="26">
        <v>1</v>
      </c>
      <c r="Q779" t="s">
        <v>729</v>
      </c>
      <c r="R779" t="s">
        <v>428</v>
      </c>
      <c r="S779" s="26">
        <v>1</v>
      </c>
      <c r="U779" t="s">
        <v>1130</v>
      </c>
      <c r="V779" t="s">
        <v>492</v>
      </c>
      <c r="W779" t="s">
        <v>1129</v>
      </c>
      <c r="X779" s="26">
        <v>1</v>
      </c>
    </row>
    <row r="780" spans="1:24" hidden="1" x14ac:dyDescent="0.35">
      <c r="A780">
        <f t="shared" si="25"/>
        <v>779</v>
      </c>
      <c r="B780">
        <v>2005</v>
      </c>
      <c r="C780" s="4" t="s">
        <v>263</v>
      </c>
      <c r="D780" s="4" t="s">
        <v>45</v>
      </c>
      <c r="E780" t="s">
        <v>1429</v>
      </c>
      <c r="F780" s="17">
        <v>3040</v>
      </c>
      <c r="G780" s="17">
        <v>3</v>
      </c>
      <c r="H780" t="s">
        <v>1174</v>
      </c>
      <c r="I780" t="s">
        <v>196</v>
      </c>
      <c r="J780" s="13">
        <v>1863.3228601204562</v>
      </c>
      <c r="K780" t="str">
        <f t="shared" si="24"/>
        <v>Dave McVay</v>
      </c>
      <c r="M780" t="s">
        <v>1204</v>
      </c>
      <c r="N780" t="s">
        <v>269</v>
      </c>
      <c r="O780" s="26">
        <v>1</v>
      </c>
      <c r="Q780" t="s">
        <v>395</v>
      </c>
      <c r="R780" t="s">
        <v>128</v>
      </c>
      <c r="S780" s="26">
        <v>2</v>
      </c>
      <c r="U780" t="s">
        <v>1650</v>
      </c>
      <c r="V780" t="s">
        <v>492</v>
      </c>
      <c r="W780" t="s">
        <v>491</v>
      </c>
      <c r="X780" s="26">
        <v>1</v>
      </c>
    </row>
    <row r="781" spans="1:24" hidden="1" x14ac:dyDescent="0.35">
      <c r="A781">
        <f t="shared" si="25"/>
        <v>780</v>
      </c>
      <c r="B781">
        <v>2005</v>
      </c>
      <c r="C781" s="4" t="s">
        <v>263</v>
      </c>
      <c r="D781" s="4" t="s">
        <v>45</v>
      </c>
      <c r="E781" t="s">
        <v>1429</v>
      </c>
      <c r="F781" s="17">
        <v>2430</v>
      </c>
      <c r="G781" s="17">
        <v>4</v>
      </c>
      <c r="H781" t="s">
        <v>1175</v>
      </c>
      <c r="I781" t="s">
        <v>65</v>
      </c>
      <c r="J781" s="13">
        <v>1738.3841235121561</v>
      </c>
      <c r="K781" t="str">
        <f t="shared" si="24"/>
        <v>Steve Day</v>
      </c>
      <c r="M781" t="s">
        <v>1449</v>
      </c>
      <c r="N781" t="s">
        <v>1450</v>
      </c>
      <c r="O781" s="26">
        <v>1</v>
      </c>
      <c r="R781" t="s">
        <v>394</v>
      </c>
      <c r="S781" s="26">
        <v>1</v>
      </c>
      <c r="U781" t="s">
        <v>573</v>
      </c>
      <c r="V781" t="s">
        <v>492</v>
      </c>
      <c r="W781" t="s">
        <v>251</v>
      </c>
      <c r="X781" s="26">
        <v>1</v>
      </c>
    </row>
    <row r="782" spans="1:24" hidden="1" x14ac:dyDescent="0.35">
      <c r="A782">
        <f t="shared" si="25"/>
        <v>781</v>
      </c>
      <c r="B782">
        <v>2005</v>
      </c>
      <c r="C782" s="4" t="s">
        <v>263</v>
      </c>
      <c r="D782" s="4" t="s">
        <v>45</v>
      </c>
      <c r="E782" t="s">
        <v>1429</v>
      </c>
      <c r="F782" s="17">
        <v>2030</v>
      </c>
      <c r="G782" s="17">
        <v>5</v>
      </c>
      <c r="H782" t="s">
        <v>1177</v>
      </c>
      <c r="I782" t="s">
        <v>717</v>
      </c>
      <c r="J782" s="13">
        <v>1641.4741105040998</v>
      </c>
      <c r="K782" t="str">
        <f t="shared" si="24"/>
        <v>Ben Gamble</v>
      </c>
      <c r="M782" t="s">
        <v>240</v>
      </c>
      <c r="N782" t="s">
        <v>241</v>
      </c>
      <c r="O782" s="26">
        <v>4</v>
      </c>
      <c r="Q782" t="s">
        <v>760</v>
      </c>
      <c r="R782" t="s">
        <v>759</v>
      </c>
      <c r="S782" s="26">
        <v>4</v>
      </c>
      <c r="U782" t="s">
        <v>2387</v>
      </c>
      <c r="V782" t="s">
        <v>2386</v>
      </c>
      <c r="W782" t="s">
        <v>653</v>
      </c>
      <c r="X782" s="26">
        <v>2</v>
      </c>
    </row>
    <row r="783" spans="1:24" hidden="1" x14ac:dyDescent="0.35">
      <c r="A783">
        <f t="shared" si="25"/>
        <v>782</v>
      </c>
      <c r="B783">
        <v>2005</v>
      </c>
      <c r="C783" s="4" t="s">
        <v>263</v>
      </c>
      <c r="D783" s="4" t="s">
        <v>45</v>
      </c>
      <c r="E783" t="s">
        <v>1429</v>
      </c>
      <c r="F783" s="17">
        <v>1620</v>
      </c>
      <c r="G783" s="17">
        <v>6</v>
      </c>
      <c r="H783" t="s">
        <v>231</v>
      </c>
      <c r="I783" t="s">
        <v>232</v>
      </c>
      <c r="J783" s="13">
        <v>1562.2928644564749</v>
      </c>
      <c r="K783" t="str">
        <f t="shared" si="24"/>
        <v>Adam Bachrach</v>
      </c>
      <c r="M783" t="s">
        <v>402</v>
      </c>
      <c r="N783" t="s">
        <v>401</v>
      </c>
      <c r="O783" s="26">
        <v>2</v>
      </c>
      <c r="Q783" t="s">
        <v>1345</v>
      </c>
      <c r="R783" t="s">
        <v>1344</v>
      </c>
      <c r="S783" s="26">
        <v>1</v>
      </c>
      <c r="U783" t="s">
        <v>2504</v>
      </c>
      <c r="V783" t="s">
        <v>1514</v>
      </c>
      <c r="W783" t="s">
        <v>2398</v>
      </c>
      <c r="X783" s="26">
        <v>1</v>
      </c>
    </row>
    <row r="784" spans="1:24" hidden="1" x14ac:dyDescent="0.35">
      <c r="A784">
        <f t="shared" si="25"/>
        <v>783</v>
      </c>
      <c r="B784">
        <v>2005</v>
      </c>
      <c r="C784" s="4" t="s">
        <v>263</v>
      </c>
      <c r="D784" s="4" t="s">
        <v>45</v>
      </c>
      <c r="E784" t="s">
        <v>1429</v>
      </c>
      <c r="F784" s="17">
        <v>1220</v>
      </c>
      <c r="G784" s="17">
        <v>7</v>
      </c>
      <c r="H784" t="s">
        <v>1179</v>
      </c>
      <c r="I784" t="s">
        <v>1180</v>
      </c>
      <c r="J784" s="13">
        <v>1495.3460748258615</v>
      </c>
      <c r="K784" t="str">
        <f t="shared" si="24"/>
        <v>Jonathon Lieberman</v>
      </c>
      <c r="M784" t="s">
        <v>1305</v>
      </c>
      <c r="N784" t="s">
        <v>1306</v>
      </c>
      <c r="O784" s="26">
        <v>1</v>
      </c>
      <c r="Q784" t="s">
        <v>2441</v>
      </c>
      <c r="R784" t="s">
        <v>2440</v>
      </c>
      <c r="S784" s="26">
        <v>1</v>
      </c>
      <c r="U784" t="s">
        <v>2509</v>
      </c>
      <c r="V784" t="s">
        <v>71</v>
      </c>
      <c r="W784" t="s">
        <v>251</v>
      </c>
      <c r="X784" s="26">
        <v>3</v>
      </c>
    </row>
    <row r="785" spans="1:24" hidden="1" x14ac:dyDescent="0.35">
      <c r="A785">
        <f t="shared" si="25"/>
        <v>784</v>
      </c>
      <c r="B785">
        <v>2005</v>
      </c>
      <c r="C785" s="4" t="s">
        <v>263</v>
      </c>
      <c r="D785" s="4" t="s">
        <v>45</v>
      </c>
      <c r="E785" t="s">
        <v>1429</v>
      </c>
      <c r="F785" s="17">
        <v>810</v>
      </c>
      <c r="G785" s="17">
        <v>8</v>
      </c>
      <c r="H785" t="s">
        <v>304</v>
      </c>
      <c r="I785" t="s">
        <v>65</v>
      </c>
      <c r="J785" s="13">
        <v>1437.354127848175</v>
      </c>
      <c r="K785" t="str">
        <f t="shared" si="24"/>
        <v>Steve Pierce</v>
      </c>
      <c r="M785" t="s">
        <v>1040</v>
      </c>
      <c r="N785" t="s">
        <v>77</v>
      </c>
      <c r="O785" s="26">
        <v>1</v>
      </c>
      <c r="Q785" t="s">
        <v>2374</v>
      </c>
      <c r="R785" t="s">
        <v>2373</v>
      </c>
      <c r="S785" s="26">
        <v>7</v>
      </c>
      <c r="U785" t="s">
        <v>2547</v>
      </c>
      <c r="V785" t="s">
        <v>252</v>
      </c>
      <c r="W785" t="s">
        <v>880</v>
      </c>
      <c r="X785" s="26">
        <v>2</v>
      </c>
    </row>
    <row r="786" spans="1:24" hidden="1" x14ac:dyDescent="0.35">
      <c r="A786">
        <f t="shared" si="25"/>
        <v>785</v>
      </c>
      <c r="B786">
        <v>2005</v>
      </c>
      <c r="C786" s="4" t="s">
        <v>263</v>
      </c>
      <c r="D786" s="4" t="s">
        <v>45</v>
      </c>
      <c r="E786" t="s">
        <v>1429</v>
      </c>
      <c r="F786" s="17">
        <v>300</v>
      </c>
      <c r="G786" s="17">
        <v>9</v>
      </c>
      <c r="H786" t="s">
        <v>1182</v>
      </c>
      <c r="I786" t="s">
        <v>71</v>
      </c>
      <c r="J786" s="13">
        <v>1386.2016054007938</v>
      </c>
      <c r="K786" t="str">
        <f t="shared" si="24"/>
        <v>Scott Burrington</v>
      </c>
      <c r="M786" t="s">
        <v>1223</v>
      </c>
      <c r="N786" t="s">
        <v>65</v>
      </c>
      <c r="O786" s="26">
        <v>5</v>
      </c>
      <c r="Q786" t="s">
        <v>1171</v>
      </c>
      <c r="R786" t="s">
        <v>1170</v>
      </c>
      <c r="S786" s="26">
        <v>2</v>
      </c>
      <c r="U786" t="s">
        <v>2552</v>
      </c>
      <c r="V786" t="s">
        <v>717</v>
      </c>
      <c r="W786" t="s">
        <v>72</v>
      </c>
      <c r="X786" s="26">
        <v>1</v>
      </c>
    </row>
    <row r="787" spans="1:24" hidden="1" x14ac:dyDescent="0.35">
      <c r="A787">
        <f t="shared" si="25"/>
        <v>786</v>
      </c>
      <c r="B787">
        <v>2005</v>
      </c>
      <c r="C787" s="4" t="s">
        <v>263</v>
      </c>
      <c r="D787" s="4" t="s">
        <v>45</v>
      </c>
      <c r="E787" t="s">
        <v>1429</v>
      </c>
      <c r="F787" s="17">
        <v>200</v>
      </c>
      <c r="G787" s="17">
        <v>10</v>
      </c>
      <c r="H787" t="s">
        <v>601</v>
      </c>
      <c r="I787" t="s">
        <v>58</v>
      </c>
      <c r="J787" s="13">
        <v>1340.4441148401186</v>
      </c>
      <c r="K787" t="str">
        <f t="shared" si="24"/>
        <v>Jim Bullard</v>
      </c>
      <c r="M787" t="s">
        <v>2313</v>
      </c>
      <c r="N787" t="s">
        <v>1011</v>
      </c>
      <c r="O787" s="26">
        <v>2</v>
      </c>
      <c r="Q787" t="s">
        <v>364</v>
      </c>
      <c r="R787" t="s">
        <v>363</v>
      </c>
      <c r="S787" s="26">
        <v>19</v>
      </c>
      <c r="U787" t="s">
        <v>2570</v>
      </c>
      <c r="V787" t="s">
        <v>2569</v>
      </c>
      <c r="W787" t="s">
        <v>436</v>
      </c>
      <c r="X787" s="26">
        <v>1</v>
      </c>
    </row>
    <row r="788" spans="1:24" hidden="1" x14ac:dyDescent="0.35">
      <c r="A788">
        <f t="shared" si="25"/>
        <v>787</v>
      </c>
      <c r="B788">
        <v>2005</v>
      </c>
      <c r="C788" s="4" t="s">
        <v>263</v>
      </c>
      <c r="D788" s="4" t="s">
        <v>45</v>
      </c>
      <c r="E788" t="s">
        <v>1429</v>
      </c>
      <c r="F788" s="17">
        <v>200</v>
      </c>
      <c r="G788" s="17">
        <v>11</v>
      </c>
      <c r="H788" t="s">
        <v>1184</v>
      </c>
      <c r="I788" t="s">
        <v>737</v>
      </c>
      <c r="J788" s="13">
        <v>1299.0514296818933</v>
      </c>
      <c r="K788" t="str">
        <f t="shared" si="24"/>
        <v>Lawrence Leahy</v>
      </c>
      <c r="M788" t="s">
        <v>1423</v>
      </c>
      <c r="N788" t="s">
        <v>89</v>
      </c>
      <c r="O788" s="26">
        <v>1</v>
      </c>
      <c r="Q788" t="s">
        <v>1521</v>
      </c>
      <c r="R788" t="s">
        <v>1520</v>
      </c>
      <c r="S788" s="26">
        <v>1</v>
      </c>
      <c r="U788" t="s">
        <v>2577</v>
      </c>
      <c r="V788" t="s">
        <v>64</v>
      </c>
      <c r="W788" t="s">
        <v>50</v>
      </c>
      <c r="X788" s="26">
        <v>1</v>
      </c>
    </row>
    <row r="789" spans="1:24" hidden="1" x14ac:dyDescent="0.35">
      <c r="A789">
        <f t="shared" si="25"/>
        <v>788</v>
      </c>
      <c r="B789">
        <v>2005</v>
      </c>
      <c r="C789" s="4" t="s">
        <v>263</v>
      </c>
      <c r="D789" s="4" t="s">
        <v>45</v>
      </c>
      <c r="E789" t="s">
        <v>1429</v>
      </c>
      <c r="F789" s="17">
        <v>200</v>
      </c>
      <c r="G789" s="17">
        <v>12</v>
      </c>
      <c r="H789" t="s">
        <v>238</v>
      </c>
      <c r="I789" t="s">
        <v>375</v>
      </c>
      <c r="J789" s="13">
        <v>1261.2628687924937</v>
      </c>
      <c r="K789" t="str">
        <f t="shared" si="24"/>
        <v>Jessica Kuznick</v>
      </c>
      <c r="M789" t="s">
        <v>1200</v>
      </c>
      <c r="N789" t="s">
        <v>44</v>
      </c>
      <c r="O789" s="26">
        <v>1</v>
      </c>
      <c r="Q789" t="s">
        <v>1359</v>
      </c>
      <c r="R789" t="s">
        <v>1358</v>
      </c>
      <c r="S789" s="26">
        <v>1</v>
      </c>
      <c r="U789" t="s">
        <v>2580</v>
      </c>
      <c r="V789" t="s">
        <v>665</v>
      </c>
      <c r="W789" t="s">
        <v>773</v>
      </c>
      <c r="X789" s="26">
        <v>2</v>
      </c>
    </row>
    <row r="790" spans="1:24" hidden="1" x14ac:dyDescent="0.35">
      <c r="A790">
        <f t="shared" si="25"/>
        <v>789</v>
      </c>
      <c r="B790">
        <v>2005</v>
      </c>
      <c r="C790" s="4" t="s">
        <v>263</v>
      </c>
      <c r="D790" s="4" t="s">
        <v>45</v>
      </c>
      <c r="E790" t="s">
        <v>1429</v>
      </c>
      <c r="F790" s="17">
        <v>150</v>
      </c>
      <c r="G790" s="17">
        <v>13</v>
      </c>
      <c r="H790" t="s">
        <v>974</v>
      </c>
      <c r="I790" t="s">
        <v>353</v>
      </c>
      <c r="J790" s="13">
        <v>1226.5007625332819</v>
      </c>
      <c r="K790" t="str">
        <f t="shared" si="24"/>
        <v>Frank Brabec</v>
      </c>
      <c r="M790" t="s">
        <v>1152</v>
      </c>
      <c r="N790" t="s">
        <v>388</v>
      </c>
      <c r="O790" s="26">
        <v>3</v>
      </c>
      <c r="Q790" t="s">
        <v>492</v>
      </c>
      <c r="R790" t="s">
        <v>1129</v>
      </c>
      <c r="S790" s="26">
        <v>1</v>
      </c>
      <c r="U790" t="s">
        <v>2643</v>
      </c>
      <c r="V790" t="s">
        <v>1073</v>
      </c>
      <c r="W790" t="s">
        <v>135</v>
      </c>
      <c r="X790" s="26">
        <v>4</v>
      </c>
    </row>
    <row r="791" spans="1:24" hidden="1" x14ac:dyDescent="0.35">
      <c r="A791">
        <f t="shared" si="25"/>
        <v>790</v>
      </c>
      <c r="B791">
        <v>2005</v>
      </c>
      <c r="C791" s="4" t="s">
        <v>263</v>
      </c>
      <c r="D791" s="4" t="s">
        <v>45</v>
      </c>
      <c r="E791" t="s">
        <v>1429</v>
      </c>
      <c r="F791" s="17">
        <v>150</v>
      </c>
      <c r="G791" s="17">
        <v>14</v>
      </c>
      <c r="H791" t="s">
        <v>1186</v>
      </c>
      <c r="I791" t="s">
        <v>1187</v>
      </c>
      <c r="J791" s="13">
        <v>1194.3160791618805</v>
      </c>
      <c r="K791" t="str">
        <f t="shared" si="24"/>
        <v>Trent Gresh</v>
      </c>
      <c r="M791" t="s">
        <v>41</v>
      </c>
      <c r="N791" t="s">
        <v>42</v>
      </c>
      <c r="O791" s="26">
        <v>2</v>
      </c>
      <c r="R791" t="s">
        <v>491</v>
      </c>
      <c r="S791" s="26">
        <v>1</v>
      </c>
      <c r="U791" t="s">
        <v>2680</v>
      </c>
      <c r="V791" t="s">
        <v>846</v>
      </c>
      <c r="W791" t="s">
        <v>80</v>
      </c>
      <c r="X791" s="26">
        <v>1</v>
      </c>
    </row>
    <row r="792" spans="1:24" hidden="1" x14ac:dyDescent="0.35">
      <c r="A792">
        <f t="shared" si="25"/>
        <v>791</v>
      </c>
      <c r="B792">
        <v>2005</v>
      </c>
      <c r="C792" s="4" t="s">
        <v>263</v>
      </c>
      <c r="D792" s="4" t="s">
        <v>45</v>
      </c>
      <c r="E792" t="s">
        <v>1429</v>
      </c>
      <c r="F792" s="17">
        <v>150</v>
      </c>
      <c r="G792" s="17">
        <v>15</v>
      </c>
      <c r="H792" t="s">
        <v>477</v>
      </c>
      <c r="I792" t="s">
        <v>136</v>
      </c>
      <c r="J792" s="13">
        <v>1164.3528557844372</v>
      </c>
      <c r="K792" t="str">
        <f t="shared" si="24"/>
        <v>John Lloyd</v>
      </c>
      <c r="M792" t="s">
        <v>148</v>
      </c>
      <c r="N792" t="s">
        <v>149</v>
      </c>
      <c r="O792" s="26">
        <v>10</v>
      </c>
      <c r="R792" t="s">
        <v>251</v>
      </c>
      <c r="S792" s="26">
        <v>1</v>
      </c>
      <c r="U792" t="s">
        <v>2685</v>
      </c>
      <c r="V792" t="s">
        <v>384</v>
      </c>
      <c r="W792" t="s">
        <v>1301</v>
      </c>
      <c r="X792" s="26">
        <v>1</v>
      </c>
    </row>
    <row r="793" spans="1:24" hidden="1" x14ac:dyDescent="0.35">
      <c r="A793">
        <f t="shared" si="25"/>
        <v>792</v>
      </c>
      <c r="B793">
        <v>2005</v>
      </c>
      <c r="C793" s="4" t="s">
        <v>263</v>
      </c>
      <c r="D793" s="4" t="s">
        <v>45</v>
      </c>
      <c r="E793" t="s">
        <v>1429</v>
      </c>
      <c r="F793" s="17">
        <v>100</v>
      </c>
      <c r="G793" s="17">
        <v>16</v>
      </c>
      <c r="H793" t="s">
        <v>512</v>
      </c>
      <c r="I793" t="s">
        <v>67</v>
      </c>
      <c r="J793" s="13">
        <v>1136.3241321841938</v>
      </c>
      <c r="K793" t="str">
        <f t="shared" si="24"/>
        <v>Bob Irons</v>
      </c>
      <c r="M793" t="s">
        <v>1172</v>
      </c>
      <c r="N793" t="s">
        <v>11</v>
      </c>
      <c r="O793" s="26">
        <v>4</v>
      </c>
      <c r="Q793" t="s">
        <v>2386</v>
      </c>
      <c r="R793" t="s">
        <v>653</v>
      </c>
      <c r="S793" s="26">
        <v>2</v>
      </c>
      <c r="U793" t="s">
        <v>2702</v>
      </c>
      <c r="V793" t="s">
        <v>395</v>
      </c>
      <c r="W793" t="s">
        <v>128</v>
      </c>
      <c r="X793" s="26">
        <v>2</v>
      </c>
    </row>
    <row r="794" spans="1:24" hidden="1" x14ac:dyDescent="0.35">
      <c r="A794">
        <f t="shared" si="25"/>
        <v>793</v>
      </c>
      <c r="B794">
        <v>2005</v>
      </c>
      <c r="C794" s="4" t="s">
        <v>263</v>
      </c>
      <c r="D794" s="4" t="s">
        <v>45</v>
      </c>
      <c r="E794" t="s">
        <v>1429</v>
      </c>
      <c r="F794" s="17">
        <v>100</v>
      </c>
      <c r="G794" s="17">
        <v>17</v>
      </c>
      <c r="H794" t="s">
        <v>1021</v>
      </c>
      <c r="I794" t="s">
        <v>1022</v>
      </c>
      <c r="J794" s="13">
        <v>1109.9951934618446</v>
      </c>
      <c r="K794" t="str">
        <f t="shared" si="24"/>
        <v>Mitch Firestone</v>
      </c>
    </row>
    <row r="795" spans="1:24" hidden="1" x14ac:dyDescent="0.35">
      <c r="A795">
        <f t="shared" si="25"/>
        <v>794</v>
      </c>
      <c r="B795">
        <v>2005</v>
      </c>
      <c r="C795" s="4" t="s">
        <v>263</v>
      </c>
      <c r="D795" s="4" t="s">
        <v>45</v>
      </c>
      <c r="E795" t="s">
        <v>1429</v>
      </c>
      <c r="F795" s="17">
        <v>100</v>
      </c>
      <c r="G795" s="17">
        <v>18</v>
      </c>
      <c r="H795" t="s">
        <v>968</v>
      </c>
      <c r="I795" t="s">
        <v>701</v>
      </c>
      <c r="J795" s="13">
        <v>1085.1716097368126</v>
      </c>
      <c r="K795" t="str">
        <f t="shared" si="24"/>
        <v>Bryan Juliano</v>
      </c>
    </row>
    <row r="796" spans="1:24" hidden="1" x14ac:dyDescent="0.35">
      <c r="A796">
        <f t="shared" si="25"/>
        <v>795</v>
      </c>
      <c r="B796">
        <v>2005</v>
      </c>
      <c r="C796" s="4" t="s">
        <v>263</v>
      </c>
      <c r="D796" s="4" t="s">
        <v>1166</v>
      </c>
      <c r="E796" t="s">
        <v>133</v>
      </c>
      <c r="F796" s="17">
        <v>500</v>
      </c>
      <c r="G796" s="17">
        <v>1</v>
      </c>
      <c r="H796" t="s">
        <v>1719</v>
      </c>
      <c r="I796" t="s">
        <v>524</v>
      </c>
      <c r="J796" s="13">
        <v>1698.9700043360187</v>
      </c>
      <c r="K796" t="str">
        <f t="shared" si="24"/>
        <v>Guy Berentsen</v>
      </c>
    </row>
    <row r="797" spans="1:24" hidden="1" x14ac:dyDescent="0.35">
      <c r="A797">
        <f t="shared" si="25"/>
        <v>796</v>
      </c>
      <c r="B797">
        <v>2005</v>
      </c>
      <c r="C797" s="4" t="s">
        <v>263</v>
      </c>
      <c r="D797" s="4" t="s">
        <v>1166</v>
      </c>
      <c r="E797" t="s">
        <v>133</v>
      </c>
      <c r="F797" s="17">
        <v>400</v>
      </c>
      <c r="G797" s="17">
        <v>2</v>
      </c>
      <c r="H797" t="s">
        <v>1167</v>
      </c>
      <c r="I797" t="s">
        <v>1168</v>
      </c>
      <c r="J797" s="13">
        <v>1397.9400086720375</v>
      </c>
      <c r="K797" t="str">
        <f t="shared" si="24"/>
        <v>Sarah Boston</v>
      </c>
    </row>
    <row r="798" spans="1:24" hidden="1" x14ac:dyDescent="0.35">
      <c r="A798">
        <f t="shared" si="25"/>
        <v>797</v>
      </c>
      <c r="B798">
        <v>2005</v>
      </c>
      <c r="C798" s="4" t="s">
        <v>263</v>
      </c>
      <c r="D798" s="4" t="s">
        <v>1166</v>
      </c>
      <c r="E798" t="s">
        <v>133</v>
      </c>
      <c r="F798" s="17">
        <v>300</v>
      </c>
      <c r="G798" s="17">
        <v>3</v>
      </c>
      <c r="H798" t="s">
        <v>1008</v>
      </c>
      <c r="I798" t="s">
        <v>768</v>
      </c>
      <c r="J798" s="13">
        <v>1221.8487496163564</v>
      </c>
      <c r="K798" t="str">
        <f t="shared" si="24"/>
        <v>Matthew Kursar</v>
      </c>
    </row>
    <row r="799" spans="1:24" hidden="1" x14ac:dyDescent="0.35">
      <c r="A799">
        <f t="shared" si="25"/>
        <v>798</v>
      </c>
      <c r="B799">
        <v>2005</v>
      </c>
      <c r="C799" s="4" t="s">
        <v>263</v>
      </c>
      <c r="D799" s="4" t="s">
        <v>1166</v>
      </c>
      <c r="E799" t="s">
        <v>133</v>
      </c>
      <c r="F799" s="17">
        <v>250</v>
      </c>
      <c r="G799" s="17">
        <v>4</v>
      </c>
      <c r="H799" t="s">
        <v>231</v>
      </c>
      <c r="I799" t="s">
        <v>232</v>
      </c>
      <c r="J799" s="13">
        <v>1096.9100130080562</v>
      </c>
      <c r="K799" t="str">
        <f t="shared" si="24"/>
        <v>Adam Bachrach</v>
      </c>
    </row>
    <row r="800" spans="1:24" hidden="1" x14ac:dyDescent="0.35">
      <c r="A800">
        <f t="shared" si="25"/>
        <v>799</v>
      </c>
      <c r="B800">
        <v>2005</v>
      </c>
      <c r="C800" s="4" t="s">
        <v>263</v>
      </c>
      <c r="D800" s="4" t="s">
        <v>1166</v>
      </c>
      <c r="E800" t="s">
        <v>133</v>
      </c>
      <c r="F800" s="17">
        <v>200</v>
      </c>
      <c r="G800" s="17">
        <v>5</v>
      </c>
      <c r="H800" t="s">
        <v>35</v>
      </c>
      <c r="I800" t="s">
        <v>36</v>
      </c>
      <c r="J800" s="13">
        <v>1000</v>
      </c>
      <c r="K800" t="str">
        <f t="shared" si="24"/>
        <v>Nolan Dalla</v>
      </c>
    </row>
    <row r="801" spans="1:11" hidden="1" x14ac:dyDescent="0.35">
      <c r="A801">
        <f t="shared" si="25"/>
        <v>800</v>
      </c>
      <c r="B801">
        <v>2005</v>
      </c>
      <c r="C801" s="4" t="s">
        <v>263</v>
      </c>
      <c r="D801" s="4" t="s">
        <v>1166</v>
      </c>
      <c r="E801" t="s">
        <v>133</v>
      </c>
      <c r="F801" s="17">
        <v>150</v>
      </c>
      <c r="G801" s="17">
        <v>6</v>
      </c>
      <c r="H801" t="s">
        <v>764</v>
      </c>
      <c r="I801" t="s">
        <v>765</v>
      </c>
      <c r="J801" s="13">
        <v>920.81875395237512</v>
      </c>
      <c r="K801" t="str">
        <f t="shared" si="24"/>
        <v>Michelle Ankenman</v>
      </c>
    </row>
    <row r="802" spans="1:11" hidden="1" x14ac:dyDescent="0.35">
      <c r="A802">
        <f t="shared" si="25"/>
        <v>801</v>
      </c>
      <c r="B802">
        <v>2005</v>
      </c>
      <c r="C802" s="4" t="s">
        <v>263</v>
      </c>
      <c r="D802" s="4" t="s">
        <v>1166</v>
      </c>
      <c r="E802" t="s">
        <v>133</v>
      </c>
      <c r="F802" s="17">
        <v>100</v>
      </c>
      <c r="G802" s="17">
        <v>7</v>
      </c>
      <c r="H802" t="s">
        <v>692</v>
      </c>
      <c r="I802" t="s">
        <v>200</v>
      </c>
      <c r="J802" s="13">
        <v>853.87196432176188</v>
      </c>
      <c r="K802" t="str">
        <f t="shared" si="24"/>
        <v>Rick Monbourquette</v>
      </c>
    </row>
    <row r="803" spans="1:11" hidden="1" x14ac:dyDescent="0.35">
      <c r="A803">
        <f t="shared" si="25"/>
        <v>802</v>
      </c>
      <c r="B803">
        <v>2005</v>
      </c>
      <c r="C803" s="4" t="s">
        <v>263</v>
      </c>
      <c r="D803" s="4" t="s">
        <v>1166</v>
      </c>
      <c r="E803" t="s">
        <v>133</v>
      </c>
      <c r="F803" s="17">
        <v>60</v>
      </c>
      <c r="G803" s="17">
        <v>8</v>
      </c>
      <c r="H803" t="s">
        <v>86</v>
      </c>
      <c r="I803" t="s">
        <v>271</v>
      </c>
      <c r="J803" s="13">
        <v>795.88001734407521</v>
      </c>
      <c r="K803" t="str">
        <f t="shared" si="24"/>
        <v>Dan Goldman</v>
      </c>
    </row>
    <row r="804" spans="1:11" hidden="1" x14ac:dyDescent="0.35">
      <c r="A804">
        <f t="shared" si="25"/>
        <v>803</v>
      </c>
      <c r="B804">
        <v>2005</v>
      </c>
      <c r="C804" s="4" t="s">
        <v>263</v>
      </c>
      <c r="D804" s="4" t="s">
        <v>1166</v>
      </c>
      <c r="E804" t="s">
        <v>133</v>
      </c>
      <c r="F804" s="17">
        <v>40</v>
      </c>
      <c r="G804" s="17">
        <v>9</v>
      </c>
      <c r="H804" t="s">
        <v>629</v>
      </c>
      <c r="I804" t="s">
        <v>20</v>
      </c>
      <c r="J804" s="13">
        <v>744.72749489669388</v>
      </c>
      <c r="K804" t="str">
        <f t="shared" si="24"/>
        <v>Barry Tanenbaum</v>
      </c>
    </row>
    <row r="805" spans="1:11" hidden="1" x14ac:dyDescent="0.35">
      <c r="A805">
        <f t="shared" si="25"/>
        <v>804</v>
      </c>
      <c r="B805">
        <v>2005</v>
      </c>
      <c r="C805" s="4" t="s">
        <v>263</v>
      </c>
      <c r="D805" s="4" t="s">
        <v>110</v>
      </c>
      <c r="E805" t="s">
        <v>1430</v>
      </c>
      <c r="F805" s="17">
        <v>2975</v>
      </c>
      <c r="G805" s="17">
        <v>1</v>
      </c>
      <c r="H805" t="s">
        <v>906</v>
      </c>
      <c r="I805" t="s">
        <v>44</v>
      </c>
      <c r="J805" s="13">
        <v>2201.3971243204514</v>
      </c>
      <c r="K805" t="str">
        <f t="shared" si="24"/>
        <v>Mike Osborne</v>
      </c>
    </row>
    <row r="806" spans="1:11" hidden="1" x14ac:dyDescent="0.35">
      <c r="A806">
        <f t="shared" si="25"/>
        <v>805</v>
      </c>
      <c r="B806">
        <v>2005</v>
      </c>
      <c r="C806" s="4" t="s">
        <v>263</v>
      </c>
      <c r="D806" s="4" t="s">
        <v>110</v>
      </c>
      <c r="E806" t="s">
        <v>1430</v>
      </c>
      <c r="F806" s="17">
        <v>2390</v>
      </c>
      <c r="G806" s="17">
        <v>2</v>
      </c>
      <c r="H806" t="s">
        <v>238</v>
      </c>
      <c r="I806" t="s">
        <v>16</v>
      </c>
      <c r="J806" s="13">
        <v>1900.36712865647</v>
      </c>
      <c r="K806" t="str">
        <f t="shared" si="24"/>
        <v>David Kuznick</v>
      </c>
    </row>
    <row r="807" spans="1:11" hidden="1" x14ac:dyDescent="0.35">
      <c r="A807">
        <f t="shared" si="25"/>
        <v>806</v>
      </c>
      <c r="B807">
        <v>2005</v>
      </c>
      <c r="C807" s="4" t="s">
        <v>263</v>
      </c>
      <c r="D807" s="4" t="s">
        <v>110</v>
      </c>
      <c r="E807" t="s">
        <v>1430</v>
      </c>
      <c r="F807" s="17">
        <v>1790</v>
      </c>
      <c r="G807" s="17">
        <v>3</v>
      </c>
      <c r="H807" t="s">
        <v>74</v>
      </c>
      <c r="I807" t="s">
        <v>75</v>
      </c>
      <c r="J807" s="13">
        <v>1724.2758696007888</v>
      </c>
      <c r="K807" t="str">
        <f t="shared" si="24"/>
        <v>Sabyl Landrum</v>
      </c>
    </row>
    <row r="808" spans="1:11" hidden="1" x14ac:dyDescent="0.35">
      <c r="A808">
        <f t="shared" si="25"/>
        <v>807</v>
      </c>
      <c r="B808">
        <v>2005</v>
      </c>
      <c r="C808" s="4" t="s">
        <v>263</v>
      </c>
      <c r="D808" s="4" t="s">
        <v>110</v>
      </c>
      <c r="E808" t="s">
        <v>1430</v>
      </c>
      <c r="F808" s="17">
        <v>1490</v>
      </c>
      <c r="G808" s="17">
        <v>4</v>
      </c>
      <c r="H808" t="s">
        <v>692</v>
      </c>
      <c r="I808" t="s">
        <v>200</v>
      </c>
      <c r="J808" s="13">
        <v>1599.3371329924887</v>
      </c>
      <c r="K808" t="str">
        <f t="shared" si="24"/>
        <v>Rick Monbourquette</v>
      </c>
    </row>
    <row r="809" spans="1:11" hidden="1" x14ac:dyDescent="0.35">
      <c r="A809">
        <f t="shared" si="25"/>
        <v>808</v>
      </c>
      <c r="B809">
        <v>2005</v>
      </c>
      <c r="C809" s="4" t="s">
        <v>263</v>
      </c>
      <c r="D809" s="4" t="s">
        <v>110</v>
      </c>
      <c r="E809" t="s">
        <v>1430</v>
      </c>
      <c r="F809" s="17">
        <v>1190</v>
      </c>
      <c r="G809" s="17">
        <v>5</v>
      </c>
      <c r="H809" t="s">
        <v>1169</v>
      </c>
      <c r="I809" t="s">
        <v>56</v>
      </c>
      <c r="J809" s="13">
        <v>1502.4271199844325</v>
      </c>
      <c r="K809" t="str">
        <f t="shared" si="24"/>
        <v>Brandon Schaeffer</v>
      </c>
    </row>
    <row r="810" spans="1:11" hidden="1" x14ac:dyDescent="0.35">
      <c r="A810">
        <f t="shared" si="25"/>
        <v>809</v>
      </c>
      <c r="B810">
        <v>2005</v>
      </c>
      <c r="C810" s="4" t="s">
        <v>263</v>
      </c>
      <c r="D810" s="4" t="s">
        <v>110</v>
      </c>
      <c r="E810" t="s">
        <v>1430</v>
      </c>
      <c r="F810" s="17">
        <v>890</v>
      </c>
      <c r="G810" s="17">
        <v>6</v>
      </c>
      <c r="H810" t="s">
        <v>1052</v>
      </c>
      <c r="I810" t="s">
        <v>28</v>
      </c>
      <c r="J810" s="13">
        <v>1423.2458739368076</v>
      </c>
      <c r="K810" t="str">
        <f t="shared" si="24"/>
        <v>Chris Mlinarich</v>
      </c>
    </row>
    <row r="811" spans="1:11" hidden="1" x14ac:dyDescent="0.35">
      <c r="A811">
        <f t="shared" si="25"/>
        <v>810</v>
      </c>
      <c r="B811">
        <v>2005</v>
      </c>
      <c r="C811" s="4" t="s">
        <v>263</v>
      </c>
      <c r="D811" s="4" t="s">
        <v>110</v>
      </c>
      <c r="E811" t="s">
        <v>1430</v>
      </c>
      <c r="F811" s="17">
        <v>600</v>
      </c>
      <c r="G811" s="17">
        <v>7</v>
      </c>
      <c r="H811" t="s">
        <v>1170</v>
      </c>
      <c r="I811" t="s">
        <v>1171</v>
      </c>
      <c r="J811" s="13">
        <v>1356.2990843061943</v>
      </c>
      <c r="K811" t="str">
        <f t="shared" si="24"/>
        <v>Walter Hunt</v>
      </c>
    </row>
    <row r="812" spans="1:11" hidden="1" x14ac:dyDescent="0.35">
      <c r="A812">
        <f t="shared" si="25"/>
        <v>811</v>
      </c>
      <c r="B812">
        <v>2005</v>
      </c>
      <c r="C812" s="4" t="s">
        <v>263</v>
      </c>
      <c r="D812" s="4" t="s">
        <v>110</v>
      </c>
      <c r="E812" t="s">
        <v>1430</v>
      </c>
      <c r="F812" s="17">
        <v>360</v>
      </c>
      <c r="G812" s="17">
        <v>8</v>
      </c>
      <c r="H812" t="s">
        <v>537</v>
      </c>
      <c r="I812" t="s">
        <v>538</v>
      </c>
      <c r="J812" s="13">
        <v>1298.3071373285077</v>
      </c>
      <c r="K812" t="str">
        <f t="shared" si="24"/>
        <v>Cliff Matthews</v>
      </c>
    </row>
    <row r="813" spans="1:11" hidden="1" x14ac:dyDescent="0.35">
      <c r="A813">
        <f t="shared" si="25"/>
        <v>812</v>
      </c>
      <c r="B813">
        <v>2005</v>
      </c>
      <c r="C813" s="4" t="s">
        <v>263</v>
      </c>
      <c r="D813" s="4" t="s">
        <v>110</v>
      </c>
      <c r="E813" t="s">
        <v>1430</v>
      </c>
      <c r="F813" s="17">
        <v>240</v>
      </c>
      <c r="G813" s="17">
        <v>9</v>
      </c>
      <c r="H813" t="s">
        <v>304</v>
      </c>
      <c r="I813" t="s">
        <v>65</v>
      </c>
      <c r="J813" s="13">
        <v>1247.1546148811265</v>
      </c>
      <c r="K813" t="str">
        <f t="shared" si="24"/>
        <v>Steve Pierce</v>
      </c>
    </row>
    <row r="814" spans="1:11" hidden="1" x14ac:dyDescent="0.35">
      <c r="A814">
        <f t="shared" si="25"/>
        <v>813</v>
      </c>
      <c r="B814">
        <v>2005</v>
      </c>
      <c r="C814" s="4" t="s">
        <v>893</v>
      </c>
      <c r="D814" s="4" t="s">
        <v>509</v>
      </c>
      <c r="E814" t="s">
        <v>509</v>
      </c>
      <c r="F814" s="17">
        <v>990</v>
      </c>
      <c r="G814" s="17">
        <v>1</v>
      </c>
      <c r="H814" t="s">
        <v>597</v>
      </c>
      <c r="I814" t="s">
        <v>598</v>
      </c>
      <c r="J814" s="13">
        <v>1602.0599913279623</v>
      </c>
      <c r="K814" t="str">
        <f t="shared" si="24"/>
        <v>Lou Krieger</v>
      </c>
    </row>
    <row r="815" spans="1:11" hidden="1" x14ac:dyDescent="0.35">
      <c r="A815">
        <f t="shared" si="25"/>
        <v>814</v>
      </c>
      <c r="B815">
        <v>2005</v>
      </c>
      <c r="C815" s="4" t="s">
        <v>893</v>
      </c>
      <c r="D815" s="4" t="s">
        <v>509</v>
      </c>
      <c r="E815" t="s">
        <v>509</v>
      </c>
      <c r="F815" s="17">
        <v>550</v>
      </c>
      <c r="G815" s="17">
        <v>2</v>
      </c>
      <c r="H815" t="s">
        <v>1100</v>
      </c>
      <c r="I815" t="s">
        <v>1101</v>
      </c>
      <c r="J815" s="13">
        <v>1301.029995663981</v>
      </c>
      <c r="K815" t="str">
        <f t="shared" si="24"/>
        <v>Brentt Phillips</v>
      </c>
    </row>
    <row r="816" spans="1:11" hidden="1" x14ac:dyDescent="0.35">
      <c r="A816">
        <f t="shared" si="25"/>
        <v>815</v>
      </c>
      <c r="B816">
        <v>2005</v>
      </c>
      <c r="C816" s="4" t="s">
        <v>893</v>
      </c>
      <c r="D816" s="4" t="s">
        <v>509</v>
      </c>
      <c r="E816" t="s">
        <v>509</v>
      </c>
      <c r="F816" s="17">
        <v>330</v>
      </c>
      <c r="G816" s="17">
        <v>3</v>
      </c>
      <c r="H816" t="s">
        <v>1102</v>
      </c>
      <c r="I816" t="s">
        <v>521</v>
      </c>
      <c r="J816" s="13">
        <v>1124.9387366082999</v>
      </c>
      <c r="K816" t="str">
        <f t="shared" si="24"/>
        <v>Chuck Artigues</v>
      </c>
    </row>
    <row r="817" spans="1:11" hidden="1" x14ac:dyDescent="0.35">
      <c r="A817">
        <f t="shared" si="25"/>
        <v>816</v>
      </c>
      <c r="B817">
        <v>2005</v>
      </c>
      <c r="C817" s="4" t="s">
        <v>893</v>
      </c>
      <c r="D817" s="4" t="s">
        <v>509</v>
      </c>
      <c r="E817" t="s">
        <v>509</v>
      </c>
      <c r="F817" s="17">
        <v>220</v>
      </c>
      <c r="G817" s="17">
        <v>4</v>
      </c>
      <c r="H817" t="s">
        <v>1103</v>
      </c>
      <c r="I817" t="s">
        <v>136</v>
      </c>
      <c r="J817" s="13">
        <v>1000</v>
      </c>
      <c r="K817" t="str">
        <f t="shared" si="24"/>
        <v>John Reeves</v>
      </c>
    </row>
    <row r="818" spans="1:11" hidden="1" x14ac:dyDescent="0.35">
      <c r="A818">
        <f t="shared" si="25"/>
        <v>817</v>
      </c>
      <c r="B818">
        <v>2005</v>
      </c>
      <c r="C818" s="4" t="s">
        <v>893</v>
      </c>
      <c r="D818" s="4" t="s">
        <v>509</v>
      </c>
      <c r="E818" t="s">
        <v>509</v>
      </c>
      <c r="F818" s="17">
        <v>110</v>
      </c>
      <c r="G818" s="17">
        <v>5</v>
      </c>
      <c r="H818" t="s">
        <v>1105</v>
      </c>
      <c r="I818" t="s">
        <v>1106</v>
      </c>
      <c r="J818" s="13">
        <v>903.08998699194342</v>
      </c>
      <c r="K818" t="str">
        <f t="shared" si="24"/>
        <v>Ellis Starks</v>
      </c>
    </row>
    <row r="819" spans="1:11" hidden="1" x14ac:dyDescent="0.35">
      <c r="A819">
        <f t="shared" si="25"/>
        <v>818</v>
      </c>
      <c r="B819">
        <v>2005</v>
      </c>
      <c r="C819" s="4" t="s">
        <v>893</v>
      </c>
      <c r="D819" s="4" t="s">
        <v>45</v>
      </c>
      <c r="E819" t="s">
        <v>1429</v>
      </c>
      <c r="F819" s="17">
        <v>1060</v>
      </c>
      <c r="G819" s="17">
        <v>1</v>
      </c>
      <c r="H819" t="s">
        <v>960</v>
      </c>
      <c r="I819" t="s">
        <v>136</v>
      </c>
      <c r="J819" s="13">
        <v>1633.4684555795864</v>
      </c>
      <c r="K819" t="str">
        <f t="shared" si="24"/>
        <v>John Harkness</v>
      </c>
    </row>
    <row r="820" spans="1:11" hidden="1" x14ac:dyDescent="0.35">
      <c r="A820">
        <f t="shared" si="25"/>
        <v>819</v>
      </c>
      <c r="B820">
        <v>2005</v>
      </c>
      <c r="C820" s="4" t="s">
        <v>893</v>
      </c>
      <c r="D820" s="4" t="s">
        <v>45</v>
      </c>
      <c r="E820" t="s">
        <v>1429</v>
      </c>
      <c r="F820" s="17">
        <v>590</v>
      </c>
      <c r="G820" s="17">
        <v>2</v>
      </c>
      <c r="H820" t="s">
        <v>50</v>
      </c>
      <c r="I820" t="s">
        <v>25</v>
      </c>
      <c r="J820" s="13">
        <v>1332.4384599156051</v>
      </c>
      <c r="K820" t="str">
        <f t="shared" si="24"/>
        <v>Russell Fox</v>
      </c>
    </row>
    <row r="821" spans="1:11" hidden="1" x14ac:dyDescent="0.35">
      <c r="A821">
        <f t="shared" si="25"/>
        <v>820</v>
      </c>
      <c r="B821">
        <v>2005</v>
      </c>
      <c r="C821" s="4" t="s">
        <v>893</v>
      </c>
      <c r="D821" s="4" t="s">
        <v>45</v>
      </c>
      <c r="E821" t="s">
        <v>1429</v>
      </c>
      <c r="F821" s="17">
        <v>335</v>
      </c>
      <c r="G821" s="17">
        <v>3</v>
      </c>
      <c r="H821" t="s">
        <v>1111</v>
      </c>
      <c r="I821" t="s">
        <v>1112</v>
      </c>
      <c r="J821" s="13">
        <v>1156.347200859924</v>
      </c>
      <c r="K821" t="str">
        <f t="shared" si="24"/>
        <v>Oliver Juang</v>
      </c>
    </row>
    <row r="822" spans="1:11" hidden="1" x14ac:dyDescent="0.35">
      <c r="A822">
        <f t="shared" si="25"/>
        <v>821</v>
      </c>
      <c r="B822">
        <v>2005</v>
      </c>
      <c r="C822" s="4" t="s">
        <v>893</v>
      </c>
      <c r="D822" s="4" t="s">
        <v>45</v>
      </c>
      <c r="E822" t="s">
        <v>1429</v>
      </c>
      <c r="F822" s="17">
        <v>235</v>
      </c>
      <c r="G822" s="17">
        <v>4</v>
      </c>
      <c r="H822" t="s">
        <v>1298</v>
      </c>
      <c r="I822" t="s">
        <v>271</v>
      </c>
      <c r="J822" s="13">
        <v>1031.4084642516241</v>
      </c>
      <c r="K822" t="str">
        <f t="shared" si="24"/>
        <v>Dan Loncarcic</v>
      </c>
    </row>
    <row r="823" spans="1:11" hidden="1" x14ac:dyDescent="0.35">
      <c r="A823">
        <f t="shared" si="25"/>
        <v>822</v>
      </c>
      <c r="B823">
        <v>2005</v>
      </c>
      <c r="C823" s="4" t="s">
        <v>893</v>
      </c>
      <c r="D823" s="4" t="s">
        <v>45</v>
      </c>
      <c r="E823" t="s">
        <v>1429</v>
      </c>
      <c r="F823" s="17">
        <v>120</v>
      </c>
      <c r="G823" s="17">
        <v>5</v>
      </c>
      <c r="H823" t="s">
        <v>304</v>
      </c>
      <c r="I823" t="s">
        <v>65</v>
      </c>
      <c r="J823" s="13">
        <v>934.49845124356762</v>
      </c>
      <c r="K823" t="str">
        <f t="shared" si="24"/>
        <v>Steve Pierce</v>
      </c>
    </row>
    <row r="824" spans="1:11" hidden="1" x14ac:dyDescent="0.35">
      <c r="A824">
        <f t="shared" si="25"/>
        <v>823</v>
      </c>
      <c r="B824">
        <v>2005</v>
      </c>
      <c r="C824" s="4" t="s">
        <v>893</v>
      </c>
      <c r="D824" s="4" t="s">
        <v>905</v>
      </c>
      <c r="E824" t="s">
        <v>1429</v>
      </c>
      <c r="F824" s="17">
        <v>1470</v>
      </c>
      <c r="G824" s="17">
        <v>1</v>
      </c>
      <c r="H824" t="s">
        <v>95</v>
      </c>
      <c r="I824" t="s">
        <v>71</v>
      </c>
      <c r="J824" s="13">
        <v>1643.4526764861873</v>
      </c>
      <c r="K824" t="str">
        <f t="shared" si="24"/>
        <v>Scott Samarel</v>
      </c>
    </row>
    <row r="825" spans="1:11" hidden="1" x14ac:dyDescent="0.35">
      <c r="A825">
        <f t="shared" si="25"/>
        <v>824</v>
      </c>
      <c r="B825">
        <v>2005</v>
      </c>
      <c r="C825" s="4" t="s">
        <v>893</v>
      </c>
      <c r="D825" s="4" t="s">
        <v>905</v>
      </c>
      <c r="E825" t="s">
        <v>1429</v>
      </c>
      <c r="F825" s="17">
        <v>820</v>
      </c>
      <c r="G825" s="17">
        <v>2</v>
      </c>
      <c r="H825" t="s">
        <v>206</v>
      </c>
      <c r="I825" t="s">
        <v>207</v>
      </c>
      <c r="J825" s="13">
        <v>1342.4226808222061</v>
      </c>
      <c r="K825" t="str">
        <f t="shared" si="24"/>
        <v>Nick Christenson</v>
      </c>
    </row>
    <row r="826" spans="1:11" hidden="1" x14ac:dyDescent="0.35">
      <c r="A826">
        <f t="shared" si="25"/>
        <v>825</v>
      </c>
      <c r="B826">
        <v>2005</v>
      </c>
      <c r="C826" s="4" t="s">
        <v>893</v>
      </c>
      <c r="D826" s="4" t="s">
        <v>905</v>
      </c>
      <c r="E826" t="s">
        <v>1429</v>
      </c>
      <c r="F826" s="17">
        <v>490</v>
      </c>
      <c r="G826" s="17">
        <v>3</v>
      </c>
      <c r="H826" t="s">
        <v>25</v>
      </c>
      <c r="I826" t="s">
        <v>16</v>
      </c>
      <c r="J826" s="13">
        <v>1166.331421766525</v>
      </c>
      <c r="K826" t="str">
        <f t="shared" si="24"/>
        <v>David Russell</v>
      </c>
    </row>
    <row r="827" spans="1:11" hidden="1" x14ac:dyDescent="0.35">
      <c r="A827">
        <f t="shared" si="25"/>
        <v>826</v>
      </c>
      <c r="B827">
        <v>2005</v>
      </c>
      <c r="C827" s="4" t="s">
        <v>893</v>
      </c>
      <c r="D827" s="4" t="s">
        <v>905</v>
      </c>
      <c r="E827" t="s">
        <v>1429</v>
      </c>
      <c r="F827" s="17">
        <v>250</v>
      </c>
      <c r="G827" s="17">
        <v>4.5</v>
      </c>
      <c r="H827" t="s">
        <v>1109</v>
      </c>
      <c r="I827" t="s">
        <v>528</v>
      </c>
      <c r="J827" s="13">
        <v>990.24016271084372</v>
      </c>
      <c r="K827" t="str">
        <f t="shared" si="24"/>
        <v>Tim Bosserman</v>
      </c>
    </row>
    <row r="828" spans="1:11" hidden="1" x14ac:dyDescent="0.35">
      <c r="A828">
        <f t="shared" si="25"/>
        <v>827</v>
      </c>
      <c r="B828">
        <v>2005</v>
      </c>
      <c r="C828" s="4" t="s">
        <v>893</v>
      </c>
      <c r="D828" s="4" t="s">
        <v>905</v>
      </c>
      <c r="E828" t="s">
        <v>1429</v>
      </c>
      <c r="F828" s="17">
        <v>250</v>
      </c>
      <c r="G828" s="17">
        <v>4.5</v>
      </c>
      <c r="H828" t="s">
        <v>86</v>
      </c>
      <c r="I828" t="s">
        <v>510</v>
      </c>
      <c r="J828" s="13">
        <v>990.24016271084372</v>
      </c>
      <c r="K828" t="str">
        <f t="shared" si="24"/>
        <v>Sharon Goldman</v>
      </c>
    </row>
    <row r="829" spans="1:11" hidden="1" x14ac:dyDescent="0.35">
      <c r="A829">
        <f t="shared" si="25"/>
        <v>828</v>
      </c>
      <c r="B829">
        <v>2005</v>
      </c>
      <c r="C829" s="4" t="s">
        <v>893</v>
      </c>
      <c r="D829" s="4" t="s">
        <v>905</v>
      </c>
      <c r="E829" t="s">
        <v>1429</v>
      </c>
      <c r="F829" s="17">
        <v>80</v>
      </c>
      <c r="G829" s="17">
        <v>7</v>
      </c>
      <c r="H829" t="s">
        <v>597</v>
      </c>
      <c r="I829" t="s">
        <v>598</v>
      </c>
      <c r="J829" s="13">
        <v>798.35463647193058</v>
      </c>
      <c r="K829" t="str">
        <f t="shared" si="24"/>
        <v>Lou Krieger</v>
      </c>
    </row>
    <row r="830" spans="1:11" hidden="1" x14ac:dyDescent="0.35">
      <c r="A830">
        <f t="shared" si="25"/>
        <v>829</v>
      </c>
      <c r="B830">
        <v>2005</v>
      </c>
      <c r="C830" s="4" t="s">
        <v>893</v>
      </c>
      <c r="D830" s="4" t="s">
        <v>905</v>
      </c>
      <c r="E830" t="s">
        <v>1429</v>
      </c>
      <c r="F830" s="17">
        <v>80</v>
      </c>
      <c r="G830" s="17">
        <v>7</v>
      </c>
      <c r="H830" t="s">
        <v>92</v>
      </c>
      <c r="I830" t="s">
        <v>93</v>
      </c>
      <c r="J830" s="13">
        <v>798.35463647193058</v>
      </c>
      <c r="K830" t="str">
        <f t="shared" si="24"/>
        <v>Kirk Oshiro</v>
      </c>
    </row>
    <row r="831" spans="1:11" hidden="1" x14ac:dyDescent="0.35">
      <c r="A831">
        <f t="shared" si="25"/>
        <v>830</v>
      </c>
      <c r="B831">
        <v>2005</v>
      </c>
      <c r="C831" s="4" t="s">
        <v>893</v>
      </c>
      <c r="D831" s="4" t="s">
        <v>905</v>
      </c>
      <c r="E831" t="s">
        <v>1429</v>
      </c>
      <c r="F831" s="17">
        <v>80</v>
      </c>
      <c r="G831" s="17">
        <v>7</v>
      </c>
      <c r="H831" t="s">
        <v>595</v>
      </c>
      <c r="I831" t="s">
        <v>28</v>
      </c>
      <c r="J831" s="13">
        <v>798.35463647193058</v>
      </c>
      <c r="K831" t="str">
        <f t="shared" si="24"/>
        <v>Chris Straghalis</v>
      </c>
    </row>
    <row r="832" spans="1:11" hidden="1" x14ac:dyDescent="0.35">
      <c r="A832">
        <f t="shared" si="25"/>
        <v>831</v>
      </c>
      <c r="B832">
        <v>2005</v>
      </c>
      <c r="C832" s="4" t="s">
        <v>893</v>
      </c>
      <c r="D832" s="4" t="s">
        <v>1099</v>
      </c>
      <c r="E832" t="s">
        <v>133</v>
      </c>
      <c r="F832" s="17">
        <v>990</v>
      </c>
      <c r="G832" s="17">
        <v>1</v>
      </c>
      <c r="H832" t="s">
        <v>764</v>
      </c>
      <c r="I832" t="s">
        <v>901</v>
      </c>
      <c r="J832" s="13">
        <v>1602.0599913279623</v>
      </c>
      <c r="K832" t="str">
        <f t="shared" si="24"/>
        <v>Jerrod Ankenman</v>
      </c>
    </row>
    <row r="833" spans="1:11" hidden="1" x14ac:dyDescent="0.35">
      <c r="A833">
        <f t="shared" si="25"/>
        <v>832</v>
      </c>
      <c r="B833">
        <v>2005</v>
      </c>
      <c r="C833" s="4" t="s">
        <v>893</v>
      </c>
      <c r="D833" s="4" t="s">
        <v>1099</v>
      </c>
      <c r="E833" t="s">
        <v>133</v>
      </c>
      <c r="F833" s="17">
        <v>550</v>
      </c>
      <c r="G833" s="17">
        <v>2</v>
      </c>
      <c r="H833" t="s">
        <v>107</v>
      </c>
      <c r="I833" t="s">
        <v>108</v>
      </c>
      <c r="J833" s="13">
        <v>1301.029995663981</v>
      </c>
      <c r="K833" t="str">
        <f t="shared" si="24"/>
        <v>Kyle Minnis</v>
      </c>
    </row>
    <row r="834" spans="1:11" hidden="1" x14ac:dyDescent="0.35">
      <c r="A834">
        <f t="shared" si="25"/>
        <v>833</v>
      </c>
      <c r="B834">
        <v>2005</v>
      </c>
      <c r="C834" s="4" t="s">
        <v>893</v>
      </c>
      <c r="D834" s="4" t="s">
        <v>1099</v>
      </c>
      <c r="E834" t="s">
        <v>133</v>
      </c>
      <c r="F834" s="17">
        <v>330</v>
      </c>
      <c r="G834" s="17">
        <v>3</v>
      </c>
      <c r="H834" t="s">
        <v>764</v>
      </c>
      <c r="I834" t="s">
        <v>765</v>
      </c>
      <c r="J834" s="13">
        <v>1124.9387366082999</v>
      </c>
      <c r="K834" t="str">
        <f t="shared" ref="K834:K897" si="26">I834&amp;" "&amp;H834</f>
        <v>Michelle Ankenman</v>
      </c>
    </row>
    <row r="835" spans="1:11" hidden="1" x14ac:dyDescent="0.35">
      <c r="A835">
        <f t="shared" si="25"/>
        <v>834</v>
      </c>
      <c r="B835">
        <v>2005</v>
      </c>
      <c r="C835" s="4" t="s">
        <v>893</v>
      </c>
      <c r="D835" s="4" t="s">
        <v>1099</v>
      </c>
      <c r="E835" t="s">
        <v>133</v>
      </c>
      <c r="F835" s="17">
        <v>220</v>
      </c>
      <c r="G835" s="17">
        <v>4</v>
      </c>
      <c r="H835" t="s">
        <v>74</v>
      </c>
      <c r="I835" t="s">
        <v>75</v>
      </c>
      <c r="J835" s="13">
        <v>1000</v>
      </c>
      <c r="K835" t="str">
        <f t="shared" si="26"/>
        <v>Sabyl Landrum</v>
      </c>
    </row>
    <row r="836" spans="1:11" hidden="1" x14ac:dyDescent="0.35">
      <c r="A836">
        <f t="shared" ref="A836:A899" si="27">A835+1</f>
        <v>835</v>
      </c>
      <c r="B836">
        <v>2005</v>
      </c>
      <c r="C836" s="4" t="s">
        <v>893</v>
      </c>
      <c r="D836" s="4" t="s">
        <v>1099</v>
      </c>
      <c r="E836" t="s">
        <v>133</v>
      </c>
      <c r="F836" s="17">
        <v>110</v>
      </c>
      <c r="G836" s="17">
        <v>5</v>
      </c>
      <c r="H836" t="s">
        <v>95</v>
      </c>
      <c r="I836" t="s">
        <v>71</v>
      </c>
      <c r="J836" s="13">
        <v>903.08998699194342</v>
      </c>
      <c r="K836" t="str">
        <f t="shared" si="26"/>
        <v>Scott Samarel</v>
      </c>
    </row>
    <row r="837" spans="1:11" hidden="1" x14ac:dyDescent="0.35">
      <c r="A837">
        <f t="shared" si="27"/>
        <v>836</v>
      </c>
      <c r="B837">
        <v>2005</v>
      </c>
      <c r="C837" s="4" t="s">
        <v>8</v>
      </c>
      <c r="D837" s="4" t="s">
        <v>995</v>
      </c>
      <c r="E837" t="s">
        <v>1430</v>
      </c>
      <c r="F837" s="17">
        <v>1512</v>
      </c>
      <c r="G837" s="17">
        <v>1</v>
      </c>
      <c r="H837" t="s">
        <v>991</v>
      </c>
      <c r="I837" t="s">
        <v>64</v>
      </c>
      <c r="J837" s="13">
        <v>1799.3405494535816</v>
      </c>
      <c r="K837" t="str">
        <f t="shared" si="26"/>
        <v>Daniel Gerard</v>
      </c>
    </row>
    <row r="838" spans="1:11" hidden="1" x14ac:dyDescent="0.35">
      <c r="A838">
        <f t="shared" si="27"/>
        <v>837</v>
      </c>
      <c r="B838">
        <v>2005</v>
      </c>
      <c r="C838" s="4" t="s">
        <v>8</v>
      </c>
      <c r="D838" s="4" t="s">
        <v>995</v>
      </c>
      <c r="E838" t="s">
        <v>1430</v>
      </c>
      <c r="F838" s="17">
        <v>794</v>
      </c>
      <c r="G838" s="17">
        <v>2</v>
      </c>
      <c r="H838" t="s">
        <v>656</v>
      </c>
      <c r="I838" t="s">
        <v>81</v>
      </c>
      <c r="J838" s="13">
        <v>1498.3105537896004</v>
      </c>
      <c r="K838" t="str">
        <f t="shared" si="26"/>
        <v>Don Taylor</v>
      </c>
    </row>
    <row r="839" spans="1:11" hidden="1" x14ac:dyDescent="0.35">
      <c r="A839">
        <f t="shared" si="27"/>
        <v>838</v>
      </c>
      <c r="B839">
        <v>2005</v>
      </c>
      <c r="C839" s="4" t="s">
        <v>8</v>
      </c>
      <c r="D839" s="4" t="s">
        <v>995</v>
      </c>
      <c r="E839" t="s">
        <v>1430</v>
      </c>
      <c r="F839" s="17">
        <v>416</v>
      </c>
      <c r="G839" s="17">
        <v>3</v>
      </c>
      <c r="H839" t="s">
        <v>248</v>
      </c>
      <c r="I839" t="s">
        <v>249</v>
      </c>
      <c r="J839" s="13">
        <v>1322.2192947339192</v>
      </c>
      <c r="K839" t="str">
        <f t="shared" si="26"/>
        <v>Ross Poppel</v>
      </c>
    </row>
    <row r="840" spans="1:11" hidden="1" x14ac:dyDescent="0.35">
      <c r="A840">
        <f t="shared" si="27"/>
        <v>839</v>
      </c>
      <c r="B840">
        <v>2005</v>
      </c>
      <c r="C840" s="4" t="s">
        <v>8</v>
      </c>
      <c r="D840" s="4" t="s">
        <v>995</v>
      </c>
      <c r="E840" t="s">
        <v>1430</v>
      </c>
      <c r="F840" s="17">
        <v>321</v>
      </c>
      <c r="G840" s="17">
        <v>4</v>
      </c>
      <c r="H840" t="s">
        <v>195</v>
      </c>
      <c r="I840" t="s">
        <v>196</v>
      </c>
      <c r="J840" s="13">
        <v>1197.2805581256191</v>
      </c>
      <c r="K840" t="str">
        <f t="shared" si="26"/>
        <v>Dave Tahajian</v>
      </c>
    </row>
    <row r="841" spans="1:11" hidden="1" x14ac:dyDescent="0.35">
      <c r="A841">
        <f t="shared" si="27"/>
        <v>840</v>
      </c>
      <c r="B841">
        <v>2005</v>
      </c>
      <c r="C841" s="4" t="s">
        <v>8</v>
      </c>
      <c r="D841" s="4" t="s">
        <v>995</v>
      </c>
      <c r="E841" t="s">
        <v>1430</v>
      </c>
      <c r="F841" s="17">
        <v>227</v>
      </c>
      <c r="G841" s="17">
        <v>5</v>
      </c>
      <c r="H841" t="s">
        <v>1073</v>
      </c>
      <c r="I841" t="s">
        <v>744</v>
      </c>
      <c r="J841" s="13">
        <v>1100.3705451175629</v>
      </c>
      <c r="K841" t="str">
        <f t="shared" si="26"/>
        <v>Alexander Sam</v>
      </c>
    </row>
    <row r="842" spans="1:11" hidden="1" x14ac:dyDescent="0.35">
      <c r="A842">
        <f t="shared" si="27"/>
        <v>841</v>
      </c>
      <c r="B842">
        <v>2005</v>
      </c>
      <c r="C842" s="4" t="s">
        <v>8</v>
      </c>
      <c r="D842" s="4" t="s">
        <v>995</v>
      </c>
      <c r="E842" t="s">
        <v>1430</v>
      </c>
      <c r="F842" s="17">
        <v>170</v>
      </c>
      <c r="G842" s="17">
        <v>6</v>
      </c>
      <c r="H842" t="s">
        <v>320</v>
      </c>
      <c r="I842" t="s">
        <v>321</v>
      </c>
      <c r="J842" s="13">
        <v>1021.1892990699381</v>
      </c>
      <c r="K842" t="str">
        <f t="shared" si="26"/>
        <v>Tina Gonzalez</v>
      </c>
    </row>
    <row r="843" spans="1:11" hidden="1" x14ac:dyDescent="0.35">
      <c r="A843">
        <f t="shared" si="27"/>
        <v>842</v>
      </c>
      <c r="B843">
        <v>2005</v>
      </c>
      <c r="C843" s="4" t="s">
        <v>8</v>
      </c>
      <c r="D843" s="4" t="s">
        <v>995</v>
      </c>
      <c r="E843" t="s">
        <v>1430</v>
      </c>
      <c r="F843" s="17">
        <v>133</v>
      </c>
      <c r="G843" s="17">
        <v>7</v>
      </c>
      <c r="H843" t="s">
        <v>1097</v>
      </c>
      <c r="I843" t="s">
        <v>16</v>
      </c>
      <c r="J843" s="13">
        <v>954.24250943932486</v>
      </c>
      <c r="K843" t="str">
        <f t="shared" si="26"/>
        <v>David Lilie</v>
      </c>
    </row>
    <row r="844" spans="1:11" hidden="1" x14ac:dyDescent="0.35">
      <c r="A844">
        <f t="shared" si="27"/>
        <v>843</v>
      </c>
      <c r="B844">
        <v>2005</v>
      </c>
      <c r="C844" s="4" t="s">
        <v>8</v>
      </c>
      <c r="D844" s="4" t="s">
        <v>995</v>
      </c>
      <c r="E844" t="s">
        <v>1430</v>
      </c>
      <c r="F844" s="17">
        <v>113</v>
      </c>
      <c r="G844" s="17">
        <v>8</v>
      </c>
      <c r="H844" t="s">
        <v>340</v>
      </c>
      <c r="I844" t="s">
        <v>665</v>
      </c>
      <c r="J844" s="13">
        <v>896.2505624616382</v>
      </c>
      <c r="K844" t="str">
        <f t="shared" si="26"/>
        <v>Robert Catlett</v>
      </c>
    </row>
    <row r="845" spans="1:11" hidden="1" x14ac:dyDescent="0.35">
      <c r="A845">
        <f t="shared" si="27"/>
        <v>844</v>
      </c>
      <c r="B845">
        <v>2005</v>
      </c>
      <c r="C845" s="4" t="s">
        <v>8</v>
      </c>
      <c r="D845" s="4" t="s">
        <v>995</v>
      </c>
      <c r="E845" t="s">
        <v>1430</v>
      </c>
      <c r="F845" s="17">
        <v>94</v>
      </c>
      <c r="G845" s="17">
        <v>9</v>
      </c>
      <c r="H845" t="s">
        <v>64</v>
      </c>
      <c r="I845" t="s">
        <v>65</v>
      </c>
      <c r="J845" s="13">
        <v>845.09804001425687</v>
      </c>
      <c r="K845" t="str">
        <f t="shared" si="26"/>
        <v>Steve Daniel</v>
      </c>
    </row>
    <row r="846" spans="1:11" hidden="1" x14ac:dyDescent="0.35">
      <c r="A846">
        <f t="shared" si="27"/>
        <v>845</v>
      </c>
      <c r="B846">
        <v>2005</v>
      </c>
      <c r="C846" s="4" t="s">
        <v>8</v>
      </c>
      <c r="D846" s="4" t="s">
        <v>45</v>
      </c>
      <c r="E846" t="s">
        <v>1429</v>
      </c>
      <c r="F846" s="17">
        <v>2975</v>
      </c>
      <c r="G846" s="17">
        <v>1</v>
      </c>
      <c r="H846" t="s">
        <v>1087</v>
      </c>
      <c r="I846" t="s">
        <v>1088</v>
      </c>
      <c r="J846" s="13">
        <v>2127.1047983648077</v>
      </c>
      <c r="K846" t="str">
        <f t="shared" si="26"/>
        <v>Sesh Kodavanti</v>
      </c>
    </row>
    <row r="847" spans="1:11" hidden="1" x14ac:dyDescent="0.35">
      <c r="A847">
        <f t="shared" si="27"/>
        <v>846</v>
      </c>
      <c r="B847">
        <v>2005</v>
      </c>
      <c r="C847" s="4" t="s">
        <v>8</v>
      </c>
      <c r="D847" s="4" t="s">
        <v>45</v>
      </c>
      <c r="E847" t="s">
        <v>1429</v>
      </c>
      <c r="F847" s="17">
        <v>1528</v>
      </c>
      <c r="G847" s="17">
        <v>2</v>
      </c>
      <c r="H847" t="s">
        <v>764</v>
      </c>
      <c r="I847" t="s">
        <v>901</v>
      </c>
      <c r="J847" s="13">
        <v>1826.0748027008265</v>
      </c>
      <c r="K847" t="str">
        <f t="shared" si="26"/>
        <v>Jerrod Ankenman</v>
      </c>
    </row>
    <row r="848" spans="1:11" hidden="1" x14ac:dyDescent="0.35">
      <c r="A848">
        <f t="shared" si="27"/>
        <v>847</v>
      </c>
      <c r="B848">
        <v>2005</v>
      </c>
      <c r="C848" s="4" t="s">
        <v>8</v>
      </c>
      <c r="D848" s="4" t="s">
        <v>45</v>
      </c>
      <c r="E848" t="s">
        <v>1429</v>
      </c>
      <c r="F848" s="17">
        <v>723</v>
      </c>
      <c r="G848" s="17">
        <v>3</v>
      </c>
      <c r="H848" t="s">
        <v>86</v>
      </c>
      <c r="I848" t="s">
        <v>87</v>
      </c>
      <c r="J848" s="13">
        <v>1649.9835436451453</v>
      </c>
      <c r="K848" t="str">
        <f t="shared" si="26"/>
        <v>Stevan Goldman</v>
      </c>
    </row>
    <row r="849" spans="1:11" hidden="1" x14ac:dyDescent="0.35">
      <c r="A849">
        <f t="shared" si="27"/>
        <v>848</v>
      </c>
      <c r="B849">
        <v>2005</v>
      </c>
      <c r="C849" s="4" t="s">
        <v>8</v>
      </c>
      <c r="D849" s="4" t="s">
        <v>45</v>
      </c>
      <c r="E849" t="s">
        <v>1429</v>
      </c>
      <c r="F849" s="17">
        <v>583</v>
      </c>
      <c r="G849" s="17">
        <v>4</v>
      </c>
      <c r="H849" t="s">
        <v>748</v>
      </c>
      <c r="I849" t="s">
        <v>89</v>
      </c>
      <c r="J849" s="13">
        <v>1525.0448070368452</v>
      </c>
      <c r="K849" t="str">
        <f t="shared" si="26"/>
        <v>Ken Sias</v>
      </c>
    </row>
    <row r="850" spans="1:11" hidden="1" x14ac:dyDescent="0.35">
      <c r="A850">
        <f t="shared" si="27"/>
        <v>849</v>
      </c>
      <c r="B850">
        <v>2005</v>
      </c>
      <c r="C850" s="4" t="s">
        <v>8</v>
      </c>
      <c r="D850" s="4" t="s">
        <v>45</v>
      </c>
      <c r="E850" t="s">
        <v>1429</v>
      </c>
      <c r="F850" s="17">
        <v>422</v>
      </c>
      <c r="G850" s="17">
        <v>5</v>
      </c>
      <c r="H850" t="s">
        <v>111</v>
      </c>
      <c r="I850" t="s">
        <v>16</v>
      </c>
      <c r="J850" s="13">
        <v>1428.134794028789</v>
      </c>
      <c r="K850" t="str">
        <f t="shared" si="26"/>
        <v>David Fruchter</v>
      </c>
    </row>
    <row r="851" spans="1:11" hidden="1" x14ac:dyDescent="0.35">
      <c r="A851">
        <f t="shared" si="27"/>
        <v>850</v>
      </c>
      <c r="B851">
        <v>2005</v>
      </c>
      <c r="C851" s="4" t="s">
        <v>8</v>
      </c>
      <c r="D851" s="4" t="s">
        <v>45</v>
      </c>
      <c r="E851" t="s">
        <v>1429</v>
      </c>
      <c r="F851" s="17">
        <v>302</v>
      </c>
      <c r="G851" s="17">
        <v>6</v>
      </c>
      <c r="H851" t="s">
        <v>238</v>
      </c>
      <c r="I851" t="s">
        <v>375</v>
      </c>
      <c r="J851" s="13">
        <v>1348.9535479811641</v>
      </c>
      <c r="K851" t="str">
        <f t="shared" si="26"/>
        <v>Jessica Kuznick</v>
      </c>
    </row>
    <row r="852" spans="1:11" hidden="1" x14ac:dyDescent="0.35">
      <c r="A852">
        <f t="shared" si="27"/>
        <v>851</v>
      </c>
      <c r="B852">
        <v>2005</v>
      </c>
      <c r="C852" s="4" t="s">
        <v>8</v>
      </c>
      <c r="D852" s="4" t="s">
        <v>45</v>
      </c>
      <c r="E852" t="s">
        <v>1429</v>
      </c>
      <c r="F852" s="17">
        <v>241</v>
      </c>
      <c r="G852" s="17">
        <v>7</v>
      </c>
      <c r="H852" t="s">
        <v>48</v>
      </c>
      <c r="I852" t="s">
        <v>49</v>
      </c>
      <c r="J852" s="13">
        <v>1282.0067583505509</v>
      </c>
      <c r="K852" t="str">
        <f t="shared" si="26"/>
        <v>Regis Donovan</v>
      </c>
    </row>
    <row r="853" spans="1:11" hidden="1" x14ac:dyDescent="0.35">
      <c r="A853">
        <f t="shared" si="27"/>
        <v>852</v>
      </c>
      <c r="B853">
        <v>2005</v>
      </c>
      <c r="C853" s="4" t="s">
        <v>8</v>
      </c>
      <c r="D853" s="4" t="s">
        <v>45</v>
      </c>
      <c r="E853" t="s">
        <v>1429</v>
      </c>
      <c r="F853" s="17">
        <v>201</v>
      </c>
      <c r="G853" s="17">
        <v>8</v>
      </c>
      <c r="H853" t="s">
        <v>702</v>
      </c>
      <c r="I853" t="s">
        <v>218</v>
      </c>
      <c r="J853" s="13">
        <v>1224.0148113728642</v>
      </c>
      <c r="K853" t="str">
        <f t="shared" si="26"/>
        <v>Michael Simpson</v>
      </c>
    </row>
    <row r="854" spans="1:11" hidden="1" x14ac:dyDescent="0.35">
      <c r="A854">
        <f t="shared" si="27"/>
        <v>853</v>
      </c>
      <c r="B854">
        <v>2005</v>
      </c>
      <c r="C854" s="4" t="s">
        <v>8</v>
      </c>
      <c r="D854" s="4" t="s">
        <v>45</v>
      </c>
      <c r="E854" t="s">
        <v>1429</v>
      </c>
      <c r="F854" s="17">
        <v>165</v>
      </c>
      <c r="G854" s="17">
        <v>9</v>
      </c>
      <c r="H854" t="s">
        <v>1090</v>
      </c>
      <c r="I854" t="s">
        <v>13</v>
      </c>
      <c r="J854" s="13">
        <v>1172.862288925483</v>
      </c>
      <c r="K854" t="str">
        <f t="shared" si="26"/>
        <v>Tom Hafey</v>
      </c>
    </row>
    <row r="855" spans="1:11" hidden="1" x14ac:dyDescent="0.35">
      <c r="A855">
        <f t="shared" si="27"/>
        <v>854</v>
      </c>
      <c r="B855">
        <v>2005</v>
      </c>
      <c r="C855" s="4" t="s">
        <v>8</v>
      </c>
      <c r="D855" s="4" t="s">
        <v>45</v>
      </c>
      <c r="E855" t="s">
        <v>1429</v>
      </c>
      <c r="F855" s="17">
        <v>100</v>
      </c>
      <c r="G855" s="17">
        <v>10</v>
      </c>
      <c r="H855" t="s">
        <v>563</v>
      </c>
      <c r="I855" t="s">
        <v>564</v>
      </c>
      <c r="J855" s="13">
        <v>1127.1047983648077</v>
      </c>
      <c r="K855" t="str">
        <f t="shared" si="26"/>
        <v>Leslie Schenkel</v>
      </c>
    </row>
    <row r="856" spans="1:11" hidden="1" x14ac:dyDescent="0.35">
      <c r="A856">
        <f t="shared" si="27"/>
        <v>855</v>
      </c>
      <c r="B856">
        <v>2005</v>
      </c>
      <c r="C856" s="4" t="s">
        <v>8</v>
      </c>
      <c r="D856" s="4" t="s">
        <v>45</v>
      </c>
      <c r="E856" t="s">
        <v>1429</v>
      </c>
      <c r="F856" s="17">
        <v>100</v>
      </c>
      <c r="G856" s="17">
        <v>11</v>
      </c>
      <c r="H856" t="s">
        <v>742</v>
      </c>
      <c r="I856" t="s">
        <v>16</v>
      </c>
      <c r="J856" s="13">
        <v>1085.7121132065827</v>
      </c>
      <c r="K856" t="str">
        <f t="shared" si="26"/>
        <v>David Klatte</v>
      </c>
    </row>
    <row r="857" spans="1:11" hidden="1" x14ac:dyDescent="0.35">
      <c r="A857">
        <f t="shared" si="27"/>
        <v>856</v>
      </c>
      <c r="B857">
        <v>2005</v>
      </c>
      <c r="C857" s="4" t="s">
        <v>8</v>
      </c>
      <c r="D857" s="4" t="s">
        <v>45</v>
      </c>
      <c r="E857" t="s">
        <v>1429</v>
      </c>
      <c r="F857" s="17">
        <v>100</v>
      </c>
      <c r="G857" s="17">
        <v>12</v>
      </c>
      <c r="H857" t="s">
        <v>870</v>
      </c>
      <c r="I857" t="s">
        <v>528</v>
      </c>
      <c r="J857" s="13">
        <v>1047.9235523171828</v>
      </c>
      <c r="K857" t="str">
        <f t="shared" si="26"/>
        <v>Tim Woodbury</v>
      </c>
    </row>
    <row r="858" spans="1:11" hidden="1" x14ac:dyDescent="0.35">
      <c r="A858">
        <f t="shared" si="27"/>
        <v>857</v>
      </c>
      <c r="B858">
        <v>2005</v>
      </c>
      <c r="C858" s="4" t="s">
        <v>8</v>
      </c>
      <c r="D858" s="4" t="s">
        <v>45</v>
      </c>
      <c r="E858" t="s">
        <v>1429</v>
      </c>
      <c r="F858" s="17">
        <v>100</v>
      </c>
      <c r="G858" s="17">
        <v>13</v>
      </c>
      <c r="H858" t="s">
        <v>1092</v>
      </c>
      <c r="I858" t="s">
        <v>1093</v>
      </c>
      <c r="J858" s="13">
        <v>1013.161446057971</v>
      </c>
      <c r="K858" t="str">
        <f t="shared" si="26"/>
        <v>Al Weber</v>
      </c>
    </row>
    <row r="859" spans="1:11" hidden="1" x14ac:dyDescent="0.35">
      <c r="A859">
        <f t="shared" si="27"/>
        <v>858</v>
      </c>
      <c r="B859">
        <v>2005</v>
      </c>
      <c r="C859" s="4" t="s">
        <v>8</v>
      </c>
      <c r="D859" s="4" t="s">
        <v>45</v>
      </c>
      <c r="E859" t="s">
        <v>1429</v>
      </c>
      <c r="F859" s="17">
        <v>100</v>
      </c>
      <c r="G859" s="17">
        <v>14</v>
      </c>
      <c r="H859" t="s">
        <v>14</v>
      </c>
      <c r="I859" t="s">
        <v>11</v>
      </c>
      <c r="J859" s="13">
        <v>980.97676268656971</v>
      </c>
      <c r="K859" t="str">
        <f t="shared" si="26"/>
        <v>Paul McMullin</v>
      </c>
    </row>
    <row r="860" spans="1:11" hidden="1" x14ac:dyDescent="0.35">
      <c r="A860">
        <f t="shared" si="27"/>
        <v>859</v>
      </c>
      <c r="B860">
        <v>2005</v>
      </c>
      <c r="C860" s="4" t="s">
        <v>8</v>
      </c>
      <c r="D860" s="4" t="s">
        <v>45</v>
      </c>
      <c r="E860" t="s">
        <v>1429</v>
      </c>
      <c r="F860" s="17">
        <v>100</v>
      </c>
      <c r="G860" s="17">
        <v>15</v>
      </c>
      <c r="H860" t="s">
        <v>394</v>
      </c>
      <c r="I860" t="s">
        <v>1085</v>
      </c>
      <c r="J860" s="13">
        <v>951.01353930912637</v>
      </c>
      <c r="K860" t="str">
        <f t="shared" si="26"/>
        <v>Jeremy Miller</v>
      </c>
    </row>
    <row r="861" spans="1:11" hidden="1" x14ac:dyDescent="0.35">
      <c r="A861">
        <f t="shared" si="27"/>
        <v>860</v>
      </c>
      <c r="B861">
        <v>2005</v>
      </c>
      <c r="C861" s="4" t="s">
        <v>8</v>
      </c>
      <c r="D861" s="4" t="s">
        <v>45</v>
      </c>
      <c r="E861" t="s">
        <v>1429</v>
      </c>
      <c r="F861" s="17">
        <v>100</v>
      </c>
      <c r="G861" s="17">
        <v>16</v>
      </c>
      <c r="H861" t="s">
        <v>248</v>
      </c>
      <c r="I861" t="s">
        <v>249</v>
      </c>
      <c r="J861" s="13">
        <v>922.98481570888293</v>
      </c>
      <c r="K861" t="str">
        <f t="shared" si="26"/>
        <v>Ross Poppel</v>
      </c>
    </row>
    <row r="862" spans="1:11" hidden="1" x14ac:dyDescent="0.35">
      <c r="A862">
        <f t="shared" si="27"/>
        <v>861</v>
      </c>
      <c r="B862">
        <v>2005</v>
      </c>
      <c r="C862" s="4" t="s">
        <v>8</v>
      </c>
      <c r="D862" s="4" t="s">
        <v>45</v>
      </c>
      <c r="E862" t="s">
        <v>1429</v>
      </c>
      <c r="F862" s="17">
        <v>100</v>
      </c>
      <c r="G862" s="17">
        <v>17</v>
      </c>
      <c r="H862" t="s">
        <v>857</v>
      </c>
      <c r="I862" t="s">
        <v>13</v>
      </c>
      <c r="J862" s="13">
        <v>896.65587698653383</v>
      </c>
      <c r="K862" t="str">
        <f t="shared" si="26"/>
        <v>Tom O'Boyle</v>
      </c>
    </row>
    <row r="863" spans="1:11" hidden="1" x14ac:dyDescent="0.35">
      <c r="A863">
        <f t="shared" si="27"/>
        <v>862</v>
      </c>
      <c r="B863">
        <v>2005</v>
      </c>
      <c r="C863" s="4" t="s">
        <v>8</v>
      </c>
      <c r="D863" s="4" t="s">
        <v>45</v>
      </c>
      <c r="E863" t="s">
        <v>1429</v>
      </c>
      <c r="F863" s="17">
        <v>100</v>
      </c>
      <c r="G863" s="17">
        <v>18</v>
      </c>
      <c r="H863" t="s">
        <v>57</v>
      </c>
      <c r="I863" t="s">
        <v>58</v>
      </c>
      <c r="J863" s="13">
        <v>871.83229326150172</v>
      </c>
      <c r="K863" t="str">
        <f t="shared" si="26"/>
        <v>Jim Rogers</v>
      </c>
    </row>
    <row r="864" spans="1:11" hidden="1" x14ac:dyDescent="0.35">
      <c r="A864">
        <f t="shared" si="27"/>
        <v>863</v>
      </c>
      <c r="B864">
        <v>2005</v>
      </c>
      <c r="C864" s="5" t="s">
        <v>8</v>
      </c>
      <c r="D864" s="5" t="s">
        <v>24</v>
      </c>
      <c r="E864" t="s">
        <v>1432</v>
      </c>
      <c r="F864" s="17">
        <v>1320</v>
      </c>
      <c r="G864" s="17">
        <v>1</v>
      </c>
      <c r="H864" t="s">
        <v>251</v>
      </c>
      <c r="I864" t="s">
        <v>252</v>
      </c>
      <c r="J864" s="13">
        <v>870.1813447471219</v>
      </c>
      <c r="K864" t="str">
        <f t="shared" si="26"/>
        <v>Linda Lewis</v>
      </c>
    </row>
    <row r="865" spans="1:11" hidden="1" x14ac:dyDescent="0.35">
      <c r="A865">
        <f t="shared" si="27"/>
        <v>864</v>
      </c>
      <c r="B865">
        <v>2005</v>
      </c>
      <c r="C865" s="5" t="s">
        <v>8</v>
      </c>
      <c r="D865" s="5" t="s">
        <v>24</v>
      </c>
      <c r="E865" t="s">
        <v>1432</v>
      </c>
      <c r="F865" s="17">
        <v>1320</v>
      </c>
      <c r="G865" s="17">
        <v>1</v>
      </c>
      <c r="H865" t="s">
        <v>1073</v>
      </c>
      <c r="I865" t="s">
        <v>744</v>
      </c>
      <c r="J865" s="13">
        <v>870.1813447471219</v>
      </c>
      <c r="K865" t="str">
        <f t="shared" si="26"/>
        <v>Alexander Sam</v>
      </c>
    </row>
    <row r="866" spans="1:11" hidden="1" x14ac:dyDescent="0.35">
      <c r="A866">
        <f t="shared" si="27"/>
        <v>865</v>
      </c>
      <c r="B866">
        <v>2005</v>
      </c>
      <c r="C866" s="5" t="s">
        <v>8</v>
      </c>
      <c r="D866" s="5" t="s">
        <v>24</v>
      </c>
      <c r="E866" t="s">
        <v>1432</v>
      </c>
      <c r="F866" s="17">
        <v>693</v>
      </c>
      <c r="G866" s="17">
        <v>2</v>
      </c>
      <c r="H866" t="s">
        <v>366</v>
      </c>
      <c r="I866" t="s">
        <v>61</v>
      </c>
      <c r="J866" s="13">
        <v>719.66634691513127</v>
      </c>
      <c r="K866" t="str">
        <f t="shared" si="26"/>
        <v>Len Greenberg</v>
      </c>
    </row>
    <row r="867" spans="1:11" hidden="1" x14ac:dyDescent="0.35">
      <c r="A867">
        <f t="shared" si="27"/>
        <v>866</v>
      </c>
      <c r="B867">
        <v>2005</v>
      </c>
      <c r="C867" s="5" t="s">
        <v>8</v>
      </c>
      <c r="D867" s="5" t="s">
        <v>24</v>
      </c>
      <c r="E867" t="s">
        <v>1432</v>
      </c>
      <c r="F867" s="17">
        <v>693</v>
      </c>
      <c r="G867" s="17">
        <v>2</v>
      </c>
      <c r="H867" t="s">
        <v>890</v>
      </c>
      <c r="I867" t="s">
        <v>81</v>
      </c>
      <c r="J867" s="13">
        <v>719.66634691513127</v>
      </c>
      <c r="K867" t="str">
        <f t="shared" si="26"/>
        <v>Don Perry</v>
      </c>
    </row>
    <row r="868" spans="1:11" hidden="1" x14ac:dyDescent="0.35">
      <c r="A868">
        <f t="shared" si="27"/>
        <v>867</v>
      </c>
      <c r="B868">
        <v>2005</v>
      </c>
      <c r="C868" s="5" t="s">
        <v>8</v>
      </c>
      <c r="D868" s="5" t="s">
        <v>24</v>
      </c>
      <c r="E868" t="s">
        <v>1432</v>
      </c>
      <c r="F868" s="17">
        <v>363</v>
      </c>
      <c r="G868" s="17">
        <v>3</v>
      </c>
      <c r="H868" t="s">
        <v>2539</v>
      </c>
      <c r="I868" t="s">
        <v>28</v>
      </c>
      <c r="J868" s="13">
        <v>631.62071738729071</v>
      </c>
      <c r="K868" t="str">
        <f t="shared" si="26"/>
        <v>Chris O’Connor</v>
      </c>
    </row>
    <row r="869" spans="1:11" hidden="1" x14ac:dyDescent="0.35">
      <c r="A869">
        <f t="shared" si="27"/>
        <v>868</v>
      </c>
      <c r="B869">
        <v>2005</v>
      </c>
      <c r="C869" s="5" t="s">
        <v>8</v>
      </c>
      <c r="D869" s="5" t="s">
        <v>24</v>
      </c>
      <c r="E869" t="s">
        <v>1432</v>
      </c>
      <c r="F869" s="17">
        <v>363</v>
      </c>
      <c r="G869" s="17">
        <v>3</v>
      </c>
      <c r="H869" t="s">
        <v>1075</v>
      </c>
      <c r="I869" t="s">
        <v>232</v>
      </c>
      <c r="J869" s="13">
        <v>631.62071738729071</v>
      </c>
      <c r="K869" t="str">
        <f t="shared" si="26"/>
        <v>Adam Shapiro</v>
      </c>
    </row>
    <row r="870" spans="1:11" hidden="1" x14ac:dyDescent="0.35">
      <c r="A870">
        <f t="shared" si="27"/>
        <v>869</v>
      </c>
      <c r="B870">
        <v>2005</v>
      </c>
      <c r="C870" s="5" t="s">
        <v>8</v>
      </c>
      <c r="D870" s="5" t="s">
        <v>24</v>
      </c>
      <c r="E870" t="s">
        <v>1432</v>
      </c>
      <c r="F870" s="17">
        <v>281</v>
      </c>
      <c r="G870" s="17">
        <v>4</v>
      </c>
      <c r="H870" t="s">
        <v>1076</v>
      </c>
      <c r="I870" t="s">
        <v>139</v>
      </c>
      <c r="J870" s="13">
        <v>569.15134908314076</v>
      </c>
      <c r="K870" t="str">
        <f t="shared" si="26"/>
        <v>Mark Oldenburg</v>
      </c>
    </row>
    <row r="871" spans="1:11" hidden="1" x14ac:dyDescent="0.35">
      <c r="A871">
        <f t="shared" si="27"/>
        <v>870</v>
      </c>
      <c r="B871">
        <v>2005</v>
      </c>
      <c r="C871" s="5" t="s">
        <v>8</v>
      </c>
      <c r="D871" s="5" t="s">
        <v>24</v>
      </c>
      <c r="E871" t="s">
        <v>1432</v>
      </c>
      <c r="F871" s="17">
        <v>280</v>
      </c>
      <c r="G871" s="17">
        <v>4</v>
      </c>
      <c r="H871" t="s">
        <v>1078</v>
      </c>
      <c r="I871" t="s">
        <v>471</v>
      </c>
      <c r="J871" s="13">
        <v>569.15134908314076</v>
      </c>
      <c r="K871" t="str">
        <f t="shared" si="26"/>
        <v>Greg Raymer</v>
      </c>
    </row>
    <row r="872" spans="1:11" hidden="1" x14ac:dyDescent="0.35">
      <c r="A872">
        <f t="shared" si="27"/>
        <v>871</v>
      </c>
      <c r="B872">
        <v>2005</v>
      </c>
      <c r="C872" s="5" t="s">
        <v>8</v>
      </c>
      <c r="D872" s="5" t="s">
        <v>24</v>
      </c>
      <c r="E872" t="s">
        <v>1432</v>
      </c>
      <c r="F872" s="17">
        <v>198</v>
      </c>
      <c r="G872" s="17">
        <v>5</v>
      </c>
      <c r="H872" t="s">
        <v>64</v>
      </c>
      <c r="I872" t="s">
        <v>65</v>
      </c>
      <c r="J872" s="13">
        <v>520.69634257911241</v>
      </c>
      <c r="K872" t="str">
        <f t="shared" si="26"/>
        <v>Steve Daniel</v>
      </c>
    </row>
    <row r="873" spans="1:11" hidden="1" x14ac:dyDescent="0.35">
      <c r="A873">
        <f t="shared" si="27"/>
        <v>872</v>
      </c>
      <c r="B873">
        <v>2005</v>
      </c>
      <c r="C873" s="5" t="s">
        <v>8</v>
      </c>
      <c r="D873" s="5" t="s">
        <v>24</v>
      </c>
      <c r="E873" t="s">
        <v>1432</v>
      </c>
      <c r="F873" s="17">
        <v>198</v>
      </c>
      <c r="G873" s="17">
        <v>5</v>
      </c>
      <c r="H873" t="s">
        <v>1080</v>
      </c>
      <c r="I873" t="s">
        <v>25</v>
      </c>
      <c r="J873" s="13">
        <v>520.69634257911241</v>
      </c>
      <c r="K873" t="str">
        <f t="shared" si="26"/>
        <v>Russell Rosenblum</v>
      </c>
    </row>
    <row r="874" spans="1:11" hidden="1" x14ac:dyDescent="0.35">
      <c r="A874">
        <f t="shared" si="27"/>
        <v>873</v>
      </c>
      <c r="B874">
        <v>2005</v>
      </c>
      <c r="C874" s="5" t="s">
        <v>8</v>
      </c>
      <c r="D874" s="5" t="s">
        <v>24</v>
      </c>
      <c r="E874" t="s">
        <v>1432</v>
      </c>
      <c r="F874" s="17">
        <v>148</v>
      </c>
      <c r="G874" s="17">
        <v>6</v>
      </c>
      <c r="H874" t="s">
        <v>1083</v>
      </c>
      <c r="I874" t="s">
        <v>927</v>
      </c>
      <c r="J874" s="13">
        <v>481.10571955530014</v>
      </c>
      <c r="K874" t="str">
        <f t="shared" si="26"/>
        <v>Jay Guild</v>
      </c>
    </row>
    <row r="875" spans="1:11" hidden="1" x14ac:dyDescent="0.35">
      <c r="A875">
        <f t="shared" si="27"/>
        <v>874</v>
      </c>
      <c r="B875">
        <v>2005</v>
      </c>
      <c r="C875" s="5" t="s">
        <v>8</v>
      </c>
      <c r="D875" s="5" t="s">
        <v>24</v>
      </c>
      <c r="E875" t="s">
        <v>1432</v>
      </c>
      <c r="F875" s="17">
        <v>149</v>
      </c>
      <c r="G875" s="17">
        <v>6</v>
      </c>
      <c r="H875" t="s">
        <v>1082</v>
      </c>
      <c r="I875" t="s">
        <v>52</v>
      </c>
      <c r="J875" s="13">
        <v>481.10571955530014</v>
      </c>
      <c r="K875" t="str">
        <f t="shared" si="26"/>
        <v>Steven Sager</v>
      </c>
    </row>
    <row r="876" spans="1:11" hidden="1" x14ac:dyDescent="0.35">
      <c r="A876">
        <f t="shared" si="27"/>
        <v>875</v>
      </c>
      <c r="B876">
        <v>2005</v>
      </c>
      <c r="C876" s="5" t="s">
        <v>8</v>
      </c>
      <c r="D876" s="5" t="s">
        <v>24</v>
      </c>
      <c r="E876" t="s">
        <v>1432</v>
      </c>
      <c r="F876" s="17">
        <v>115</v>
      </c>
      <c r="G876" s="17">
        <v>7</v>
      </c>
      <c r="H876" t="s">
        <v>238</v>
      </c>
      <c r="I876" t="s">
        <v>16</v>
      </c>
      <c r="J876" s="13">
        <v>447.63232473999352</v>
      </c>
      <c r="K876" t="str">
        <f t="shared" si="26"/>
        <v>David Kuznick</v>
      </c>
    </row>
    <row r="877" spans="1:11" hidden="1" x14ac:dyDescent="0.35">
      <c r="A877">
        <f t="shared" si="27"/>
        <v>876</v>
      </c>
      <c r="B877">
        <v>2005</v>
      </c>
      <c r="C877" s="5" t="s">
        <v>8</v>
      </c>
      <c r="D877" s="5" t="s">
        <v>24</v>
      </c>
      <c r="E877" t="s">
        <v>1432</v>
      </c>
      <c r="F877" s="17">
        <v>116</v>
      </c>
      <c r="G877" s="17">
        <v>7</v>
      </c>
      <c r="H877" t="s">
        <v>363</v>
      </c>
      <c r="I877" t="s">
        <v>364</v>
      </c>
      <c r="J877" s="13">
        <v>447.63232473999352</v>
      </c>
      <c r="K877" t="str">
        <f t="shared" si="26"/>
        <v>Warren Sander</v>
      </c>
    </row>
    <row r="878" spans="1:11" hidden="1" x14ac:dyDescent="0.35">
      <c r="A878">
        <f t="shared" si="27"/>
        <v>877</v>
      </c>
      <c r="B878">
        <v>2005</v>
      </c>
      <c r="C878" s="5" t="s">
        <v>8</v>
      </c>
      <c r="D878" s="5" t="s">
        <v>24</v>
      </c>
      <c r="E878" t="s">
        <v>1432</v>
      </c>
      <c r="F878" s="17">
        <v>99</v>
      </c>
      <c r="G878" s="17">
        <v>8</v>
      </c>
      <c r="H878" t="s">
        <v>14</v>
      </c>
      <c r="I878" t="s">
        <v>11</v>
      </c>
      <c r="J878" s="13">
        <v>418.63635125115019</v>
      </c>
      <c r="K878" t="str">
        <f t="shared" si="26"/>
        <v>Paul McMullin</v>
      </c>
    </row>
    <row r="879" spans="1:11" hidden="1" x14ac:dyDescent="0.35">
      <c r="A879">
        <f t="shared" si="27"/>
        <v>878</v>
      </c>
      <c r="B879">
        <v>2005</v>
      </c>
      <c r="C879" s="5" t="s">
        <v>8</v>
      </c>
      <c r="D879" s="5" t="s">
        <v>24</v>
      </c>
      <c r="E879" t="s">
        <v>1432</v>
      </c>
      <c r="F879" s="17">
        <v>99</v>
      </c>
      <c r="G879" s="17">
        <v>8</v>
      </c>
      <c r="H879" t="s">
        <v>394</v>
      </c>
      <c r="I879" t="s">
        <v>1085</v>
      </c>
      <c r="J879" s="13">
        <v>418.63635125115019</v>
      </c>
      <c r="K879" t="str">
        <f t="shared" si="26"/>
        <v>Jeremy Miller</v>
      </c>
    </row>
    <row r="880" spans="1:11" hidden="1" x14ac:dyDescent="0.35">
      <c r="A880">
        <f t="shared" si="27"/>
        <v>879</v>
      </c>
      <c r="B880">
        <v>2005</v>
      </c>
      <c r="C880" s="5" t="s">
        <v>8</v>
      </c>
      <c r="D880" s="5" t="s">
        <v>24</v>
      </c>
      <c r="E880" t="s">
        <v>1432</v>
      </c>
      <c r="F880" s="17">
        <v>83</v>
      </c>
      <c r="G880" s="17">
        <v>9</v>
      </c>
      <c r="H880" t="s">
        <v>357</v>
      </c>
      <c r="I880" t="s">
        <v>463</v>
      </c>
      <c r="J880" s="13">
        <v>393.06009002745952</v>
      </c>
      <c r="K880" t="str">
        <f t="shared" si="26"/>
        <v>Richard Goodridge</v>
      </c>
    </row>
    <row r="881" spans="1:11" hidden="1" x14ac:dyDescent="0.35">
      <c r="A881">
        <f t="shared" si="27"/>
        <v>880</v>
      </c>
      <c r="B881">
        <v>2005</v>
      </c>
      <c r="C881" s="5" t="s">
        <v>8</v>
      </c>
      <c r="D881" s="5" t="s">
        <v>24</v>
      </c>
      <c r="E881" t="s">
        <v>1432</v>
      </c>
      <c r="F881" s="17">
        <v>82</v>
      </c>
      <c r="G881" s="17">
        <v>9</v>
      </c>
      <c r="H881" t="s">
        <v>465</v>
      </c>
      <c r="I881" t="s">
        <v>11</v>
      </c>
      <c r="J881" s="13">
        <v>393.06009002745952</v>
      </c>
      <c r="K881" t="str">
        <f t="shared" si="26"/>
        <v>Paul Sikorski</v>
      </c>
    </row>
    <row r="882" spans="1:11" hidden="1" x14ac:dyDescent="0.35">
      <c r="A882">
        <f t="shared" si="27"/>
        <v>881</v>
      </c>
      <c r="B882">
        <v>2005</v>
      </c>
      <c r="C882" s="4" t="s">
        <v>583</v>
      </c>
      <c r="D882" s="4" t="s">
        <v>509</v>
      </c>
      <c r="E882" t="s">
        <v>509</v>
      </c>
      <c r="F882" s="17">
        <v>649</v>
      </c>
      <c r="G882" s="17">
        <v>1</v>
      </c>
      <c r="H882" t="s">
        <v>307</v>
      </c>
      <c r="I882" t="s">
        <v>67</v>
      </c>
      <c r="J882" s="13">
        <v>1462.3979978989562</v>
      </c>
      <c r="K882" t="str">
        <f t="shared" si="26"/>
        <v>Bob Ogus</v>
      </c>
    </row>
    <row r="883" spans="1:11" hidden="1" x14ac:dyDescent="0.35">
      <c r="A883">
        <f t="shared" si="27"/>
        <v>882</v>
      </c>
      <c r="B883">
        <v>2005</v>
      </c>
      <c r="C883" s="4" t="s">
        <v>583</v>
      </c>
      <c r="D883" s="4" t="s">
        <v>509</v>
      </c>
      <c r="E883" t="s">
        <v>509</v>
      </c>
      <c r="F883" s="17">
        <v>426</v>
      </c>
      <c r="G883" s="17">
        <v>2</v>
      </c>
      <c r="H883" t="s">
        <v>588</v>
      </c>
      <c r="I883" t="s">
        <v>353</v>
      </c>
      <c r="J883" s="13">
        <v>1161.3680022349749</v>
      </c>
      <c r="K883" t="str">
        <f t="shared" si="26"/>
        <v>Frank Bruegger</v>
      </c>
    </row>
    <row r="884" spans="1:11" hidden="1" x14ac:dyDescent="0.35">
      <c r="A884">
        <f t="shared" si="27"/>
        <v>883</v>
      </c>
      <c r="B884">
        <v>2005</v>
      </c>
      <c r="C884" s="4" t="s">
        <v>583</v>
      </c>
      <c r="D884" s="4" t="s">
        <v>509</v>
      </c>
      <c r="E884" t="s">
        <v>509</v>
      </c>
      <c r="F884" s="17">
        <v>324</v>
      </c>
      <c r="G884" s="17">
        <v>3</v>
      </c>
      <c r="H884" t="s">
        <v>1148</v>
      </c>
      <c r="I884" t="s">
        <v>28</v>
      </c>
      <c r="J884" s="13">
        <v>985.2767431792937</v>
      </c>
      <c r="K884" t="str">
        <f t="shared" si="26"/>
        <v>Chris Carstens</v>
      </c>
    </row>
    <row r="885" spans="1:11" hidden="1" x14ac:dyDescent="0.35">
      <c r="A885">
        <f t="shared" si="27"/>
        <v>884</v>
      </c>
      <c r="B885">
        <v>2005</v>
      </c>
      <c r="C885" s="4" t="s">
        <v>583</v>
      </c>
      <c r="D885" s="4" t="s">
        <v>509</v>
      </c>
      <c r="E885" t="s">
        <v>509</v>
      </c>
      <c r="F885" s="17">
        <v>263</v>
      </c>
      <c r="G885" s="17">
        <v>4</v>
      </c>
      <c r="H885" t="s">
        <v>681</v>
      </c>
      <c r="I885" t="s">
        <v>13</v>
      </c>
      <c r="J885" s="13">
        <v>860.33800657099368</v>
      </c>
      <c r="K885" t="str">
        <f t="shared" si="26"/>
        <v>Tom Valentino</v>
      </c>
    </row>
    <row r="886" spans="1:11" hidden="1" x14ac:dyDescent="0.35">
      <c r="A886">
        <f t="shared" si="27"/>
        <v>885</v>
      </c>
      <c r="B886">
        <v>2005</v>
      </c>
      <c r="C886" s="4" t="s">
        <v>583</v>
      </c>
      <c r="D886" s="4" t="s">
        <v>509</v>
      </c>
      <c r="E886" t="s">
        <v>509</v>
      </c>
      <c r="F886" s="17">
        <v>203</v>
      </c>
      <c r="G886" s="17">
        <v>5</v>
      </c>
      <c r="H886" t="s">
        <v>799</v>
      </c>
      <c r="I886" t="s">
        <v>1149</v>
      </c>
      <c r="J886" s="13">
        <v>763.42799356293722</v>
      </c>
      <c r="K886" t="str">
        <f t="shared" si="26"/>
        <v>Dieter Martin</v>
      </c>
    </row>
    <row r="887" spans="1:11" hidden="1" x14ac:dyDescent="0.35">
      <c r="A887">
        <f t="shared" si="27"/>
        <v>886</v>
      </c>
      <c r="B887">
        <v>2005</v>
      </c>
      <c r="C887" s="4" t="s">
        <v>583</v>
      </c>
      <c r="D887" s="4" t="s">
        <v>509</v>
      </c>
      <c r="E887" t="s">
        <v>509</v>
      </c>
      <c r="F887" s="17">
        <v>165</v>
      </c>
      <c r="G887" s="17">
        <v>9</v>
      </c>
      <c r="H887" t="s">
        <v>1150</v>
      </c>
      <c r="I887" t="s">
        <v>136</v>
      </c>
      <c r="J887" s="13">
        <v>508.15548845963121</v>
      </c>
      <c r="K887" t="str">
        <f t="shared" si="26"/>
        <v>John Diamondhead</v>
      </c>
    </row>
    <row r="888" spans="1:11" hidden="1" x14ac:dyDescent="0.35">
      <c r="A888">
        <f t="shared" si="27"/>
        <v>887</v>
      </c>
      <c r="B888">
        <v>2005</v>
      </c>
      <c r="C888" s="4" t="s">
        <v>583</v>
      </c>
      <c r="D888" s="4" t="s">
        <v>45</v>
      </c>
      <c r="E888" t="s">
        <v>1429</v>
      </c>
      <c r="F888" s="17">
        <v>800</v>
      </c>
      <c r="G888" s="17">
        <v>1.5</v>
      </c>
      <c r="H888" t="s">
        <v>1154</v>
      </c>
      <c r="I888" t="s">
        <v>952</v>
      </c>
      <c r="J888" s="13">
        <v>1355.3876579865739</v>
      </c>
      <c r="K888" t="str">
        <f t="shared" si="26"/>
        <v>Craig Mordock</v>
      </c>
    </row>
    <row r="889" spans="1:11" hidden="1" x14ac:dyDescent="0.35">
      <c r="A889">
        <f t="shared" si="27"/>
        <v>888</v>
      </c>
      <c r="B889">
        <v>2005</v>
      </c>
      <c r="C889" s="4" t="s">
        <v>583</v>
      </c>
      <c r="D889" s="4" t="s">
        <v>45</v>
      </c>
      <c r="E889" t="s">
        <v>1429</v>
      </c>
      <c r="F889" s="17">
        <v>800</v>
      </c>
      <c r="G889" s="17">
        <v>1.5</v>
      </c>
      <c r="H889" t="s">
        <v>183</v>
      </c>
      <c r="I889" t="s">
        <v>13</v>
      </c>
      <c r="J889" s="13">
        <v>1355.3876579865739</v>
      </c>
      <c r="K889" t="str">
        <f t="shared" si="26"/>
        <v>Tom White</v>
      </c>
    </row>
    <row r="890" spans="1:11" hidden="1" x14ac:dyDescent="0.35">
      <c r="A890">
        <f t="shared" si="27"/>
        <v>889</v>
      </c>
      <c r="B890">
        <v>2005</v>
      </c>
      <c r="C890" s="4" t="s">
        <v>583</v>
      </c>
      <c r="D890" s="4" t="s">
        <v>45</v>
      </c>
      <c r="E890" t="s">
        <v>1429</v>
      </c>
      <c r="F890" s="17">
        <v>442</v>
      </c>
      <c r="G890" s="17">
        <v>3</v>
      </c>
      <c r="H890" t="s">
        <v>1156</v>
      </c>
      <c r="I890" t="s">
        <v>1157</v>
      </c>
      <c r="J890" s="13">
        <v>1054.3576623225927</v>
      </c>
      <c r="K890" t="str">
        <f t="shared" si="26"/>
        <v>Shane Mabile</v>
      </c>
    </row>
    <row r="891" spans="1:11" hidden="1" x14ac:dyDescent="0.35">
      <c r="A891">
        <f t="shared" si="27"/>
        <v>890</v>
      </c>
      <c r="B891">
        <v>2005</v>
      </c>
      <c r="C891" s="4" t="s">
        <v>583</v>
      </c>
      <c r="D891" s="4" t="s">
        <v>45</v>
      </c>
      <c r="E891" t="s">
        <v>1429</v>
      </c>
      <c r="F891" s="17">
        <v>374</v>
      </c>
      <c r="G891" s="17">
        <v>4</v>
      </c>
      <c r="H891" t="s">
        <v>1159</v>
      </c>
      <c r="I891" t="s">
        <v>136</v>
      </c>
      <c r="J891" s="13">
        <v>929.41892571429275</v>
      </c>
      <c r="K891" t="str">
        <f t="shared" si="26"/>
        <v>John Averill</v>
      </c>
    </row>
    <row r="892" spans="1:11" hidden="1" x14ac:dyDescent="0.35">
      <c r="A892">
        <f t="shared" si="27"/>
        <v>891</v>
      </c>
      <c r="B892">
        <v>2005</v>
      </c>
      <c r="C892" s="4" t="s">
        <v>583</v>
      </c>
      <c r="D892" s="4" t="s">
        <v>45</v>
      </c>
      <c r="E892" t="s">
        <v>1429</v>
      </c>
      <c r="F892" s="17">
        <v>306</v>
      </c>
      <c r="G892" s="17">
        <v>5</v>
      </c>
      <c r="H892" t="s">
        <v>265</v>
      </c>
      <c r="I892" t="s">
        <v>139</v>
      </c>
      <c r="J892" s="13">
        <v>832.50891270623629</v>
      </c>
      <c r="K892" t="str">
        <f t="shared" si="26"/>
        <v>Mark Hughes</v>
      </c>
    </row>
    <row r="893" spans="1:11" hidden="1" x14ac:dyDescent="0.35">
      <c r="A893">
        <f t="shared" si="27"/>
        <v>892</v>
      </c>
      <c r="B893">
        <v>2005</v>
      </c>
      <c r="C893" s="4" t="s">
        <v>583</v>
      </c>
      <c r="D893" s="4" t="s">
        <v>45</v>
      </c>
      <c r="E893" t="s">
        <v>1429</v>
      </c>
      <c r="F893" s="17">
        <v>272</v>
      </c>
      <c r="G893" s="17">
        <v>6</v>
      </c>
      <c r="H893" t="s">
        <v>1161</v>
      </c>
      <c r="I893" t="s">
        <v>1162</v>
      </c>
      <c r="J893" s="13">
        <v>753.32766665861152</v>
      </c>
      <c r="K893" t="str">
        <f t="shared" si="26"/>
        <v>Neal Favret</v>
      </c>
    </row>
    <row r="894" spans="1:11" hidden="1" x14ac:dyDescent="0.35">
      <c r="A894">
        <f t="shared" si="27"/>
        <v>893</v>
      </c>
      <c r="B894">
        <v>2005</v>
      </c>
      <c r="C894" s="4" t="s">
        <v>583</v>
      </c>
      <c r="D894" s="4" t="s">
        <v>45</v>
      </c>
      <c r="E894" t="s">
        <v>1429</v>
      </c>
      <c r="F894" s="17">
        <v>238</v>
      </c>
      <c r="G894" s="17">
        <v>7</v>
      </c>
      <c r="H894" t="s">
        <v>1164</v>
      </c>
      <c r="I894" t="s">
        <v>139</v>
      </c>
      <c r="J894" s="13">
        <v>686.38087702799828</v>
      </c>
      <c r="K894" t="str">
        <f t="shared" si="26"/>
        <v>Mark Harman</v>
      </c>
    </row>
    <row r="895" spans="1:11" hidden="1" x14ac:dyDescent="0.35">
      <c r="A895">
        <f t="shared" si="27"/>
        <v>894</v>
      </c>
      <c r="B895">
        <v>2005</v>
      </c>
      <c r="C895" s="4" t="s">
        <v>583</v>
      </c>
      <c r="D895" s="4" t="s">
        <v>45</v>
      </c>
      <c r="E895" t="s">
        <v>1429</v>
      </c>
      <c r="F895" s="17">
        <v>170</v>
      </c>
      <c r="G895" s="17">
        <v>8</v>
      </c>
      <c r="H895" t="s">
        <v>588</v>
      </c>
      <c r="I895" t="s">
        <v>353</v>
      </c>
      <c r="J895" s="13">
        <v>628.38893005031161</v>
      </c>
      <c r="K895" t="str">
        <f t="shared" si="26"/>
        <v>Frank Bruegger</v>
      </c>
    </row>
    <row r="896" spans="1:11" hidden="1" x14ac:dyDescent="0.35">
      <c r="A896">
        <f t="shared" si="27"/>
        <v>895</v>
      </c>
      <c r="B896">
        <v>2005</v>
      </c>
      <c r="C896" s="4" t="s">
        <v>583</v>
      </c>
      <c r="D896" s="4" t="s">
        <v>770</v>
      </c>
      <c r="E896" t="s">
        <v>1430</v>
      </c>
      <c r="F896" s="17">
        <v>650</v>
      </c>
      <c r="G896" s="17">
        <v>1</v>
      </c>
      <c r="H896" t="s">
        <v>1151</v>
      </c>
      <c r="I896" t="s">
        <v>634</v>
      </c>
      <c r="J896" s="13">
        <v>1462.3979978989562</v>
      </c>
      <c r="K896" t="str">
        <f t="shared" si="26"/>
        <v>Charlie Mathis</v>
      </c>
    </row>
    <row r="897" spans="1:11" hidden="1" x14ac:dyDescent="0.35">
      <c r="A897">
        <f t="shared" si="27"/>
        <v>896</v>
      </c>
      <c r="B897">
        <v>2005</v>
      </c>
      <c r="C897" s="4" t="s">
        <v>583</v>
      </c>
      <c r="D897" s="4" t="s">
        <v>770</v>
      </c>
      <c r="E897" t="s">
        <v>1430</v>
      </c>
      <c r="F897" s="17">
        <v>426</v>
      </c>
      <c r="G897" s="17">
        <v>2</v>
      </c>
      <c r="H897" t="s">
        <v>588</v>
      </c>
      <c r="I897" t="s">
        <v>353</v>
      </c>
      <c r="J897" s="13">
        <v>1161.3680022349749</v>
      </c>
      <c r="K897" t="str">
        <f t="shared" si="26"/>
        <v>Frank Bruegger</v>
      </c>
    </row>
    <row r="898" spans="1:11" hidden="1" x14ac:dyDescent="0.35">
      <c r="A898">
        <f t="shared" si="27"/>
        <v>897</v>
      </c>
      <c r="B898">
        <v>2005</v>
      </c>
      <c r="C898" s="4" t="s">
        <v>583</v>
      </c>
      <c r="D898" s="4" t="s">
        <v>770</v>
      </c>
      <c r="E898" t="s">
        <v>1430</v>
      </c>
      <c r="F898" s="17">
        <v>325</v>
      </c>
      <c r="G898" s="17">
        <v>3</v>
      </c>
      <c r="H898" t="s">
        <v>268</v>
      </c>
      <c r="I898" t="s">
        <v>269</v>
      </c>
      <c r="J898" s="13">
        <v>985.2767431792937</v>
      </c>
      <c r="K898" t="str">
        <f t="shared" ref="K898:K961" si="28">I898&amp;" "&amp;H898</f>
        <v>Keith Fichtemaier</v>
      </c>
    </row>
    <row r="899" spans="1:11" hidden="1" x14ac:dyDescent="0.35">
      <c r="A899">
        <f t="shared" si="27"/>
        <v>898</v>
      </c>
      <c r="B899">
        <v>2005</v>
      </c>
      <c r="C899" s="4" t="s">
        <v>583</v>
      </c>
      <c r="D899" s="4" t="s">
        <v>770</v>
      </c>
      <c r="E899" t="s">
        <v>1430</v>
      </c>
      <c r="F899" s="17">
        <v>264</v>
      </c>
      <c r="G899" s="17">
        <v>4</v>
      </c>
      <c r="H899" t="s">
        <v>1152</v>
      </c>
      <c r="I899" t="s">
        <v>388</v>
      </c>
      <c r="J899" s="13">
        <v>860.33800657099368</v>
      </c>
      <c r="K899" t="str">
        <f t="shared" si="28"/>
        <v>Charles Zino</v>
      </c>
    </row>
    <row r="900" spans="1:11" hidden="1" x14ac:dyDescent="0.35">
      <c r="A900">
        <f t="shared" ref="A900:A963" si="29">A899+1</f>
        <v>899</v>
      </c>
      <c r="B900">
        <v>2005</v>
      </c>
      <c r="C900" s="4" t="s">
        <v>583</v>
      </c>
      <c r="D900" s="4" t="s">
        <v>770</v>
      </c>
      <c r="E900" t="s">
        <v>1430</v>
      </c>
      <c r="F900" s="17">
        <v>203</v>
      </c>
      <c r="G900" s="17">
        <v>5</v>
      </c>
      <c r="H900" t="s">
        <v>296</v>
      </c>
      <c r="I900" t="s">
        <v>297</v>
      </c>
      <c r="J900" s="13">
        <v>763.42799356293722</v>
      </c>
      <c r="K900" t="str">
        <f t="shared" si="28"/>
        <v>Janie McIntosh</v>
      </c>
    </row>
    <row r="901" spans="1:11" hidden="1" x14ac:dyDescent="0.35">
      <c r="A901">
        <f t="shared" si="29"/>
        <v>900</v>
      </c>
      <c r="B901">
        <v>2005</v>
      </c>
      <c r="C901" s="4" t="s">
        <v>583</v>
      </c>
      <c r="D901" s="4" t="s">
        <v>770</v>
      </c>
      <c r="E901" t="s">
        <v>1430</v>
      </c>
      <c r="F901" s="17">
        <v>162</v>
      </c>
      <c r="G901" s="17">
        <v>6</v>
      </c>
      <c r="H901" t="s">
        <v>307</v>
      </c>
      <c r="I901" t="s">
        <v>67</v>
      </c>
      <c r="J901" s="13">
        <v>684.24674751531245</v>
      </c>
      <c r="K901" t="str">
        <f t="shared" si="28"/>
        <v>Bob Ogus</v>
      </c>
    </row>
    <row r="902" spans="1:11" hidden="1" x14ac:dyDescent="0.35">
      <c r="A902">
        <f t="shared" si="29"/>
        <v>901</v>
      </c>
      <c r="B902">
        <v>2006</v>
      </c>
      <c r="C902" s="4" t="s">
        <v>109</v>
      </c>
      <c r="D902" s="4" t="s">
        <v>944</v>
      </c>
      <c r="E902" t="s">
        <v>944</v>
      </c>
      <c r="F902" s="17">
        <v>2205</v>
      </c>
      <c r="G902" s="17">
        <v>1</v>
      </c>
      <c r="H902" t="s">
        <v>960</v>
      </c>
      <c r="I902" t="s">
        <v>136</v>
      </c>
      <c r="J902" s="13">
        <v>1819.5439355418687</v>
      </c>
      <c r="K902" t="str">
        <f t="shared" si="28"/>
        <v>John Harkness</v>
      </c>
    </row>
    <row r="903" spans="1:11" hidden="1" x14ac:dyDescent="0.35">
      <c r="A903">
        <f t="shared" si="29"/>
        <v>902</v>
      </c>
      <c r="B903">
        <v>2006</v>
      </c>
      <c r="C903" s="4" t="s">
        <v>109</v>
      </c>
      <c r="D903" s="4" t="s">
        <v>944</v>
      </c>
      <c r="E903" t="s">
        <v>944</v>
      </c>
      <c r="F903" s="17">
        <v>1225</v>
      </c>
      <c r="G903" s="17">
        <v>2</v>
      </c>
      <c r="H903" t="s">
        <v>220</v>
      </c>
      <c r="I903" t="s">
        <v>421</v>
      </c>
      <c r="J903" s="13">
        <v>1518.5139398778874</v>
      </c>
      <c r="K903" t="str">
        <f t="shared" si="28"/>
        <v>Bill Chen</v>
      </c>
    </row>
    <row r="904" spans="1:11" hidden="1" x14ac:dyDescent="0.35">
      <c r="A904">
        <f t="shared" si="29"/>
        <v>903</v>
      </c>
      <c r="B904">
        <v>2006</v>
      </c>
      <c r="C904" s="4" t="s">
        <v>109</v>
      </c>
      <c r="D904" s="4" t="s">
        <v>944</v>
      </c>
      <c r="E904" t="s">
        <v>944</v>
      </c>
      <c r="F904" s="17">
        <v>735</v>
      </c>
      <c r="G904" s="17">
        <v>3</v>
      </c>
      <c r="H904" t="s">
        <v>764</v>
      </c>
      <c r="I904" t="s">
        <v>901</v>
      </c>
      <c r="J904" s="13">
        <v>1342.4226808222063</v>
      </c>
      <c r="K904" t="str">
        <f t="shared" si="28"/>
        <v>Jerrod Ankenman</v>
      </c>
    </row>
    <row r="905" spans="1:11" hidden="1" x14ac:dyDescent="0.35">
      <c r="A905">
        <f t="shared" si="29"/>
        <v>904</v>
      </c>
      <c r="B905">
        <v>2006</v>
      </c>
      <c r="C905" s="4" t="s">
        <v>109</v>
      </c>
      <c r="D905" s="4" t="s">
        <v>944</v>
      </c>
      <c r="E905" t="s">
        <v>944</v>
      </c>
      <c r="F905" s="17">
        <v>490</v>
      </c>
      <c r="G905" s="17">
        <v>4</v>
      </c>
      <c r="H905" t="s">
        <v>141</v>
      </c>
      <c r="I905" t="s">
        <v>142</v>
      </c>
      <c r="J905" s="13">
        <v>1217.4839442139062</v>
      </c>
      <c r="K905" t="str">
        <f t="shared" si="28"/>
        <v>Matt Ivester</v>
      </c>
    </row>
    <row r="906" spans="1:11" hidden="1" x14ac:dyDescent="0.35">
      <c r="A906">
        <f t="shared" si="29"/>
        <v>905</v>
      </c>
      <c r="B906">
        <v>2006</v>
      </c>
      <c r="C906" s="4" t="s">
        <v>109</v>
      </c>
      <c r="D906" s="4" t="s">
        <v>944</v>
      </c>
      <c r="E906" t="s">
        <v>944</v>
      </c>
      <c r="F906" s="17">
        <v>245</v>
      </c>
      <c r="G906" s="17">
        <v>5</v>
      </c>
      <c r="H906" t="s">
        <v>74</v>
      </c>
      <c r="I906" t="s">
        <v>75</v>
      </c>
      <c r="J906" s="13">
        <v>1120.5739312058499</v>
      </c>
      <c r="K906" t="str">
        <f t="shared" si="28"/>
        <v>Sabyl Landrum</v>
      </c>
    </row>
    <row r="907" spans="1:11" hidden="1" x14ac:dyDescent="0.35">
      <c r="A907">
        <f t="shared" si="29"/>
        <v>906</v>
      </c>
      <c r="B907">
        <v>2006</v>
      </c>
      <c r="C907" s="4" t="s">
        <v>109</v>
      </c>
      <c r="D907" s="4" t="s">
        <v>918</v>
      </c>
      <c r="E907" t="s">
        <v>1430</v>
      </c>
      <c r="F907" s="17">
        <v>3810</v>
      </c>
      <c r="G907" s="17">
        <v>1</v>
      </c>
      <c r="H907" t="s">
        <v>941</v>
      </c>
      <c r="I907" t="s">
        <v>942</v>
      </c>
      <c r="J907" s="13">
        <v>2000</v>
      </c>
      <c r="K907" t="str">
        <f t="shared" si="28"/>
        <v>Jodi Neufeld</v>
      </c>
    </row>
    <row r="908" spans="1:11" hidden="1" x14ac:dyDescent="0.35">
      <c r="A908">
        <f t="shared" si="29"/>
        <v>907</v>
      </c>
      <c r="B908">
        <v>2006</v>
      </c>
      <c r="C908" s="4" t="s">
        <v>109</v>
      </c>
      <c r="D908" s="4" t="s">
        <v>918</v>
      </c>
      <c r="E908" t="s">
        <v>1430</v>
      </c>
      <c r="F908" s="17">
        <v>2000</v>
      </c>
      <c r="G908" s="17">
        <v>2</v>
      </c>
      <c r="H908" t="s">
        <v>1017</v>
      </c>
      <c r="I908" t="s">
        <v>1018</v>
      </c>
      <c r="J908" s="13">
        <v>1698.9700043360187</v>
      </c>
      <c r="K908" t="str">
        <f t="shared" si="28"/>
        <v>Gabe DeVitto</v>
      </c>
    </row>
    <row r="909" spans="1:11" hidden="1" x14ac:dyDescent="0.35">
      <c r="A909">
        <f t="shared" si="29"/>
        <v>908</v>
      </c>
      <c r="B909">
        <v>2006</v>
      </c>
      <c r="C909" s="4" t="s">
        <v>109</v>
      </c>
      <c r="D909" s="4" t="s">
        <v>918</v>
      </c>
      <c r="E909" t="s">
        <v>1430</v>
      </c>
      <c r="F909" s="17">
        <v>1000</v>
      </c>
      <c r="G909" s="17">
        <v>3</v>
      </c>
      <c r="H909" t="s">
        <v>340</v>
      </c>
      <c r="I909" t="s">
        <v>665</v>
      </c>
      <c r="J909" s="13">
        <v>1522.8787452803376</v>
      </c>
      <c r="K909" t="str">
        <f t="shared" si="28"/>
        <v>Robert Catlett</v>
      </c>
    </row>
    <row r="910" spans="1:11" hidden="1" x14ac:dyDescent="0.35">
      <c r="A910">
        <f t="shared" si="29"/>
        <v>909</v>
      </c>
      <c r="B910">
        <v>2006</v>
      </c>
      <c r="C910" s="4" t="s">
        <v>109</v>
      </c>
      <c r="D910" s="4" t="s">
        <v>918</v>
      </c>
      <c r="E910" t="s">
        <v>1430</v>
      </c>
      <c r="F910" s="17">
        <v>600</v>
      </c>
      <c r="G910" s="17">
        <v>4</v>
      </c>
      <c r="H910" t="s">
        <v>220</v>
      </c>
      <c r="I910" t="s">
        <v>421</v>
      </c>
      <c r="J910" s="13">
        <v>1397.9400086720375</v>
      </c>
      <c r="K910" t="str">
        <f t="shared" si="28"/>
        <v>Bill Chen</v>
      </c>
    </row>
    <row r="911" spans="1:11" hidden="1" x14ac:dyDescent="0.35">
      <c r="A911">
        <f t="shared" si="29"/>
        <v>910</v>
      </c>
      <c r="B911">
        <v>2006</v>
      </c>
      <c r="C911" s="4" t="s">
        <v>109</v>
      </c>
      <c r="D911" s="4" t="s">
        <v>918</v>
      </c>
      <c r="E911" t="s">
        <v>1430</v>
      </c>
      <c r="F911" s="17">
        <v>450</v>
      </c>
      <c r="G911" s="17">
        <v>5</v>
      </c>
      <c r="H911" t="s">
        <v>1020</v>
      </c>
      <c r="I911" t="s">
        <v>28</v>
      </c>
      <c r="J911" s="13">
        <v>1301.0299956639813</v>
      </c>
      <c r="K911" t="str">
        <f t="shared" si="28"/>
        <v>Chris Wilson</v>
      </c>
    </row>
    <row r="912" spans="1:11" hidden="1" x14ac:dyDescent="0.35">
      <c r="A912">
        <f t="shared" si="29"/>
        <v>911</v>
      </c>
      <c r="B912">
        <v>2006</v>
      </c>
      <c r="C912" s="4" t="s">
        <v>109</v>
      </c>
      <c r="D912" s="4" t="s">
        <v>918</v>
      </c>
      <c r="E912" t="s">
        <v>1430</v>
      </c>
      <c r="F912" s="17">
        <v>350</v>
      </c>
      <c r="G912" s="17">
        <v>6</v>
      </c>
      <c r="H912" t="s">
        <v>618</v>
      </c>
      <c r="I912" t="s">
        <v>521</v>
      </c>
      <c r="J912" s="13">
        <v>1221.8487496163564</v>
      </c>
      <c r="K912" t="str">
        <f t="shared" si="28"/>
        <v>Chuck Weinstock</v>
      </c>
    </row>
    <row r="913" spans="1:11" hidden="1" x14ac:dyDescent="0.35">
      <c r="A913">
        <f t="shared" si="29"/>
        <v>912</v>
      </c>
      <c r="B913">
        <v>2006</v>
      </c>
      <c r="C913" s="4" t="s">
        <v>109</v>
      </c>
      <c r="D913" s="4" t="s">
        <v>918</v>
      </c>
      <c r="E913" t="s">
        <v>1430</v>
      </c>
      <c r="F913" s="17">
        <v>250</v>
      </c>
      <c r="G913" s="17">
        <v>7</v>
      </c>
      <c r="H913" t="s">
        <v>251</v>
      </c>
      <c r="I913" t="s">
        <v>252</v>
      </c>
      <c r="J913" s="13">
        <v>1154.9019599857431</v>
      </c>
      <c r="K913" t="str">
        <f t="shared" si="28"/>
        <v>Linda Lewis</v>
      </c>
    </row>
    <row r="914" spans="1:11" hidden="1" x14ac:dyDescent="0.35">
      <c r="A914">
        <f t="shared" si="29"/>
        <v>913</v>
      </c>
      <c r="B914">
        <v>2006</v>
      </c>
      <c r="C914" s="4" t="s">
        <v>109</v>
      </c>
      <c r="D914" s="4" t="s">
        <v>918</v>
      </c>
      <c r="E914" t="s">
        <v>1430</v>
      </c>
      <c r="F914" s="17">
        <v>200</v>
      </c>
      <c r="G914" s="17">
        <v>8</v>
      </c>
      <c r="H914" t="s">
        <v>436</v>
      </c>
      <c r="I914" t="s">
        <v>16</v>
      </c>
      <c r="J914" s="13">
        <v>1096.9100130080565</v>
      </c>
      <c r="K914" t="str">
        <f t="shared" si="28"/>
        <v>David Coates</v>
      </c>
    </row>
    <row r="915" spans="1:11" hidden="1" x14ac:dyDescent="0.35">
      <c r="A915">
        <f t="shared" si="29"/>
        <v>914</v>
      </c>
      <c r="B915">
        <v>2006</v>
      </c>
      <c r="C915" s="4" t="s">
        <v>109</v>
      </c>
      <c r="D915" s="4" t="s">
        <v>918</v>
      </c>
      <c r="E915" t="s">
        <v>1430</v>
      </c>
      <c r="F915" s="17">
        <v>170</v>
      </c>
      <c r="G915" s="17">
        <v>9</v>
      </c>
      <c r="H915" t="s">
        <v>945</v>
      </c>
      <c r="I915" t="s">
        <v>946</v>
      </c>
      <c r="J915" s="13">
        <v>1045.7574905606753</v>
      </c>
      <c r="K915" t="str">
        <f t="shared" si="28"/>
        <v>Ray DiDonato</v>
      </c>
    </row>
    <row r="916" spans="1:11" hidden="1" x14ac:dyDescent="0.35">
      <c r="A916">
        <f t="shared" si="29"/>
        <v>915</v>
      </c>
      <c r="B916">
        <v>2006</v>
      </c>
      <c r="C916" s="4" t="s">
        <v>109</v>
      </c>
      <c r="D916" s="4" t="s">
        <v>918</v>
      </c>
      <c r="E916" t="s">
        <v>1430</v>
      </c>
      <c r="F916" s="17">
        <v>130</v>
      </c>
      <c r="G916" s="17">
        <v>10</v>
      </c>
      <c r="H916" t="s">
        <v>14</v>
      </c>
      <c r="I916" t="s">
        <v>11</v>
      </c>
      <c r="J916" s="13">
        <v>1000</v>
      </c>
      <c r="K916" t="str">
        <f t="shared" si="28"/>
        <v>Paul McMullin</v>
      </c>
    </row>
    <row r="917" spans="1:11" hidden="1" x14ac:dyDescent="0.35">
      <c r="A917">
        <f t="shared" si="29"/>
        <v>916</v>
      </c>
      <c r="B917">
        <v>2006</v>
      </c>
      <c r="C917" s="4" t="s">
        <v>109</v>
      </c>
      <c r="D917" s="4" t="s">
        <v>918</v>
      </c>
      <c r="E917" t="s">
        <v>1430</v>
      </c>
      <c r="F917" s="17">
        <v>130</v>
      </c>
      <c r="G917" s="17">
        <v>11</v>
      </c>
      <c r="H917" t="s">
        <v>1021</v>
      </c>
      <c r="I917" t="s">
        <v>1022</v>
      </c>
      <c r="J917" s="13">
        <v>958.60731484177484</v>
      </c>
      <c r="K917" t="str">
        <f t="shared" si="28"/>
        <v>Mitch Firestone</v>
      </c>
    </row>
    <row r="918" spans="1:11" hidden="1" x14ac:dyDescent="0.35">
      <c r="A918">
        <f t="shared" si="29"/>
        <v>917</v>
      </c>
      <c r="B918">
        <v>2006</v>
      </c>
      <c r="C918" s="4" t="s">
        <v>109</v>
      </c>
      <c r="D918" s="4" t="s">
        <v>918</v>
      </c>
      <c r="E918" t="s">
        <v>1430</v>
      </c>
      <c r="F918" s="17">
        <v>130</v>
      </c>
      <c r="G918" s="17">
        <v>12</v>
      </c>
      <c r="H918" t="s">
        <v>105</v>
      </c>
      <c r="I918" t="s">
        <v>106</v>
      </c>
      <c r="J918" s="13">
        <v>920.81875395237512</v>
      </c>
      <c r="K918" t="str">
        <f t="shared" si="28"/>
        <v>Kenny Shei</v>
      </c>
    </row>
    <row r="919" spans="1:11" hidden="1" x14ac:dyDescent="0.35">
      <c r="A919">
        <f t="shared" si="29"/>
        <v>918</v>
      </c>
      <c r="B919">
        <v>2006</v>
      </c>
      <c r="C919" s="4" t="s">
        <v>109</v>
      </c>
      <c r="D919" s="4" t="s">
        <v>918</v>
      </c>
      <c r="E919" t="s">
        <v>1430</v>
      </c>
      <c r="F919" s="17">
        <v>130</v>
      </c>
      <c r="G919" s="17">
        <v>13</v>
      </c>
      <c r="H919" t="s">
        <v>111</v>
      </c>
      <c r="I919" t="s">
        <v>16</v>
      </c>
      <c r="J919" s="13">
        <v>886.05664769316331</v>
      </c>
      <c r="K919" t="str">
        <f t="shared" si="28"/>
        <v>David Fruchter</v>
      </c>
    </row>
    <row r="920" spans="1:11" hidden="1" x14ac:dyDescent="0.35">
      <c r="A920">
        <f t="shared" si="29"/>
        <v>919</v>
      </c>
      <c r="B920">
        <v>2006</v>
      </c>
      <c r="C920" s="4" t="s">
        <v>109</v>
      </c>
      <c r="D920" s="4" t="s">
        <v>918</v>
      </c>
      <c r="E920" t="s">
        <v>1430</v>
      </c>
      <c r="F920" s="17">
        <v>130</v>
      </c>
      <c r="G920" s="17">
        <v>14</v>
      </c>
      <c r="H920" t="s">
        <v>420</v>
      </c>
      <c r="I920" t="s">
        <v>153</v>
      </c>
      <c r="J920" s="13">
        <v>853.87196432176199</v>
      </c>
      <c r="K920" t="str">
        <f t="shared" si="28"/>
        <v>Stephen Jacobs</v>
      </c>
    </row>
    <row r="921" spans="1:11" hidden="1" x14ac:dyDescent="0.35">
      <c r="A921">
        <f t="shared" si="29"/>
        <v>920</v>
      </c>
      <c r="B921">
        <v>2006</v>
      </c>
      <c r="C921" s="4" t="s">
        <v>109</v>
      </c>
      <c r="D921" s="4" t="s">
        <v>918</v>
      </c>
      <c r="E921" t="s">
        <v>1430</v>
      </c>
      <c r="F921" s="17">
        <v>130</v>
      </c>
      <c r="G921" s="17">
        <v>15</v>
      </c>
      <c r="H921" t="s">
        <v>931</v>
      </c>
      <c r="I921" t="s">
        <v>71</v>
      </c>
      <c r="J921" s="13">
        <v>823.90874094431865</v>
      </c>
      <c r="K921" t="str">
        <f t="shared" si="28"/>
        <v>Scott Sorenson</v>
      </c>
    </row>
    <row r="922" spans="1:11" hidden="1" x14ac:dyDescent="0.35">
      <c r="A922">
        <f t="shared" si="29"/>
        <v>921</v>
      </c>
      <c r="B922">
        <v>2006</v>
      </c>
      <c r="C922" s="4" t="s">
        <v>109</v>
      </c>
      <c r="D922" s="4" t="s">
        <v>918</v>
      </c>
      <c r="E922" t="s">
        <v>1430</v>
      </c>
      <c r="F922" s="17">
        <v>130</v>
      </c>
      <c r="G922" s="17">
        <v>16</v>
      </c>
      <c r="H922" t="s">
        <v>1024</v>
      </c>
      <c r="I922" t="s">
        <v>271</v>
      </c>
      <c r="J922" s="13">
        <v>795.88001734407521</v>
      </c>
      <c r="K922" t="str">
        <f t="shared" si="28"/>
        <v>Dan Melbourne</v>
      </c>
    </row>
    <row r="923" spans="1:11" hidden="1" x14ac:dyDescent="0.35">
      <c r="A923">
        <f t="shared" si="29"/>
        <v>922</v>
      </c>
      <c r="B923">
        <v>2006</v>
      </c>
      <c r="C923" s="4" t="s">
        <v>109</v>
      </c>
      <c r="D923" s="4" t="s">
        <v>918</v>
      </c>
      <c r="E923" t="s">
        <v>1430</v>
      </c>
      <c r="F923" s="17">
        <v>130</v>
      </c>
      <c r="G923" s="17">
        <v>17</v>
      </c>
      <c r="H923" t="s">
        <v>238</v>
      </c>
      <c r="I923" t="s">
        <v>16</v>
      </c>
      <c r="J923" s="13">
        <v>769.55107862172611</v>
      </c>
      <c r="K923" t="str">
        <f t="shared" si="28"/>
        <v>David Kuznick</v>
      </c>
    </row>
    <row r="924" spans="1:11" hidden="1" x14ac:dyDescent="0.35">
      <c r="A924">
        <f t="shared" si="29"/>
        <v>923</v>
      </c>
      <c r="B924">
        <v>2006</v>
      </c>
      <c r="C924" s="4" t="s">
        <v>109</v>
      </c>
      <c r="D924" s="4" t="s">
        <v>918</v>
      </c>
      <c r="E924" t="s">
        <v>1430</v>
      </c>
      <c r="F924" s="17">
        <v>130</v>
      </c>
      <c r="G924" s="17">
        <v>18</v>
      </c>
      <c r="H924" t="s">
        <v>248</v>
      </c>
      <c r="I924" t="s">
        <v>249</v>
      </c>
      <c r="J924" s="13">
        <v>744.727494896694</v>
      </c>
      <c r="K924" t="str">
        <f t="shared" si="28"/>
        <v>Ross Poppel</v>
      </c>
    </row>
    <row r="925" spans="1:11" hidden="1" x14ac:dyDescent="0.35">
      <c r="A925">
        <f t="shared" si="29"/>
        <v>924</v>
      </c>
      <c r="B925">
        <v>2006</v>
      </c>
      <c r="C925" s="4" t="s">
        <v>109</v>
      </c>
      <c r="D925" s="4" t="s">
        <v>45</v>
      </c>
      <c r="E925" t="s">
        <v>1429</v>
      </c>
      <c r="F925" s="17">
        <v>6630</v>
      </c>
      <c r="G925" s="17">
        <v>1</v>
      </c>
      <c r="H925" t="s">
        <v>1026</v>
      </c>
      <c r="I925" t="s">
        <v>187</v>
      </c>
      <c r="J925" s="13">
        <v>2298.8530764097068</v>
      </c>
      <c r="K925" t="str">
        <f t="shared" si="28"/>
        <v>Joe Hammond</v>
      </c>
    </row>
    <row r="926" spans="1:11" hidden="1" x14ac:dyDescent="0.35">
      <c r="A926">
        <f t="shared" si="29"/>
        <v>925</v>
      </c>
      <c r="B926">
        <v>2006</v>
      </c>
      <c r="C926" s="4" t="s">
        <v>109</v>
      </c>
      <c r="D926" s="4" t="s">
        <v>45</v>
      </c>
      <c r="E926" t="s">
        <v>1429</v>
      </c>
      <c r="F926" s="17">
        <v>3480</v>
      </c>
      <c r="G926" s="17">
        <v>2</v>
      </c>
      <c r="H926" t="s">
        <v>366</v>
      </c>
      <c r="I926" t="s">
        <v>61</v>
      </c>
      <c r="J926" s="13">
        <v>1894.8696567452523</v>
      </c>
      <c r="K926" t="str">
        <f t="shared" si="28"/>
        <v>Len Greenberg</v>
      </c>
    </row>
    <row r="927" spans="1:11" hidden="1" x14ac:dyDescent="0.35">
      <c r="A927">
        <f t="shared" si="29"/>
        <v>926</v>
      </c>
      <c r="B927">
        <v>2006</v>
      </c>
      <c r="C927" s="4" t="s">
        <v>109</v>
      </c>
      <c r="D927" s="4" t="s">
        <v>45</v>
      </c>
      <c r="E927" t="s">
        <v>1429</v>
      </c>
      <c r="F927" s="17">
        <v>1740</v>
      </c>
      <c r="G927" s="17">
        <v>3</v>
      </c>
      <c r="H927" t="s">
        <v>672</v>
      </c>
      <c r="I927" t="s">
        <v>673</v>
      </c>
      <c r="J927" s="13">
        <v>1718.7783976895712</v>
      </c>
      <c r="K927" t="str">
        <f t="shared" si="28"/>
        <v>Jazbo Burns</v>
      </c>
    </row>
    <row r="928" spans="1:11" hidden="1" x14ac:dyDescent="0.35">
      <c r="A928">
        <f t="shared" si="29"/>
        <v>927</v>
      </c>
      <c r="B928">
        <v>2006</v>
      </c>
      <c r="C928" s="4" t="s">
        <v>109</v>
      </c>
      <c r="D928" s="4" t="s">
        <v>45</v>
      </c>
      <c r="E928" t="s">
        <v>1429</v>
      </c>
      <c r="F928" s="17">
        <v>1044</v>
      </c>
      <c r="G928" s="17">
        <v>4</v>
      </c>
      <c r="H928" t="s">
        <v>19</v>
      </c>
      <c r="I928" t="s">
        <v>20</v>
      </c>
      <c r="J928" s="13">
        <v>1593.8396610812711</v>
      </c>
      <c r="K928" t="str">
        <f t="shared" si="28"/>
        <v>Barry Kornspan</v>
      </c>
    </row>
    <row r="929" spans="1:11" hidden="1" x14ac:dyDescent="0.35">
      <c r="A929">
        <f t="shared" si="29"/>
        <v>928</v>
      </c>
      <c r="B929">
        <v>2006</v>
      </c>
      <c r="C929" s="4" t="s">
        <v>109</v>
      </c>
      <c r="D929" s="4" t="s">
        <v>45</v>
      </c>
      <c r="E929" t="s">
        <v>1429</v>
      </c>
      <c r="F929" s="17">
        <v>783</v>
      </c>
      <c r="G929" s="17">
        <v>5</v>
      </c>
      <c r="H929" t="s">
        <v>1028</v>
      </c>
      <c r="I929" t="s">
        <v>927</v>
      </c>
      <c r="J929" s="13">
        <v>1496.9296480732148</v>
      </c>
      <c r="K929" t="str">
        <f t="shared" si="28"/>
        <v>Jay Kinstler</v>
      </c>
    </row>
    <row r="930" spans="1:11" hidden="1" x14ac:dyDescent="0.35">
      <c r="A930">
        <f t="shared" si="29"/>
        <v>929</v>
      </c>
      <c r="B930">
        <v>2006</v>
      </c>
      <c r="C930" s="4" t="s">
        <v>109</v>
      </c>
      <c r="D930" s="4" t="s">
        <v>45</v>
      </c>
      <c r="E930" t="s">
        <v>1429</v>
      </c>
      <c r="F930" s="17">
        <v>609</v>
      </c>
      <c r="G930" s="17">
        <v>6</v>
      </c>
      <c r="H930" t="s">
        <v>1030</v>
      </c>
      <c r="I930" t="s">
        <v>848</v>
      </c>
      <c r="J930" s="13">
        <v>1417.7484020255899</v>
      </c>
      <c r="K930" t="str">
        <f t="shared" si="28"/>
        <v>Jason Abell</v>
      </c>
    </row>
    <row r="931" spans="1:11" hidden="1" x14ac:dyDescent="0.35">
      <c r="A931">
        <f t="shared" si="29"/>
        <v>930</v>
      </c>
      <c r="B931">
        <v>2006</v>
      </c>
      <c r="C931" s="4" t="s">
        <v>109</v>
      </c>
      <c r="D931" s="4" t="s">
        <v>45</v>
      </c>
      <c r="E931" t="s">
        <v>1429</v>
      </c>
      <c r="F931" s="17">
        <v>435</v>
      </c>
      <c r="G931" s="17">
        <v>7</v>
      </c>
      <c r="H931" t="s">
        <v>1032</v>
      </c>
      <c r="I931" t="s">
        <v>1033</v>
      </c>
      <c r="J931" s="13">
        <v>1350.8016123949767</v>
      </c>
      <c r="K931" t="str">
        <f t="shared" si="28"/>
        <v>Pat Cosgrove</v>
      </c>
    </row>
    <row r="932" spans="1:11" hidden="1" x14ac:dyDescent="0.35">
      <c r="A932">
        <f t="shared" si="29"/>
        <v>931</v>
      </c>
      <c r="B932">
        <v>2006</v>
      </c>
      <c r="C932" s="4" t="s">
        <v>109</v>
      </c>
      <c r="D932" s="4" t="s">
        <v>45</v>
      </c>
      <c r="E932" t="s">
        <v>1429</v>
      </c>
      <c r="F932" s="17">
        <v>349</v>
      </c>
      <c r="G932" s="17">
        <v>8</v>
      </c>
      <c r="H932" t="s">
        <v>1035</v>
      </c>
      <c r="I932" t="s">
        <v>142</v>
      </c>
      <c r="J932" s="13">
        <v>1292.80966541729</v>
      </c>
      <c r="K932" t="str">
        <f t="shared" si="28"/>
        <v>Matt Hawrilenko</v>
      </c>
    </row>
    <row r="933" spans="1:11" hidden="1" x14ac:dyDescent="0.35">
      <c r="A933">
        <f t="shared" si="29"/>
        <v>932</v>
      </c>
      <c r="B933">
        <v>2006</v>
      </c>
      <c r="C933" s="4" t="s">
        <v>109</v>
      </c>
      <c r="D933" s="4" t="s">
        <v>45</v>
      </c>
      <c r="E933" t="s">
        <v>1429</v>
      </c>
      <c r="F933" s="17">
        <v>296</v>
      </c>
      <c r="G933" s="17">
        <v>9</v>
      </c>
      <c r="H933" t="s">
        <v>1024</v>
      </c>
      <c r="I933" t="s">
        <v>271</v>
      </c>
      <c r="J933" s="13">
        <v>1241.6571429699088</v>
      </c>
      <c r="K933" t="str">
        <f t="shared" si="28"/>
        <v>Dan Melbourne</v>
      </c>
    </row>
    <row r="934" spans="1:11" hidden="1" x14ac:dyDescent="0.35">
      <c r="A934">
        <f t="shared" si="29"/>
        <v>933</v>
      </c>
      <c r="B934">
        <v>2006</v>
      </c>
      <c r="C934" s="4" t="s">
        <v>109</v>
      </c>
      <c r="D934" s="4" t="s">
        <v>45</v>
      </c>
      <c r="E934" t="s">
        <v>1429</v>
      </c>
      <c r="F934" s="17">
        <v>226</v>
      </c>
      <c r="G934" s="17">
        <v>10</v>
      </c>
      <c r="H934" t="s">
        <v>414</v>
      </c>
      <c r="I934" t="s">
        <v>1022</v>
      </c>
      <c r="J934" s="13">
        <v>1195.8996524092336</v>
      </c>
      <c r="K934" t="str">
        <f t="shared" si="28"/>
        <v>Mitch Kramer</v>
      </c>
    </row>
    <row r="935" spans="1:11" hidden="1" x14ac:dyDescent="0.35">
      <c r="A935">
        <f t="shared" si="29"/>
        <v>934</v>
      </c>
      <c r="B935">
        <v>2006</v>
      </c>
      <c r="C935" s="4" t="s">
        <v>109</v>
      </c>
      <c r="D935" s="4" t="s">
        <v>45</v>
      </c>
      <c r="E935" t="s">
        <v>1429</v>
      </c>
      <c r="F935" s="17">
        <v>226</v>
      </c>
      <c r="G935" s="17">
        <v>11</v>
      </c>
      <c r="H935" t="s">
        <v>1038</v>
      </c>
      <c r="I935" t="s">
        <v>28</v>
      </c>
      <c r="J935" s="13">
        <v>1154.5069672510085</v>
      </c>
      <c r="K935" t="str">
        <f t="shared" si="28"/>
        <v>Chris Raimondi</v>
      </c>
    </row>
    <row r="936" spans="1:11" hidden="1" x14ac:dyDescent="0.35">
      <c r="A936">
        <f t="shared" si="29"/>
        <v>935</v>
      </c>
      <c r="B936">
        <v>2006</v>
      </c>
      <c r="C936" s="4" t="s">
        <v>109</v>
      </c>
      <c r="D936" s="4" t="s">
        <v>45</v>
      </c>
      <c r="E936" t="s">
        <v>1429</v>
      </c>
      <c r="F936" s="17">
        <v>226</v>
      </c>
      <c r="G936" s="17">
        <v>12</v>
      </c>
      <c r="H936" t="s">
        <v>161</v>
      </c>
      <c r="I936" t="s">
        <v>200</v>
      </c>
      <c r="J936" s="13">
        <v>1116.7184063616087</v>
      </c>
      <c r="K936" t="str">
        <f t="shared" si="28"/>
        <v>Rick Becker</v>
      </c>
    </row>
    <row r="937" spans="1:11" hidden="1" x14ac:dyDescent="0.35">
      <c r="A937">
        <f t="shared" si="29"/>
        <v>936</v>
      </c>
      <c r="B937">
        <v>2006</v>
      </c>
      <c r="C937" s="4" t="s">
        <v>109</v>
      </c>
      <c r="D937" s="4" t="s">
        <v>45</v>
      </c>
      <c r="E937" t="s">
        <v>1429</v>
      </c>
      <c r="F937" s="17">
        <v>226</v>
      </c>
      <c r="G937" s="17">
        <v>13</v>
      </c>
      <c r="H937" t="s">
        <v>100</v>
      </c>
      <c r="I937" t="s">
        <v>52</v>
      </c>
      <c r="J937" s="13">
        <v>1081.9563001023969</v>
      </c>
      <c r="K937" t="str">
        <f t="shared" si="28"/>
        <v>Steven Eisenstein</v>
      </c>
    </row>
    <row r="938" spans="1:11" hidden="1" x14ac:dyDescent="0.35">
      <c r="A938">
        <f t="shared" si="29"/>
        <v>937</v>
      </c>
      <c r="B938">
        <v>2006</v>
      </c>
      <c r="C938" s="4" t="s">
        <v>109</v>
      </c>
      <c r="D938" s="4" t="s">
        <v>45</v>
      </c>
      <c r="E938" t="s">
        <v>1429</v>
      </c>
      <c r="F938" s="17">
        <v>226</v>
      </c>
      <c r="G938" s="17">
        <v>14</v>
      </c>
      <c r="H938" t="s">
        <v>931</v>
      </c>
      <c r="I938" t="s">
        <v>71</v>
      </c>
      <c r="J938" s="13">
        <v>1049.7716167309957</v>
      </c>
      <c r="K938" t="str">
        <f t="shared" si="28"/>
        <v>Scott Sorenson</v>
      </c>
    </row>
    <row r="939" spans="1:11" hidden="1" x14ac:dyDescent="0.35">
      <c r="A939">
        <f t="shared" si="29"/>
        <v>938</v>
      </c>
      <c r="B939">
        <v>2006</v>
      </c>
      <c r="C939" s="4" t="s">
        <v>109</v>
      </c>
      <c r="D939" s="4" t="s">
        <v>45</v>
      </c>
      <c r="E939" t="s">
        <v>1429</v>
      </c>
      <c r="F939" s="17">
        <v>226</v>
      </c>
      <c r="G939" s="17">
        <v>15</v>
      </c>
      <c r="H939" t="s">
        <v>1040</v>
      </c>
      <c r="I939" t="s">
        <v>77</v>
      </c>
      <c r="J939" s="13">
        <v>1019.8083933535522</v>
      </c>
      <c r="K939" t="str">
        <f t="shared" si="28"/>
        <v>Eric Zak</v>
      </c>
    </row>
    <row r="940" spans="1:11" hidden="1" x14ac:dyDescent="0.35">
      <c r="A940">
        <f t="shared" si="29"/>
        <v>939</v>
      </c>
      <c r="B940">
        <v>2006</v>
      </c>
      <c r="C940" s="4" t="s">
        <v>109</v>
      </c>
      <c r="D940" s="4" t="s">
        <v>45</v>
      </c>
      <c r="E940" t="s">
        <v>1429</v>
      </c>
      <c r="F940" s="17">
        <v>226</v>
      </c>
      <c r="G940" s="17">
        <v>16</v>
      </c>
      <c r="H940" t="s">
        <v>1042</v>
      </c>
      <c r="I940" t="s">
        <v>38</v>
      </c>
      <c r="J940" s="13">
        <v>991.77966975330878</v>
      </c>
      <c r="K940" t="str">
        <f t="shared" si="28"/>
        <v>Doug Collins</v>
      </c>
    </row>
    <row r="941" spans="1:11" hidden="1" x14ac:dyDescent="0.35">
      <c r="A941">
        <f t="shared" si="29"/>
        <v>940</v>
      </c>
      <c r="B941">
        <v>2006</v>
      </c>
      <c r="C941" s="4" t="s">
        <v>109</v>
      </c>
      <c r="D941" s="4" t="s">
        <v>45</v>
      </c>
      <c r="E941" t="s">
        <v>1429</v>
      </c>
      <c r="F941" s="17">
        <v>226</v>
      </c>
      <c r="G941" s="17">
        <v>17</v>
      </c>
      <c r="H941" t="s">
        <v>180</v>
      </c>
      <c r="I941" t="s">
        <v>218</v>
      </c>
      <c r="J941" s="13">
        <v>965.45073103095967</v>
      </c>
      <c r="K941" t="str">
        <f t="shared" si="28"/>
        <v>Michael McCall</v>
      </c>
    </row>
    <row r="942" spans="1:11" hidden="1" x14ac:dyDescent="0.35">
      <c r="A942">
        <f t="shared" si="29"/>
        <v>941</v>
      </c>
      <c r="B942">
        <v>2006</v>
      </c>
      <c r="C942" s="4" t="s">
        <v>109</v>
      </c>
      <c r="D942" s="4" t="s">
        <v>45</v>
      </c>
      <c r="E942" t="s">
        <v>1429</v>
      </c>
      <c r="F942" s="17">
        <v>226</v>
      </c>
      <c r="G942" s="17">
        <v>18</v>
      </c>
      <c r="H942" t="s">
        <v>1045</v>
      </c>
      <c r="I942" t="s">
        <v>16</v>
      </c>
      <c r="J942" s="13">
        <v>940.62714730592756</v>
      </c>
      <c r="K942" t="str">
        <f t="shared" si="28"/>
        <v>David Albis</v>
      </c>
    </row>
    <row r="943" spans="1:11" hidden="1" x14ac:dyDescent="0.35">
      <c r="A943">
        <f t="shared" si="29"/>
        <v>942</v>
      </c>
      <c r="B943">
        <v>2006</v>
      </c>
      <c r="C943" s="4" t="s">
        <v>263</v>
      </c>
      <c r="D943" s="4" t="s">
        <v>962</v>
      </c>
      <c r="E943" t="s">
        <v>944</v>
      </c>
      <c r="F943" s="17">
        <v>1330</v>
      </c>
      <c r="G943" s="17">
        <v>1</v>
      </c>
      <c r="H943" t="s">
        <v>1058</v>
      </c>
      <c r="I943" t="s">
        <v>384</v>
      </c>
      <c r="J943" s="13">
        <v>1944.4826721501686</v>
      </c>
      <c r="K943" t="str">
        <f t="shared" si="28"/>
        <v>Jeff Landgraf</v>
      </c>
    </row>
    <row r="944" spans="1:11" hidden="1" x14ac:dyDescent="0.35">
      <c r="A944">
        <f t="shared" si="29"/>
        <v>943</v>
      </c>
      <c r="B944">
        <v>2006</v>
      </c>
      <c r="C944" s="4" t="s">
        <v>263</v>
      </c>
      <c r="D944" s="4" t="s">
        <v>962</v>
      </c>
      <c r="E944" t="s">
        <v>944</v>
      </c>
      <c r="F944" s="17">
        <v>1070</v>
      </c>
      <c r="G944" s="17">
        <v>2</v>
      </c>
      <c r="H944" t="s">
        <v>1059</v>
      </c>
      <c r="I944" t="s">
        <v>64</v>
      </c>
      <c r="J944" s="13">
        <v>1643.4526764861873</v>
      </c>
      <c r="K944" t="str">
        <f t="shared" si="28"/>
        <v>Daniel Lykins</v>
      </c>
    </row>
    <row r="945" spans="1:11" hidden="1" x14ac:dyDescent="0.35">
      <c r="A945">
        <f t="shared" si="29"/>
        <v>944</v>
      </c>
      <c r="B945">
        <v>2006</v>
      </c>
      <c r="C945" s="4" t="s">
        <v>263</v>
      </c>
      <c r="D945" s="4" t="s">
        <v>962</v>
      </c>
      <c r="E945" t="s">
        <v>944</v>
      </c>
      <c r="F945" s="17">
        <v>800</v>
      </c>
      <c r="G945" s="17">
        <v>3</v>
      </c>
      <c r="H945" t="s">
        <v>35</v>
      </c>
      <c r="I945" t="s">
        <v>36</v>
      </c>
      <c r="J945" s="13">
        <v>1467.3614174305062</v>
      </c>
      <c r="K945" t="str">
        <f t="shared" si="28"/>
        <v>Nolan Dalla</v>
      </c>
    </row>
    <row r="946" spans="1:11" hidden="1" x14ac:dyDescent="0.35">
      <c r="A946">
        <f t="shared" si="29"/>
        <v>945</v>
      </c>
      <c r="B946">
        <v>2006</v>
      </c>
      <c r="C946" s="4" t="s">
        <v>263</v>
      </c>
      <c r="D946" s="4" t="s">
        <v>962</v>
      </c>
      <c r="E946" t="s">
        <v>944</v>
      </c>
      <c r="F946" s="17">
        <v>640</v>
      </c>
      <c r="G946" s="17">
        <v>4</v>
      </c>
      <c r="H946" t="s">
        <v>512</v>
      </c>
      <c r="I946" t="s">
        <v>67</v>
      </c>
      <c r="J946" s="13">
        <v>1342.4226808222061</v>
      </c>
      <c r="K946" t="str">
        <f t="shared" si="28"/>
        <v>Bob Irons</v>
      </c>
    </row>
    <row r="947" spans="1:11" hidden="1" x14ac:dyDescent="0.35">
      <c r="A947">
        <f t="shared" si="29"/>
        <v>946</v>
      </c>
      <c r="B947">
        <v>2006</v>
      </c>
      <c r="C947" s="4" t="s">
        <v>263</v>
      </c>
      <c r="D947" s="4" t="s">
        <v>962</v>
      </c>
      <c r="E947" t="s">
        <v>944</v>
      </c>
      <c r="F947" s="17">
        <v>530</v>
      </c>
      <c r="G947" s="17">
        <v>5</v>
      </c>
      <c r="H947" t="s">
        <v>1060</v>
      </c>
      <c r="I947" t="s">
        <v>13</v>
      </c>
      <c r="J947" s="13">
        <v>1245.5126678141498</v>
      </c>
      <c r="K947" t="str">
        <f t="shared" si="28"/>
        <v>Tom Abraham</v>
      </c>
    </row>
    <row r="948" spans="1:11" hidden="1" x14ac:dyDescent="0.35">
      <c r="A948">
        <f t="shared" si="29"/>
        <v>947</v>
      </c>
      <c r="B948">
        <v>2006</v>
      </c>
      <c r="C948" s="4" t="s">
        <v>263</v>
      </c>
      <c r="D948" s="4" t="s">
        <v>962</v>
      </c>
      <c r="E948" t="s">
        <v>944</v>
      </c>
      <c r="F948" s="17">
        <v>430</v>
      </c>
      <c r="G948" s="17">
        <v>6</v>
      </c>
      <c r="H948" t="s">
        <v>74</v>
      </c>
      <c r="I948" t="s">
        <v>75</v>
      </c>
      <c r="J948" s="13">
        <v>1166.331421766525</v>
      </c>
      <c r="K948" t="str">
        <f t="shared" si="28"/>
        <v>Sabyl Landrum</v>
      </c>
    </row>
    <row r="949" spans="1:11" hidden="1" x14ac:dyDescent="0.35">
      <c r="A949">
        <f t="shared" si="29"/>
        <v>948</v>
      </c>
      <c r="B949">
        <v>2006</v>
      </c>
      <c r="C949" s="4" t="s">
        <v>263</v>
      </c>
      <c r="D949" s="4" t="s">
        <v>962</v>
      </c>
      <c r="E949" t="s">
        <v>944</v>
      </c>
      <c r="F949" s="17">
        <v>320</v>
      </c>
      <c r="G949" s="17">
        <v>7</v>
      </c>
      <c r="H949" t="s">
        <v>226</v>
      </c>
      <c r="I949" t="s">
        <v>227</v>
      </c>
      <c r="J949" s="13">
        <v>1099.3846321359117</v>
      </c>
      <c r="K949" t="str">
        <f t="shared" si="28"/>
        <v>Patti Beadles</v>
      </c>
    </row>
    <row r="950" spans="1:11" hidden="1" x14ac:dyDescent="0.35">
      <c r="A950">
        <f t="shared" si="29"/>
        <v>949</v>
      </c>
      <c r="B950">
        <v>2006</v>
      </c>
      <c r="C950" s="4" t="s">
        <v>263</v>
      </c>
      <c r="D950" s="4" t="s">
        <v>962</v>
      </c>
      <c r="E950" t="s">
        <v>944</v>
      </c>
      <c r="F950" s="17">
        <v>210</v>
      </c>
      <c r="G950" s="17">
        <v>8</v>
      </c>
      <c r="H950" t="s">
        <v>105</v>
      </c>
      <c r="I950" t="s">
        <v>106</v>
      </c>
      <c r="J950" s="13">
        <v>1041.392685158225</v>
      </c>
      <c r="K950" t="str">
        <f t="shared" si="28"/>
        <v>Kenny Shei</v>
      </c>
    </row>
    <row r="951" spans="1:11" hidden="1" x14ac:dyDescent="0.35">
      <c r="A951">
        <f t="shared" si="29"/>
        <v>950</v>
      </c>
      <c r="B951">
        <v>2006</v>
      </c>
      <c r="C951" s="4" t="s">
        <v>263</v>
      </c>
      <c r="D951" s="4" t="s">
        <v>962</v>
      </c>
      <c r="E951" t="s">
        <v>944</v>
      </c>
      <c r="F951" s="17">
        <v>150</v>
      </c>
      <c r="G951" s="17">
        <v>9</v>
      </c>
      <c r="H951" t="s">
        <v>821</v>
      </c>
      <c r="I951" t="s">
        <v>822</v>
      </c>
      <c r="J951" s="13">
        <v>990.24016271084383</v>
      </c>
      <c r="K951" t="str">
        <f t="shared" si="28"/>
        <v>Gavin Smith</v>
      </c>
    </row>
    <row r="952" spans="1:11" hidden="1" x14ac:dyDescent="0.35">
      <c r="A952">
        <f t="shared" si="29"/>
        <v>951</v>
      </c>
      <c r="B952">
        <v>2006</v>
      </c>
      <c r="C952" s="4" t="s">
        <v>263</v>
      </c>
      <c r="D952" s="4" t="s">
        <v>962</v>
      </c>
      <c r="E952" t="s">
        <v>944</v>
      </c>
      <c r="F952" s="17">
        <v>150</v>
      </c>
      <c r="G952" s="17">
        <v>10</v>
      </c>
      <c r="H952" t="s">
        <v>248</v>
      </c>
      <c r="I952" t="s">
        <v>249</v>
      </c>
      <c r="J952" s="13">
        <v>944.4826721501687</v>
      </c>
      <c r="K952" t="str">
        <f t="shared" si="28"/>
        <v>Ross Poppel</v>
      </c>
    </row>
    <row r="953" spans="1:11" hidden="1" x14ac:dyDescent="0.35">
      <c r="A953">
        <f t="shared" si="29"/>
        <v>952</v>
      </c>
      <c r="B953">
        <v>2006</v>
      </c>
      <c r="C953" s="4" t="s">
        <v>263</v>
      </c>
      <c r="D953" s="4" t="s">
        <v>962</v>
      </c>
      <c r="E953" t="s">
        <v>944</v>
      </c>
      <c r="F953" s="17">
        <v>150</v>
      </c>
      <c r="G953" s="17">
        <v>11</v>
      </c>
      <c r="H953" t="s">
        <v>475</v>
      </c>
      <c r="I953" t="s">
        <v>887</v>
      </c>
      <c r="J953" s="13">
        <v>903.08998699194353</v>
      </c>
      <c r="K953" t="str">
        <f t="shared" si="28"/>
        <v>Chic Natkins</v>
      </c>
    </row>
    <row r="954" spans="1:11" hidden="1" x14ac:dyDescent="0.35">
      <c r="A954">
        <f t="shared" si="29"/>
        <v>953</v>
      </c>
      <c r="B954">
        <v>2006</v>
      </c>
      <c r="C954" s="4" t="s">
        <v>263</v>
      </c>
      <c r="D954" s="4" t="s">
        <v>962</v>
      </c>
      <c r="E954" t="s">
        <v>944</v>
      </c>
      <c r="F954" s="17">
        <v>75</v>
      </c>
      <c r="G954" s="17">
        <v>17</v>
      </c>
      <c r="H954" t="s">
        <v>764</v>
      </c>
      <c r="I954" t="s">
        <v>765</v>
      </c>
      <c r="J954" s="13">
        <v>714.0337507718948</v>
      </c>
      <c r="K954" t="str">
        <f t="shared" si="28"/>
        <v>Michelle Ankenman</v>
      </c>
    </row>
    <row r="955" spans="1:11" hidden="1" x14ac:dyDescent="0.35">
      <c r="A955">
        <f t="shared" si="29"/>
        <v>954</v>
      </c>
      <c r="B955">
        <v>2006</v>
      </c>
      <c r="C955" s="4" t="s">
        <v>263</v>
      </c>
      <c r="D955" s="4" t="s">
        <v>962</v>
      </c>
      <c r="E955" t="s">
        <v>944</v>
      </c>
      <c r="F955" s="17">
        <v>75</v>
      </c>
      <c r="G955" s="17">
        <v>17</v>
      </c>
      <c r="H955" t="s">
        <v>1061</v>
      </c>
      <c r="I955" t="s">
        <v>1062</v>
      </c>
      <c r="J955" s="13">
        <v>714.0337507718948</v>
      </c>
      <c r="K955" t="str">
        <f t="shared" si="28"/>
        <v>Bobo Barzamati</v>
      </c>
    </row>
    <row r="956" spans="1:11" hidden="1" x14ac:dyDescent="0.35">
      <c r="A956">
        <f t="shared" si="29"/>
        <v>955</v>
      </c>
      <c r="B956">
        <v>2006</v>
      </c>
      <c r="C956" s="4" t="s">
        <v>263</v>
      </c>
      <c r="D956" s="4" t="s">
        <v>962</v>
      </c>
      <c r="E956" t="s">
        <v>944</v>
      </c>
      <c r="F956" s="17">
        <v>75</v>
      </c>
      <c r="G956" s="17">
        <v>17</v>
      </c>
      <c r="H956" t="s">
        <v>972</v>
      </c>
      <c r="I956" t="s">
        <v>81</v>
      </c>
      <c r="J956" s="13">
        <v>714.0337507718948</v>
      </c>
      <c r="K956" t="str">
        <f t="shared" si="28"/>
        <v>Don Condit</v>
      </c>
    </row>
    <row r="957" spans="1:11" hidden="1" x14ac:dyDescent="0.35">
      <c r="A957">
        <f t="shared" si="29"/>
        <v>956</v>
      </c>
      <c r="B957">
        <v>2006</v>
      </c>
      <c r="C957" s="4" t="s">
        <v>263</v>
      </c>
      <c r="D957" s="4" t="s">
        <v>962</v>
      </c>
      <c r="E957" t="s">
        <v>944</v>
      </c>
      <c r="F957" s="17">
        <v>75</v>
      </c>
      <c r="G957" s="17">
        <v>17</v>
      </c>
      <c r="H957" t="s">
        <v>1064</v>
      </c>
      <c r="I957" t="s">
        <v>139</v>
      </c>
      <c r="J957" s="13">
        <v>714.0337507718948</v>
      </c>
      <c r="K957" t="str">
        <f t="shared" si="28"/>
        <v>Mark Fein</v>
      </c>
    </row>
    <row r="958" spans="1:11" hidden="1" x14ac:dyDescent="0.35">
      <c r="A958">
        <f t="shared" si="29"/>
        <v>957</v>
      </c>
      <c r="B958">
        <v>2006</v>
      </c>
      <c r="C958" s="4" t="s">
        <v>263</v>
      </c>
      <c r="D958" s="4" t="s">
        <v>962</v>
      </c>
      <c r="E958" t="s">
        <v>944</v>
      </c>
      <c r="F958" s="17">
        <v>75</v>
      </c>
      <c r="G958" s="17">
        <v>17</v>
      </c>
      <c r="H958" t="s">
        <v>648</v>
      </c>
      <c r="I958" t="s">
        <v>528</v>
      </c>
      <c r="J958" s="13">
        <v>714.0337507718948</v>
      </c>
      <c r="K958" t="str">
        <f t="shared" si="28"/>
        <v>Tim Gomes</v>
      </c>
    </row>
    <row r="959" spans="1:11" hidden="1" x14ac:dyDescent="0.35">
      <c r="A959">
        <f t="shared" si="29"/>
        <v>958</v>
      </c>
      <c r="B959">
        <v>2006</v>
      </c>
      <c r="C959" s="4" t="s">
        <v>263</v>
      </c>
      <c r="D959" s="4" t="s">
        <v>962</v>
      </c>
      <c r="E959" t="s">
        <v>944</v>
      </c>
      <c r="F959" s="17">
        <v>75</v>
      </c>
      <c r="G959" s="17">
        <v>17</v>
      </c>
      <c r="H959" t="s">
        <v>960</v>
      </c>
      <c r="I959" t="s">
        <v>136</v>
      </c>
      <c r="J959" s="13">
        <v>714.0337507718948</v>
      </c>
      <c r="K959" t="str">
        <f t="shared" si="28"/>
        <v>John Harkness</v>
      </c>
    </row>
    <row r="960" spans="1:11" hidden="1" x14ac:dyDescent="0.35">
      <c r="A960">
        <f t="shared" si="29"/>
        <v>959</v>
      </c>
      <c r="B960">
        <v>2006</v>
      </c>
      <c r="C960" s="4" t="s">
        <v>263</v>
      </c>
      <c r="D960" s="4" t="s">
        <v>962</v>
      </c>
      <c r="E960" t="s">
        <v>944</v>
      </c>
      <c r="F960" s="17">
        <v>75</v>
      </c>
      <c r="G960" s="17">
        <v>17</v>
      </c>
      <c r="H960" t="s">
        <v>1063</v>
      </c>
      <c r="I960" t="s">
        <v>324</v>
      </c>
      <c r="J960" s="13">
        <v>714.0337507718948</v>
      </c>
      <c r="K960" t="str">
        <f t="shared" si="28"/>
        <v>Andrew Kuttig</v>
      </c>
    </row>
    <row r="961" spans="1:11" hidden="1" x14ac:dyDescent="0.35">
      <c r="A961">
        <f t="shared" si="29"/>
        <v>960</v>
      </c>
      <c r="B961">
        <v>2006</v>
      </c>
      <c r="C961" s="4" t="s">
        <v>263</v>
      </c>
      <c r="D961" s="4" t="s">
        <v>962</v>
      </c>
      <c r="E961" t="s">
        <v>944</v>
      </c>
      <c r="F961" s="17">
        <v>75</v>
      </c>
      <c r="G961" s="17">
        <v>17</v>
      </c>
      <c r="H961" t="s">
        <v>829</v>
      </c>
      <c r="I961" t="s">
        <v>830</v>
      </c>
      <c r="J961" s="13">
        <v>714.0337507718948</v>
      </c>
      <c r="K961" t="str">
        <f t="shared" si="28"/>
        <v>Murray Logan</v>
      </c>
    </row>
    <row r="962" spans="1:11" hidden="1" x14ac:dyDescent="0.35">
      <c r="A962">
        <f t="shared" si="29"/>
        <v>961</v>
      </c>
      <c r="B962">
        <v>2006</v>
      </c>
      <c r="C962" s="4" t="s">
        <v>263</v>
      </c>
      <c r="D962" s="4" t="s">
        <v>962</v>
      </c>
      <c r="E962" t="s">
        <v>944</v>
      </c>
      <c r="F962" s="17">
        <v>75</v>
      </c>
      <c r="G962" s="17">
        <v>17</v>
      </c>
      <c r="H962" t="s">
        <v>273</v>
      </c>
      <c r="I962" t="s">
        <v>218</v>
      </c>
      <c r="J962" s="13">
        <v>714.0337507718948</v>
      </c>
      <c r="K962" t="str">
        <f t="shared" ref="K962:K1025" si="30">I962&amp;" "&amp;H962</f>
        <v>Michael Maurer</v>
      </c>
    </row>
    <row r="963" spans="1:11" hidden="1" x14ac:dyDescent="0.35">
      <c r="A963">
        <f t="shared" si="29"/>
        <v>962</v>
      </c>
      <c r="B963">
        <v>2006</v>
      </c>
      <c r="C963" s="4" t="s">
        <v>263</v>
      </c>
      <c r="D963" s="4" t="s">
        <v>962</v>
      </c>
      <c r="E963" t="s">
        <v>944</v>
      </c>
      <c r="F963" s="17">
        <v>75</v>
      </c>
      <c r="G963" s="17">
        <v>17</v>
      </c>
      <c r="H963" t="s">
        <v>302</v>
      </c>
      <c r="I963" t="s">
        <v>81</v>
      </c>
      <c r="J963" s="13">
        <v>714.0337507718948</v>
      </c>
      <c r="K963" t="str">
        <f t="shared" si="30"/>
        <v>Don Rieck</v>
      </c>
    </row>
    <row r="964" spans="1:11" hidden="1" x14ac:dyDescent="0.35">
      <c r="A964">
        <f t="shared" ref="A964:A1027" si="31">A963+1</f>
        <v>963</v>
      </c>
      <c r="B964">
        <v>2006</v>
      </c>
      <c r="C964" s="4" t="s">
        <v>263</v>
      </c>
      <c r="D964" s="4" t="s">
        <v>962</v>
      </c>
      <c r="E964" t="s">
        <v>944</v>
      </c>
      <c r="F964" s="17">
        <v>75</v>
      </c>
      <c r="G964" s="17">
        <v>17</v>
      </c>
      <c r="H964" t="s">
        <v>831</v>
      </c>
      <c r="I964" t="s">
        <v>384</v>
      </c>
      <c r="J964" s="13">
        <v>714.0337507718948</v>
      </c>
      <c r="K964" t="str">
        <f t="shared" si="30"/>
        <v>Jeff Woods</v>
      </c>
    </row>
    <row r="965" spans="1:11" hidden="1" x14ac:dyDescent="0.35">
      <c r="A965">
        <f t="shared" si="31"/>
        <v>964</v>
      </c>
      <c r="B965">
        <v>2006</v>
      </c>
      <c r="C965" s="4" t="s">
        <v>263</v>
      </c>
      <c r="D965" s="4" t="s">
        <v>1047</v>
      </c>
      <c r="E965" t="s">
        <v>1431</v>
      </c>
      <c r="F965" s="17">
        <v>1240</v>
      </c>
      <c r="G965" s="17">
        <v>1</v>
      </c>
      <c r="H965" t="s">
        <v>316</v>
      </c>
      <c r="I965" t="s">
        <v>269</v>
      </c>
      <c r="J965" s="13">
        <v>1903.0899869919435</v>
      </c>
      <c r="K965" t="str">
        <f t="shared" si="30"/>
        <v>Keith Troell</v>
      </c>
    </row>
    <row r="966" spans="1:11" hidden="1" x14ac:dyDescent="0.35">
      <c r="A966">
        <f t="shared" si="31"/>
        <v>965</v>
      </c>
      <c r="B966">
        <v>2006</v>
      </c>
      <c r="C966" s="4" t="s">
        <v>263</v>
      </c>
      <c r="D966" s="4" t="s">
        <v>1047</v>
      </c>
      <c r="E966" t="s">
        <v>1431</v>
      </c>
      <c r="F966" s="17">
        <v>1000</v>
      </c>
      <c r="G966" s="17">
        <v>2</v>
      </c>
      <c r="H966" t="s">
        <v>363</v>
      </c>
      <c r="I966" t="s">
        <v>364</v>
      </c>
      <c r="J966" s="13">
        <v>1602.0599913279623</v>
      </c>
      <c r="K966" t="str">
        <f t="shared" si="30"/>
        <v>Warren Sander</v>
      </c>
    </row>
    <row r="967" spans="1:11" hidden="1" x14ac:dyDescent="0.35">
      <c r="A967">
        <f t="shared" si="31"/>
        <v>966</v>
      </c>
      <c r="B967">
        <v>2006</v>
      </c>
      <c r="C967" s="4" t="s">
        <v>263</v>
      </c>
      <c r="D967" s="4" t="s">
        <v>1047</v>
      </c>
      <c r="E967" t="s">
        <v>1431</v>
      </c>
      <c r="F967" s="17">
        <v>480</v>
      </c>
      <c r="G967" s="17">
        <v>3</v>
      </c>
      <c r="H967" t="s">
        <v>174</v>
      </c>
      <c r="I967" t="s">
        <v>175</v>
      </c>
      <c r="J967" s="13">
        <v>1425.9687322722812</v>
      </c>
      <c r="K967" t="str">
        <f t="shared" si="30"/>
        <v>Claude Carlson</v>
      </c>
    </row>
    <row r="968" spans="1:11" hidden="1" x14ac:dyDescent="0.35">
      <c r="A968">
        <f t="shared" si="31"/>
        <v>967</v>
      </c>
      <c r="B968">
        <v>2006</v>
      </c>
      <c r="C968" s="4" t="s">
        <v>263</v>
      </c>
      <c r="D968" s="4" t="s">
        <v>1047</v>
      </c>
      <c r="E968" t="s">
        <v>1431</v>
      </c>
      <c r="F968" s="17">
        <v>400</v>
      </c>
      <c r="G968" s="17">
        <v>4</v>
      </c>
      <c r="H968" t="s">
        <v>86</v>
      </c>
      <c r="I968" t="s">
        <v>271</v>
      </c>
      <c r="J968" s="13">
        <v>1301.0299956639813</v>
      </c>
      <c r="K968" t="str">
        <f t="shared" si="30"/>
        <v>Dan Goldman</v>
      </c>
    </row>
    <row r="969" spans="1:11" hidden="1" x14ac:dyDescent="0.35">
      <c r="A969">
        <f t="shared" si="31"/>
        <v>968</v>
      </c>
      <c r="B969">
        <v>2006</v>
      </c>
      <c r="C969" s="4" t="s">
        <v>263</v>
      </c>
      <c r="D969" s="4" t="s">
        <v>1047</v>
      </c>
      <c r="E969" t="s">
        <v>1431</v>
      </c>
      <c r="F969" s="17">
        <v>320</v>
      </c>
      <c r="G969" s="17">
        <v>5</v>
      </c>
      <c r="H969" t="s">
        <v>1048</v>
      </c>
      <c r="I969" t="s">
        <v>1049</v>
      </c>
      <c r="J969" s="13">
        <v>1204.1199826559246</v>
      </c>
      <c r="K969" t="str">
        <f t="shared" si="30"/>
        <v>Eugene Coles</v>
      </c>
    </row>
    <row r="970" spans="1:11" hidden="1" x14ac:dyDescent="0.35">
      <c r="A970">
        <f t="shared" si="31"/>
        <v>969</v>
      </c>
      <c r="B970">
        <v>2006</v>
      </c>
      <c r="C970" s="4" t="s">
        <v>263</v>
      </c>
      <c r="D970" s="4" t="s">
        <v>1047</v>
      </c>
      <c r="E970" t="s">
        <v>1431</v>
      </c>
      <c r="F970" s="17">
        <v>240</v>
      </c>
      <c r="G970" s="17">
        <v>6</v>
      </c>
      <c r="H970" t="s">
        <v>21</v>
      </c>
      <c r="I970" t="s">
        <v>463</v>
      </c>
      <c r="J970" s="13">
        <v>1124.9387366082999</v>
      </c>
      <c r="K970" t="str">
        <f t="shared" si="30"/>
        <v>Richard Bremer</v>
      </c>
    </row>
    <row r="971" spans="1:11" hidden="1" x14ac:dyDescent="0.35">
      <c r="A971">
        <f t="shared" si="31"/>
        <v>970</v>
      </c>
      <c r="B971">
        <v>2006</v>
      </c>
      <c r="C971" s="4" t="s">
        <v>263</v>
      </c>
      <c r="D971" s="4" t="s">
        <v>1047</v>
      </c>
      <c r="E971" t="s">
        <v>1431</v>
      </c>
      <c r="F971" s="17">
        <v>160</v>
      </c>
      <c r="G971" s="17">
        <v>7</v>
      </c>
      <c r="H971" t="s">
        <v>965</v>
      </c>
      <c r="I971" t="s">
        <v>44</v>
      </c>
      <c r="J971" s="13">
        <v>1057.9919469776869</v>
      </c>
      <c r="K971" t="str">
        <f t="shared" si="30"/>
        <v>Mike McBride</v>
      </c>
    </row>
    <row r="972" spans="1:11" hidden="1" x14ac:dyDescent="0.35">
      <c r="A972">
        <f t="shared" si="31"/>
        <v>971</v>
      </c>
      <c r="B972">
        <v>2006</v>
      </c>
      <c r="C972" s="4" t="s">
        <v>263</v>
      </c>
      <c r="D972" s="4" t="s">
        <v>1047</v>
      </c>
      <c r="E972" t="s">
        <v>1431</v>
      </c>
      <c r="F972" s="17">
        <v>100</v>
      </c>
      <c r="G972" s="17">
        <v>8</v>
      </c>
      <c r="H972" t="s">
        <v>285</v>
      </c>
      <c r="I972" t="s">
        <v>119</v>
      </c>
      <c r="J972" s="13">
        <v>1000</v>
      </c>
      <c r="K972" t="str">
        <f t="shared" si="30"/>
        <v>Peter Secor</v>
      </c>
    </row>
    <row r="973" spans="1:11" hidden="1" x14ac:dyDescent="0.35">
      <c r="A973">
        <f t="shared" si="31"/>
        <v>972</v>
      </c>
      <c r="B973">
        <v>2006</v>
      </c>
      <c r="C973" s="4" t="s">
        <v>263</v>
      </c>
      <c r="D973" s="4" t="s">
        <v>1047</v>
      </c>
      <c r="E973" t="s">
        <v>1431</v>
      </c>
      <c r="F973" s="17">
        <v>60</v>
      </c>
      <c r="G973" s="17">
        <v>9</v>
      </c>
      <c r="H973" t="s">
        <v>1504</v>
      </c>
      <c r="I973" t="s">
        <v>1050</v>
      </c>
      <c r="J973" s="13">
        <v>948.84747755261867</v>
      </c>
      <c r="K973" t="str">
        <f t="shared" si="30"/>
        <v>Eileen Milligan</v>
      </c>
    </row>
    <row r="974" spans="1:11" hidden="1" x14ac:dyDescent="0.35">
      <c r="A974">
        <f t="shared" si="31"/>
        <v>973</v>
      </c>
      <c r="B974">
        <v>2006</v>
      </c>
      <c r="C974" s="4" t="s">
        <v>263</v>
      </c>
      <c r="D974" s="4" t="s">
        <v>1051</v>
      </c>
      <c r="E974" t="s">
        <v>1051</v>
      </c>
      <c r="F974" s="17">
        <v>1270</v>
      </c>
      <c r="G974" s="17">
        <v>1</v>
      </c>
      <c r="H974" t="s">
        <v>105</v>
      </c>
      <c r="I974" t="s">
        <v>106</v>
      </c>
      <c r="J974" s="13">
        <v>1929.4189257142925</v>
      </c>
      <c r="K974" t="str">
        <f t="shared" si="30"/>
        <v>Kenny Shei</v>
      </c>
    </row>
    <row r="975" spans="1:11" hidden="1" x14ac:dyDescent="0.35">
      <c r="A975">
        <f t="shared" si="31"/>
        <v>974</v>
      </c>
      <c r="B975">
        <v>2006</v>
      </c>
      <c r="C975" s="4" t="s">
        <v>263</v>
      </c>
      <c r="D975" s="4" t="s">
        <v>1051</v>
      </c>
      <c r="E975" t="s">
        <v>1051</v>
      </c>
      <c r="F975" s="17">
        <v>1020</v>
      </c>
      <c r="G975" s="17">
        <v>2</v>
      </c>
      <c r="H975" t="s">
        <v>461</v>
      </c>
      <c r="I975" t="s">
        <v>665</v>
      </c>
      <c r="J975" s="13">
        <v>1628.3889300503113</v>
      </c>
      <c r="K975" t="str">
        <f t="shared" si="30"/>
        <v>Robert Jones</v>
      </c>
    </row>
    <row r="976" spans="1:11" hidden="1" x14ac:dyDescent="0.35">
      <c r="A976">
        <f t="shared" si="31"/>
        <v>975</v>
      </c>
      <c r="B976">
        <v>2006</v>
      </c>
      <c r="C976" s="4" t="s">
        <v>263</v>
      </c>
      <c r="D976" s="4" t="s">
        <v>1051</v>
      </c>
      <c r="E976" t="s">
        <v>1051</v>
      </c>
      <c r="F976" s="17">
        <v>770</v>
      </c>
      <c r="G976" s="17">
        <v>3</v>
      </c>
      <c r="H976" t="s">
        <v>281</v>
      </c>
      <c r="I976" t="s">
        <v>282</v>
      </c>
      <c r="J976" s="13">
        <v>1452.2976709946302</v>
      </c>
      <c r="K976" t="str">
        <f t="shared" si="30"/>
        <v>Randy Collack</v>
      </c>
    </row>
    <row r="977" spans="1:11" hidden="1" x14ac:dyDescent="0.35">
      <c r="A977">
        <f t="shared" si="31"/>
        <v>976</v>
      </c>
      <c r="B977">
        <v>2006</v>
      </c>
      <c r="C977" s="4" t="s">
        <v>263</v>
      </c>
      <c r="D977" s="4" t="s">
        <v>1051</v>
      </c>
      <c r="E977" t="s">
        <v>1051</v>
      </c>
      <c r="F977" s="17">
        <v>610</v>
      </c>
      <c r="G977" s="17">
        <v>4</v>
      </c>
      <c r="H977" t="s">
        <v>1052</v>
      </c>
      <c r="I977" t="s">
        <v>28</v>
      </c>
      <c r="J977" s="13">
        <v>1327.3589343863302</v>
      </c>
      <c r="K977" t="str">
        <f t="shared" si="30"/>
        <v>Chris Mlinarich</v>
      </c>
    </row>
    <row r="978" spans="1:11" hidden="1" x14ac:dyDescent="0.35">
      <c r="A978">
        <f t="shared" si="31"/>
        <v>977</v>
      </c>
      <c r="B978">
        <v>2006</v>
      </c>
      <c r="C978" s="4" t="s">
        <v>263</v>
      </c>
      <c r="D978" s="4" t="s">
        <v>1051</v>
      </c>
      <c r="E978" t="s">
        <v>1051</v>
      </c>
      <c r="F978" s="17">
        <v>510</v>
      </c>
      <c r="G978" s="17">
        <v>5</v>
      </c>
      <c r="H978" t="s">
        <v>1053</v>
      </c>
      <c r="I978" t="s">
        <v>128</v>
      </c>
      <c r="J978" s="13">
        <v>1230.4489213782736</v>
      </c>
      <c r="K978" t="str">
        <f t="shared" si="30"/>
        <v>Lee Crocker</v>
      </c>
    </row>
    <row r="979" spans="1:11" hidden="1" x14ac:dyDescent="0.35">
      <c r="A979">
        <f t="shared" si="31"/>
        <v>978</v>
      </c>
      <c r="B979">
        <v>2006</v>
      </c>
      <c r="C979" s="4" t="s">
        <v>263</v>
      </c>
      <c r="D979" s="4" t="s">
        <v>1051</v>
      </c>
      <c r="E979" t="s">
        <v>1051</v>
      </c>
      <c r="F979" s="17">
        <v>410</v>
      </c>
      <c r="G979" s="17">
        <v>6</v>
      </c>
      <c r="H979" t="s">
        <v>810</v>
      </c>
      <c r="I979" t="s">
        <v>463</v>
      </c>
      <c r="J979" s="13">
        <v>1151.2676753306489</v>
      </c>
      <c r="K979" t="str">
        <f t="shared" si="30"/>
        <v>Richard Brodie</v>
      </c>
    </row>
    <row r="980" spans="1:11" hidden="1" x14ac:dyDescent="0.35">
      <c r="A980">
        <f t="shared" si="31"/>
        <v>979</v>
      </c>
      <c r="B980">
        <v>2006</v>
      </c>
      <c r="C980" s="4" t="s">
        <v>263</v>
      </c>
      <c r="D980" s="4" t="s">
        <v>1051</v>
      </c>
      <c r="E980" t="s">
        <v>1051</v>
      </c>
      <c r="F980" s="17">
        <v>310</v>
      </c>
      <c r="G980" s="17">
        <v>7</v>
      </c>
      <c r="H980" t="s">
        <v>1719</v>
      </c>
      <c r="I980" t="s">
        <v>524</v>
      </c>
      <c r="J980" s="13">
        <v>1084.3208857000359</v>
      </c>
      <c r="K980" t="str">
        <f t="shared" si="30"/>
        <v>Guy Berentsen</v>
      </c>
    </row>
    <row r="981" spans="1:11" hidden="1" x14ac:dyDescent="0.35">
      <c r="A981">
        <f t="shared" si="31"/>
        <v>980</v>
      </c>
      <c r="B981">
        <v>2006</v>
      </c>
      <c r="C981" s="4" t="s">
        <v>263</v>
      </c>
      <c r="D981" s="4" t="s">
        <v>1051</v>
      </c>
      <c r="E981" t="s">
        <v>1051</v>
      </c>
      <c r="F981" s="17">
        <v>200</v>
      </c>
      <c r="G981" s="17">
        <v>8</v>
      </c>
      <c r="H981" t="s">
        <v>363</v>
      </c>
      <c r="I981" t="s">
        <v>364</v>
      </c>
      <c r="J981" s="13">
        <v>1026.328938722349</v>
      </c>
      <c r="K981" t="str">
        <f t="shared" si="30"/>
        <v>Warren Sander</v>
      </c>
    </row>
    <row r="982" spans="1:11" hidden="1" x14ac:dyDescent="0.35">
      <c r="A982">
        <f t="shared" si="31"/>
        <v>981</v>
      </c>
      <c r="B982">
        <v>2006</v>
      </c>
      <c r="C982" s="4" t="s">
        <v>263</v>
      </c>
      <c r="D982" s="4" t="s">
        <v>45</v>
      </c>
      <c r="E982" t="s">
        <v>1429</v>
      </c>
      <c r="F982" s="17">
        <v>4800</v>
      </c>
      <c r="G982" s="17">
        <v>1</v>
      </c>
      <c r="H982" t="s">
        <v>850</v>
      </c>
      <c r="I982" t="s">
        <v>851</v>
      </c>
      <c r="J982" s="13">
        <v>2338.4564936046045</v>
      </c>
      <c r="K982" t="str">
        <f t="shared" si="30"/>
        <v>Mordecai Schwartz</v>
      </c>
    </row>
    <row r="983" spans="1:11" hidden="1" x14ac:dyDescent="0.35">
      <c r="A983">
        <f t="shared" si="31"/>
        <v>982</v>
      </c>
      <c r="B983">
        <v>2006</v>
      </c>
      <c r="C983" s="4" t="s">
        <v>263</v>
      </c>
      <c r="D983" s="4" t="s">
        <v>45</v>
      </c>
      <c r="E983" t="s">
        <v>1429</v>
      </c>
      <c r="F983" s="17">
        <v>3820</v>
      </c>
      <c r="G983" s="17">
        <v>2</v>
      </c>
      <c r="H983" t="s">
        <v>94</v>
      </c>
      <c r="I983" t="s">
        <v>16</v>
      </c>
      <c r="J983" s="13">
        <v>2037.4264979406234</v>
      </c>
      <c r="K983" t="str">
        <f t="shared" si="30"/>
        <v>David Heller</v>
      </c>
    </row>
    <row r="984" spans="1:11" hidden="1" x14ac:dyDescent="0.35">
      <c r="A984">
        <f t="shared" si="31"/>
        <v>983</v>
      </c>
      <c r="B984">
        <v>2006</v>
      </c>
      <c r="C984" s="4" t="s">
        <v>263</v>
      </c>
      <c r="D984" s="4" t="s">
        <v>45</v>
      </c>
      <c r="E984" t="s">
        <v>1429</v>
      </c>
      <c r="F984" s="17">
        <v>2940</v>
      </c>
      <c r="G984" s="17">
        <v>3</v>
      </c>
      <c r="H984" t="s">
        <v>302</v>
      </c>
      <c r="I984" t="s">
        <v>81</v>
      </c>
      <c r="J984" s="13">
        <v>1861.3352388849423</v>
      </c>
      <c r="K984" t="str">
        <f t="shared" si="30"/>
        <v>Don Rieck</v>
      </c>
    </row>
    <row r="985" spans="1:11" hidden="1" x14ac:dyDescent="0.35">
      <c r="A985">
        <f t="shared" si="31"/>
        <v>984</v>
      </c>
      <c r="B985">
        <v>2006</v>
      </c>
      <c r="C985" s="4" t="s">
        <v>263</v>
      </c>
      <c r="D985" s="4" t="s">
        <v>45</v>
      </c>
      <c r="E985" t="s">
        <v>1429</v>
      </c>
      <c r="F985" s="17">
        <v>2350</v>
      </c>
      <c r="G985" s="17">
        <v>4</v>
      </c>
      <c r="H985" t="s">
        <v>974</v>
      </c>
      <c r="I985" t="s">
        <v>353</v>
      </c>
      <c r="J985" s="13">
        <v>1736.3965022766422</v>
      </c>
      <c r="K985" t="str">
        <f t="shared" si="30"/>
        <v>Frank Brabec</v>
      </c>
    </row>
    <row r="986" spans="1:11" hidden="1" x14ac:dyDescent="0.35">
      <c r="A986">
        <f t="shared" si="31"/>
        <v>985</v>
      </c>
      <c r="B986">
        <v>2006</v>
      </c>
      <c r="C986" s="4" t="s">
        <v>263</v>
      </c>
      <c r="D986" s="4" t="s">
        <v>45</v>
      </c>
      <c r="E986" t="s">
        <v>1429</v>
      </c>
      <c r="F986" s="17">
        <v>1960</v>
      </c>
      <c r="G986" s="17">
        <v>5</v>
      </c>
      <c r="H986" t="s">
        <v>533</v>
      </c>
      <c r="I986" t="s">
        <v>534</v>
      </c>
      <c r="J986" s="13">
        <v>1639.486489268586</v>
      </c>
      <c r="K986" t="str">
        <f t="shared" si="30"/>
        <v>Edmund Hack</v>
      </c>
    </row>
    <row r="987" spans="1:11" hidden="1" x14ac:dyDescent="0.35">
      <c r="A987">
        <f t="shared" si="31"/>
        <v>986</v>
      </c>
      <c r="B987">
        <v>2006</v>
      </c>
      <c r="C987" s="4" t="s">
        <v>263</v>
      </c>
      <c r="D987" s="4" t="s">
        <v>45</v>
      </c>
      <c r="E987" t="s">
        <v>1429</v>
      </c>
      <c r="F987" s="17">
        <v>1570</v>
      </c>
      <c r="G987" s="17">
        <v>6</v>
      </c>
      <c r="H987" t="s">
        <v>323</v>
      </c>
      <c r="I987" t="s">
        <v>324</v>
      </c>
      <c r="J987" s="13">
        <v>1560.3052432209611</v>
      </c>
      <c r="K987" t="str">
        <f t="shared" si="30"/>
        <v>Andrew Prock</v>
      </c>
    </row>
    <row r="988" spans="1:11" hidden="1" x14ac:dyDescent="0.35">
      <c r="A988">
        <f t="shared" si="31"/>
        <v>987</v>
      </c>
      <c r="B988">
        <v>2006</v>
      </c>
      <c r="C988" s="4" t="s">
        <v>263</v>
      </c>
      <c r="D988" s="4" t="s">
        <v>45</v>
      </c>
      <c r="E988" t="s">
        <v>1429</v>
      </c>
      <c r="F988" s="17">
        <v>1180</v>
      </c>
      <c r="G988" s="17">
        <v>7</v>
      </c>
      <c r="H988" t="s">
        <v>74</v>
      </c>
      <c r="I988" t="s">
        <v>75</v>
      </c>
      <c r="J988" s="13">
        <v>1493.3584535903476</v>
      </c>
      <c r="K988" t="str">
        <f t="shared" si="30"/>
        <v>Sabyl Landrum</v>
      </c>
    </row>
    <row r="989" spans="1:11" hidden="1" x14ac:dyDescent="0.35">
      <c r="A989">
        <f t="shared" si="31"/>
        <v>988</v>
      </c>
      <c r="B989">
        <v>2006</v>
      </c>
      <c r="C989" s="4" t="s">
        <v>263</v>
      </c>
      <c r="D989" s="4" t="s">
        <v>45</v>
      </c>
      <c r="E989" t="s">
        <v>1429</v>
      </c>
      <c r="F989" s="17">
        <v>780</v>
      </c>
      <c r="G989" s="17">
        <v>8</v>
      </c>
      <c r="H989" t="s">
        <v>231</v>
      </c>
      <c r="I989" t="s">
        <v>232</v>
      </c>
      <c r="J989" s="13">
        <v>1435.3665066126612</v>
      </c>
      <c r="K989" t="str">
        <f t="shared" si="30"/>
        <v>Adam Bachrach</v>
      </c>
    </row>
    <row r="990" spans="1:11" hidden="1" x14ac:dyDescent="0.35">
      <c r="A990">
        <f t="shared" si="31"/>
        <v>989</v>
      </c>
      <c r="B990">
        <v>2006</v>
      </c>
      <c r="C990" s="4" t="s">
        <v>263</v>
      </c>
      <c r="D990" s="4" t="s">
        <v>45</v>
      </c>
      <c r="E990" t="s">
        <v>1429</v>
      </c>
      <c r="F990" s="17">
        <v>400</v>
      </c>
      <c r="G990" s="17">
        <v>9</v>
      </c>
      <c r="H990" t="s">
        <v>512</v>
      </c>
      <c r="I990" t="s">
        <v>67</v>
      </c>
      <c r="J990" s="13">
        <v>1384.21398416528</v>
      </c>
      <c r="K990" t="str">
        <f t="shared" si="30"/>
        <v>Bob Irons</v>
      </c>
    </row>
    <row r="991" spans="1:11" hidden="1" x14ac:dyDescent="0.35">
      <c r="A991">
        <f t="shared" si="31"/>
        <v>990</v>
      </c>
      <c r="B991">
        <v>2006</v>
      </c>
      <c r="C991" s="4" t="s">
        <v>263</v>
      </c>
      <c r="D991" s="4" t="s">
        <v>45</v>
      </c>
      <c r="E991" t="s">
        <v>1429</v>
      </c>
      <c r="F991" s="17">
        <v>250</v>
      </c>
      <c r="G991" s="17">
        <v>10</v>
      </c>
      <c r="H991" t="s">
        <v>72</v>
      </c>
      <c r="I991" t="s">
        <v>73</v>
      </c>
      <c r="J991" s="13">
        <v>1338.4564936046047</v>
      </c>
      <c r="K991" t="str">
        <f t="shared" si="30"/>
        <v>Corey Imsdahl</v>
      </c>
    </row>
    <row r="992" spans="1:11" hidden="1" x14ac:dyDescent="0.35">
      <c r="A992">
        <f t="shared" si="31"/>
        <v>991</v>
      </c>
      <c r="B992">
        <v>2006</v>
      </c>
      <c r="C992" s="4" t="s">
        <v>263</v>
      </c>
      <c r="D992" s="4" t="s">
        <v>45</v>
      </c>
      <c r="E992" t="s">
        <v>1429</v>
      </c>
      <c r="F992" s="17">
        <v>250</v>
      </c>
      <c r="G992" s="17">
        <v>11</v>
      </c>
      <c r="H992" t="s">
        <v>86</v>
      </c>
      <c r="I992" t="s">
        <v>271</v>
      </c>
      <c r="J992" s="13">
        <v>1297.0638084463794</v>
      </c>
      <c r="K992" t="str">
        <f t="shared" si="30"/>
        <v>Dan Goldman</v>
      </c>
    </row>
    <row r="993" spans="1:11" hidden="1" x14ac:dyDescent="0.35">
      <c r="A993">
        <f t="shared" si="31"/>
        <v>992</v>
      </c>
      <c r="B993">
        <v>2006</v>
      </c>
      <c r="C993" s="4" t="s">
        <v>263</v>
      </c>
      <c r="D993" s="4" t="s">
        <v>45</v>
      </c>
      <c r="E993" t="s">
        <v>1429</v>
      </c>
      <c r="F993" s="17">
        <v>250</v>
      </c>
      <c r="G993" s="17">
        <v>12</v>
      </c>
      <c r="H993" t="s">
        <v>1066</v>
      </c>
      <c r="I993" t="s">
        <v>142</v>
      </c>
      <c r="J993" s="13">
        <v>1259.2752475569798</v>
      </c>
      <c r="K993" t="str">
        <f t="shared" si="30"/>
        <v>Matt Repinski</v>
      </c>
    </row>
    <row r="994" spans="1:11" hidden="1" x14ac:dyDescent="0.35">
      <c r="A994">
        <f t="shared" si="31"/>
        <v>993</v>
      </c>
      <c r="B994">
        <v>2006</v>
      </c>
      <c r="C994" s="4" t="s">
        <v>263</v>
      </c>
      <c r="D994" s="4" t="s">
        <v>45</v>
      </c>
      <c r="E994" t="s">
        <v>1429</v>
      </c>
      <c r="F994" s="17">
        <v>200</v>
      </c>
      <c r="G994" s="17">
        <v>13</v>
      </c>
      <c r="H994" t="s">
        <v>475</v>
      </c>
      <c r="I994" t="s">
        <v>887</v>
      </c>
      <c r="J994" s="13">
        <v>1224.5131412977678</v>
      </c>
      <c r="K994" t="str">
        <f t="shared" si="30"/>
        <v>Chic Natkins</v>
      </c>
    </row>
    <row r="995" spans="1:11" hidden="1" x14ac:dyDescent="0.35">
      <c r="A995">
        <f t="shared" si="31"/>
        <v>994</v>
      </c>
      <c r="B995">
        <v>2006</v>
      </c>
      <c r="C995" s="4" t="s">
        <v>263</v>
      </c>
      <c r="D995" s="4" t="s">
        <v>45</v>
      </c>
      <c r="E995" t="s">
        <v>1429</v>
      </c>
      <c r="F995" s="17">
        <v>200</v>
      </c>
      <c r="G995" s="17">
        <v>14</v>
      </c>
      <c r="H995" t="s">
        <v>709</v>
      </c>
      <c r="I995" t="s">
        <v>13</v>
      </c>
      <c r="J995" s="13">
        <v>1192.3284579263666</v>
      </c>
      <c r="K995" t="str">
        <f t="shared" si="30"/>
        <v>Tom Overton</v>
      </c>
    </row>
    <row r="996" spans="1:11" hidden="1" x14ac:dyDescent="0.35">
      <c r="A996">
        <f t="shared" si="31"/>
        <v>995</v>
      </c>
      <c r="B996">
        <v>2006</v>
      </c>
      <c r="C996" s="4" t="s">
        <v>263</v>
      </c>
      <c r="D996" s="4" t="s">
        <v>45</v>
      </c>
      <c r="E996" t="s">
        <v>1429</v>
      </c>
      <c r="F996" s="17">
        <v>200</v>
      </c>
      <c r="G996" s="17">
        <v>15</v>
      </c>
      <c r="H996" t="s">
        <v>697</v>
      </c>
      <c r="I996" t="s">
        <v>200</v>
      </c>
      <c r="J996" s="13">
        <v>1162.3652345489234</v>
      </c>
      <c r="K996" t="str">
        <f t="shared" si="30"/>
        <v>Rick Bevan</v>
      </c>
    </row>
    <row r="997" spans="1:11" hidden="1" x14ac:dyDescent="0.35">
      <c r="A997">
        <f t="shared" si="31"/>
        <v>996</v>
      </c>
      <c r="B997">
        <v>2006</v>
      </c>
      <c r="C997" s="4" t="s">
        <v>263</v>
      </c>
      <c r="D997" s="4" t="s">
        <v>45</v>
      </c>
      <c r="E997" t="s">
        <v>1429</v>
      </c>
      <c r="F997" s="17">
        <v>150</v>
      </c>
      <c r="G997" s="17">
        <v>16</v>
      </c>
      <c r="H997" t="s">
        <v>1069</v>
      </c>
      <c r="I997" t="s">
        <v>16</v>
      </c>
      <c r="J997" s="13">
        <v>1134.3365109486799</v>
      </c>
      <c r="K997" t="str">
        <f t="shared" si="30"/>
        <v>David Huberman</v>
      </c>
    </row>
    <row r="998" spans="1:11" hidden="1" x14ac:dyDescent="0.35">
      <c r="A998">
        <f t="shared" si="31"/>
        <v>997</v>
      </c>
      <c r="B998">
        <v>2006</v>
      </c>
      <c r="C998" s="4" t="s">
        <v>263</v>
      </c>
      <c r="D998" s="4" t="s">
        <v>45</v>
      </c>
      <c r="E998" t="s">
        <v>1429</v>
      </c>
      <c r="F998" s="17">
        <v>150</v>
      </c>
      <c r="G998" s="17">
        <v>17</v>
      </c>
      <c r="H998" t="s">
        <v>107</v>
      </c>
      <c r="I998" t="s">
        <v>108</v>
      </c>
      <c r="J998" s="13">
        <v>1108.0075722263307</v>
      </c>
      <c r="K998" t="str">
        <f t="shared" si="30"/>
        <v>Kyle Minnis</v>
      </c>
    </row>
    <row r="999" spans="1:11" hidden="1" x14ac:dyDescent="0.35">
      <c r="A999">
        <f t="shared" si="31"/>
        <v>998</v>
      </c>
      <c r="B999">
        <v>2006</v>
      </c>
      <c r="C999" s="4" t="s">
        <v>263</v>
      </c>
      <c r="D999" s="4" t="s">
        <v>45</v>
      </c>
      <c r="E999" t="s">
        <v>1429</v>
      </c>
      <c r="F999" s="17">
        <v>150</v>
      </c>
      <c r="G999" s="17">
        <v>18</v>
      </c>
      <c r="H999" t="s">
        <v>818</v>
      </c>
      <c r="I999" t="s">
        <v>65</v>
      </c>
      <c r="J999" s="13">
        <v>1083.1839885012987</v>
      </c>
      <c r="K999" t="str">
        <f t="shared" si="30"/>
        <v>Steve Nissman</v>
      </c>
    </row>
    <row r="1000" spans="1:11" hidden="1" x14ac:dyDescent="0.35">
      <c r="A1000">
        <f t="shared" si="31"/>
        <v>999</v>
      </c>
      <c r="B1000">
        <v>2006</v>
      </c>
      <c r="C1000" s="4" t="s">
        <v>263</v>
      </c>
      <c r="D1000" s="4" t="s">
        <v>45</v>
      </c>
      <c r="E1000" t="s">
        <v>1429</v>
      </c>
      <c r="F1000" s="17">
        <v>100</v>
      </c>
      <c r="G1000" s="17">
        <v>19</v>
      </c>
      <c r="H1000" t="s">
        <v>307</v>
      </c>
      <c r="I1000" t="s">
        <v>67</v>
      </c>
      <c r="J1000" s="13">
        <v>1059.7028926517758</v>
      </c>
      <c r="K1000" t="str">
        <f t="shared" si="30"/>
        <v>Bob Ogus</v>
      </c>
    </row>
    <row r="1001" spans="1:11" hidden="1" x14ac:dyDescent="0.35">
      <c r="A1001">
        <f t="shared" si="31"/>
        <v>1000</v>
      </c>
      <c r="B1001">
        <v>2006</v>
      </c>
      <c r="C1001" s="4" t="s">
        <v>263</v>
      </c>
      <c r="D1001" s="4" t="s">
        <v>45</v>
      </c>
      <c r="E1001" t="s">
        <v>1429</v>
      </c>
      <c r="F1001" s="17">
        <v>100</v>
      </c>
      <c r="G1001" s="17">
        <v>20</v>
      </c>
      <c r="H1001" t="s">
        <v>1071</v>
      </c>
      <c r="I1001" t="s">
        <v>353</v>
      </c>
      <c r="J1001" s="13">
        <v>1037.4264979406234</v>
      </c>
      <c r="K1001" t="str">
        <f t="shared" si="30"/>
        <v>Frank Castagna</v>
      </c>
    </row>
    <row r="1002" spans="1:11" hidden="1" x14ac:dyDescent="0.35">
      <c r="A1002">
        <f t="shared" si="31"/>
        <v>1001</v>
      </c>
      <c r="B1002">
        <v>2006</v>
      </c>
      <c r="C1002" s="4" t="s">
        <v>263</v>
      </c>
      <c r="D1002" s="4" t="s">
        <v>110</v>
      </c>
      <c r="E1002" t="s">
        <v>1430</v>
      </c>
      <c r="F1002" s="17">
        <v>3040</v>
      </c>
      <c r="G1002" s="17">
        <v>1</v>
      </c>
      <c r="H1002" t="s">
        <v>972</v>
      </c>
      <c r="I1002" t="s">
        <v>81</v>
      </c>
      <c r="J1002" s="13">
        <v>2209.515014542631</v>
      </c>
      <c r="K1002" t="str">
        <f t="shared" si="30"/>
        <v>Don Condit</v>
      </c>
    </row>
    <row r="1003" spans="1:11" hidden="1" x14ac:dyDescent="0.35">
      <c r="A1003">
        <f t="shared" si="31"/>
        <v>1002</v>
      </c>
      <c r="B1003">
        <v>2006</v>
      </c>
      <c r="C1003" s="4" t="s">
        <v>263</v>
      </c>
      <c r="D1003" s="4" t="s">
        <v>110</v>
      </c>
      <c r="E1003" t="s">
        <v>1430</v>
      </c>
      <c r="F1003" s="17">
        <v>2430</v>
      </c>
      <c r="G1003" s="17">
        <v>2</v>
      </c>
      <c r="H1003" t="s">
        <v>623</v>
      </c>
      <c r="I1003" t="s">
        <v>65</v>
      </c>
      <c r="J1003" s="13">
        <v>1908.4850188786495</v>
      </c>
      <c r="K1003" t="str">
        <f t="shared" si="30"/>
        <v>Steve Forcash</v>
      </c>
    </row>
    <row r="1004" spans="1:11" hidden="1" x14ac:dyDescent="0.35">
      <c r="A1004">
        <f t="shared" si="31"/>
        <v>1003</v>
      </c>
      <c r="B1004">
        <v>2006</v>
      </c>
      <c r="C1004" s="4" t="s">
        <v>263</v>
      </c>
      <c r="D1004" s="4" t="s">
        <v>110</v>
      </c>
      <c r="E1004" t="s">
        <v>1430</v>
      </c>
      <c r="F1004" s="17">
        <v>1820</v>
      </c>
      <c r="G1004" s="17">
        <v>3</v>
      </c>
      <c r="H1004" t="s">
        <v>1055</v>
      </c>
      <c r="I1004" t="s">
        <v>421</v>
      </c>
      <c r="J1004" s="13">
        <v>1732.3937598229684</v>
      </c>
      <c r="K1004" t="str">
        <f t="shared" si="30"/>
        <v>Bill Campion</v>
      </c>
    </row>
    <row r="1005" spans="1:11" hidden="1" x14ac:dyDescent="0.35">
      <c r="A1005">
        <f t="shared" si="31"/>
        <v>1004</v>
      </c>
      <c r="B1005">
        <v>2006</v>
      </c>
      <c r="C1005" s="4" t="s">
        <v>263</v>
      </c>
      <c r="D1005" s="4" t="s">
        <v>110</v>
      </c>
      <c r="E1005" t="s">
        <v>1430</v>
      </c>
      <c r="F1005" s="17">
        <v>1520</v>
      </c>
      <c r="G1005" s="17">
        <v>4</v>
      </c>
      <c r="H1005" t="s">
        <v>111</v>
      </c>
      <c r="I1005" t="s">
        <v>16</v>
      </c>
      <c r="J1005" s="13">
        <v>1607.4550232146682</v>
      </c>
      <c r="K1005" t="str">
        <f t="shared" si="30"/>
        <v>David Fruchter</v>
      </c>
    </row>
    <row r="1006" spans="1:11" hidden="1" x14ac:dyDescent="0.35">
      <c r="A1006">
        <f t="shared" si="31"/>
        <v>1005</v>
      </c>
      <c r="B1006">
        <v>2006</v>
      </c>
      <c r="C1006" s="4" t="s">
        <v>263</v>
      </c>
      <c r="D1006" s="4" t="s">
        <v>110</v>
      </c>
      <c r="E1006" t="s">
        <v>1430</v>
      </c>
      <c r="F1006" s="17">
        <v>1220</v>
      </c>
      <c r="G1006" s="17">
        <v>5</v>
      </c>
      <c r="H1006" t="s">
        <v>810</v>
      </c>
      <c r="I1006" t="s">
        <v>463</v>
      </c>
      <c r="J1006" s="13">
        <v>1510.545010206612</v>
      </c>
      <c r="K1006" t="str">
        <f t="shared" si="30"/>
        <v>Richard Brodie</v>
      </c>
    </row>
    <row r="1007" spans="1:11" hidden="1" x14ac:dyDescent="0.35">
      <c r="A1007">
        <f t="shared" si="31"/>
        <v>1006</v>
      </c>
      <c r="B1007">
        <v>2006</v>
      </c>
      <c r="C1007" s="4" t="s">
        <v>263</v>
      </c>
      <c r="D1007" s="4" t="s">
        <v>110</v>
      </c>
      <c r="E1007" t="s">
        <v>1430</v>
      </c>
      <c r="F1007" s="17">
        <v>910</v>
      </c>
      <c r="G1007" s="17">
        <v>6</v>
      </c>
      <c r="H1007" t="s">
        <v>716</v>
      </c>
      <c r="I1007" t="s">
        <v>564</v>
      </c>
      <c r="J1007" s="13">
        <v>1431.3637641589871</v>
      </c>
      <c r="K1007" t="str">
        <f t="shared" si="30"/>
        <v>Leslie Walker</v>
      </c>
    </row>
    <row r="1008" spans="1:11" hidden="1" x14ac:dyDescent="0.35">
      <c r="A1008">
        <f t="shared" si="31"/>
        <v>1007</v>
      </c>
      <c r="B1008">
        <v>2006</v>
      </c>
      <c r="C1008" s="4" t="s">
        <v>263</v>
      </c>
      <c r="D1008" s="4" t="s">
        <v>110</v>
      </c>
      <c r="E1008" t="s">
        <v>1430</v>
      </c>
      <c r="F1008" s="17">
        <v>910</v>
      </c>
      <c r="G1008" s="17">
        <v>7</v>
      </c>
      <c r="H1008" t="s">
        <v>377</v>
      </c>
      <c r="I1008" t="s">
        <v>119</v>
      </c>
      <c r="J1008" s="13">
        <v>1364.4169745283739</v>
      </c>
      <c r="K1008" t="str">
        <f t="shared" si="30"/>
        <v>Peter Stephenson</v>
      </c>
    </row>
    <row r="1009" spans="1:11" hidden="1" x14ac:dyDescent="0.35">
      <c r="A1009">
        <f t="shared" si="31"/>
        <v>1008</v>
      </c>
      <c r="B1009">
        <v>2006</v>
      </c>
      <c r="C1009" s="4" t="s">
        <v>263</v>
      </c>
      <c r="D1009" s="4" t="s">
        <v>110</v>
      </c>
      <c r="E1009" t="s">
        <v>1430</v>
      </c>
      <c r="F1009" s="17">
        <v>360</v>
      </c>
      <c r="G1009" s="17">
        <v>8</v>
      </c>
      <c r="H1009" t="s">
        <v>545</v>
      </c>
      <c r="I1009" t="s">
        <v>425</v>
      </c>
      <c r="J1009" s="13">
        <v>1306.4250275506872</v>
      </c>
      <c r="K1009" t="str">
        <f t="shared" si="30"/>
        <v>Tony Goldstein</v>
      </c>
    </row>
    <row r="1010" spans="1:11" hidden="1" x14ac:dyDescent="0.35">
      <c r="A1010">
        <f t="shared" si="31"/>
        <v>1009</v>
      </c>
      <c r="B1010">
        <v>2006</v>
      </c>
      <c r="C1010" s="4" t="s">
        <v>263</v>
      </c>
      <c r="D1010" s="4" t="s">
        <v>110</v>
      </c>
      <c r="E1010" t="s">
        <v>1430</v>
      </c>
      <c r="F1010" s="17">
        <v>240</v>
      </c>
      <c r="G1010" s="17">
        <v>9</v>
      </c>
      <c r="H1010" t="s">
        <v>1057</v>
      </c>
      <c r="I1010" t="s">
        <v>410</v>
      </c>
      <c r="J1010" s="13">
        <v>1255.272505103306</v>
      </c>
      <c r="K1010" t="str">
        <f t="shared" si="30"/>
        <v>Larry Lumley</v>
      </c>
    </row>
    <row r="1011" spans="1:11" hidden="1" x14ac:dyDescent="0.35">
      <c r="A1011">
        <f t="shared" si="31"/>
        <v>1010</v>
      </c>
      <c r="B1011">
        <v>2006</v>
      </c>
      <c r="C1011" s="4" t="s">
        <v>893</v>
      </c>
      <c r="D1011" s="4" t="s">
        <v>509</v>
      </c>
      <c r="E1011" t="s">
        <v>509</v>
      </c>
      <c r="F1011" s="17">
        <v>1165</v>
      </c>
      <c r="G1011" s="17">
        <v>1</v>
      </c>
      <c r="H1011" t="s">
        <v>268</v>
      </c>
      <c r="I1011" t="s">
        <v>269</v>
      </c>
      <c r="J1011" s="13">
        <v>1724.2758696007888</v>
      </c>
      <c r="K1011" t="str">
        <f t="shared" si="30"/>
        <v>Keith Fichtemaier</v>
      </c>
    </row>
    <row r="1012" spans="1:11" hidden="1" x14ac:dyDescent="0.35">
      <c r="A1012">
        <f t="shared" si="31"/>
        <v>1011</v>
      </c>
      <c r="B1012">
        <v>2006</v>
      </c>
      <c r="C1012" s="4" t="s">
        <v>893</v>
      </c>
      <c r="D1012" s="4" t="s">
        <v>509</v>
      </c>
      <c r="E1012" t="s">
        <v>509</v>
      </c>
      <c r="F1012" s="17">
        <v>670</v>
      </c>
      <c r="G1012" s="17">
        <v>2</v>
      </c>
      <c r="H1012" t="s">
        <v>1002</v>
      </c>
      <c r="I1012" t="s">
        <v>28</v>
      </c>
      <c r="J1012" s="13">
        <v>1423.2458739368076</v>
      </c>
      <c r="K1012" t="str">
        <f t="shared" si="30"/>
        <v>Chris Sims</v>
      </c>
    </row>
    <row r="1013" spans="1:11" hidden="1" x14ac:dyDescent="0.35">
      <c r="A1013">
        <f t="shared" si="31"/>
        <v>1012</v>
      </c>
      <c r="B1013">
        <v>2006</v>
      </c>
      <c r="C1013" s="4" t="s">
        <v>893</v>
      </c>
      <c r="D1013" s="4" t="s">
        <v>509</v>
      </c>
      <c r="E1013" t="s">
        <v>509</v>
      </c>
      <c r="F1013" s="17">
        <v>350</v>
      </c>
      <c r="G1013" s="17">
        <v>3</v>
      </c>
      <c r="H1013" t="s">
        <v>83</v>
      </c>
      <c r="I1013" t="s">
        <v>36</v>
      </c>
      <c r="J1013" s="13">
        <v>1247.1546148811265</v>
      </c>
      <c r="K1013" t="str">
        <f t="shared" si="30"/>
        <v>Nolan Hee</v>
      </c>
    </row>
    <row r="1014" spans="1:11" hidden="1" x14ac:dyDescent="0.35">
      <c r="A1014">
        <f t="shared" si="31"/>
        <v>1013</v>
      </c>
      <c r="B1014">
        <v>2006</v>
      </c>
      <c r="C1014" s="4" t="s">
        <v>893</v>
      </c>
      <c r="D1014" s="4" t="s">
        <v>509</v>
      </c>
      <c r="E1014" t="s">
        <v>509</v>
      </c>
      <c r="F1014" s="17">
        <v>205</v>
      </c>
      <c r="G1014" s="17">
        <v>4</v>
      </c>
      <c r="H1014" t="s">
        <v>304</v>
      </c>
      <c r="I1014" t="s">
        <v>1003</v>
      </c>
      <c r="J1014" s="13">
        <v>1122.2158782728266</v>
      </c>
      <c r="K1014" t="str">
        <f t="shared" si="30"/>
        <v>Jan Pierce</v>
      </c>
    </row>
    <row r="1015" spans="1:11" hidden="1" x14ac:dyDescent="0.35">
      <c r="A1015">
        <f t="shared" si="31"/>
        <v>1014</v>
      </c>
      <c r="B1015">
        <v>2006</v>
      </c>
      <c r="C1015" s="4" t="s">
        <v>893</v>
      </c>
      <c r="D1015" s="4" t="s">
        <v>509</v>
      </c>
      <c r="E1015" t="s">
        <v>509</v>
      </c>
      <c r="F1015" s="17">
        <v>160</v>
      </c>
      <c r="G1015" s="17">
        <v>5</v>
      </c>
      <c r="H1015" t="s">
        <v>310</v>
      </c>
      <c r="I1015" t="s">
        <v>119</v>
      </c>
      <c r="J1015" s="13">
        <v>1025.3058652647699</v>
      </c>
      <c r="K1015" t="str">
        <f t="shared" si="30"/>
        <v>Peter Caldes</v>
      </c>
    </row>
    <row r="1016" spans="1:11" hidden="1" x14ac:dyDescent="0.35">
      <c r="A1016">
        <f t="shared" si="31"/>
        <v>1015</v>
      </c>
      <c r="B1016">
        <v>2006</v>
      </c>
      <c r="C1016" s="4" t="s">
        <v>893</v>
      </c>
      <c r="D1016" s="4" t="s">
        <v>509</v>
      </c>
      <c r="E1016" t="s">
        <v>509</v>
      </c>
      <c r="F1016" s="17">
        <v>130</v>
      </c>
      <c r="G1016" s="17">
        <v>6</v>
      </c>
      <c r="H1016" t="s">
        <v>1004</v>
      </c>
      <c r="I1016" t="s">
        <v>1005</v>
      </c>
      <c r="J1016" s="13">
        <v>946.12461921714532</v>
      </c>
      <c r="K1016" t="str">
        <f t="shared" si="30"/>
        <v>Jennifer Bankston</v>
      </c>
    </row>
    <row r="1017" spans="1:11" hidden="1" x14ac:dyDescent="0.35">
      <c r="A1017">
        <f t="shared" si="31"/>
        <v>1016</v>
      </c>
      <c r="B1017">
        <v>2006</v>
      </c>
      <c r="C1017" s="4" t="s">
        <v>893</v>
      </c>
      <c r="D1017" s="4" t="s">
        <v>509</v>
      </c>
      <c r="E1017" t="s">
        <v>509</v>
      </c>
      <c r="F1017" s="17">
        <v>105</v>
      </c>
      <c r="G1017" s="17">
        <v>7</v>
      </c>
      <c r="H1017" t="s">
        <v>306</v>
      </c>
      <c r="I1017" t="s">
        <v>694</v>
      </c>
      <c r="J1017" s="13">
        <v>879.17782958653208</v>
      </c>
      <c r="K1017" t="str">
        <f t="shared" si="30"/>
        <v>J P Massar</v>
      </c>
    </row>
    <row r="1018" spans="1:11" hidden="1" x14ac:dyDescent="0.35">
      <c r="A1018">
        <f t="shared" si="31"/>
        <v>1017</v>
      </c>
      <c r="B1018">
        <v>2006</v>
      </c>
      <c r="C1018" s="4" t="s">
        <v>893</v>
      </c>
      <c r="D1018" s="4" t="s">
        <v>509</v>
      </c>
      <c r="E1018" t="s">
        <v>509</v>
      </c>
      <c r="F1018" s="17">
        <v>75</v>
      </c>
      <c r="G1018" s="17">
        <v>8</v>
      </c>
      <c r="H1018" t="s">
        <v>1006</v>
      </c>
      <c r="I1018" t="s">
        <v>131</v>
      </c>
      <c r="J1018" s="13">
        <v>821.18588260884542</v>
      </c>
      <c r="K1018" t="str">
        <f t="shared" si="30"/>
        <v>Alan Jaffray</v>
      </c>
    </row>
    <row r="1019" spans="1:11" hidden="1" x14ac:dyDescent="0.35">
      <c r="A1019">
        <f t="shared" si="31"/>
        <v>1018</v>
      </c>
      <c r="B1019">
        <v>2006</v>
      </c>
      <c r="C1019" s="4" t="s">
        <v>893</v>
      </c>
      <c r="D1019" s="4" t="s">
        <v>509</v>
      </c>
      <c r="E1019" t="s">
        <v>509</v>
      </c>
      <c r="F1019" s="17">
        <v>55</v>
      </c>
      <c r="G1019" s="17">
        <v>9</v>
      </c>
      <c r="H1019" t="s">
        <v>105</v>
      </c>
      <c r="I1019" t="s">
        <v>106</v>
      </c>
      <c r="J1019" s="13">
        <v>770.03336016146409</v>
      </c>
      <c r="K1019" t="str">
        <f t="shared" si="30"/>
        <v>Kenny Shei</v>
      </c>
    </row>
    <row r="1020" spans="1:11" hidden="1" x14ac:dyDescent="0.35">
      <c r="A1020">
        <f t="shared" si="31"/>
        <v>1019</v>
      </c>
      <c r="B1020">
        <v>2006</v>
      </c>
      <c r="C1020" s="4" t="s">
        <v>893</v>
      </c>
      <c r="D1020" s="4" t="s">
        <v>1014</v>
      </c>
      <c r="E1020" t="s">
        <v>1429</v>
      </c>
      <c r="F1020" s="17">
        <v>1210</v>
      </c>
      <c r="G1020" s="17">
        <v>1</v>
      </c>
      <c r="H1020" t="s">
        <v>818</v>
      </c>
      <c r="I1020" t="s">
        <v>65</v>
      </c>
      <c r="J1020" s="13">
        <v>1633.4684555795864</v>
      </c>
      <c r="K1020" t="str">
        <f t="shared" si="30"/>
        <v>Steve Nissman</v>
      </c>
    </row>
    <row r="1021" spans="1:11" hidden="1" x14ac:dyDescent="0.35">
      <c r="A1021">
        <f t="shared" si="31"/>
        <v>1020</v>
      </c>
      <c r="B1021">
        <v>2006</v>
      </c>
      <c r="C1021" s="4" t="s">
        <v>893</v>
      </c>
      <c r="D1021" s="4" t="s">
        <v>1014</v>
      </c>
      <c r="E1021" t="s">
        <v>1429</v>
      </c>
      <c r="F1021" s="17">
        <v>675</v>
      </c>
      <c r="G1021" s="17">
        <v>2</v>
      </c>
      <c r="H1021" t="s">
        <v>1006</v>
      </c>
      <c r="I1021" t="s">
        <v>131</v>
      </c>
      <c r="J1021" s="13">
        <v>1332.4384599156051</v>
      </c>
      <c r="K1021" t="str">
        <f t="shared" si="30"/>
        <v>Alan Jaffray</v>
      </c>
    </row>
    <row r="1022" spans="1:11" hidden="1" x14ac:dyDescent="0.35">
      <c r="A1022">
        <f t="shared" si="31"/>
        <v>1021</v>
      </c>
      <c r="B1022">
        <v>2006</v>
      </c>
      <c r="C1022" s="4" t="s">
        <v>893</v>
      </c>
      <c r="D1022" s="4" t="s">
        <v>1014</v>
      </c>
      <c r="E1022" t="s">
        <v>1429</v>
      </c>
      <c r="F1022" s="17">
        <v>405</v>
      </c>
      <c r="G1022" s="17">
        <v>3</v>
      </c>
      <c r="H1022" t="s">
        <v>903</v>
      </c>
      <c r="I1022" t="s">
        <v>71</v>
      </c>
      <c r="J1022" s="13">
        <v>1156.347200859924</v>
      </c>
      <c r="K1022" t="str">
        <f t="shared" si="30"/>
        <v>Scott Harker</v>
      </c>
    </row>
    <row r="1023" spans="1:11" hidden="1" x14ac:dyDescent="0.35">
      <c r="A1023">
        <f t="shared" si="31"/>
        <v>1022</v>
      </c>
      <c r="B1023">
        <v>2006</v>
      </c>
      <c r="C1023" s="4" t="s">
        <v>893</v>
      </c>
      <c r="D1023" s="4" t="s">
        <v>1014</v>
      </c>
      <c r="E1023" t="s">
        <v>1429</v>
      </c>
      <c r="F1023" s="17">
        <v>270</v>
      </c>
      <c r="G1023" s="17">
        <v>4</v>
      </c>
      <c r="H1023" t="s">
        <v>1015</v>
      </c>
      <c r="I1023" t="s">
        <v>384</v>
      </c>
      <c r="J1023" s="13">
        <v>1031.4084642516241</v>
      </c>
      <c r="K1023" t="str">
        <f t="shared" si="30"/>
        <v>Jeff Liebster</v>
      </c>
    </row>
    <row r="1024" spans="1:11" hidden="1" x14ac:dyDescent="0.35">
      <c r="A1024">
        <f t="shared" si="31"/>
        <v>1023</v>
      </c>
      <c r="B1024">
        <v>2006</v>
      </c>
      <c r="C1024" s="4" t="s">
        <v>893</v>
      </c>
      <c r="D1024" s="4" t="s">
        <v>1014</v>
      </c>
      <c r="E1024" t="s">
        <v>1429</v>
      </c>
      <c r="F1024" s="17">
        <v>135</v>
      </c>
      <c r="G1024" s="17">
        <v>5</v>
      </c>
      <c r="H1024" t="s">
        <v>285</v>
      </c>
      <c r="I1024" t="s">
        <v>119</v>
      </c>
      <c r="J1024" s="13">
        <v>934.49845124356762</v>
      </c>
      <c r="K1024" t="str">
        <f t="shared" si="30"/>
        <v>Peter Secor</v>
      </c>
    </row>
    <row r="1025" spans="1:11" hidden="1" x14ac:dyDescent="0.35">
      <c r="A1025">
        <f t="shared" si="31"/>
        <v>1024</v>
      </c>
      <c r="B1025">
        <v>2006</v>
      </c>
      <c r="C1025" s="4" t="s">
        <v>893</v>
      </c>
      <c r="D1025" s="4" t="s">
        <v>905</v>
      </c>
      <c r="E1025" t="s">
        <v>1429</v>
      </c>
      <c r="F1025" s="17">
        <v>1570</v>
      </c>
      <c r="G1025" s="17">
        <v>1</v>
      </c>
      <c r="H1025" t="s">
        <v>306</v>
      </c>
      <c r="I1025" t="s">
        <v>694</v>
      </c>
      <c r="J1025" s="13">
        <v>1724.2758696007888</v>
      </c>
      <c r="K1025" t="str">
        <f t="shared" si="30"/>
        <v>J P Massar</v>
      </c>
    </row>
    <row r="1026" spans="1:11" hidden="1" x14ac:dyDescent="0.35">
      <c r="A1026">
        <f t="shared" si="31"/>
        <v>1025</v>
      </c>
      <c r="B1026">
        <v>2006</v>
      </c>
      <c r="C1026" s="4" t="s">
        <v>893</v>
      </c>
      <c r="D1026" s="4" t="s">
        <v>905</v>
      </c>
      <c r="E1026" t="s">
        <v>1429</v>
      </c>
      <c r="F1026" s="17">
        <v>900</v>
      </c>
      <c r="G1026" s="17">
        <v>2</v>
      </c>
      <c r="H1026" t="s">
        <v>1008</v>
      </c>
      <c r="I1026" t="s">
        <v>768</v>
      </c>
      <c r="J1026" s="13">
        <v>1423.2458739368076</v>
      </c>
      <c r="K1026" t="str">
        <f t="shared" ref="K1026:K1089" si="32">I1026&amp;" "&amp;H1026</f>
        <v>Matthew Kursar</v>
      </c>
    </row>
    <row r="1027" spans="1:11" hidden="1" x14ac:dyDescent="0.35">
      <c r="A1027">
        <f t="shared" si="31"/>
        <v>1026</v>
      </c>
      <c r="B1027">
        <v>2006</v>
      </c>
      <c r="C1027" s="4" t="s">
        <v>893</v>
      </c>
      <c r="D1027" s="4" t="s">
        <v>905</v>
      </c>
      <c r="E1027" t="s">
        <v>1429</v>
      </c>
      <c r="F1027" s="17">
        <v>475</v>
      </c>
      <c r="G1027" s="17">
        <v>3</v>
      </c>
      <c r="H1027" t="s">
        <v>226</v>
      </c>
      <c r="I1027" t="s">
        <v>227</v>
      </c>
      <c r="J1027" s="13">
        <v>1247.1546148811265</v>
      </c>
      <c r="K1027" t="str">
        <f t="shared" si="32"/>
        <v>Patti Beadles</v>
      </c>
    </row>
    <row r="1028" spans="1:11" hidden="1" x14ac:dyDescent="0.35">
      <c r="A1028">
        <f t="shared" ref="A1028:A1091" si="33">A1027+1</f>
        <v>1027</v>
      </c>
      <c r="B1028">
        <v>2006</v>
      </c>
      <c r="C1028" s="4" t="s">
        <v>893</v>
      </c>
      <c r="D1028" s="4" t="s">
        <v>905</v>
      </c>
      <c r="E1028" t="s">
        <v>1429</v>
      </c>
      <c r="F1028" s="17">
        <v>255</v>
      </c>
      <c r="G1028" s="17">
        <v>4.5</v>
      </c>
      <c r="H1028" t="s">
        <v>1010</v>
      </c>
      <c r="I1028" t="s">
        <v>1011</v>
      </c>
      <c r="J1028" s="13">
        <v>1071.0633558254451</v>
      </c>
      <c r="K1028" t="str">
        <f t="shared" si="32"/>
        <v>Barbara Gallamore</v>
      </c>
    </row>
    <row r="1029" spans="1:11" hidden="1" x14ac:dyDescent="0.35">
      <c r="A1029">
        <f t="shared" si="33"/>
        <v>1028</v>
      </c>
      <c r="B1029">
        <v>2006</v>
      </c>
      <c r="C1029" s="4" t="s">
        <v>893</v>
      </c>
      <c r="D1029" s="4" t="s">
        <v>905</v>
      </c>
      <c r="E1029" t="s">
        <v>1429</v>
      </c>
      <c r="F1029" s="17">
        <v>255</v>
      </c>
      <c r="G1029" s="17">
        <v>4.5</v>
      </c>
      <c r="H1029" t="s">
        <v>105</v>
      </c>
      <c r="I1029" t="s">
        <v>106</v>
      </c>
      <c r="J1029" s="13">
        <v>1071.0633558254451</v>
      </c>
      <c r="K1029" t="str">
        <f t="shared" si="32"/>
        <v>Kenny Shei</v>
      </c>
    </row>
    <row r="1030" spans="1:11" hidden="1" x14ac:dyDescent="0.35">
      <c r="A1030">
        <f t="shared" si="33"/>
        <v>1029</v>
      </c>
      <c r="B1030">
        <v>2006</v>
      </c>
      <c r="C1030" s="4" t="s">
        <v>893</v>
      </c>
      <c r="D1030" s="4" t="s">
        <v>905</v>
      </c>
      <c r="E1030" t="s">
        <v>1429</v>
      </c>
      <c r="F1030" s="17">
        <v>155</v>
      </c>
      <c r="G1030" s="17">
        <v>7</v>
      </c>
      <c r="H1030" t="s">
        <v>86</v>
      </c>
      <c r="I1030" t="s">
        <v>87</v>
      </c>
      <c r="J1030" s="13">
        <v>879.17782958653208</v>
      </c>
      <c r="K1030" t="str">
        <f t="shared" si="32"/>
        <v>Stevan Goldman</v>
      </c>
    </row>
    <row r="1031" spans="1:11" hidden="1" x14ac:dyDescent="0.35">
      <c r="A1031">
        <f t="shared" si="33"/>
        <v>1030</v>
      </c>
      <c r="B1031">
        <v>2006</v>
      </c>
      <c r="C1031" s="4" t="s">
        <v>893</v>
      </c>
      <c r="D1031" s="4" t="s">
        <v>905</v>
      </c>
      <c r="E1031" t="s">
        <v>1429</v>
      </c>
      <c r="F1031" s="17">
        <v>155</v>
      </c>
      <c r="G1031" s="17">
        <v>7</v>
      </c>
      <c r="H1031" t="s">
        <v>475</v>
      </c>
      <c r="I1031" t="s">
        <v>887</v>
      </c>
      <c r="J1031" s="13">
        <v>879.17782958653208</v>
      </c>
      <c r="K1031" t="str">
        <f t="shared" si="32"/>
        <v>Chic Natkins</v>
      </c>
    </row>
    <row r="1032" spans="1:11" hidden="1" x14ac:dyDescent="0.35">
      <c r="A1032">
        <f t="shared" si="33"/>
        <v>1031</v>
      </c>
      <c r="B1032">
        <v>2006</v>
      </c>
      <c r="C1032" s="4" t="s">
        <v>893</v>
      </c>
      <c r="D1032" s="4" t="s">
        <v>905</v>
      </c>
      <c r="E1032" t="s">
        <v>1429</v>
      </c>
      <c r="F1032" s="17">
        <v>155</v>
      </c>
      <c r="G1032" s="17">
        <v>7</v>
      </c>
      <c r="H1032" t="s">
        <v>1000</v>
      </c>
      <c r="I1032" t="s">
        <v>908</v>
      </c>
      <c r="J1032" s="13">
        <v>879.17782958653208</v>
      </c>
      <c r="K1032" t="str">
        <f t="shared" si="32"/>
        <v>Joo Pal</v>
      </c>
    </row>
    <row r="1033" spans="1:11" hidden="1" x14ac:dyDescent="0.35">
      <c r="A1033">
        <f t="shared" si="33"/>
        <v>1032</v>
      </c>
      <c r="B1033">
        <v>2006</v>
      </c>
      <c r="C1033" s="4" t="s">
        <v>893</v>
      </c>
      <c r="D1033" s="4" t="s">
        <v>905</v>
      </c>
      <c r="E1033" t="s">
        <v>1429</v>
      </c>
      <c r="F1033" s="17">
        <v>80</v>
      </c>
      <c r="G1033" s="17">
        <v>10.5</v>
      </c>
      <c r="H1033" t="s">
        <v>50</v>
      </c>
      <c r="I1033" t="s">
        <v>25</v>
      </c>
      <c r="J1033" s="13">
        <v>703.08657053085085</v>
      </c>
      <c r="K1033" t="str">
        <f t="shared" si="32"/>
        <v>Russell Fox</v>
      </c>
    </row>
    <row r="1034" spans="1:11" hidden="1" x14ac:dyDescent="0.35">
      <c r="A1034">
        <f t="shared" si="33"/>
        <v>1033</v>
      </c>
      <c r="B1034">
        <v>2006</v>
      </c>
      <c r="C1034" s="4" t="s">
        <v>893</v>
      </c>
      <c r="D1034" s="4" t="s">
        <v>905</v>
      </c>
      <c r="E1034" t="s">
        <v>1429</v>
      </c>
      <c r="F1034" s="17">
        <v>80</v>
      </c>
      <c r="G1034" s="17">
        <v>10.5</v>
      </c>
      <c r="H1034" t="s">
        <v>903</v>
      </c>
      <c r="I1034" t="s">
        <v>71</v>
      </c>
      <c r="J1034" s="13">
        <v>703.08657053085085</v>
      </c>
      <c r="K1034" t="str">
        <f t="shared" si="32"/>
        <v>Scott Harker</v>
      </c>
    </row>
    <row r="1035" spans="1:11" hidden="1" x14ac:dyDescent="0.35">
      <c r="A1035">
        <f t="shared" si="33"/>
        <v>1034</v>
      </c>
      <c r="B1035">
        <v>2006</v>
      </c>
      <c r="C1035" s="4" t="s">
        <v>893</v>
      </c>
      <c r="D1035" s="4" t="s">
        <v>905</v>
      </c>
      <c r="E1035" t="s">
        <v>1429</v>
      </c>
      <c r="F1035" s="17">
        <v>80</v>
      </c>
      <c r="G1035" s="17">
        <v>10.5</v>
      </c>
      <c r="H1035" t="s">
        <v>74</v>
      </c>
      <c r="I1035" t="s">
        <v>153</v>
      </c>
      <c r="J1035" s="13">
        <v>703.08657053085085</v>
      </c>
      <c r="K1035" t="str">
        <f t="shared" si="32"/>
        <v>Stephen Landrum</v>
      </c>
    </row>
    <row r="1036" spans="1:11" hidden="1" x14ac:dyDescent="0.35">
      <c r="A1036">
        <f t="shared" si="33"/>
        <v>1035</v>
      </c>
      <c r="B1036">
        <v>2006</v>
      </c>
      <c r="C1036" s="4" t="s">
        <v>893</v>
      </c>
      <c r="D1036" s="4" t="s">
        <v>905</v>
      </c>
      <c r="E1036" t="s">
        <v>1429</v>
      </c>
      <c r="F1036" s="17">
        <v>80</v>
      </c>
      <c r="G1036" s="17">
        <v>10.5</v>
      </c>
      <c r="H1036" t="s">
        <v>1013</v>
      </c>
      <c r="I1036" t="s">
        <v>1456</v>
      </c>
      <c r="J1036" s="13">
        <v>703.08657053085085</v>
      </c>
      <c r="K1036" t="str">
        <f t="shared" si="32"/>
        <v>Shawna Madrigal</v>
      </c>
    </row>
    <row r="1037" spans="1:11" hidden="1" x14ac:dyDescent="0.35">
      <c r="A1037">
        <f t="shared" si="33"/>
        <v>1036</v>
      </c>
      <c r="B1037">
        <v>2006</v>
      </c>
      <c r="C1037" s="4" t="s">
        <v>893</v>
      </c>
      <c r="D1037" s="4" t="s">
        <v>998</v>
      </c>
      <c r="E1037" t="s">
        <v>133</v>
      </c>
      <c r="F1037" s="17">
        <v>965</v>
      </c>
      <c r="G1037" s="17">
        <v>1</v>
      </c>
      <c r="H1037" t="s">
        <v>999</v>
      </c>
      <c r="I1037" t="s">
        <v>815</v>
      </c>
      <c r="J1037" s="13">
        <v>1591.0646070264991</v>
      </c>
      <c r="K1037" t="str">
        <f t="shared" si="32"/>
        <v>Sean McGuiness</v>
      </c>
    </row>
    <row r="1038" spans="1:11" hidden="1" x14ac:dyDescent="0.35">
      <c r="A1038">
        <f t="shared" si="33"/>
        <v>1037</v>
      </c>
      <c r="B1038">
        <v>2006</v>
      </c>
      <c r="C1038" s="4" t="s">
        <v>893</v>
      </c>
      <c r="D1038" s="4" t="s">
        <v>998</v>
      </c>
      <c r="E1038" t="s">
        <v>133</v>
      </c>
      <c r="F1038" s="17">
        <v>535</v>
      </c>
      <c r="G1038" s="17">
        <v>2</v>
      </c>
      <c r="H1038" t="s">
        <v>1000</v>
      </c>
      <c r="I1038" t="s">
        <v>908</v>
      </c>
      <c r="J1038" s="13">
        <v>1290.0346113625178</v>
      </c>
      <c r="K1038" t="str">
        <f t="shared" si="32"/>
        <v>Joo Pal</v>
      </c>
    </row>
    <row r="1039" spans="1:11" hidden="1" x14ac:dyDescent="0.35">
      <c r="A1039">
        <f t="shared" si="33"/>
        <v>1038</v>
      </c>
      <c r="B1039">
        <v>2006</v>
      </c>
      <c r="C1039" s="4" t="s">
        <v>893</v>
      </c>
      <c r="D1039" s="4" t="s">
        <v>998</v>
      </c>
      <c r="E1039" t="s">
        <v>133</v>
      </c>
      <c r="F1039" s="17">
        <v>320</v>
      </c>
      <c r="G1039" s="17">
        <v>3</v>
      </c>
      <c r="H1039" t="s">
        <v>836</v>
      </c>
      <c r="I1039" t="s">
        <v>136</v>
      </c>
      <c r="J1039" s="13">
        <v>1113.9433523068367</v>
      </c>
      <c r="K1039" t="str">
        <f t="shared" si="32"/>
        <v>John Grout</v>
      </c>
    </row>
    <row r="1040" spans="1:11" hidden="1" x14ac:dyDescent="0.35">
      <c r="A1040">
        <f t="shared" si="33"/>
        <v>1039</v>
      </c>
      <c r="B1040">
        <v>2006</v>
      </c>
      <c r="C1040" s="4" t="s">
        <v>893</v>
      </c>
      <c r="D1040" s="4" t="s">
        <v>998</v>
      </c>
      <c r="E1040" t="s">
        <v>133</v>
      </c>
      <c r="F1040" s="17">
        <v>215</v>
      </c>
      <c r="G1040" s="17">
        <v>4</v>
      </c>
      <c r="H1040" t="s">
        <v>74</v>
      </c>
      <c r="I1040" t="s">
        <v>75</v>
      </c>
      <c r="J1040" s="13">
        <v>989.00461569853667</v>
      </c>
      <c r="K1040" t="str">
        <f t="shared" si="32"/>
        <v>Sabyl Landrum</v>
      </c>
    </row>
    <row r="1041" spans="1:11" hidden="1" x14ac:dyDescent="0.35">
      <c r="A1041">
        <f t="shared" si="33"/>
        <v>1040</v>
      </c>
      <c r="B1041">
        <v>2006</v>
      </c>
      <c r="C1041" s="4" t="s">
        <v>893</v>
      </c>
      <c r="D1041" s="4" t="s">
        <v>998</v>
      </c>
      <c r="E1041" t="s">
        <v>133</v>
      </c>
      <c r="F1041" s="17">
        <v>110</v>
      </c>
      <c r="G1041" s="17">
        <v>5</v>
      </c>
      <c r="H1041" t="s">
        <v>50</v>
      </c>
      <c r="I1041" t="s">
        <v>25</v>
      </c>
      <c r="J1041" s="13">
        <v>892.0946026904802</v>
      </c>
      <c r="K1041" t="str">
        <f t="shared" si="32"/>
        <v>Russell Fox</v>
      </c>
    </row>
    <row r="1042" spans="1:11" hidden="1" x14ac:dyDescent="0.35">
      <c r="A1042">
        <f t="shared" si="33"/>
        <v>1041</v>
      </c>
      <c r="B1042">
        <v>2006</v>
      </c>
      <c r="C1042" s="4" t="s">
        <v>8</v>
      </c>
      <c r="D1042" s="4" t="s">
        <v>995</v>
      </c>
      <c r="E1042" t="s">
        <v>1430</v>
      </c>
      <c r="F1042" s="17">
        <v>1296</v>
      </c>
      <c r="G1042" s="17">
        <v>1</v>
      </c>
      <c r="H1042" t="s">
        <v>996</v>
      </c>
      <c r="I1042" t="s">
        <v>232</v>
      </c>
      <c r="J1042" s="13">
        <v>1732.3937598229686</v>
      </c>
      <c r="K1042" t="str">
        <f t="shared" si="32"/>
        <v>Adam Buchholz</v>
      </c>
    </row>
    <row r="1043" spans="1:11" hidden="1" x14ac:dyDescent="0.35">
      <c r="A1043">
        <f t="shared" si="33"/>
        <v>1042</v>
      </c>
      <c r="B1043">
        <v>2006</v>
      </c>
      <c r="C1043" s="4" t="s">
        <v>8</v>
      </c>
      <c r="D1043" s="4" t="s">
        <v>995</v>
      </c>
      <c r="E1043" t="s">
        <v>1430</v>
      </c>
      <c r="F1043" s="17">
        <v>681</v>
      </c>
      <c r="G1043" s="17">
        <v>2</v>
      </c>
      <c r="H1043" t="s">
        <v>642</v>
      </c>
      <c r="I1043" t="s">
        <v>136</v>
      </c>
      <c r="J1043" s="13">
        <v>1431.3637641589874</v>
      </c>
      <c r="K1043" t="str">
        <f t="shared" si="32"/>
        <v>John DeRose</v>
      </c>
    </row>
    <row r="1044" spans="1:11" hidden="1" x14ac:dyDescent="0.35">
      <c r="A1044">
        <f t="shared" si="33"/>
        <v>1043</v>
      </c>
      <c r="B1044">
        <v>2006</v>
      </c>
      <c r="C1044" s="4" t="s">
        <v>8</v>
      </c>
      <c r="D1044" s="4" t="s">
        <v>995</v>
      </c>
      <c r="E1044" t="s">
        <v>1430</v>
      </c>
      <c r="F1044" s="17">
        <v>356</v>
      </c>
      <c r="G1044" s="17">
        <v>3</v>
      </c>
      <c r="H1044" t="s">
        <v>238</v>
      </c>
      <c r="I1044" t="s">
        <v>16</v>
      </c>
      <c r="J1044" s="13">
        <v>1255.2725051033062</v>
      </c>
      <c r="K1044" t="str">
        <f t="shared" si="32"/>
        <v>David Kuznick</v>
      </c>
    </row>
    <row r="1045" spans="1:11" hidden="1" x14ac:dyDescent="0.35">
      <c r="A1045">
        <f t="shared" si="33"/>
        <v>1044</v>
      </c>
      <c r="B1045">
        <v>2006</v>
      </c>
      <c r="C1045" s="4" t="s">
        <v>8</v>
      </c>
      <c r="D1045" s="4" t="s">
        <v>995</v>
      </c>
      <c r="E1045" t="s">
        <v>1430</v>
      </c>
      <c r="F1045" s="17">
        <v>276</v>
      </c>
      <c r="G1045" s="17">
        <v>4</v>
      </c>
      <c r="H1045" t="s">
        <v>161</v>
      </c>
      <c r="I1045" t="s">
        <v>162</v>
      </c>
      <c r="J1045" s="13">
        <v>1130.3337684950061</v>
      </c>
      <c r="K1045" t="str">
        <f t="shared" si="32"/>
        <v>Tracy Becker</v>
      </c>
    </row>
    <row r="1046" spans="1:11" hidden="1" x14ac:dyDescent="0.35">
      <c r="A1046">
        <f t="shared" si="33"/>
        <v>1045</v>
      </c>
      <c r="B1046">
        <v>2006</v>
      </c>
      <c r="C1046" s="4" t="s">
        <v>8</v>
      </c>
      <c r="D1046" s="4" t="s">
        <v>995</v>
      </c>
      <c r="E1046" t="s">
        <v>1430</v>
      </c>
      <c r="F1046" s="17">
        <v>194</v>
      </c>
      <c r="G1046" s="17">
        <v>5</v>
      </c>
      <c r="H1046" t="s">
        <v>2539</v>
      </c>
      <c r="I1046" t="s">
        <v>28</v>
      </c>
      <c r="J1046" s="13">
        <v>1033.4237554869499</v>
      </c>
      <c r="K1046" t="str">
        <f t="shared" si="32"/>
        <v>Chris O’Connor</v>
      </c>
    </row>
    <row r="1047" spans="1:11" hidden="1" x14ac:dyDescent="0.35">
      <c r="A1047">
        <f t="shared" si="33"/>
        <v>1046</v>
      </c>
      <c r="B1047">
        <v>2006</v>
      </c>
      <c r="C1047" s="4" t="s">
        <v>8</v>
      </c>
      <c r="D1047" s="4" t="s">
        <v>995</v>
      </c>
      <c r="E1047" t="s">
        <v>1430</v>
      </c>
      <c r="F1047" s="17">
        <v>146</v>
      </c>
      <c r="G1047" s="17">
        <v>6</v>
      </c>
      <c r="H1047" t="s">
        <v>363</v>
      </c>
      <c r="I1047" t="s">
        <v>364</v>
      </c>
      <c r="J1047" s="13">
        <v>954.24250943932498</v>
      </c>
      <c r="K1047" t="str">
        <f t="shared" si="32"/>
        <v>Warren Sander</v>
      </c>
    </row>
    <row r="1048" spans="1:11" hidden="1" x14ac:dyDescent="0.35">
      <c r="A1048">
        <f t="shared" si="33"/>
        <v>1047</v>
      </c>
      <c r="B1048">
        <v>2006</v>
      </c>
      <c r="C1048" s="4" t="s">
        <v>8</v>
      </c>
      <c r="D1048" s="4" t="s">
        <v>995</v>
      </c>
      <c r="E1048" t="s">
        <v>1430</v>
      </c>
      <c r="F1048" s="17">
        <v>113</v>
      </c>
      <c r="G1048" s="17">
        <v>7</v>
      </c>
      <c r="H1048" t="s">
        <v>752</v>
      </c>
      <c r="I1048" t="s">
        <v>753</v>
      </c>
      <c r="J1048" s="13">
        <v>887.29571980871185</v>
      </c>
      <c r="K1048" t="str">
        <f t="shared" si="32"/>
        <v>Carl Lepinski</v>
      </c>
    </row>
    <row r="1049" spans="1:11" hidden="1" x14ac:dyDescent="0.35">
      <c r="A1049">
        <f t="shared" si="33"/>
        <v>1048</v>
      </c>
      <c r="B1049">
        <v>2006</v>
      </c>
      <c r="C1049" s="4" t="s">
        <v>8</v>
      </c>
      <c r="D1049" s="4" t="s">
        <v>995</v>
      </c>
      <c r="E1049" t="s">
        <v>1430</v>
      </c>
      <c r="F1049" s="17">
        <v>97</v>
      </c>
      <c r="G1049" s="17">
        <v>8</v>
      </c>
      <c r="H1049" t="s">
        <v>80</v>
      </c>
      <c r="I1049" t="s">
        <v>156</v>
      </c>
      <c r="J1049" s="13">
        <v>829.30377283102507</v>
      </c>
      <c r="K1049" t="str">
        <f t="shared" si="32"/>
        <v>Ashley Adams</v>
      </c>
    </row>
    <row r="1050" spans="1:11" hidden="1" x14ac:dyDescent="0.35">
      <c r="A1050">
        <f t="shared" si="33"/>
        <v>1049</v>
      </c>
      <c r="B1050">
        <v>2006</v>
      </c>
      <c r="C1050" s="4" t="s">
        <v>8</v>
      </c>
      <c r="D1050" s="4" t="s">
        <v>995</v>
      </c>
      <c r="E1050" t="s">
        <v>1430</v>
      </c>
      <c r="F1050" s="17">
        <v>81</v>
      </c>
      <c r="G1050" s="17">
        <v>9</v>
      </c>
      <c r="H1050" t="s">
        <v>220</v>
      </c>
      <c r="I1050" t="s">
        <v>421</v>
      </c>
      <c r="J1050" s="13">
        <v>778.15125038364374</v>
      </c>
      <c r="K1050" t="str">
        <f t="shared" si="32"/>
        <v>Bill Chen</v>
      </c>
    </row>
    <row r="1051" spans="1:11" hidden="1" x14ac:dyDescent="0.35">
      <c r="A1051">
        <f t="shared" si="33"/>
        <v>1050</v>
      </c>
      <c r="B1051">
        <v>2006</v>
      </c>
      <c r="C1051" s="5" t="s">
        <v>8</v>
      </c>
      <c r="D1051" s="5" t="s">
        <v>45</v>
      </c>
      <c r="E1051" t="s">
        <v>1429</v>
      </c>
      <c r="F1051" s="17">
        <v>2265</v>
      </c>
      <c r="G1051" s="17">
        <v>1</v>
      </c>
      <c r="H1051" t="s">
        <v>764</v>
      </c>
      <c r="I1051" t="s">
        <v>901</v>
      </c>
      <c r="J1051" s="13">
        <v>2008.6001717619174</v>
      </c>
      <c r="K1051" t="str">
        <f t="shared" si="32"/>
        <v>Jerrod Ankenman</v>
      </c>
    </row>
    <row r="1052" spans="1:11" hidden="1" x14ac:dyDescent="0.35">
      <c r="A1052">
        <f t="shared" si="33"/>
        <v>1051</v>
      </c>
      <c r="B1052">
        <v>2006</v>
      </c>
      <c r="C1052" s="5" t="s">
        <v>8</v>
      </c>
      <c r="D1052" s="5" t="s">
        <v>45</v>
      </c>
      <c r="E1052" t="s">
        <v>1429</v>
      </c>
      <c r="F1052" s="17">
        <v>1163</v>
      </c>
      <c r="G1052" s="17">
        <v>2</v>
      </c>
      <c r="H1052" t="s">
        <v>161</v>
      </c>
      <c r="I1052" t="s">
        <v>200</v>
      </c>
      <c r="J1052" s="13">
        <v>1707.5701760979362</v>
      </c>
      <c r="K1052" t="str">
        <f t="shared" si="32"/>
        <v>Rick Becker</v>
      </c>
    </row>
    <row r="1053" spans="1:11" hidden="1" x14ac:dyDescent="0.35">
      <c r="A1053">
        <f t="shared" si="33"/>
        <v>1052</v>
      </c>
      <c r="B1053">
        <v>2006</v>
      </c>
      <c r="C1053" s="5" t="s">
        <v>8</v>
      </c>
      <c r="D1053" s="5" t="s">
        <v>45</v>
      </c>
      <c r="E1053" t="s">
        <v>1429</v>
      </c>
      <c r="F1053" s="17">
        <v>550</v>
      </c>
      <c r="G1053" s="17">
        <v>3</v>
      </c>
      <c r="H1053" t="s">
        <v>554</v>
      </c>
      <c r="I1053" t="s">
        <v>846</v>
      </c>
      <c r="J1053" s="13">
        <v>1531.478917042255</v>
      </c>
      <c r="K1053" t="str">
        <f t="shared" si="32"/>
        <v>Donald Hemstock</v>
      </c>
    </row>
    <row r="1054" spans="1:11" hidden="1" x14ac:dyDescent="0.35">
      <c r="A1054">
        <f t="shared" si="33"/>
        <v>1053</v>
      </c>
      <c r="B1054">
        <v>2006</v>
      </c>
      <c r="C1054" s="5" t="s">
        <v>8</v>
      </c>
      <c r="D1054" s="5" t="s">
        <v>45</v>
      </c>
      <c r="E1054" t="s">
        <v>1429</v>
      </c>
      <c r="F1054" s="17">
        <v>444</v>
      </c>
      <c r="G1054" s="17">
        <v>4</v>
      </c>
      <c r="H1054" t="s">
        <v>445</v>
      </c>
      <c r="I1054" t="s">
        <v>446</v>
      </c>
      <c r="J1054" s="13">
        <v>1406.5401804339549</v>
      </c>
      <c r="K1054" t="str">
        <f t="shared" si="32"/>
        <v>Edson Pap</v>
      </c>
    </row>
    <row r="1055" spans="1:11" hidden="1" x14ac:dyDescent="0.35">
      <c r="A1055">
        <f t="shared" si="33"/>
        <v>1054</v>
      </c>
      <c r="B1055">
        <v>2006</v>
      </c>
      <c r="C1055" s="5" t="s">
        <v>8</v>
      </c>
      <c r="D1055" s="5" t="s">
        <v>45</v>
      </c>
      <c r="E1055" t="s">
        <v>1429</v>
      </c>
      <c r="F1055" s="17">
        <v>321</v>
      </c>
      <c r="G1055" s="17">
        <v>5</v>
      </c>
      <c r="H1055" t="s">
        <v>14</v>
      </c>
      <c r="I1055" t="s">
        <v>11</v>
      </c>
      <c r="J1055" s="13">
        <v>1309.6301674258987</v>
      </c>
      <c r="K1055" t="str">
        <f t="shared" si="32"/>
        <v>Paul McMullin</v>
      </c>
    </row>
    <row r="1056" spans="1:11" hidden="1" x14ac:dyDescent="0.35">
      <c r="A1056">
        <f t="shared" si="33"/>
        <v>1055</v>
      </c>
      <c r="B1056">
        <v>2006</v>
      </c>
      <c r="C1056" s="5" t="s">
        <v>8</v>
      </c>
      <c r="D1056" s="5" t="s">
        <v>45</v>
      </c>
      <c r="E1056" t="s">
        <v>1429</v>
      </c>
      <c r="F1056" s="17">
        <v>230</v>
      </c>
      <c r="G1056" s="17">
        <v>6</v>
      </c>
      <c r="H1056" t="s">
        <v>248</v>
      </c>
      <c r="I1056" t="s">
        <v>249</v>
      </c>
      <c r="J1056" s="13">
        <v>1230.4489213782738</v>
      </c>
      <c r="K1056" t="str">
        <f t="shared" si="32"/>
        <v>Ross Poppel</v>
      </c>
    </row>
    <row r="1057" spans="1:11" hidden="1" x14ac:dyDescent="0.35">
      <c r="A1057">
        <f t="shared" si="33"/>
        <v>1056</v>
      </c>
      <c r="B1057">
        <v>2006</v>
      </c>
      <c r="C1057" s="5" t="s">
        <v>8</v>
      </c>
      <c r="D1057" s="5" t="s">
        <v>45</v>
      </c>
      <c r="E1057" t="s">
        <v>1429</v>
      </c>
      <c r="F1057" s="17">
        <v>184</v>
      </c>
      <c r="G1057" s="17">
        <v>7</v>
      </c>
      <c r="H1057" t="s">
        <v>74</v>
      </c>
      <c r="I1057" t="s">
        <v>153</v>
      </c>
      <c r="J1057" s="13">
        <v>1163.5021317476605</v>
      </c>
      <c r="K1057" t="str">
        <f t="shared" si="32"/>
        <v>Stephen Landrum</v>
      </c>
    </row>
    <row r="1058" spans="1:11" hidden="1" x14ac:dyDescent="0.35">
      <c r="A1058">
        <f t="shared" si="33"/>
        <v>1057</v>
      </c>
      <c r="B1058">
        <v>2006</v>
      </c>
      <c r="C1058" s="5" t="s">
        <v>8</v>
      </c>
      <c r="D1058" s="5" t="s">
        <v>45</v>
      </c>
      <c r="E1058" t="s">
        <v>1429</v>
      </c>
      <c r="F1058" s="17">
        <v>153</v>
      </c>
      <c r="G1058" s="17">
        <v>8</v>
      </c>
      <c r="H1058" t="s">
        <v>989</v>
      </c>
      <c r="I1058" t="s">
        <v>215</v>
      </c>
      <c r="J1058" s="13">
        <v>1105.5101847699739</v>
      </c>
      <c r="K1058" t="str">
        <f t="shared" si="32"/>
        <v>Derek DiFante</v>
      </c>
    </row>
    <row r="1059" spans="1:11" hidden="1" x14ac:dyDescent="0.35">
      <c r="A1059">
        <f t="shared" si="33"/>
        <v>1058</v>
      </c>
      <c r="B1059">
        <v>2006</v>
      </c>
      <c r="C1059" s="4" t="s">
        <v>8</v>
      </c>
      <c r="D1059" s="4" t="s">
        <v>45</v>
      </c>
      <c r="E1059" t="s">
        <v>1429</v>
      </c>
      <c r="F1059" s="17">
        <v>126</v>
      </c>
      <c r="G1059" s="17">
        <v>9</v>
      </c>
      <c r="H1059" t="s">
        <v>739</v>
      </c>
      <c r="I1059" t="s">
        <v>740</v>
      </c>
      <c r="J1059" s="13">
        <v>1054.3576623225927</v>
      </c>
      <c r="K1059" t="str">
        <f t="shared" si="32"/>
        <v>Joan Hadley</v>
      </c>
    </row>
    <row r="1060" spans="1:11" hidden="1" x14ac:dyDescent="0.35">
      <c r="A1060">
        <f t="shared" si="33"/>
        <v>1059</v>
      </c>
      <c r="B1060">
        <v>2006</v>
      </c>
      <c r="C1060" s="4" t="s">
        <v>8</v>
      </c>
      <c r="D1060" s="4" t="s">
        <v>45</v>
      </c>
      <c r="E1060" t="s">
        <v>1429</v>
      </c>
      <c r="F1060" s="17">
        <v>76</v>
      </c>
      <c r="G1060" s="17">
        <v>10</v>
      </c>
      <c r="H1060" t="s">
        <v>366</v>
      </c>
      <c r="I1060" t="s">
        <v>991</v>
      </c>
      <c r="J1060" s="13">
        <v>1008.6001717619175</v>
      </c>
      <c r="K1060" t="str">
        <f t="shared" si="32"/>
        <v>Gerard Greenberg</v>
      </c>
    </row>
    <row r="1061" spans="1:11" hidden="1" x14ac:dyDescent="0.35">
      <c r="A1061">
        <f t="shared" si="33"/>
        <v>1060</v>
      </c>
      <c r="B1061">
        <v>2006</v>
      </c>
      <c r="C1061" s="4" t="s">
        <v>8</v>
      </c>
      <c r="D1061" s="4" t="s">
        <v>45</v>
      </c>
      <c r="E1061" t="s">
        <v>1429</v>
      </c>
      <c r="F1061" s="17">
        <v>76</v>
      </c>
      <c r="G1061" s="17">
        <v>11</v>
      </c>
      <c r="H1061" t="s">
        <v>870</v>
      </c>
      <c r="I1061" t="s">
        <v>528</v>
      </c>
      <c r="J1061" s="13">
        <v>967.20748660369236</v>
      </c>
      <c r="K1061" t="str">
        <f t="shared" si="32"/>
        <v>Tim Woodbury</v>
      </c>
    </row>
    <row r="1062" spans="1:11" hidden="1" x14ac:dyDescent="0.35">
      <c r="A1062">
        <f t="shared" si="33"/>
        <v>1061</v>
      </c>
      <c r="B1062">
        <v>2006</v>
      </c>
      <c r="C1062" s="4" t="s">
        <v>8</v>
      </c>
      <c r="D1062" s="4" t="s">
        <v>45</v>
      </c>
      <c r="E1062" t="s">
        <v>1429</v>
      </c>
      <c r="F1062" s="17">
        <v>76</v>
      </c>
      <c r="G1062" s="17">
        <v>12</v>
      </c>
      <c r="H1062" t="s">
        <v>984</v>
      </c>
      <c r="I1062" t="s">
        <v>119</v>
      </c>
      <c r="J1062" s="13">
        <v>929.41892571429264</v>
      </c>
      <c r="K1062" t="str">
        <f t="shared" si="32"/>
        <v>Peter Canning</v>
      </c>
    </row>
    <row r="1063" spans="1:11" hidden="1" x14ac:dyDescent="0.35">
      <c r="A1063">
        <f t="shared" si="33"/>
        <v>1062</v>
      </c>
      <c r="B1063">
        <v>2006</v>
      </c>
      <c r="C1063" s="4" t="s">
        <v>8</v>
      </c>
      <c r="D1063" s="4" t="s">
        <v>45</v>
      </c>
      <c r="E1063" t="s">
        <v>1429</v>
      </c>
      <c r="F1063" s="17">
        <v>76</v>
      </c>
      <c r="G1063" s="17">
        <v>13</v>
      </c>
      <c r="H1063" t="s">
        <v>993</v>
      </c>
      <c r="I1063" t="s">
        <v>205</v>
      </c>
      <c r="J1063" s="13">
        <v>894.65681945508084</v>
      </c>
      <c r="K1063" t="str">
        <f t="shared" si="32"/>
        <v>Ron Savarese</v>
      </c>
    </row>
    <row r="1064" spans="1:11" hidden="1" x14ac:dyDescent="0.35">
      <c r="A1064">
        <f t="shared" si="33"/>
        <v>1063</v>
      </c>
      <c r="B1064">
        <v>2006</v>
      </c>
      <c r="C1064" s="4" t="s">
        <v>8</v>
      </c>
      <c r="D1064" s="4" t="s">
        <v>45</v>
      </c>
      <c r="E1064" t="s">
        <v>1429</v>
      </c>
      <c r="F1064" s="17">
        <v>76</v>
      </c>
      <c r="G1064" s="17">
        <v>14</v>
      </c>
      <c r="H1064" t="s">
        <v>114</v>
      </c>
      <c r="I1064" t="s">
        <v>187</v>
      </c>
      <c r="J1064" s="13">
        <v>862.47213608367952</v>
      </c>
      <c r="K1064" t="str">
        <f t="shared" si="32"/>
        <v>Joe Morrissette</v>
      </c>
    </row>
    <row r="1065" spans="1:11" hidden="1" x14ac:dyDescent="0.35">
      <c r="A1065">
        <f t="shared" si="33"/>
        <v>1064</v>
      </c>
      <c r="B1065">
        <v>2006</v>
      </c>
      <c r="C1065" s="4" t="s">
        <v>8</v>
      </c>
      <c r="D1065" s="4" t="s">
        <v>45</v>
      </c>
      <c r="E1065" t="s">
        <v>1429</v>
      </c>
      <c r="F1065" s="17">
        <v>76</v>
      </c>
      <c r="G1065" s="17">
        <v>15</v>
      </c>
      <c r="H1065" t="s">
        <v>352</v>
      </c>
      <c r="I1065" t="s">
        <v>353</v>
      </c>
      <c r="J1065" s="13">
        <v>832.50891270623617</v>
      </c>
      <c r="K1065" t="str">
        <f t="shared" si="32"/>
        <v>Frank Sordi</v>
      </c>
    </row>
    <row r="1066" spans="1:11" hidden="1" x14ac:dyDescent="0.35">
      <c r="A1066">
        <f t="shared" si="33"/>
        <v>1065</v>
      </c>
      <c r="B1066">
        <v>2006</v>
      </c>
      <c r="C1066" s="4" t="s">
        <v>8</v>
      </c>
      <c r="D1066" s="4" t="s">
        <v>45</v>
      </c>
      <c r="E1066" t="s">
        <v>1429</v>
      </c>
      <c r="F1066" s="17">
        <v>76</v>
      </c>
      <c r="G1066" s="17">
        <v>16</v>
      </c>
      <c r="H1066" t="s">
        <v>66</v>
      </c>
      <c r="I1066" t="s">
        <v>67</v>
      </c>
      <c r="J1066" s="13">
        <v>804.48018910599274</v>
      </c>
      <c r="K1066" t="str">
        <f t="shared" si="32"/>
        <v>Bob Lauria</v>
      </c>
    </row>
    <row r="1067" spans="1:11" hidden="1" x14ac:dyDescent="0.35">
      <c r="A1067">
        <f t="shared" si="33"/>
        <v>1066</v>
      </c>
      <c r="B1067">
        <v>2006</v>
      </c>
      <c r="C1067" s="4" t="s">
        <v>8</v>
      </c>
      <c r="D1067" s="4" t="s">
        <v>45</v>
      </c>
      <c r="E1067" t="s">
        <v>1429</v>
      </c>
      <c r="F1067" s="17">
        <v>76</v>
      </c>
      <c r="G1067" s="17">
        <v>17</v>
      </c>
      <c r="H1067" t="s">
        <v>53</v>
      </c>
      <c r="I1067" t="s">
        <v>54</v>
      </c>
      <c r="J1067" s="13">
        <v>778.15125038364363</v>
      </c>
      <c r="K1067" t="str">
        <f t="shared" si="32"/>
        <v>Joyce Ciotti</v>
      </c>
    </row>
    <row r="1068" spans="1:11" hidden="1" x14ac:dyDescent="0.35">
      <c r="A1068">
        <f t="shared" si="33"/>
        <v>1067</v>
      </c>
      <c r="B1068">
        <v>2006</v>
      </c>
      <c r="C1068" s="4" t="s">
        <v>8</v>
      </c>
      <c r="D1068" s="4" t="s">
        <v>45</v>
      </c>
      <c r="E1068" t="s">
        <v>1429</v>
      </c>
      <c r="F1068" s="17">
        <v>76</v>
      </c>
      <c r="G1068" s="17">
        <v>18</v>
      </c>
      <c r="H1068" t="s">
        <v>111</v>
      </c>
      <c r="I1068" t="s">
        <v>16</v>
      </c>
      <c r="J1068" s="13">
        <v>753.32766665861152</v>
      </c>
      <c r="K1068" t="str">
        <f t="shared" si="32"/>
        <v>David Fruchter</v>
      </c>
    </row>
    <row r="1069" spans="1:11" hidden="1" x14ac:dyDescent="0.35">
      <c r="A1069">
        <f t="shared" si="33"/>
        <v>1068</v>
      </c>
      <c r="B1069">
        <v>2006</v>
      </c>
      <c r="C1069" s="5" t="s">
        <v>8</v>
      </c>
      <c r="D1069" s="5" t="s">
        <v>24</v>
      </c>
      <c r="E1069" t="s">
        <v>1432</v>
      </c>
      <c r="F1069" s="17">
        <v>1161</v>
      </c>
      <c r="G1069" s="17">
        <v>1</v>
      </c>
      <c r="H1069" t="s">
        <v>981</v>
      </c>
      <c r="I1069" t="s">
        <v>982</v>
      </c>
      <c r="J1069" s="13">
        <v>816.73422778979318</v>
      </c>
      <c r="K1069" t="str">
        <f t="shared" si="32"/>
        <v>Jerry Gerner</v>
      </c>
    </row>
    <row r="1070" spans="1:11" hidden="1" x14ac:dyDescent="0.35">
      <c r="A1070">
        <f t="shared" si="33"/>
        <v>1069</v>
      </c>
      <c r="B1070">
        <v>2006</v>
      </c>
      <c r="C1070" s="5" t="s">
        <v>8</v>
      </c>
      <c r="D1070" s="5" t="s">
        <v>24</v>
      </c>
      <c r="E1070" t="s">
        <v>1432</v>
      </c>
      <c r="F1070" s="17">
        <v>1161</v>
      </c>
      <c r="G1070" s="17">
        <v>1</v>
      </c>
      <c r="H1070" t="s">
        <v>237</v>
      </c>
      <c r="I1070" t="s">
        <v>13</v>
      </c>
      <c r="J1070" s="13">
        <v>816.73422778979318</v>
      </c>
      <c r="K1070" t="str">
        <f t="shared" si="32"/>
        <v>Tom Goodwin</v>
      </c>
    </row>
    <row r="1071" spans="1:11" hidden="1" x14ac:dyDescent="0.35">
      <c r="A1071">
        <f t="shared" si="33"/>
        <v>1070</v>
      </c>
      <c r="B1071">
        <v>2006</v>
      </c>
      <c r="C1071" s="5" t="s">
        <v>8</v>
      </c>
      <c r="D1071" s="5" t="s">
        <v>24</v>
      </c>
      <c r="E1071" t="s">
        <v>1432</v>
      </c>
      <c r="F1071" s="17">
        <v>645</v>
      </c>
      <c r="G1071" s="17">
        <v>2</v>
      </c>
      <c r="H1071" t="s">
        <v>53</v>
      </c>
      <c r="I1071" t="s">
        <v>54</v>
      </c>
      <c r="J1071" s="13">
        <v>666.21922995780255</v>
      </c>
      <c r="K1071" t="str">
        <f t="shared" si="32"/>
        <v>Joyce Ciotti</v>
      </c>
    </row>
    <row r="1072" spans="1:11" hidden="1" x14ac:dyDescent="0.35">
      <c r="A1072">
        <f t="shared" si="33"/>
        <v>1071</v>
      </c>
      <c r="B1072">
        <v>2006</v>
      </c>
      <c r="C1072" s="5" t="s">
        <v>8</v>
      </c>
      <c r="D1072" s="5" t="s">
        <v>24</v>
      </c>
      <c r="E1072" t="s">
        <v>1432</v>
      </c>
      <c r="F1072" s="17">
        <v>645</v>
      </c>
      <c r="G1072" s="17">
        <v>2</v>
      </c>
      <c r="H1072" t="s">
        <v>66</v>
      </c>
      <c r="I1072" t="s">
        <v>67</v>
      </c>
      <c r="J1072" s="13">
        <v>666.21922995780255</v>
      </c>
      <c r="K1072" t="str">
        <f t="shared" si="32"/>
        <v>Bob Lauria</v>
      </c>
    </row>
    <row r="1073" spans="1:11" hidden="1" x14ac:dyDescent="0.35">
      <c r="A1073">
        <f t="shared" si="33"/>
        <v>1072</v>
      </c>
      <c r="B1073">
        <v>2006</v>
      </c>
      <c r="C1073" s="5" t="s">
        <v>8</v>
      </c>
      <c r="D1073" s="5" t="s">
        <v>24</v>
      </c>
      <c r="E1073" t="s">
        <v>1432</v>
      </c>
      <c r="F1073" s="17">
        <v>387</v>
      </c>
      <c r="G1073" s="17">
        <v>3</v>
      </c>
      <c r="H1073" t="s">
        <v>74</v>
      </c>
      <c r="I1073" t="s">
        <v>75</v>
      </c>
      <c r="J1073" s="13">
        <v>578.17360042996199</v>
      </c>
      <c r="K1073" t="str">
        <f t="shared" si="32"/>
        <v>Sabyl Landrum</v>
      </c>
    </row>
    <row r="1074" spans="1:11" hidden="1" x14ac:dyDescent="0.35">
      <c r="A1074">
        <f t="shared" si="33"/>
        <v>1073</v>
      </c>
      <c r="B1074">
        <v>2006</v>
      </c>
      <c r="C1074" s="5" t="s">
        <v>8</v>
      </c>
      <c r="D1074" s="5" t="s">
        <v>24</v>
      </c>
      <c r="E1074" t="s">
        <v>1432</v>
      </c>
      <c r="F1074" s="17">
        <v>387</v>
      </c>
      <c r="G1074" s="17">
        <v>3</v>
      </c>
      <c r="H1074" t="s">
        <v>74</v>
      </c>
      <c r="I1074" t="s">
        <v>153</v>
      </c>
      <c r="J1074" s="13">
        <v>578.17360042996199</v>
      </c>
      <c r="K1074" t="str">
        <f t="shared" si="32"/>
        <v>Stephen Landrum</v>
      </c>
    </row>
    <row r="1075" spans="1:11" hidden="1" x14ac:dyDescent="0.35">
      <c r="A1075">
        <f t="shared" si="33"/>
        <v>1074</v>
      </c>
      <c r="B1075">
        <v>2006</v>
      </c>
      <c r="C1075" s="5" t="s">
        <v>8</v>
      </c>
      <c r="D1075" s="5" t="s">
        <v>24</v>
      </c>
      <c r="E1075" t="s">
        <v>1432</v>
      </c>
      <c r="F1075" s="17">
        <v>258</v>
      </c>
      <c r="G1075" s="17">
        <v>4</v>
      </c>
      <c r="H1075" t="s">
        <v>984</v>
      </c>
      <c r="I1075" t="s">
        <v>119</v>
      </c>
      <c r="J1075" s="13">
        <v>515.70423212581204</v>
      </c>
      <c r="K1075" t="str">
        <f t="shared" si="32"/>
        <v>Peter Canning</v>
      </c>
    </row>
    <row r="1076" spans="1:11" hidden="1" x14ac:dyDescent="0.35">
      <c r="A1076">
        <f t="shared" si="33"/>
        <v>1075</v>
      </c>
      <c r="B1076">
        <v>2006</v>
      </c>
      <c r="C1076" s="5" t="s">
        <v>8</v>
      </c>
      <c r="D1076" s="5" t="s">
        <v>24</v>
      </c>
      <c r="E1076" t="s">
        <v>1432</v>
      </c>
      <c r="F1076" s="17">
        <v>258</v>
      </c>
      <c r="G1076" s="17">
        <v>4</v>
      </c>
      <c r="H1076" t="s">
        <v>870</v>
      </c>
      <c r="I1076" t="s">
        <v>528</v>
      </c>
      <c r="J1076" s="13">
        <v>515.70423212581204</v>
      </c>
      <c r="K1076" t="str">
        <f t="shared" si="32"/>
        <v>Tim Woodbury</v>
      </c>
    </row>
    <row r="1077" spans="1:11" hidden="1" x14ac:dyDescent="0.35">
      <c r="A1077">
        <f t="shared" si="33"/>
        <v>1076</v>
      </c>
      <c r="B1077">
        <v>2006</v>
      </c>
      <c r="C1077" s="5" t="s">
        <v>8</v>
      </c>
      <c r="D1077" s="5" t="s">
        <v>24</v>
      </c>
      <c r="E1077" t="s">
        <v>1432</v>
      </c>
      <c r="F1077" s="17">
        <v>129</v>
      </c>
      <c r="G1077" s="17">
        <v>5</v>
      </c>
      <c r="H1077" t="s">
        <v>340</v>
      </c>
      <c r="I1077" t="s">
        <v>665</v>
      </c>
      <c r="J1077" s="13">
        <v>467.24922562178381</v>
      </c>
      <c r="K1077" t="str">
        <f t="shared" si="32"/>
        <v>Robert Catlett</v>
      </c>
    </row>
    <row r="1078" spans="1:11" hidden="1" x14ac:dyDescent="0.35">
      <c r="A1078">
        <f t="shared" si="33"/>
        <v>1077</v>
      </c>
      <c r="B1078">
        <v>2006</v>
      </c>
      <c r="C1078" s="5" t="s">
        <v>8</v>
      </c>
      <c r="D1078" s="5" t="s">
        <v>24</v>
      </c>
      <c r="E1078" t="s">
        <v>1432</v>
      </c>
      <c r="F1078" s="17">
        <v>129</v>
      </c>
      <c r="G1078" s="17">
        <v>5</v>
      </c>
      <c r="H1078" t="s">
        <v>748</v>
      </c>
      <c r="I1078" t="s">
        <v>89</v>
      </c>
      <c r="J1078" s="13">
        <v>467.24922562178381</v>
      </c>
      <c r="K1078" t="str">
        <f t="shared" si="32"/>
        <v>Ken Sias</v>
      </c>
    </row>
    <row r="1079" spans="1:11" hidden="1" x14ac:dyDescent="0.35">
      <c r="A1079">
        <f t="shared" si="33"/>
        <v>1078</v>
      </c>
      <c r="B1079">
        <v>2007</v>
      </c>
      <c r="C1079" t="s">
        <v>109</v>
      </c>
      <c r="D1079" t="s">
        <v>944</v>
      </c>
      <c r="E1079" t="s">
        <v>944</v>
      </c>
      <c r="F1079" s="2">
        <v>1665</v>
      </c>
      <c r="G1079" s="2">
        <v>1</v>
      </c>
      <c r="H1079" t="s">
        <v>945</v>
      </c>
      <c r="I1079" t="s">
        <v>946</v>
      </c>
      <c r="J1079" s="11">
        <v>1568.201724066995</v>
      </c>
      <c r="K1079" t="str">
        <f t="shared" si="32"/>
        <v>Ray DiDonato</v>
      </c>
    </row>
    <row r="1080" spans="1:11" hidden="1" x14ac:dyDescent="0.35">
      <c r="A1080">
        <f t="shared" si="33"/>
        <v>1079</v>
      </c>
      <c r="B1080">
        <v>2007</v>
      </c>
      <c r="C1080" t="s">
        <v>109</v>
      </c>
      <c r="D1080" t="s">
        <v>944</v>
      </c>
      <c r="E1080" t="s">
        <v>944</v>
      </c>
      <c r="F1080" s="2">
        <v>925</v>
      </c>
      <c r="G1080" s="2">
        <v>2</v>
      </c>
      <c r="H1080" t="s">
        <v>66</v>
      </c>
      <c r="I1080" t="s">
        <v>67</v>
      </c>
      <c r="J1080" s="11">
        <v>1267.1717284030137</v>
      </c>
      <c r="K1080" t="str">
        <f t="shared" si="32"/>
        <v>Bob Lauria</v>
      </c>
    </row>
    <row r="1081" spans="1:11" hidden="1" x14ac:dyDescent="0.35">
      <c r="A1081">
        <f t="shared" si="33"/>
        <v>1080</v>
      </c>
      <c r="B1081">
        <v>2007</v>
      </c>
      <c r="C1081" t="s">
        <v>109</v>
      </c>
      <c r="D1081" t="s">
        <v>944</v>
      </c>
      <c r="E1081" t="s">
        <v>944</v>
      </c>
      <c r="F1081" s="2">
        <v>555</v>
      </c>
      <c r="G1081" s="2">
        <v>3</v>
      </c>
      <c r="H1081" t="s">
        <v>799</v>
      </c>
      <c r="I1081" t="s">
        <v>935</v>
      </c>
      <c r="J1081" s="11">
        <v>1091.0804693473326</v>
      </c>
      <c r="K1081" t="str">
        <f t="shared" si="32"/>
        <v>Ernest Martin</v>
      </c>
    </row>
    <row r="1082" spans="1:11" hidden="1" x14ac:dyDescent="0.35">
      <c r="A1082">
        <f t="shared" si="33"/>
        <v>1081</v>
      </c>
      <c r="B1082">
        <v>2007</v>
      </c>
      <c r="C1082" t="s">
        <v>109</v>
      </c>
      <c r="D1082" t="s">
        <v>944</v>
      </c>
      <c r="E1082" t="s">
        <v>944</v>
      </c>
      <c r="F1082" s="2">
        <v>370</v>
      </c>
      <c r="G1082" s="2">
        <v>4</v>
      </c>
      <c r="H1082" t="s">
        <v>947</v>
      </c>
      <c r="I1082" t="s">
        <v>948</v>
      </c>
      <c r="J1082" s="11">
        <v>966.14173273903259</v>
      </c>
      <c r="K1082" t="str">
        <f t="shared" si="32"/>
        <v>Terrence Chan</v>
      </c>
    </row>
    <row r="1083" spans="1:11" hidden="1" x14ac:dyDescent="0.35">
      <c r="A1083">
        <f t="shared" si="33"/>
        <v>1082</v>
      </c>
      <c r="B1083">
        <v>2007</v>
      </c>
      <c r="C1083" t="s">
        <v>109</v>
      </c>
      <c r="D1083" t="s">
        <v>944</v>
      </c>
      <c r="E1083" t="s">
        <v>944</v>
      </c>
      <c r="F1083" s="2">
        <v>185</v>
      </c>
      <c r="G1083" s="2">
        <v>5</v>
      </c>
      <c r="H1083" t="s">
        <v>950</v>
      </c>
      <c r="I1083" t="s">
        <v>142</v>
      </c>
      <c r="J1083" s="11">
        <v>869.23171973097612</v>
      </c>
      <c r="K1083" t="str">
        <f t="shared" si="32"/>
        <v>Matt Treasure</v>
      </c>
    </row>
    <row r="1084" spans="1:11" hidden="1" x14ac:dyDescent="0.35">
      <c r="A1084">
        <f t="shared" si="33"/>
        <v>1083</v>
      </c>
      <c r="B1084">
        <v>2007</v>
      </c>
      <c r="C1084" t="s">
        <v>109</v>
      </c>
      <c r="D1084" t="s">
        <v>918</v>
      </c>
      <c r="E1084" t="s">
        <v>1430</v>
      </c>
      <c r="F1084" s="2">
        <v>3160</v>
      </c>
      <c r="G1084" s="2">
        <v>1</v>
      </c>
      <c r="H1084" t="s">
        <v>66</v>
      </c>
      <c r="I1084" t="s">
        <v>67</v>
      </c>
      <c r="J1084" s="11">
        <v>1897.6270912904413</v>
      </c>
      <c r="K1084" t="str">
        <f t="shared" si="32"/>
        <v>Bob Lauria</v>
      </c>
    </row>
    <row r="1085" spans="1:11" hidden="1" x14ac:dyDescent="0.35">
      <c r="A1085">
        <f t="shared" si="33"/>
        <v>1084</v>
      </c>
      <c r="B1085">
        <v>2007</v>
      </c>
      <c r="C1085" t="s">
        <v>109</v>
      </c>
      <c r="D1085" t="s">
        <v>918</v>
      </c>
      <c r="E1085" t="s">
        <v>1430</v>
      </c>
      <c r="F1085" s="2">
        <v>1817</v>
      </c>
      <c r="G1085" s="2">
        <v>2</v>
      </c>
      <c r="H1085" t="s">
        <v>475</v>
      </c>
      <c r="I1085" t="s">
        <v>887</v>
      </c>
      <c r="J1085" s="11">
        <v>1596.59709562646</v>
      </c>
      <c r="K1085" t="str">
        <f t="shared" si="32"/>
        <v>Chic Natkins</v>
      </c>
    </row>
    <row r="1086" spans="1:11" hidden="1" x14ac:dyDescent="0.35">
      <c r="A1086">
        <f t="shared" si="33"/>
        <v>1085</v>
      </c>
      <c r="B1086">
        <v>2007</v>
      </c>
      <c r="C1086" t="s">
        <v>109</v>
      </c>
      <c r="D1086" t="s">
        <v>918</v>
      </c>
      <c r="E1086" t="s">
        <v>1430</v>
      </c>
      <c r="F1086" s="2">
        <v>948</v>
      </c>
      <c r="G1086" s="2">
        <v>3</v>
      </c>
      <c r="H1086" t="s">
        <v>202</v>
      </c>
      <c r="I1086" t="s">
        <v>205</v>
      </c>
      <c r="J1086" s="11">
        <v>1420.5058365707789</v>
      </c>
      <c r="K1086" t="str">
        <f t="shared" si="32"/>
        <v>Ron Lyons</v>
      </c>
    </row>
    <row r="1087" spans="1:11" hidden="1" x14ac:dyDescent="0.35">
      <c r="A1087">
        <f t="shared" si="33"/>
        <v>1086</v>
      </c>
      <c r="B1087">
        <v>2007</v>
      </c>
      <c r="C1087" t="s">
        <v>109</v>
      </c>
      <c r="D1087" t="s">
        <v>918</v>
      </c>
      <c r="E1087" t="s">
        <v>1430</v>
      </c>
      <c r="F1087" s="2">
        <v>553</v>
      </c>
      <c r="G1087" s="2">
        <v>4</v>
      </c>
      <c r="H1087" t="s">
        <v>21</v>
      </c>
      <c r="I1087" t="s">
        <v>463</v>
      </c>
      <c r="J1087" s="11">
        <v>1295.5670999624788</v>
      </c>
      <c r="K1087" t="str">
        <f t="shared" si="32"/>
        <v>Richard Bremer</v>
      </c>
    </row>
    <row r="1088" spans="1:11" hidden="1" x14ac:dyDescent="0.35">
      <c r="A1088">
        <f t="shared" si="33"/>
        <v>1087</v>
      </c>
      <c r="B1088">
        <v>2007</v>
      </c>
      <c r="C1088" t="s">
        <v>109</v>
      </c>
      <c r="D1088" t="s">
        <v>918</v>
      </c>
      <c r="E1088" t="s">
        <v>1430</v>
      </c>
      <c r="F1088" s="2">
        <v>434</v>
      </c>
      <c r="G1088" s="2">
        <v>5</v>
      </c>
      <c r="H1088" t="s">
        <v>764</v>
      </c>
      <c r="I1088" t="s">
        <v>765</v>
      </c>
      <c r="J1088" s="11">
        <v>1198.6570869544225</v>
      </c>
      <c r="K1088" t="str">
        <f t="shared" si="32"/>
        <v>Michelle Ankenman</v>
      </c>
    </row>
    <row r="1089" spans="1:11" hidden="1" x14ac:dyDescent="0.35">
      <c r="A1089">
        <f t="shared" si="33"/>
        <v>1088</v>
      </c>
      <c r="B1089">
        <v>2007</v>
      </c>
      <c r="C1089" t="s">
        <v>109</v>
      </c>
      <c r="D1089" t="s">
        <v>918</v>
      </c>
      <c r="E1089" t="s">
        <v>1430</v>
      </c>
      <c r="F1089" s="2">
        <v>355</v>
      </c>
      <c r="G1089" s="2">
        <v>6</v>
      </c>
      <c r="H1089" t="s">
        <v>232</v>
      </c>
      <c r="I1089" t="s">
        <v>919</v>
      </c>
      <c r="J1089" s="11">
        <v>1119.4758409067977</v>
      </c>
      <c r="K1089" t="str">
        <f t="shared" si="32"/>
        <v>Allnight Adam</v>
      </c>
    </row>
    <row r="1090" spans="1:11" hidden="1" x14ac:dyDescent="0.35">
      <c r="A1090">
        <f t="shared" si="33"/>
        <v>1089</v>
      </c>
      <c r="B1090">
        <v>2007</v>
      </c>
      <c r="C1090" t="s">
        <v>109</v>
      </c>
      <c r="D1090" t="s">
        <v>918</v>
      </c>
      <c r="E1090" t="s">
        <v>1430</v>
      </c>
      <c r="F1090" s="2">
        <v>276</v>
      </c>
      <c r="G1090" s="2">
        <v>7</v>
      </c>
      <c r="H1090" t="s">
        <v>39</v>
      </c>
      <c r="I1090" t="s">
        <v>920</v>
      </c>
      <c r="J1090" s="11">
        <v>1052.5290512761844</v>
      </c>
      <c r="K1090" t="str">
        <f t="shared" ref="K1090:K1153" si="34">I1090&amp;" "&amp;H1090</f>
        <v>Jeffrey Baxter</v>
      </c>
    </row>
    <row r="1091" spans="1:11" hidden="1" x14ac:dyDescent="0.35">
      <c r="A1091">
        <f t="shared" si="33"/>
        <v>1090</v>
      </c>
      <c r="B1091">
        <v>2007</v>
      </c>
      <c r="C1091" t="s">
        <v>109</v>
      </c>
      <c r="D1091" t="s">
        <v>918</v>
      </c>
      <c r="E1091" t="s">
        <v>1430</v>
      </c>
      <c r="F1091" s="2">
        <v>198</v>
      </c>
      <c r="G1091" s="2">
        <v>8</v>
      </c>
      <c r="H1091" t="s">
        <v>660</v>
      </c>
      <c r="I1091" t="s">
        <v>471</v>
      </c>
      <c r="J1091" s="11">
        <v>994.53710429849787</v>
      </c>
      <c r="K1091" t="str">
        <f t="shared" si="34"/>
        <v>Greg Mitz</v>
      </c>
    </row>
    <row r="1092" spans="1:11" hidden="1" x14ac:dyDescent="0.35">
      <c r="A1092">
        <f t="shared" ref="A1092:A1155" si="35">A1091+1</f>
        <v>1091</v>
      </c>
      <c r="B1092">
        <v>2007</v>
      </c>
      <c r="C1092" t="s">
        <v>109</v>
      </c>
      <c r="D1092" t="s">
        <v>918</v>
      </c>
      <c r="E1092" t="s">
        <v>1430</v>
      </c>
      <c r="F1092" s="2">
        <v>159</v>
      </c>
      <c r="G1092" s="2">
        <v>9</v>
      </c>
      <c r="H1092" t="s">
        <v>420</v>
      </c>
      <c r="I1092" t="s">
        <v>153</v>
      </c>
      <c r="J1092" s="11">
        <v>943.38458185111654</v>
      </c>
      <c r="K1092" t="str">
        <f t="shared" si="34"/>
        <v>Stephen Jacobs</v>
      </c>
    </row>
    <row r="1093" spans="1:11" hidden="1" x14ac:dyDescent="0.35">
      <c r="A1093">
        <f t="shared" si="35"/>
        <v>1092</v>
      </c>
      <c r="B1093">
        <v>2007</v>
      </c>
      <c r="C1093" t="s">
        <v>109</v>
      </c>
      <c r="D1093" t="s">
        <v>45</v>
      </c>
      <c r="E1093" t="s">
        <v>1429</v>
      </c>
      <c r="F1093" s="2">
        <v>5219</v>
      </c>
      <c r="G1093" s="2">
        <v>1</v>
      </c>
      <c r="H1093" t="s">
        <v>141</v>
      </c>
      <c r="I1093" t="s">
        <v>142</v>
      </c>
      <c r="J1093" s="11">
        <v>2136.7205671564066</v>
      </c>
      <c r="K1093" t="str">
        <f t="shared" si="34"/>
        <v>Matt Ivester</v>
      </c>
    </row>
    <row r="1094" spans="1:11" hidden="1" x14ac:dyDescent="0.35">
      <c r="A1094">
        <f t="shared" si="35"/>
        <v>1093</v>
      </c>
      <c r="B1094">
        <v>2007</v>
      </c>
      <c r="C1094" t="s">
        <v>109</v>
      </c>
      <c r="D1094" t="s">
        <v>45</v>
      </c>
      <c r="E1094" t="s">
        <v>1429</v>
      </c>
      <c r="F1094" s="2">
        <v>2740</v>
      </c>
      <c r="G1094" s="2">
        <v>2</v>
      </c>
      <c r="H1094" t="s">
        <v>475</v>
      </c>
      <c r="I1094" t="s">
        <v>887</v>
      </c>
      <c r="J1094" s="11">
        <v>1835.6905714924255</v>
      </c>
      <c r="K1094" t="str">
        <f t="shared" si="34"/>
        <v>Chic Natkins</v>
      </c>
    </row>
    <row r="1095" spans="1:11" hidden="1" x14ac:dyDescent="0.35">
      <c r="A1095">
        <f t="shared" si="35"/>
        <v>1094</v>
      </c>
      <c r="B1095">
        <v>2007</v>
      </c>
      <c r="C1095" t="s">
        <v>109</v>
      </c>
      <c r="D1095" t="s">
        <v>45</v>
      </c>
      <c r="E1095" t="s">
        <v>1429</v>
      </c>
      <c r="F1095" s="2">
        <v>1370</v>
      </c>
      <c r="G1095" s="2">
        <v>3</v>
      </c>
      <c r="H1095" t="s">
        <v>418</v>
      </c>
      <c r="I1095" t="s">
        <v>117</v>
      </c>
      <c r="J1095" s="11">
        <v>1659.5993124367444</v>
      </c>
      <c r="K1095" t="str">
        <f t="shared" si="34"/>
        <v>Thomas Valledolmo</v>
      </c>
    </row>
    <row r="1096" spans="1:11" hidden="1" x14ac:dyDescent="0.35">
      <c r="A1096">
        <f t="shared" si="35"/>
        <v>1095</v>
      </c>
      <c r="B1096">
        <v>2007</v>
      </c>
      <c r="C1096" t="s">
        <v>109</v>
      </c>
      <c r="D1096" t="s">
        <v>45</v>
      </c>
      <c r="E1096" t="s">
        <v>1429</v>
      </c>
      <c r="F1096" s="2">
        <v>822</v>
      </c>
      <c r="G1096" s="2">
        <v>4</v>
      </c>
      <c r="H1096" t="s">
        <v>660</v>
      </c>
      <c r="I1096" t="s">
        <v>471</v>
      </c>
      <c r="J1096" s="11">
        <v>1534.6605758284443</v>
      </c>
      <c r="K1096" t="str">
        <f t="shared" si="34"/>
        <v>Greg Mitz</v>
      </c>
    </row>
    <row r="1097" spans="1:11" hidden="1" x14ac:dyDescent="0.35">
      <c r="A1097">
        <f t="shared" si="35"/>
        <v>1096</v>
      </c>
      <c r="B1097">
        <v>2007</v>
      </c>
      <c r="C1097" t="s">
        <v>109</v>
      </c>
      <c r="D1097" t="s">
        <v>45</v>
      </c>
      <c r="E1097" t="s">
        <v>1429</v>
      </c>
      <c r="F1097" s="2">
        <v>617</v>
      </c>
      <c r="G1097" s="2">
        <v>5</v>
      </c>
      <c r="H1097" t="s">
        <v>922</v>
      </c>
      <c r="I1097" t="s">
        <v>1018</v>
      </c>
      <c r="J1097" s="11">
        <v>1437.750562820388</v>
      </c>
      <c r="K1097" t="str">
        <f t="shared" si="34"/>
        <v>Gabe Devitto</v>
      </c>
    </row>
    <row r="1098" spans="1:11" hidden="1" x14ac:dyDescent="0.35">
      <c r="A1098">
        <f t="shared" si="35"/>
        <v>1097</v>
      </c>
      <c r="B1098">
        <v>2007</v>
      </c>
      <c r="C1098" t="s">
        <v>109</v>
      </c>
      <c r="D1098" t="s">
        <v>45</v>
      </c>
      <c r="E1098" t="s">
        <v>1429</v>
      </c>
      <c r="F1098" s="2">
        <v>480</v>
      </c>
      <c r="G1098" s="2">
        <v>6</v>
      </c>
      <c r="H1098" t="s">
        <v>923</v>
      </c>
      <c r="I1098" t="s">
        <v>924</v>
      </c>
      <c r="J1098" s="11">
        <v>1358.5693167727632</v>
      </c>
      <c r="K1098" t="str">
        <f t="shared" si="34"/>
        <v>Tatsuya Terakawa</v>
      </c>
    </row>
    <row r="1099" spans="1:11" hidden="1" x14ac:dyDescent="0.35">
      <c r="A1099">
        <f t="shared" si="35"/>
        <v>1098</v>
      </c>
      <c r="B1099">
        <v>2007</v>
      </c>
      <c r="C1099" t="s">
        <v>109</v>
      </c>
      <c r="D1099" t="s">
        <v>45</v>
      </c>
      <c r="E1099" t="s">
        <v>1429</v>
      </c>
      <c r="F1099" s="2">
        <v>343</v>
      </c>
      <c r="G1099" s="2">
        <v>7</v>
      </c>
      <c r="H1099" t="s">
        <v>21</v>
      </c>
      <c r="I1099" t="s">
        <v>463</v>
      </c>
      <c r="J1099" s="11">
        <v>1291.6225271421497</v>
      </c>
      <c r="K1099" t="str">
        <f t="shared" si="34"/>
        <v>Richard Bremer</v>
      </c>
    </row>
    <row r="1100" spans="1:11" hidden="1" x14ac:dyDescent="0.35">
      <c r="A1100">
        <f t="shared" si="35"/>
        <v>1099</v>
      </c>
      <c r="B1100">
        <v>2007</v>
      </c>
      <c r="C1100" t="s">
        <v>109</v>
      </c>
      <c r="D1100" t="s">
        <v>45</v>
      </c>
      <c r="E1100" t="s">
        <v>1429</v>
      </c>
      <c r="F1100" s="2">
        <v>274</v>
      </c>
      <c r="G1100" s="2">
        <v>8</v>
      </c>
      <c r="H1100" t="s">
        <v>926</v>
      </c>
      <c r="I1100" t="s">
        <v>927</v>
      </c>
      <c r="J1100" s="11">
        <v>1233.6305801644633</v>
      </c>
      <c r="K1100" t="str">
        <f t="shared" si="34"/>
        <v>Jay Centeno</v>
      </c>
    </row>
    <row r="1101" spans="1:11" hidden="1" x14ac:dyDescent="0.35">
      <c r="A1101">
        <f t="shared" si="35"/>
        <v>1100</v>
      </c>
      <c r="B1101">
        <v>2007</v>
      </c>
      <c r="C1101" t="s">
        <v>109</v>
      </c>
      <c r="D1101" t="s">
        <v>45</v>
      </c>
      <c r="E1101" t="s">
        <v>1429</v>
      </c>
      <c r="F1101" s="2">
        <v>233</v>
      </c>
      <c r="G1101" s="2">
        <v>9</v>
      </c>
      <c r="H1101" t="s">
        <v>929</v>
      </c>
      <c r="I1101" t="s">
        <v>117</v>
      </c>
      <c r="J1101" s="11">
        <v>1182.4780577170818</v>
      </c>
      <c r="K1101" t="str">
        <f t="shared" si="34"/>
        <v>Thomas Higgins</v>
      </c>
    </row>
    <row r="1102" spans="1:11" hidden="1" x14ac:dyDescent="0.35">
      <c r="A1102">
        <f t="shared" si="35"/>
        <v>1101</v>
      </c>
      <c r="B1102">
        <v>2007</v>
      </c>
      <c r="C1102" t="s">
        <v>109</v>
      </c>
      <c r="D1102" t="s">
        <v>45</v>
      </c>
      <c r="E1102" t="s">
        <v>1429</v>
      </c>
      <c r="F1102" s="2">
        <v>178</v>
      </c>
      <c r="G1102" s="2">
        <v>10</v>
      </c>
      <c r="H1102" t="s">
        <v>850</v>
      </c>
      <c r="I1102" t="s">
        <v>851</v>
      </c>
      <c r="J1102" s="11">
        <v>1136.7205671564068</v>
      </c>
      <c r="K1102" t="str">
        <f t="shared" si="34"/>
        <v>Mordecai Schwartz</v>
      </c>
    </row>
    <row r="1103" spans="1:11" hidden="1" x14ac:dyDescent="0.35">
      <c r="A1103">
        <f t="shared" si="35"/>
        <v>1102</v>
      </c>
      <c r="B1103">
        <v>2007</v>
      </c>
      <c r="C1103" t="s">
        <v>109</v>
      </c>
      <c r="D1103" t="s">
        <v>45</v>
      </c>
      <c r="E1103" t="s">
        <v>1429</v>
      </c>
      <c r="F1103" s="2">
        <v>178</v>
      </c>
      <c r="G1103" s="2">
        <v>11</v>
      </c>
      <c r="H1103" t="s">
        <v>931</v>
      </c>
      <c r="I1103" t="s">
        <v>71</v>
      </c>
      <c r="J1103" s="11">
        <v>1095.3278819981815</v>
      </c>
      <c r="K1103" t="str">
        <f t="shared" si="34"/>
        <v>Scott Sorenson</v>
      </c>
    </row>
    <row r="1104" spans="1:11" hidden="1" x14ac:dyDescent="0.35">
      <c r="A1104">
        <f t="shared" si="35"/>
        <v>1103</v>
      </c>
      <c r="B1104">
        <v>2007</v>
      </c>
      <c r="C1104" t="s">
        <v>109</v>
      </c>
      <c r="D1104" t="s">
        <v>45</v>
      </c>
      <c r="E1104" t="s">
        <v>1429</v>
      </c>
      <c r="F1104" s="2">
        <v>178</v>
      </c>
      <c r="G1104" s="2">
        <v>12</v>
      </c>
      <c r="H1104" t="s">
        <v>366</v>
      </c>
      <c r="I1104" t="s">
        <v>61</v>
      </c>
      <c r="J1104" s="11">
        <v>1057.5393211087819</v>
      </c>
      <c r="K1104" t="str">
        <f t="shared" si="34"/>
        <v>Len Greenberg</v>
      </c>
    </row>
    <row r="1105" spans="1:11" hidden="1" x14ac:dyDescent="0.35">
      <c r="A1105">
        <f t="shared" si="35"/>
        <v>1104</v>
      </c>
      <c r="B1105">
        <v>2007</v>
      </c>
      <c r="C1105" t="s">
        <v>109</v>
      </c>
      <c r="D1105" t="s">
        <v>45</v>
      </c>
      <c r="E1105" t="s">
        <v>1429</v>
      </c>
      <c r="F1105" s="2">
        <v>178</v>
      </c>
      <c r="G1105" s="2">
        <v>13</v>
      </c>
      <c r="H1105" t="s">
        <v>933</v>
      </c>
      <c r="I1105" t="s">
        <v>119</v>
      </c>
      <c r="J1105" s="11">
        <v>1022.77721484957</v>
      </c>
      <c r="K1105" t="str">
        <f t="shared" si="34"/>
        <v>Peter Heyneman</v>
      </c>
    </row>
    <row r="1106" spans="1:11" hidden="1" x14ac:dyDescent="0.35">
      <c r="A1106">
        <f t="shared" si="35"/>
        <v>1105</v>
      </c>
      <c r="B1106">
        <v>2007</v>
      </c>
      <c r="C1106" t="s">
        <v>109</v>
      </c>
      <c r="D1106" t="s">
        <v>45</v>
      </c>
      <c r="E1106" t="s">
        <v>1429</v>
      </c>
      <c r="F1106" s="2">
        <v>178</v>
      </c>
      <c r="G1106" s="2">
        <v>14</v>
      </c>
      <c r="H1106" t="s">
        <v>799</v>
      </c>
      <c r="I1106" t="s">
        <v>935</v>
      </c>
      <c r="J1106" s="11">
        <v>990.59253147816878</v>
      </c>
      <c r="K1106" t="str">
        <f t="shared" si="34"/>
        <v>Ernest Martin</v>
      </c>
    </row>
    <row r="1107" spans="1:11" hidden="1" x14ac:dyDescent="0.35">
      <c r="A1107">
        <f t="shared" si="35"/>
        <v>1106</v>
      </c>
      <c r="B1107">
        <v>2007</v>
      </c>
      <c r="C1107" t="s">
        <v>109</v>
      </c>
      <c r="D1107" t="s">
        <v>45</v>
      </c>
      <c r="E1107" t="s">
        <v>1429</v>
      </c>
      <c r="F1107" s="2">
        <v>178</v>
      </c>
      <c r="G1107" s="2">
        <v>15</v>
      </c>
      <c r="H1107" t="s">
        <v>937</v>
      </c>
      <c r="I1107" t="s">
        <v>11</v>
      </c>
      <c r="J1107" s="11">
        <v>960.62930810072532</v>
      </c>
      <c r="K1107" t="str">
        <f t="shared" si="34"/>
        <v>Paul Menges</v>
      </c>
    </row>
    <row r="1108" spans="1:11" hidden="1" x14ac:dyDescent="0.35">
      <c r="A1108">
        <f t="shared" si="35"/>
        <v>1107</v>
      </c>
      <c r="B1108">
        <v>2007</v>
      </c>
      <c r="C1108" t="s">
        <v>109</v>
      </c>
      <c r="D1108" t="s">
        <v>45</v>
      </c>
      <c r="E1108" t="s">
        <v>1429</v>
      </c>
      <c r="F1108" s="2">
        <v>178</v>
      </c>
      <c r="G1108" s="2">
        <v>16</v>
      </c>
      <c r="H1108" t="s">
        <v>939</v>
      </c>
      <c r="I1108" t="s">
        <v>98</v>
      </c>
      <c r="J1108" s="11">
        <v>932.60058450048189</v>
      </c>
      <c r="K1108" t="str">
        <f t="shared" si="34"/>
        <v>Ryan Curtis</v>
      </c>
    </row>
    <row r="1109" spans="1:11" hidden="1" x14ac:dyDescent="0.35">
      <c r="A1109">
        <f t="shared" si="35"/>
        <v>1108</v>
      </c>
      <c r="B1109">
        <v>2007</v>
      </c>
      <c r="C1109" t="s">
        <v>109</v>
      </c>
      <c r="D1109" t="s">
        <v>45</v>
      </c>
      <c r="E1109" t="s">
        <v>1429</v>
      </c>
      <c r="F1109" s="2">
        <v>178</v>
      </c>
      <c r="G1109" s="2">
        <v>17</v>
      </c>
      <c r="H1109" t="s">
        <v>941</v>
      </c>
      <c r="I1109" t="s">
        <v>942</v>
      </c>
      <c r="J1109" s="11">
        <v>906.27164577813278</v>
      </c>
      <c r="K1109" t="str">
        <f t="shared" si="34"/>
        <v>Jodi Neufeld</v>
      </c>
    </row>
    <row r="1110" spans="1:11" hidden="1" x14ac:dyDescent="0.35">
      <c r="A1110">
        <f t="shared" si="35"/>
        <v>1109</v>
      </c>
      <c r="B1110">
        <v>2007</v>
      </c>
      <c r="C1110" t="s">
        <v>109</v>
      </c>
      <c r="D1110" t="s">
        <v>45</v>
      </c>
      <c r="E1110" t="s">
        <v>1429</v>
      </c>
      <c r="F1110" s="2">
        <v>178</v>
      </c>
      <c r="G1110" s="2">
        <v>18</v>
      </c>
      <c r="H1110" t="s">
        <v>394</v>
      </c>
      <c r="I1110" t="s">
        <v>44</v>
      </c>
      <c r="J1110" s="11">
        <v>881.44806205310067</v>
      </c>
      <c r="K1110" t="str">
        <f t="shared" si="34"/>
        <v>Mike Miller</v>
      </c>
    </row>
    <row r="1111" spans="1:11" hidden="1" x14ac:dyDescent="0.35">
      <c r="A1111">
        <f t="shared" si="35"/>
        <v>1110</v>
      </c>
      <c r="B1111">
        <v>2007</v>
      </c>
      <c r="C1111" t="s">
        <v>263</v>
      </c>
      <c r="D1111" t="s">
        <v>962</v>
      </c>
      <c r="E1111" t="s">
        <v>944</v>
      </c>
      <c r="F1111" s="2">
        <v>1275</v>
      </c>
      <c r="G1111" s="2">
        <v>1</v>
      </c>
      <c r="H1111" t="s">
        <v>475</v>
      </c>
      <c r="I1111" t="s">
        <v>887</v>
      </c>
      <c r="J1111" s="11">
        <v>1929.4189257142925</v>
      </c>
      <c r="K1111" t="str">
        <f t="shared" si="34"/>
        <v>Chic Natkins</v>
      </c>
    </row>
    <row r="1112" spans="1:11" hidden="1" x14ac:dyDescent="0.35">
      <c r="A1112">
        <f t="shared" si="35"/>
        <v>1111</v>
      </c>
      <c r="B1112">
        <v>2007</v>
      </c>
      <c r="C1112" t="s">
        <v>263</v>
      </c>
      <c r="D1112" t="s">
        <v>962</v>
      </c>
      <c r="E1112" t="s">
        <v>944</v>
      </c>
      <c r="F1112" s="2">
        <v>1015</v>
      </c>
      <c r="G1112" s="2">
        <v>2</v>
      </c>
      <c r="H1112" t="s">
        <v>960</v>
      </c>
      <c r="I1112" t="s">
        <v>136</v>
      </c>
      <c r="J1112" s="11">
        <v>1628.3889300503113</v>
      </c>
      <c r="K1112" t="str">
        <f t="shared" si="34"/>
        <v>John Harkness</v>
      </c>
    </row>
    <row r="1113" spans="1:11" hidden="1" x14ac:dyDescent="0.35">
      <c r="A1113">
        <f t="shared" si="35"/>
        <v>1112</v>
      </c>
      <c r="B1113">
        <v>2007</v>
      </c>
      <c r="C1113" t="s">
        <v>263</v>
      </c>
      <c r="D1113" t="s">
        <v>962</v>
      </c>
      <c r="E1113" t="s">
        <v>944</v>
      </c>
      <c r="F1113" s="2">
        <v>770</v>
      </c>
      <c r="G1113" s="2">
        <v>3</v>
      </c>
      <c r="H1113" t="s">
        <v>963</v>
      </c>
      <c r="I1113" t="s">
        <v>964</v>
      </c>
      <c r="J1113" s="11">
        <v>1452.2976709946302</v>
      </c>
      <c r="K1113" t="str">
        <f t="shared" si="34"/>
        <v>Chieu Tran</v>
      </c>
    </row>
    <row r="1114" spans="1:11" hidden="1" x14ac:dyDescent="0.35">
      <c r="A1114">
        <f t="shared" si="35"/>
        <v>1113</v>
      </c>
      <c r="B1114">
        <v>2007</v>
      </c>
      <c r="C1114" t="s">
        <v>263</v>
      </c>
      <c r="D1114" t="s">
        <v>962</v>
      </c>
      <c r="E1114" t="s">
        <v>944</v>
      </c>
      <c r="F1114" s="2">
        <v>610</v>
      </c>
      <c r="G1114" s="2">
        <v>4</v>
      </c>
      <c r="H1114" t="s">
        <v>965</v>
      </c>
      <c r="I1114" t="s">
        <v>44</v>
      </c>
      <c r="J1114" s="11">
        <v>1327.3589343863302</v>
      </c>
      <c r="K1114" t="str">
        <f t="shared" si="34"/>
        <v>Mike McBride</v>
      </c>
    </row>
    <row r="1115" spans="1:11" hidden="1" x14ac:dyDescent="0.35">
      <c r="A1115">
        <f t="shared" si="35"/>
        <v>1114</v>
      </c>
      <c r="B1115">
        <v>2007</v>
      </c>
      <c r="C1115" t="s">
        <v>263</v>
      </c>
      <c r="D1115" t="s">
        <v>962</v>
      </c>
      <c r="E1115" t="s">
        <v>944</v>
      </c>
      <c r="F1115" s="2">
        <v>510</v>
      </c>
      <c r="G1115" s="2">
        <v>5</v>
      </c>
      <c r="H1115" t="s">
        <v>821</v>
      </c>
      <c r="I1115" t="s">
        <v>822</v>
      </c>
      <c r="J1115" s="11">
        <v>1230.4489213782736</v>
      </c>
      <c r="K1115" t="str">
        <f t="shared" si="34"/>
        <v>Gavin Smith</v>
      </c>
    </row>
    <row r="1116" spans="1:11" hidden="1" x14ac:dyDescent="0.35">
      <c r="A1116">
        <f t="shared" si="35"/>
        <v>1115</v>
      </c>
      <c r="B1116">
        <v>2007</v>
      </c>
      <c r="C1116" t="s">
        <v>263</v>
      </c>
      <c r="D1116" t="s">
        <v>962</v>
      </c>
      <c r="E1116" t="s">
        <v>944</v>
      </c>
      <c r="F1116" s="2">
        <v>410</v>
      </c>
      <c r="G1116" s="2">
        <v>6</v>
      </c>
      <c r="H1116" t="s">
        <v>1719</v>
      </c>
      <c r="I1116" t="s">
        <v>524</v>
      </c>
      <c r="J1116" s="11">
        <v>1151.2676753306489</v>
      </c>
      <c r="K1116" t="str">
        <f t="shared" si="34"/>
        <v>Guy Berentsen</v>
      </c>
    </row>
    <row r="1117" spans="1:11" hidden="1" x14ac:dyDescent="0.35">
      <c r="A1117">
        <f t="shared" si="35"/>
        <v>1116</v>
      </c>
      <c r="B1117">
        <v>2007</v>
      </c>
      <c r="C1117" t="s">
        <v>263</v>
      </c>
      <c r="D1117" t="s">
        <v>962</v>
      </c>
      <c r="E1117" t="s">
        <v>944</v>
      </c>
      <c r="F1117" s="2">
        <v>310</v>
      </c>
      <c r="G1117" s="2">
        <v>7</v>
      </c>
      <c r="H1117" t="s">
        <v>764</v>
      </c>
      <c r="I1117" t="s">
        <v>765</v>
      </c>
      <c r="J1117" s="11">
        <v>1084.3208857000359</v>
      </c>
      <c r="K1117" t="str">
        <f t="shared" si="34"/>
        <v>Michelle Ankenman</v>
      </c>
    </row>
    <row r="1118" spans="1:11" hidden="1" x14ac:dyDescent="0.35">
      <c r="A1118">
        <f t="shared" si="35"/>
        <v>1117</v>
      </c>
      <c r="B1118">
        <v>2007</v>
      </c>
      <c r="C1118" t="s">
        <v>263</v>
      </c>
      <c r="D1118" t="s">
        <v>962</v>
      </c>
      <c r="E1118" t="s">
        <v>944</v>
      </c>
      <c r="F1118" s="2">
        <v>200</v>
      </c>
      <c r="G1118" s="2">
        <v>8</v>
      </c>
      <c r="H1118" t="s">
        <v>273</v>
      </c>
      <c r="I1118" t="s">
        <v>218</v>
      </c>
      <c r="J1118" s="11">
        <v>1026.328938722349</v>
      </c>
      <c r="K1118" t="str">
        <f t="shared" si="34"/>
        <v>Michael Maurer</v>
      </c>
    </row>
    <row r="1119" spans="1:11" hidden="1" x14ac:dyDescent="0.35">
      <c r="A1119">
        <f t="shared" si="35"/>
        <v>1118</v>
      </c>
      <c r="B1119">
        <v>2007</v>
      </c>
      <c r="C1119" t="s">
        <v>263</v>
      </c>
      <c r="D1119" t="s">
        <v>962</v>
      </c>
      <c r="E1119" t="s">
        <v>944</v>
      </c>
      <c r="F1119" s="2">
        <v>150</v>
      </c>
      <c r="G1119" s="2">
        <v>9</v>
      </c>
      <c r="H1119" t="s">
        <v>764</v>
      </c>
      <c r="I1119" t="s">
        <v>901</v>
      </c>
      <c r="J1119" s="11">
        <v>975.17641627496778</v>
      </c>
      <c r="K1119" t="str">
        <f t="shared" si="34"/>
        <v>Jerrod Ankenman</v>
      </c>
    </row>
    <row r="1120" spans="1:11" hidden="1" x14ac:dyDescent="0.35">
      <c r="A1120">
        <f t="shared" si="35"/>
        <v>1119</v>
      </c>
      <c r="B1120">
        <v>2007</v>
      </c>
      <c r="C1120" t="s">
        <v>263</v>
      </c>
      <c r="D1120" t="s">
        <v>962</v>
      </c>
      <c r="E1120" t="s">
        <v>944</v>
      </c>
      <c r="F1120" s="2">
        <v>150</v>
      </c>
      <c r="G1120" s="2">
        <v>10</v>
      </c>
      <c r="H1120" t="s">
        <v>211</v>
      </c>
      <c r="I1120" t="s">
        <v>187</v>
      </c>
      <c r="J1120" s="11">
        <v>929.41892571429264</v>
      </c>
      <c r="K1120" t="str">
        <f t="shared" si="34"/>
        <v>Joe Long</v>
      </c>
    </row>
    <row r="1121" spans="1:11" hidden="1" x14ac:dyDescent="0.35">
      <c r="A1121">
        <f t="shared" si="35"/>
        <v>1120</v>
      </c>
      <c r="B1121">
        <v>2007</v>
      </c>
      <c r="C1121" t="s">
        <v>263</v>
      </c>
      <c r="D1121" t="s">
        <v>962</v>
      </c>
      <c r="E1121" t="s">
        <v>944</v>
      </c>
      <c r="F1121" s="2">
        <v>150</v>
      </c>
      <c r="G1121" s="2">
        <v>11</v>
      </c>
      <c r="H1121" t="s">
        <v>623</v>
      </c>
      <c r="I1121" t="s">
        <v>65</v>
      </c>
      <c r="J1121" s="11">
        <v>888.02624055606748</v>
      </c>
      <c r="K1121" t="str">
        <f t="shared" si="34"/>
        <v>Steve Forcash</v>
      </c>
    </row>
    <row r="1122" spans="1:11" hidden="1" x14ac:dyDescent="0.35">
      <c r="A1122">
        <f t="shared" si="35"/>
        <v>1121</v>
      </c>
      <c r="B1122">
        <v>2007</v>
      </c>
      <c r="C1122" t="s">
        <v>263</v>
      </c>
      <c r="D1122" t="s">
        <v>962</v>
      </c>
      <c r="E1122" t="s">
        <v>944</v>
      </c>
      <c r="F1122" s="2">
        <v>75</v>
      </c>
      <c r="G1122" s="2">
        <v>15.583333333333334</v>
      </c>
      <c r="H1122" t="s">
        <v>967</v>
      </c>
      <c r="I1122" t="s">
        <v>131</v>
      </c>
      <c r="J1122" s="11">
        <v>736.75856522541847</v>
      </c>
      <c r="K1122" t="str">
        <f t="shared" si="34"/>
        <v>Alan Bernstein</v>
      </c>
    </row>
    <row r="1123" spans="1:11" hidden="1" x14ac:dyDescent="0.35">
      <c r="A1123">
        <f t="shared" si="35"/>
        <v>1122</v>
      </c>
      <c r="B1123">
        <v>2007</v>
      </c>
      <c r="C1123" t="s">
        <v>263</v>
      </c>
      <c r="D1123" t="s">
        <v>962</v>
      </c>
      <c r="E1123" t="s">
        <v>944</v>
      </c>
      <c r="F1123" s="2">
        <v>75</v>
      </c>
      <c r="G1123" s="2">
        <v>15.583333333333334</v>
      </c>
      <c r="H1123" t="s">
        <v>958</v>
      </c>
      <c r="I1123" t="s">
        <v>122</v>
      </c>
      <c r="J1123" s="11">
        <v>736.75856522541847</v>
      </c>
      <c r="K1123" t="str">
        <f t="shared" si="34"/>
        <v>Andy Bloch</v>
      </c>
    </row>
    <row r="1124" spans="1:11" hidden="1" x14ac:dyDescent="0.35">
      <c r="A1124">
        <f t="shared" si="35"/>
        <v>1123</v>
      </c>
      <c r="B1124">
        <v>2007</v>
      </c>
      <c r="C1124" t="s">
        <v>263</v>
      </c>
      <c r="D1124" t="s">
        <v>962</v>
      </c>
      <c r="E1124" t="s">
        <v>944</v>
      </c>
      <c r="F1124" s="2">
        <v>75</v>
      </c>
      <c r="G1124" s="2">
        <v>15.583333333333334</v>
      </c>
      <c r="H1124" t="s">
        <v>597</v>
      </c>
      <c r="I1124" t="s">
        <v>598</v>
      </c>
      <c r="J1124" s="11">
        <v>736.75856522541847</v>
      </c>
      <c r="K1124" t="str">
        <f t="shared" si="34"/>
        <v>Lou Krieger</v>
      </c>
    </row>
    <row r="1125" spans="1:11" hidden="1" x14ac:dyDescent="0.35">
      <c r="A1125">
        <f t="shared" si="35"/>
        <v>1124</v>
      </c>
      <c r="B1125">
        <v>2007</v>
      </c>
      <c r="C1125" t="s">
        <v>263</v>
      </c>
      <c r="D1125" t="s">
        <v>962</v>
      </c>
      <c r="E1125" t="s">
        <v>944</v>
      </c>
      <c r="F1125" s="2">
        <v>75</v>
      </c>
      <c r="G1125" s="2">
        <v>15.583333333333334</v>
      </c>
      <c r="H1125" t="s">
        <v>14</v>
      </c>
      <c r="I1125" t="s">
        <v>11</v>
      </c>
      <c r="J1125" s="11">
        <v>736.75856522541847</v>
      </c>
      <c r="K1125" t="str">
        <f t="shared" si="34"/>
        <v>Paul McMullin</v>
      </c>
    </row>
    <row r="1126" spans="1:11" hidden="1" x14ac:dyDescent="0.35">
      <c r="A1126">
        <f t="shared" si="35"/>
        <v>1125</v>
      </c>
      <c r="B1126">
        <v>2007</v>
      </c>
      <c r="C1126" t="s">
        <v>263</v>
      </c>
      <c r="D1126" t="s">
        <v>962</v>
      </c>
      <c r="E1126" t="s">
        <v>944</v>
      </c>
      <c r="F1126" s="2">
        <v>75</v>
      </c>
      <c r="G1126" s="2">
        <v>15.583333333333334</v>
      </c>
      <c r="H1126" t="s">
        <v>1504</v>
      </c>
      <c r="I1126" t="s">
        <v>85</v>
      </c>
      <c r="J1126" s="11">
        <v>736.75856522541847</v>
      </c>
      <c r="K1126" t="str">
        <f t="shared" si="34"/>
        <v>Patrick Milligan</v>
      </c>
    </row>
    <row r="1127" spans="1:11" hidden="1" x14ac:dyDescent="0.35">
      <c r="A1127">
        <f t="shared" si="35"/>
        <v>1126</v>
      </c>
      <c r="B1127">
        <v>2007</v>
      </c>
      <c r="C1127" t="s">
        <v>263</v>
      </c>
      <c r="D1127" t="s">
        <v>962</v>
      </c>
      <c r="E1127" t="s">
        <v>944</v>
      </c>
      <c r="F1127" s="2">
        <v>75</v>
      </c>
      <c r="G1127" s="2">
        <v>15.583333333333334</v>
      </c>
      <c r="H1127" t="s">
        <v>107</v>
      </c>
      <c r="I1127" t="s">
        <v>108</v>
      </c>
      <c r="J1127" s="11">
        <v>736.75856522541847</v>
      </c>
      <c r="K1127" t="str">
        <f t="shared" si="34"/>
        <v>Kyle Minnis</v>
      </c>
    </row>
    <row r="1128" spans="1:11" hidden="1" x14ac:dyDescent="0.35">
      <c r="A1128">
        <f t="shared" si="35"/>
        <v>1127</v>
      </c>
      <c r="B1128">
        <v>2007</v>
      </c>
      <c r="C1128" t="s">
        <v>263</v>
      </c>
      <c r="D1128" t="s">
        <v>962</v>
      </c>
      <c r="E1128" t="s">
        <v>944</v>
      </c>
      <c r="F1128" s="2">
        <v>75</v>
      </c>
      <c r="G1128" s="2">
        <v>15.583333333333334</v>
      </c>
      <c r="H1128" t="s">
        <v>818</v>
      </c>
      <c r="I1128" t="s">
        <v>65</v>
      </c>
      <c r="J1128" s="11">
        <v>736.75856522541847</v>
      </c>
      <c r="K1128" t="str">
        <f t="shared" si="34"/>
        <v>Steve Nissman</v>
      </c>
    </row>
    <row r="1129" spans="1:11" hidden="1" x14ac:dyDescent="0.35">
      <c r="A1129">
        <f t="shared" si="35"/>
        <v>1128</v>
      </c>
      <c r="B1129">
        <v>2007</v>
      </c>
      <c r="C1129" t="s">
        <v>263</v>
      </c>
      <c r="D1129" t="s">
        <v>962</v>
      </c>
      <c r="E1129" t="s">
        <v>944</v>
      </c>
      <c r="F1129" s="2">
        <v>75</v>
      </c>
      <c r="G1129" s="17">
        <v>15.583333333333334</v>
      </c>
      <c r="H1129" t="s">
        <v>285</v>
      </c>
      <c r="I1129" t="s">
        <v>119</v>
      </c>
      <c r="J1129" s="11">
        <v>736.75856522541847</v>
      </c>
      <c r="K1129" t="str">
        <f t="shared" si="34"/>
        <v>Peter Secor</v>
      </c>
    </row>
    <row r="1130" spans="1:11" hidden="1" x14ac:dyDescent="0.35">
      <c r="A1130">
        <f t="shared" si="35"/>
        <v>1129</v>
      </c>
      <c r="B1130">
        <v>2007</v>
      </c>
      <c r="C1130" t="s">
        <v>263</v>
      </c>
      <c r="D1130" t="s">
        <v>962</v>
      </c>
      <c r="E1130" t="s">
        <v>944</v>
      </c>
      <c r="F1130" s="2">
        <v>75</v>
      </c>
      <c r="G1130" s="2">
        <v>15.583333333333334</v>
      </c>
      <c r="H1130" t="s">
        <v>105</v>
      </c>
      <c r="I1130" t="s">
        <v>106</v>
      </c>
      <c r="J1130" s="11">
        <v>736.75856522541847</v>
      </c>
      <c r="K1130" t="str">
        <f t="shared" si="34"/>
        <v>Kenny Shei</v>
      </c>
    </row>
    <row r="1131" spans="1:11" hidden="1" x14ac:dyDescent="0.35">
      <c r="A1131">
        <f t="shared" si="35"/>
        <v>1130</v>
      </c>
      <c r="B1131">
        <v>2007</v>
      </c>
      <c r="C1131" t="s">
        <v>263</v>
      </c>
      <c r="D1131" t="s">
        <v>962</v>
      </c>
      <c r="E1131" t="s">
        <v>944</v>
      </c>
      <c r="F1131" s="2">
        <v>75</v>
      </c>
      <c r="G1131" s="2">
        <v>15.583333333333334</v>
      </c>
      <c r="H1131" t="s">
        <v>377</v>
      </c>
      <c r="I1131" t="s">
        <v>119</v>
      </c>
      <c r="J1131" s="11">
        <v>736.75856522541847</v>
      </c>
      <c r="K1131" t="str">
        <f t="shared" si="34"/>
        <v>Peter Stephenson</v>
      </c>
    </row>
    <row r="1132" spans="1:11" hidden="1" x14ac:dyDescent="0.35">
      <c r="A1132">
        <f t="shared" si="35"/>
        <v>1131</v>
      </c>
      <c r="B1132">
        <v>2007</v>
      </c>
      <c r="C1132" t="s">
        <v>263</v>
      </c>
      <c r="D1132" t="s">
        <v>962</v>
      </c>
      <c r="E1132" t="s">
        <v>944</v>
      </c>
      <c r="F1132" s="2">
        <v>75</v>
      </c>
      <c r="G1132" s="2">
        <v>15.583333333333334</v>
      </c>
      <c r="H1132" t="s">
        <v>593</v>
      </c>
      <c r="I1132" t="s">
        <v>139</v>
      </c>
      <c r="J1132" s="11">
        <v>736.75856522541847</v>
      </c>
      <c r="K1132" t="str">
        <f t="shared" si="34"/>
        <v>Mark Trombley</v>
      </c>
    </row>
    <row r="1133" spans="1:11" hidden="1" x14ac:dyDescent="0.35">
      <c r="A1133">
        <f t="shared" si="35"/>
        <v>1132</v>
      </c>
      <c r="B1133">
        <v>2007</v>
      </c>
      <c r="C1133" t="s">
        <v>263</v>
      </c>
      <c r="D1133" t="s">
        <v>696</v>
      </c>
      <c r="E1133" t="s">
        <v>1051</v>
      </c>
      <c r="F1133" s="2">
        <v>1275</v>
      </c>
      <c r="G1133" s="2">
        <v>1</v>
      </c>
      <c r="H1133" t="s">
        <v>226</v>
      </c>
      <c r="I1133" t="s">
        <v>227</v>
      </c>
      <c r="J1133" s="11">
        <v>1929.4189257142925</v>
      </c>
      <c r="K1133" t="str">
        <f t="shared" si="34"/>
        <v>Patti Beadles</v>
      </c>
    </row>
    <row r="1134" spans="1:11" hidden="1" x14ac:dyDescent="0.35">
      <c r="A1134">
        <f t="shared" si="35"/>
        <v>1133</v>
      </c>
      <c r="B1134">
        <v>2007</v>
      </c>
      <c r="C1134" t="s">
        <v>263</v>
      </c>
      <c r="D1134" t="s">
        <v>696</v>
      </c>
      <c r="E1134" t="s">
        <v>1051</v>
      </c>
      <c r="F1134" s="2">
        <v>1015</v>
      </c>
      <c r="G1134" s="2">
        <v>2</v>
      </c>
      <c r="H1134" t="s">
        <v>363</v>
      </c>
      <c r="I1134" t="s">
        <v>364</v>
      </c>
      <c r="J1134" s="11">
        <v>1628.3889300503113</v>
      </c>
      <c r="K1134" t="str">
        <f t="shared" si="34"/>
        <v>Warren Sander</v>
      </c>
    </row>
    <row r="1135" spans="1:11" hidden="1" x14ac:dyDescent="0.35">
      <c r="A1135">
        <f t="shared" si="35"/>
        <v>1134</v>
      </c>
      <c r="B1135">
        <v>2007</v>
      </c>
      <c r="C1135" t="s">
        <v>263</v>
      </c>
      <c r="D1135" t="s">
        <v>696</v>
      </c>
      <c r="E1135" t="s">
        <v>1051</v>
      </c>
      <c r="F1135" s="2">
        <v>770</v>
      </c>
      <c r="G1135" s="2">
        <v>3</v>
      </c>
      <c r="H1135" t="s">
        <v>35</v>
      </c>
      <c r="I1135" t="s">
        <v>36</v>
      </c>
      <c r="J1135" s="11">
        <v>1452.2976709946302</v>
      </c>
      <c r="K1135" t="str">
        <f t="shared" si="34"/>
        <v>Nolan Dalla</v>
      </c>
    </row>
    <row r="1136" spans="1:11" hidden="1" x14ac:dyDescent="0.35">
      <c r="A1136">
        <f t="shared" si="35"/>
        <v>1135</v>
      </c>
      <c r="B1136">
        <v>2007</v>
      </c>
      <c r="C1136" t="s">
        <v>263</v>
      </c>
      <c r="D1136" t="s">
        <v>696</v>
      </c>
      <c r="E1136" t="s">
        <v>1051</v>
      </c>
      <c r="F1136" s="2">
        <v>610</v>
      </c>
      <c r="G1136" s="2">
        <v>4</v>
      </c>
      <c r="H1136" t="s">
        <v>86</v>
      </c>
      <c r="I1136" t="s">
        <v>393</v>
      </c>
      <c r="J1136" s="11">
        <v>1327.3589343863302</v>
      </c>
      <c r="K1136" t="str">
        <f t="shared" si="34"/>
        <v>Bree Goldman</v>
      </c>
    </row>
    <row r="1137" spans="1:11" hidden="1" x14ac:dyDescent="0.35">
      <c r="A1137">
        <f t="shared" si="35"/>
        <v>1136</v>
      </c>
      <c r="B1137">
        <v>2007</v>
      </c>
      <c r="C1137" t="s">
        <v>263</v>
      </c>
      <c r="D1137" t="s">
        <v>696</v>
      </c>
      <c r="E1137" t="s">
        <v>1051</v>
      </c>
      <c r="F1137" s="2">
        <v>510</v>
      </c>
      <c r="G1137" s="2">
        <v>5</v>
      </c>
      <c r="H1137" t="s">
        <v>268</v>
      </c>
      <c r="I1137" t="s">
        <v>269</v>
      </c>
      <c r="J1137" s="11">
        <v>1230.4489213782736</v>
      </c>
      <c r="K1137" t="str">
        <f t="shared" si="34"/>
        <v>Keith Fichtemaier</v>
      </c>
    </row>
    <row r="1138" spans="1:11" hidden="1" x14ac:dyDescent="0.35">
      <c r="A1138">
        <f t="shared" si="35"/>
        <v>1137</v>
      </c>
      <c r="B1138">
        <v>2007</v>
      </c>
      <c r="C1138" t="s">
        <v>263</v>
      </c>
      <c r="D1138" t="s">
        <v>696</v>
      </c>
      <c r="E1138" t="s">
        <v>1051</v>
      </c>
      <c r="F1138" s="2">
        <v>410</v>
      </c>
      <c r="G1138" s="2">
        <v>6</v>
      </c>
      <c r="H1138" t="s">
        <v>764</v>
      </c>
      <c r="I1138" t="s">
        <v>765</v>
      </c>
      <c r="J1138" s="11">
        <v>1151.2676753306489</v>
      </c>
      <c r="K1138" t="str">
        <f t="shared" si="34"/>
        <v>Michelle Ankenman</v>
      </c>
    </row>
    <row r="1139" spans="1:11" hidden="1" x14ac:dyDescent="0.35">
      <c r="A1139">
        <f t="shared" si="35"/>
        <v>1138</v>
      </c>
      <c r="B1139">
        <v>2007</v>
      </c>
      <c r="C1139" t="s">
        <v>263</v>
      </c>
      <c r="D1139" t="s">
        <v>696</v>
      </c>
      <c r="E1139" t="s">
        <v>1051</v>
      </c>
      <c r="F1139" s="2">
        <v>310</v>
      </c>
      <c r="G1139" s="2">
        <v>7</v>
      </c>
      <c r="H1139" t="s">
        <v>273</v>
      </c>
      <c r="I1139" t="s">
        <v>218</v>
      </c>
      <c r="J1139" s="11">
        <v>1084.3208857000359</v>
      </c>
      <c r="K1139" t="str">
        <f t="shared" si="34"/>
        <v>Michael Maurer</v>
      </c>
    </row>
    <row r="1140" spans="1:11" hidden="1" x14ac:dyDescent="0.35">
      <c r="A1140">
        <f t="shared" si="35"/>
        <v>1139</v>
      </c>
      <c r="B1140">
        <v>2007</v>
      </c>
      <c r="C1140" t="s">
        <v>263</v>
      </c>
      <c r="D1140" t="s">
        <v>696</v>
      </c>
      <c r="E1140" t="s">
        <v>1051</v>
      </c>
      <c r="F1140" s="2">
        <v>200</v>
      </c>
      <c r="G1140" s="2">
        <v>8</v>
      </c>
      <c r="H1140" t="s">
        <v>821</v>
      </c>
      <c r="I1140" t="s">
        <v>822</v>
      </c>
      <c r="J1140" s="11">
        <v>1026.328938722349</v>
      </c>
      <c r="K1140" t="str">
        <f t="shared" si="34"/>
        <v>Gavin Smith</v>
      </c>
    </row>
    <row r="1141" spans="1:11" hidden="1" x14ac:dyDescent="0.35">
      <c r="A1141">
        <f t="shared" si="35"/>
        <v>1140</v>
      </c>
      <c r="B1141">
        <v>2007</v>
      </c>
      <c r="C1141" t="s">
        <v>263</v>
      </c>
      <c r="D1141" t="s">
        <v>45</v>
      </c>
      <c r="E1141" t="s">
        <v>1429</v>
      </c>
      <c r="F1141" s="2">
        <v>4600</v>
      </c>
      <c r="G1141" s="2">
        <v>1</v>
      </c>
      <c r="H1141" t="s">
        <v>585</v>
      </c>
      <c r="I1141" t="s">
        <v>136</v>
      </c>
      <c r="J1141" s="11">
        <v>2313.8672203691531</v>
      </c>
      <c r="K1141" t="str">
        <f t="shared" si="34"/>
        <v>John Pickels</v>
      </c>
    </row>
    <row r="1142" spans="1:11" hidden="1" x14ac:dyDescent="0.35">
      <c r="A1142">
        <f t="shared" si="35"/>
        <v>1141</v>
      </c>
      <c r="B1142">
        <v>2007</v>
      </c>
      <c r="C1142" t="s">
        <v>263</v>
      </c>
      <c r="D1142" t="s">
        <v>45</v>
      </c>
      <c r="E1142" t="s">
        <v>1429</v>
      </c>
      <c r="F1142" s="2">
        <v>3680</v>
      </c>
      <c r="G1142" s="2">
        <v>2</v>
      </c>
      <c r="H1142" t="s">
        <v>302</v>
      </c>
      <c r="I1142" t="s">
        <v>81</v>
      </c>
      <c r="J1142" s="11">
        <v>2012.837224705172</v>
      </c>
      <c r="K1142" t="str">
        <f t="shared" si="34"/>
        <v>Don Rieck</v>
      </c>
    </row>
    <row r="1143" spans="1:11" hidden="1" x14ac:dyDescent="0.35">
      <c r="A1143">
        <f t="shared" si="35"/>
        <v>1142</v>
      </c>
      <c r="B1143">
        <v>2007</v>
      </c>
      <c r="C1143" t="s">
        <v>263</v>
      </c>
      <c r="D1143" t="s">
        <v>45</v>
      </c>
      <c r="E1143" t="s">
        <v>1429</v>
      </c>
      <c r="F1143" s="2">
        <v>2760</v>
      </c>
      <c r="G1143" s="2">
        <v>3</v>
      </c>
      <c r="H1143" t="s">
        <v>621</v>
      </c>
      <c r="I1143" t="s">
        <v>16</v>
      </c>
      <c r="J1143" s="11">
        <v>1836.7459656494909</v>
      </c>
      <c r="K1143" t="str">
        <f t="shared" si="34"/>
        <v>David Trinidad</v>
      </c>
    </row>
    <row r="1144" spans="1:11" hidden="1" x14ac:dyDescent="0.35">
      <c r="A1144">
        <f t="shared" si="35"/>
        <v>1143</v>
      </c>
      <c r="B1144">
        <v>2007</v>
      </c>
      <c r="C1144" t="s">
        <v>263</v>
      </c>
      <c r="D1144" t="s">
        <v>45</v>
      </c>
      <c r="E1144" t="s">
        <v>1429</v>
      </c>
      <c r="F1144" s="2">
        <v>2210</v>
      </c>
      <c r="G1144" s="2">
        <v>4</v>
      </c>
      <c r="H1144" t="s">
        <v>593</v>
      </c>
      <c r="I1144" t="s">
        <v>139</v>
      </c>
      <c r="J1144" s="11">
        <v>1711.8072290411908</v>
      </c>
      <c r="K1144" t="str">
        <f t="shared" si="34"/>
        <v>Mark Trombley</v>
      </c>
    </row>
    <row r="1145" spans="1:11" hidden="1" x14ac:dyDescent="0.35">
      <c r="A1145">
        <f t="shared" si="35"/>
        <v>1144</v>
      </c>
      <c r="B1145">
        <v>2007</v>
      </c>
      <c r="C1145" t="s">
        <v>263</v>
      </c>
      <c r="D1145" t="s">
        <v>45</v>
      </c>
      <c r="E1145" t="s">
        <v>1429</v>
      </c>
      <c r="F1145" s="2">
        <v>1840</v>
      </c>
      <c r="G1145" s="2">
        <v>5</v>
      </c>
      <c r="H1145" t="s">
        <v>306</v>
      </c>
      <c r="I1145" t="s">
        <v>694</v>
      </c>
      <c r="J1145" s="11">
        <v>1614.8972160331346</v>
      </c>
      <c r="K1145" t="str">
        <f t="shared" si="34"/>
        <v>J P Massar</v>
      </c>
    </row>
    <row r="1146" spans="1:11" hidden="1" x14ac:dyDescent="0.35">
      <c r="A1146">
        <f t="shared" si="35"/>
        <v>1145</v>
      </c>
      <c r="B1146">
        <v>2007</v>
      </c>
      <c r="C1146" t="s">
        <v>263</v>
      </c>
      <c r="D1146" t="s">
        <v>45</v>
      </c>
      <c r="E1146" t="s">
        <v>1429</v>
      </c>
      <c r="F1146" s="2">
        <v>1470</v>
      </c>
      <c r="G1146" s="2">
        <v>6</v>
      </c>
      <c r="H1146" t="s">
        <v>105</v>
      </c>
      <c r="I1146" t="s">
        <v>106</v>
      </c>
      <c r="J1146" s="11">
        <v>1535.7159699855097</v>
      </c>
      <c r="K1146" t="str">
        <f t="shared" si="34"/>
        <v>Kenny Shei</v>
      </c>
    </row>
    <row r="1147" spans="1:11" hidden="1" x14ac:dyDescent="0.35">
      <c r="A1147">
        <f t="shared" si="35"/>
        <v>1146</v>
      </c>
      <c r="B1147">
        <v>2007</v>
      </c>
      <c r="C1147" t="s">
        <v>263</v>
      </c>
      <c r="D1147" t="s">
        <v>45</v>
      </c>
      <c r="E1147" t="s">
        <v>1429</v>
      </c>
      <c r="F1147" s="2">
        <v>1100</v>
      </c>
      <c r="G1147" s="2">
        <v>7</v>
      </c>
      <c r="H1147" t="s">
        <v>35</v>
      </c>
      <c r="I1147" t="s">
        <v>36</v>
      </c>
      <c r="J1147" s="11">
        <v>1468.7691803548964</v>
      </c>
      <c r="K1147" t="str">
        <f t="shared" si="34"/>
        <v>Nolan Dalla</v>
      </c>
    </row>
    <row r="1148" spans="1:11" hidden="1" x14ac:dyDescent="0.35">
      <c r="A1148">
        <f t="shared" si="35"/>
        <v>1147</v>
      </c>
      <c r="B1148">
        <v>2007</v>
      </c>
      <c r="C1148" t="s">
        <v>263</v>
      </c>
      <c r="D1148" t="s">
        <v>45</v>
      </c>
      <c r="E1148" t="s">
        <v>1429</v>
      </c>
      <c r="F1148" s="2">
        <v>740</v>
      </c>
      <c r="G1148" s="2">
        <v>8</v>
      </c>
      <c r="H1148" t="s">
        <v>898</v>
      </c>
      <c r="I1148" t="s">
        <v>899</v>
      </c>
      <c r="J1148" s="11">
        <v>1410.7772333772098</v>
      </c>
      <c r="K1148" t="str">
        <f t="shared" si="34"/>
        <v>Harry Baldwin</v>
      </c>
    </row>
    <row r="1149" spans="1:11" hidden="1" x14ac:dyDescent="0.35">
      <c r="A1149">
        <f t="shared" si="35"/>
        <v>1148</v>
      </c>
      <c r="B1149">
        <v>2007</v>
      </c>
      <c r="C1149" t="s">
        <v>263</v>
      </c>
      <c r="D1149" t="s">
        <v>45</v>
      </c>
      <c r="E1149" t="s">
        <v>1429</v>
      </c>
      <c r="F1149" s="2">
        <v>400</v>
      </c>
      <c r="G1149" s="2">
        <v>9</v>
      </c>
      <c r="H1149" t="s">
        <v>974</v>
      </c>
      <c r="I1149" t="s">
        <v>353</v>
      </c>
      <c r="J1149" s="11">
        <v>1359.6247109298286</v>
      </c>
      <c r="K1149" t="str">
        <f t="shared" si="34"/>
        <v>Frank Brabec</v>
      </c>
    </row>
    <row r="1150" spans="1:11" hidden="1" x14ac:dyDescent="0.35">
      <c r="A1150">
        <f t="shared" si="35"/>
        <v>1149</v>
      </c>
      <c r="B1150">
        <v>2007</v>
      </c>
      <c r="C1150" t="s">
        <v>263</v>
      </c>
      <c r="D1150" t="s">
        <v>45</v>
      </c>
      <c r="E1150" t="s">
        <v>1429</v>
      </c>
      <c r="F1150" s="2">
        <v>250</v>
      </c>
      <c r="G1150" s="2">
        <v>10</v>
      </c>
      <c r="H1150" t="s">
        <v>764</v>
      </c>
      <c r="I1150" t="s">
        <v>765</v>
      </c>
      <c r="J1150" s="11">
        <v>1313.8672203691533</v>
      </c>
      <c r="K1150" t="str">
        <f t="shared" si="34"/>
        <v>Michelle Ankenman</v>
      </c>
    </row>
    <row r="1151" spans="1:11" hidden="1" x14ac:dyDescent="0.35">
      <c r="A1151">
        <f t="shared" si="35"/>
        <v>1150</v>
      </c>
      <c r="B1151">
        <v>2007</v>
      </c>
      <c r="C1151" t="s">
        <v>263</v>
      </c>
      <c r="D1151" t="s">
        <v>45</v>
      </c>
      <c r="E1151" t="s">
        <v>1429</v>
      </c>
      <c r="F1151" s="2">
        <v>250</v>
      </c>
      <c r="G1151" s="2">
        <v>11</v>
      </c>
      <c r="H1151" t="s">
        <v>2323</v>
      </c>
      <c r="I1151" t="s">
        <v>2383</v>
      </c>
      <c r="J1151" s="11">
        <v>1272.474535210928</v>
      </c>
      <c r="K1151" t="str">
        <f t="shared" si="34"/>
        <v>Lynsy Higgs-Iwamoto</v>
      </c>
    </row>
    <row r="1152" spans="1:11" hidden="1" x14ac:dyDescent="0.35">
      <c r="A1152">
        <f t="shared" si="35"/>
        <v>1151</v>
      </c>
      <c r="B1152">
        <v>2007</v>
      </c>
      <c r="C1152" t="s">
        <v>263</v>
      </c>
      <c r="D1152" t="s">
        <v>45</v>
      </c>
      <c r="E1152" t="s">
        <v>1429</v>
      </c>
      <c r="F1152" s="2">
        <v>250</v>
      </c>
      <c r="G1152" s="2">
        <v>12</v>
      </c>
      <c r="H1152" t="s">
        <v>976</v>
      </c>
      <c r="I1152" t="s">
        <v>218</v>
      </c>
      <c r="J1152" s="11">
        <v>1234.6859743215284</v>
      </c>
      <c r="K1152" t="str">
        <f t="shared" si="34"/>
        <v>Michael Hunter</v>
      </c>
    </row>
    <row r="1153" spans="1:11" hidden="1" x14ac:dyDescent="0.35">
      <c r="A1153">
        <f t="shared" si="35"/>
        <v>1152</v>
      </c>
      <c r="B1153">
        <v>2007</v>
      </c>
      <c r="C1153" t="s">
        <v>263</v>
      </c>
      <c r="D1153" t="s">
        <v>45</v>
      </c>
      <c r="E1153" t="s">
        <v>1429</v>
      </c>
      <c r="F1153" s="2">
        <v>200</v>
      </c>
      <c r="G1153" s="2">
        <v>13</v>
      </c>
      <c r="H1153" t="s">
        <v>965</v>
      </c>
      <c r="I1153" t="s">
        <v>44</v>
      </c>
      <c r="J1153" s="11">
        <v>1199.9238680623166</v>
      </c>
      <c r="K1153" t="str">
        <f t="shared" si="34"/>
        <v>Mike McBride</v>
      </c>
    </row>
    <row r="1154" spans="1:11" hidden="1" x14ac:dyDescent="0.35">
      <c r="A1154">
        <f t="shared" si="35"/>
        <v>1153</v>
      </c>
      <c r="B1154">
        <v>2007</v>
      </c>
      <c r="C1154" t="s">
        <v>263</v>
      </c>
      <c r="D1154" t="s">
        <v>45</v>
      </c>
      <c r="E1154" t="s">
        <v>1429</v>
      </c>
      <c r="F1154" s="2">
        <v>200</v>
      </c>
      <c r="G1154" s="2">
        <v>14</v>
      </c>
      <c r="H1154" t="s">
        <v>547</v>
      </c>
      <c r="I1154" t="s">
        <v>136</v>
      </c>
      <c r="J1154" s="11">
        <v>1167.7391846909154</v>
      </c>
      <c r="K1154" t="str">
        <f t="shared" ref="K1154:K1217" si="36">I1154&amp;" "&amp;H1154</f>
        <v>John Moser</v>
      </c>
    </row>
    <row r="1155" spans="1:11" hidden="1" x14ac:dyDescent="0.35">
      <c r="A1155">
        <f t="shared" si="35"/>
        <v>1154</v>
      </c>
      <c r="B1155">
        <v>2007</v>
      </c>
      <c r="C1155" t="s">
        <v>263</v>
      </c>
      <c r="D1155" t="s">
        <v>45</v>
      </c>
      <c r="E1155" t="s">
        <v>1429</v>
      </c>
      <c r="F1155" s="2">
        <v>200</v>
      </c>
      <c r="G1155" s="2">
        <v>15</v>
      </c>
      <c r="H1155" t="s">
        <v>580</v>
      </c>
      <c r="I1155" t="s">
        <v>153</v>
      </c>
      <c r="J1155" s="11">
        <v>1137.775961313472</v>
      </c>
      <c r="K1155" t="str">
        <f t="shared" si="36"/>
        <v>Stephen Cohen</v>
      </c>
    </row>
    <row r="1156" spans="1:11" hidden="1" x14ac:dyDescent="0.35">
      <c r="A1156">
        <f t="shared" ref="A1156:A1219" si="37">A1155+1</f>
        <v>1155</v>
      </c>
      <c r="B1156">
        <v>2007</v>
      </c>
      <c r="C1156" t="s">
        <v>263</v>
      </c>
      <c r="D1156" t="s">
        <v>45</v>
      </c>
      <c r="E1156" t="s">
        <v>1429</v>
      </c>
      <c r="F1156" s="2">
        <v>150</v>
      </c>
      <c r="G1156" s="2">
        <v>16</v>
      </c>
      <c r="H1156" t="s">
        <v>248</v>
      </c>
      <c r="I1156" t="s">
        <v>249</v>
      </c>
      <c r="J1156" s="11">
        <v>1109.7472377132285</v>
      </c>
      <c r="K1156" t="str">
        <f t="shared" si="36"/>
        <v>Ross Poppel</v>
      </c>
    </row>
    <row r="1157" spans="1:11" hidden="1" x14ac:dyDescent="0.35">
      <c r="A1157">
        <f t="shared" si="37"/>
        <v>1156</v>
      </c>
      <c r="B1157">
        <v>2007</v>
      </c>
      <c r="C1157" t="s">
        <v>263</v>
      </c>
      <c r="D1157" t="s">
        <v>45</v>
      </c>
      <c r="E1157" t="s">
        <v>1429</v>
      </c>
      <c r="F1157" s="2">
        <v>150</v>
      </c>
      <c r="G1157" s="2">
        <v>17</v>
      </c>
      <c r="H1157" t="s">
        <v>978</v>
      </c>
      <c r="I1157" t="s">
        <v>979</v>
      </c>
      <c r="J1157" s="11">
        <v>1083.4182989908793</v>
      </c>
      <c r="K1157" t="str">
        <f t="shared" si="36"/>
        <v>Hector Lozano</v>
      </c>
    </row>
    <row r="1158" spans="1:11" hidden="1" x14ac:dyDescent="0.35">
      <c r="A1158">
        <f t="shared" si="37"/>
        <v>1157</v>
      </c>
      <c r="B1158">
        <v>2007</v>
      </c>
      <c r="C1158" t="s">
        <v>263</v>
      </c>
      <c r="D1158" t="s">
        <v>45</v>
      </c>
      <c r="E1158" t="s">
        <v>1429</v>
      </c>
      <c r="F1158" s="2">
        <v>150</v>
      </c>
      <c r="G1158" s="2">
        <v>18</v>
      </c>
      <c r="H1158" t="s">
        <v>111</v>
      </c>
      <c r="I1158" t="s">
        <v>16</v>
      </c>
      <c r="J1158" s="11">
        <v>1058.5947152658473</v>
      </c>
      <c r="K1158" t="str">
        <f t="shared" si="36"/>
        <v>David Fruchter</v>
      </c>
    </row>
    <row r="1159" spans="1:11" hidden="1" x14ac:dyDescent="0.35">
      <c r="A1159">
        <f t="shared" si="37"/>
        <v>1158</v>
      </c>
      <c r="B1159">
        <v>2007</v>
      </c>
      <c r="C1159" t="s">
        <v>263</v>
      </c>
      <c r="D1159" t="s">
        <v>797</v>
      </c>
      <c r="E1159" t="s">
        <v>1434</v>
      </c>
      <c r="F1159" s="2">
        <v>1090</v>
      </c>
      <c r="G1159" s="2">
        <v>1</v>
      </c>
      <c r="H1159" t="s">
        <v>958</v>
      </c>
      <c r="I1159" t="s">
        <v>122</v>
      </c>
      <c r="J1159" s="11">
        <v>1939.5192526186186</v>
      </c>
      <c r="K1159" t="str">
        <f t="shared" si="36"/>
        <v>Andy Bloch</v>
      </c>
    </row>
    <row r="1160" spans="1:11" hidden="1" x14ac:dyDescent="0.35">
      <c r="A1160">
        <f t="shared" si="37"/>
        <v>1159</v>
      </c>
      <c r="B1160">
        <v>2007</v>
      </c>
      <c r="C1160" t="s">
        <v>263</v>
      </c>
      <c r="D1160" t="s">
        <v>797</v>
      </c>
      <c r="E1160" t="s">
        <v>1434</v>
      </c>
      <c r="F1160" s="2">
        <v>870</v>
      </c>
      <c r="G1160" s="2">
        <v>2</v>
      </c>
      <c r="H1160" t="s">
        <v>714</v>
      </c>
      <c r="I1160" t="s">
        <v>528</v>
      </c>
      <c r="J1160" s="11">
        <v>1638.4892569546373</v>
      </c>
      <c r="K1160" t="str">
        <f t="shared" si="36"/>
        <v>Tim Showalter</v>
      </c>
    </row>
    <row r="1161" spans="1:11" hidden="1" x14ac:dyDescent="0.35">
      <c r="A1161">
        <f t="shared" si="37"/>
        <v>1160</v>
      </c>
      <c r="B1161">
        <v>2007</v>
      </c>
      <c r="C1161" t="s">
        <v>263</v>
      </c>
      <c r="D1161" t="s">
        <v>797</v>
      </c>
      <c r="E1161" t="s">
        <v>1434</v>
      </c>
      <c r="F1161" s="2">
        <v>650</v>
      </c>
      <c r="G1161" s="2">
        <v>3</v>
      </c>
      <c r="H1161" t="s">
        <v>595</v>
      </c>
      <c r="I1161" t="s">
        <v>28</v>
      </c>
      <c r="J1161" s="11">
        <v>1462.3979978989562</v>
      </c>
      <c r="K1161" t="str">
        <f t="shared" si="36"/>
        <v>Chris Straghalis</v>
      </c>
    </row>
    <row r="1162" spans="1:11" hidden="1" x14ac:dyDescent="0.35">
      <c r="A1162">
        <f t="shared" si="37"/>
        <v>1161</v>
      </c>
      <c r="B1162">
        <v>2007</v>
      </c>
      <c r="C1162" t="s">
        <v>263</v>
      </c>
      <c r="D1162" t="s">
        <v>797</v>
      </c>
      <c r="E1162" t="s">
        <v>1434</v>
      </c>
      <c r="F1162" s="2">
        <v>520</v>
      </c>
      <c r="G1162" s="2">
        <v>4</v>
      </c>
      <c r="H1162" t="s">
        <v>387</v>
      </c>
      <c r="I1162" t="s">
        <v>521</v>
      </c>
      <c r="J1162" s="11">
        <v>1337.4592612906563</v>
      </c>
      <c r="K1162" t="str">
        <f t="shared" si="36"/>
        <v>Chuck Humphrey</v>
      </c>
    </row>
    <row r="1163" spans="1:11" hidden="1" x14ac:dyDescent="0.35">
      <c r="A1163">
        <f t="shared" si="37"/>
        <v>1162</v>
      </c>
      <c r="B1163">
        <v>2007</v>
      </c>
      <c r="C1163" t="s">
        <v>263</v>
      </c>
      <c r="D1163" t="s">
        <v>797</v>
      </c>
      <c r="E1163" t="s">
        <v>1434</v>
      </c>
      <c r="F1163" s="2">
        <v>440</v>
      </c>
      <c r="G1163" s="2">
        <v>5</v>
      </c>
      <c r="H1163" t="s">
        <v>268</v>
      </c>
      <c r="I1163" t="s">
        <v>269</v>
      </c>
      <c r="J1163" s="11">
        <v>1240.5492482825996</v>
      </c>
      <c r="K1163" t="str">
        <f t="shared" si="36"/>
        <v>Keith Fichtemaier</v>
      </c>
    </row>
    <row r="1164" spans="1:11" hidden="1" x14ac:dyDescent="0.35">
      <c r="A1164">
        <f t="shared" si="37"/>
        <v>1163</v>
      </c>
      <c r="B1164">
        <v>2007</v>
      </c>
      <c r="C1164" t="s">
        <v>263</v>
      </c>
      <c r="D1164" t="s">
        <v>797</v>
      </c>
      <c r="E1164" t="s">
        <v>1434</v>
      </c>
      <c r="F1164" s="2">
        <v>350</v>
      </c>
      <c r="G1164" s="2">
        <v>6</v>
      </c>
      <c r="H1164" t="s">
        <v>618</v>
      </c>
      <c r="I1164" t="s">
        <v>521</v>
      </c>
      <c r="J1164" s="11">
        <v>1161.3680022349749</v>
      </c>
      <c r="K1164" t="str">
        <f t="shared" si="36"/>
        <v>Chuck Weinstock</v>
      </c>
    </row>
    <row r="1165" spans="1:11" hidden="1" x14ac:dyDescent="0.35">
      <c r="A1165">
        <f t="shared" si="37"/>
        <v>1164</v>
      </c>
      <c r="B1165">
        <v>2007</v>
      </c>
      <c r="C1165" t="s">
        <v>263</v>
      </c>
      <c r="D1165" t="s">
        <v>797</v>
      </c>
      <c r="E1165" t="s">
        <v>1434</v>
      </c>
      <c r="F1165" s="2">
        <v>260</v>
      </c>
      <c r="G1165" s="2">
        <v>7</v>
      </c>
      <c r="H1165" t="s">
        <v>100</v>
      </c>
      <c r="I1165" t="s">
        <v>52</v>
      </c>
      <c r="J1165" s="11">
        <v>1094.4212126043617</v>
      </c>
      <c r="K1165" t="str">
        <f t="shared" si="36"/>
        <v>Steven Eisenstein</v>
      </c>
    </row>
    <row r="1166" spans="1:11" hidden="1" x14ac:dyDescent="0.35">
      <c r="A1166">
        <f t="shared" si="37"/>
        <v>1165</v>
      </c>
      <c r="B1166">
        <v>2007</v>
      </c>
      <c r="C1166" t="s">
        <v>263</v>
      </c>
      <c r="D1166" t="s">
        <v>797</v>
      </c>
      <c r="E1166" t="s">
        <v>1434</v>
      </c>
      <c r="F1166" s="2">
        <v>170</v>
      </c>
      <c r="G1166" s="2">
        <v>8</v>
      </c>
      <c r="H1166" t="s">
        <v>960</v>
      </c>
      <c r="I1166" t="s">
        <v>136</v>
      </c>
      <c r="J1166" s="11">
        <v>1036.429265626675</v>
      </c>
      <c r="K1166" t="str">
        <f t="shared" si="36"/>
        <v>John Harkness</v>
      </c>
    </row>
    <row r="1167" spans="1:11" hidden="1" x14ac:dyDescent="0.35">
      <c r="A1167">
        <f t="shared" si="37"/>
        <v>1166</v>
      </c>
      <c r="B1167">
        <v>2007</v>
      </c>
      <c r="C1167" t="s">
        <v>263</v>
      </c>
      <c r="D1167" t="s">
        <v>770</v>
      </c>
      <c r="E1167" t="s">
        <v>1430</v>
      </c>
      <c r="F1167" s="2">
        <v>3205</v>
      </c>
      <c r="G1167" s="2">
        <v>1</v>
      </c>
      <c r="H1167" t="s">
        <v>105</v>
      </c>
      <c r="I1167" t="s">
        <v>106</v>
      </c>
      <c r="J1167" s="11">
        <v>2232.9961103921537</v>
      </c>
      <c r="K1167" t="str">
        <f t="shared" si="36"/>
        <v>Kenny Shei</v>
      </c>
    </row>
    <row r="1168" spans="1:11" hidden="1" x14ac:dyDescent="0.35">
      <c r="A1168">
        <f t="shared" si="37"/>
        <v>1167</v>
      </c>
      <c r="B1168">
        <v>2007</v>
      </c>
      <c r="C1168" t="s">
        <v>263</v>
      </c>
      <c r="D1168" t="s">
        <v>770</v>
      </c>
      <c r="E1168" t="s">
        <v>1430</v>
      </c>
      <c r="F1168" s="2">
        <v>2310</v>
      </c>
      <c r="G1168" s="2">
        <v>2</v>
      </c>
      <c r="H1168" t="s">
        <v>86</v>
      </c>
      <c r="I1168" t="s">
        <v>87</v>
      </c>
      <c r="J1168" s="11">
        <v>1931.9661147281724</v>
      </c>
      <c r="K1168" t="str">
        <f t="shared" si="36"/>
        <v>Stevan Goldman</v>
      </c>
    </row>
    <row r="1169" spans="1:11" hidden="1" x14ac:dyDescent="0.35">
      <c r="A1169">
        <f t="shared" si="37"/>
        <v>1168</v>
      </c>
      <c r="B1169">
        <v>2007</v>
      </c>
      <c r="C1169" t="s">
        <v>263</v>
      </c>
      <c r="D1169" t="s">
        <v>770</v>
      </c>
      <c r="E1169" t="s">
        <v>1430</v>
      </c>
      <c r="F1169" s="2">
        <v>1670</v>
      </c>
      <c r="G1169" s="2">
        <v>3</v>
      </c>
      <c r="H1169" t="s">
        <v>542</v>
      </c>
      <c r="I1169" t="s">
        <v>196</v>
      </c>
      <c r="J1169" s="11">
        <v>1755.8748556724913</v>
      </c>
      <c r="K1169" t="str">
        <f t="shared" si="36"/>
        <v>Dave O'Grady</v>
      </c>
    </row>
    <row r="1170" spans="1:11" hidden="1" x14ac:dyDescent="0.35">
      <c r="A1170">
        <f t="shared" si="37"/>
        <v>1169</v>
      </c>
      <c r="B1170">
        <v>2007</v>
      </c>
      <c r="C1170" t="s">
        <v>263</v>
      </c>
      <c r="D1170" t="s">
        <v>770</v>
      </c>
      <c r="E1170" t="s">
        <v>1430</v>
      </c>
      <c r="F1170" s="2">
        <v>1280</v>
      </c>
      <c r="G1170" s="2">
        <v>4</v>
      </c>
      <c r="H1170" t="s">
        <v>37</v>
      </c>
      <c r="I1170" t="s">
        <v>38</v>
      </c>
      <c r="J1170" s="11">
        <v>1630.9361190641912</v>
      </c>
      <c r="K1170" t="str">
        <f t="shared" si="36"/>
        <v>Doug Grismore</v>
      </c>
    </row>
    <row r="1171" spans="1:11" hidden="1" x14ac:dyDescent="0.35">
      <c r="A1171">
        <f t="shared" si="37"/>
        <v>1170</v>
      </c>
      <c r="B1171">
        <v>2007</v>
      </c>
      <c r="C1171" t="s">
        <v>263</v>
      </c>
      <c r="D1171" t="s">
        <v>770</v>
      </c>
      <c r="E1171" t="s">
        <v>1430</v>
      </c>
      <c r="F1171" s="2">
        <v>1030</v>
      </c>
      <c r="G1171" s="2">
        <v>5</v>
      </c>
      <c r="H1171" t="s">
        <v>461</v>
      </c>
      <c r="I1171" t="s">
        <v>665</v>
      </c>
      <c r="J1171" s="11">
        <v>1534.0261060561349</v>
      </c>
      <c r="K1171" t="str">
        <f t="shared" si="36"/>
        <v>Robert Jones</v>
      </c>
    </row>
    <row r="1172" spans="1:11" hidden="1" x14ac:dyDescent="0.35">
      <c r="A1172">
        <f t="shared" si="37"/>
        <v>1171</v>
      </c>
      <c r="B1172">
        <v>2007</v>
      </c>
      <c r="C1172" t="s">
        <v>263</v>
      </c>
      <c r="D1172" t="s">
        <v>770</v>
      </c>
      <c r="E1172" t="s">
        <v>1430</v>
      </c>
      <c r="F1172" s="2">
        <v>770</v>
      </c>
      <c r="G1172" s="2">
        <v>6</v>
      </c>
      <c r="H1172" t="s">
        <v>306</v>
      </c>
      <c r="I1172" t="s">
        <v>694</v>
      </c>
      <c r="J1172" s="11">
        <v>1454.8448600085101</v>
      </c>
      <c r="K1172" t="str">
        <f t="shared" si="36"/>
        <v>J P Massar</v>
      </c>
    </row>
    <row r="1173" spans="1:11" hidden="1" x14ac:dyDescent="0.35">
      <c r="A1173">
        <f t="shared" si="37"/>
        <v>1172</v>
      </c>
      <c r="B1173">
        <v>2007</v>
      </c>
      <c r="C1173" t="s">
        <v>263</v>
      </c>
      <c r="D1173" t="s">
        <v>770</v>
      </c>
      <c r="E1173" t="s">
        <v>1430</v>
      </c>
      <c r="F1173" s="2">
        <v>510</v>
      </c>
      <c r="G1173" s="2">
        <v>7</v>
      </c>
      <c r="H1173" t="s">
        <v>387</v>
      </c>
      <c r="I1173" t="s">
        <v>521</v>
      </c>
      <c r="J1173" s="11">
        <v>1387.8980703778966</v>
      </c>
      <c r="K1173" t="str">
        <f t="shared" si="36"/>
        <v>Chuck Humphrey</v>
      </c>
    </row>
    <row r="1174" spans="1:11" hidden="1" x14ac:dyDescent="0.35">
      <c r="A1174">
        <f t="shared" si="37"/>
        <v>1173</v>
      </c>
      <c r="B1174">
        <v>2007</v>
      </c>
      <c r="C1174" t="s">
        <v>263</v>
      </c>
      <c r="D1174" t="s">
        <v>770</v>
      </c>
      <c r="E1174" t="s">
        <v>1430</v>
      </c>
      <c r="F1174" s="2">
        <v>350</v>
      </c>
      <c r="G1174" s="2">
        <v>8</v>
      </c>
      <c r="H1174" t="s">
        <v>623</v>
      </c>
      <c r="I1174" t="s">
        <v>65</v>
      </c>
      <c r="J1174" s="11">
        <v>1329.9061234002102</v>
      </c>
      <c r="K1174" t="str">
        <f t="shared" si="36"/>
        <v>Steve Forcash</v>
      </c>
    </row>
    <row r="1175" spans="1:11" hidden="1" x14ac:dyDescent="0.35">
      <c r="A1175">
        <f t="shared" si="37"/>
        <v>1174</v>
      </c>
      <c r="B1175">
        <v>2007</v>
      </c>
      <c r="C1175" t="s">
        <v>263</v>
      </c>
      <c r="D1175" t="s">
        <v>770</v>
      </c>
      <c r="E1175" t="s">
        <v>1430</v>
      </c>
      <c r="F1175" s="2">
        <v>260</v>
      </c>
      <c r="G1175" s="2">
        <v>9</v>
      </c>
      <c r="H1175" t="s">
        <v>74</v>
      </c>
      <c r="I1175" t="s">
        <v>153</v>
      </c>
      <c r="J1175" s="11">
        <v>1278.7536009528289</v>
      </c>
      <c r="K1175" t="str">
        <f t="shared" si="36"/>
        <v>Stephen Landrum</v>
      </c>
    </row>
    <row r="1176" spans="1:11" hidden="1" x14ac:dyDescent="0.35">
      <c r="A1176">
        <f t="shared" si="37"/>
        <v>1175</v>
      </c>
      <c r="B1176">
        <v>2007</v>
      </c>
      <c r="C1176" t="s">
        <v>263</v>
      </c>
      <c r="D1176" t="s">
        <v>770</v>
      </c>
      <c r="E1176" t="s">
        <v>1430</v>
      </c>
      <c r="F1176" s="2">
        <v>190</v>
      </c>
      <c r="G1176" s="2">
        <v>10</v>
      </c>
      <c r="H1176" t="s">
        <v>217</v>
      </c>
      <c r="I1176" t="s">
        <v>218</v>
      </c>
      <c r="J1176" s="11">
        <v>1232.9961103921537</v>
      </c>
      <c r="K1176" t="str">
        <f t="shared" si="36"/>
        <v>Michael Patterson</v>
      </c>
    </row>
    <row r="1177" spans="1:11" hidden="1" x14ac:dyDescent="0.35">
      <c r="A1177">
        <f t="shared" si="37"/>
        <v>1176</v>
      </c>
      <c r="B1177">
        <v>2007</v>
      </c>
      <c r="C1177" t="s">
        <v>263</v>
      </c>
      <c r="D1177" t="s">
        <v>770</v>
      </c>
      <c r="E1177" t="s">
        <v>1430</v>
      </c>
      <c r="F1177" s="2">
        <v>190</v>
      </c>
      <c r="G1177" s="2">
        <v>11</v>
      </c>
      <c r="H1177" t="s">
        <v>968</v>
      </c>
      <c r="I1177" t="s">
        <v>701</v>
      </c>
      <c r="J1177" s="11">
        <v>1191.6034252339284</v>
      </c>
      <c r="K1177" t="str">
        <f t="shared" si="36"/>
        <v>Bryan Juliano</v>
      </c>
    </row>
    <row r="1178" spans="1:11" hidden="1" x14ac:dyDescent="0.35">
      <c r="A1178">
        <f t="shared" si="37"/>
        <v>1177</v>
      </c>
      <c r="B1178">
        <v>2007</v>
      </c>
      <c r="C1178" t="s">
        <v>263</v>
      </c>
      <c r="D1178" t="s">
        <v>770</v>
      </c>
      <c r="E1178" t="s">
        <v>1430</v>
      </c>
      <c r="F1178" s="2">
        <v>190</v>
      </c>
      <c r="G1178" s="2">
        <v>12</v>
      </c>
      <c r="H1178" t="s">
        <v>970</v>
      </c>
      <c r="I1178" t="s">
        <v>971</v>
      </c>
      <c r="J1178" s="11">
        <v>1153.8148643445288</v>
      </c>
      <c r="K1178" t="str">
        <f t="shared" si="36"/>
        <v>Brett Pisor</v>
      </c>
    </row>
    <row r="1179" spans="1:11" hidden="1" x14ac:dyDescent="0.35">
      <c r="A1179">
        <f t="shared" si="37"/>
        <v>1178</v>
      </c>
      <c r="B1179">
        <v>2007</v>
      </c>
      <c r="C1179" t="s">
        <v>263</v>
      </c>
      <c r="D1179" t="s">
        <v>770</v>
      </c>
      <c r="E1179" t="s">
        <v>1430</v>
      </c>
      <c r="F1179" s="2">
        <v>160</v>
      </c>
      <c r="G1179" s="2">
        <v>13</v>
      </c>
      <c r="H1179" t="s">
        <v>74</v>
      </c>
      <c r="I1179" t="s">
        <v>75</v>
      </c>
      <c r="J1179" s="11">
        <v>1119.052758085317</v>
      </c>
      <c r="K1179" t="str">
        <f t="shared" si="36"/>
        <v>Sabyl Landrum</v>
      </c>
    </row>
    <row r="1180" spans="1:11" hidden="1" x14ac:dyDescent="0.35">
      <c r="A1180">
        <f t="shared" si="37"/>
        <v>1179</v>
      </c>
      <c r="B1180">
        <v>2007</v>
      </c>
      <c r="C1180" t="s">
        <v>263</v>
      </c>
      <c r="D1180" t="s">
        <v>770</v>
      </c>
      <c r="E1180" t="s">
        <v>1430</v>
      </c>
      <c r="F1180" s="2">
        <v>160</v>
      </c>
      <c r="G1180" s="2">
        <v>14</v>
      </c>
      <c r="H1180" t="s">
        <v>206</v>
      </c>
      <c r="I1180" t="s">
        <v>207</v>
      </c>
      <c r="J1180" s="11">
        <v>1086.8680747139156</v>
      </c>
      <c r="K1180" t="str">
        <f t="shared" si="36"/>
        <v>Nick Christenson</v>
      </c>
    </row>
    <row r="1181" spans="1:11" hidden="1" x14ac:dyDescent="0.35">
      <c r="A1181">
        <f t="shared" si="37"/>
        <v>1180</v>
      </c>
      <c r="B1181">
        <v>2007</v>
      </c>
      <c r="C1181" t="s">
        <v>263</v>
      </c>
      <c r="D1181" t="s">
        <v>770</v>
      </c>
      <c r="E1181" t="s">
        <v>1430</v>
      </c>
      <c r="F1181" s="2">
        <v>160</v>
      </c>
      <c r="G1181" s="2">
        <v>15</v>
      </c>
      <c r="H1181" t="s">
        <v>273</v>
      </c>
      <c r="I1181" t="s">
        <v>218</v>
      </c>
      <c r="J1181" s="11">
        <v>1056.9048513364723</v>
      </c>
      <c r="K1181" t="str">
        <f t="shared" si="36"/>
        <v>Michael Maurer</v>
      </c>
    </row>
    <row r="1182" spans="1:11" hidden="1" x14ac:dyDescent="0.35">
      <c r="A1182">
        <f t="shared" si="37"/>
        <v>1181</v>
      </c>
      <c r="B1182">
        <v>2007</v>
      </c>
      <c r="C1182" t="s">
        <v>263</v>
      </c>
      <c r="D1182" t="s">
        <v>770</v>
      </c>
      <c r="E1182" t="s">
        <v>1430</v>
      </c>
      <c r="F1182" s="2">
        <v>130</v>
      </c>
      <c r="G1182" s="2">
        <v>16</v>
      </c>
      <c r="H1182" t="s">
        <v>750</v>
      </c>
      <c r="I1182" t="s">
        <v>218</v>
      </c>
      <c r="J1182" s="11">
        <v>1028.8761277362289</v>
      </c>
      <c r="K1182" t="str">
        <f t="shared" si="36"/>
        <v>Michael Brennan</v>
      </c>
    </row>
    <row r="1183" spans="1:11" hidden="1" x14ac:dyDescent="0.35">
      <c r="A1183">
        <f t="shared" si="37"/>
        <v>1182</v>
      </c>
      <c r="B1183">
        <v>2007</v>
      </c>
      <c r="C1183" t="s">
        <v>263</v>
      </c>
      <c r="D1183" t="s">
        <v>770</v>
      </c>
      <c r="E1183" t="s">
        <v>1430</v>
      </c>
      <c r="F1183" s="2">
        <v>130</v>
      </c>
      <c r="G1183" s="2">
        <v>17</v>
      </c>
      <c r="H1183" t="s">
        <v>285</v>
      </c>
      <c r="I1183" t="s">
        <v>119</v>
      </c>
      <c r="J1183" s="11">
        <v>1002.5471890138797</v>
      </c>
      <c r="K1183" t="str">
        <f t="shared" si="36"/>
        <v>Peter Secor</v>
      </c>
    </row>
    <row r="1184" spans="1:11" hidden="1" x14ac:dyDescent="0.35">
      <c r="A1184">
        <f t="shared" si="37"/>
        <v>1183</v>
      </c>
      <c r="B1184">
        <v>2007</v>
      </c>
      <c r="C1184" t="s">
        <v>263</v>
      </c>
      <c r="D1184" t="s">
        <v>770</v>
      </c>
      <c r="E1184" t="s">
        <v>1430</v>
      </c>
      <c r="F1184" s="2">
        <v>130</v>
      </c>
      <c r="G1184" s="2">
        <v>18</v>
      </c>
      <c r="H1184" t="s">
        <v>972</v>
      </c>
      <c r="I1184" t="s">
        <v>81</v>
      </c>
      <c r="J1184" s="11">
        <v>977.72360528884758</v>
      </c>
      <c r="K1184" t="str">
        <f t="shared" si="36"/>
        <v>Don Condit</v>
      </c>
    </row>
    <row r="1185" spans="1:11" hidden="1" x14ac:dyDescent="0.35">
      <c r="A1185">
        <f t="shared" si="37"/>
        <v>1184</v>
      </c>
      <c r="B1185">
        <v>2007</v>
      </c>
      <c r="C1185" t="s">
        <v>893</v>
      </c>
      <c r="D1185" t="s">
        <v>509</v>
      </c>
      <c r="E1185" t="s">
        <v>509</v>
      </c>
      <c r="F1185" s="2">
        <v>915</v>
      </c>
      <c r="G1185" s="2">
        <v>1</v>
      </c>
      <c r="H1185" t="s">
        <v>896</v>
      </c>
      <c r="I1185" t="s">
        <v>139</v>
      </c>
      <c r="J1185" s="11">
        <v>1568.201724066995</v>
      </c>
      <c r="K1185" t="str">
        <f t="shared" si="36"/>
        <v>Mark Singer</v>
      </c>
    </row>
    <row r="1186" spans="1:11" hidden="1" x14ac:dyDescent="0.35">
      <c r="A1186">
        <f t="shared" si="37"/>
        <v>1185</v>
      </c>
      <c r="B1186">
        <v>2007</v>
      </c>
      <c r="C1186" t="s">
        <v>893</v>
      </c>
      <c r="D1186" t="s">
        <v>509</v>
      </c>
      <c r="E1186" t="s">
        <v>509</v>
      </c>
      <c r="F1186" s="2">
        <v>510</v>
      </c>
      <c r="G1186" s="2">
        <v>2</v>
      </c>
      <c r="H1186" t="s">
        <v>898</v>
      </c>
      <c r="I1186" t="s">
        <v>899</v>
      </c>
      <c r="J1186" s="11">
        <v>1267.1717284030137</v>
      </c>
      <c r="K1186" t="str">
        <f t="shared" si="36"/>
        <v>Harry Baldwin</v>
      </c>
    </row>
    <row r="1187" spans="1:11" hidden="1" x14ac:dyDescent="0.35">
      <c r="A1187">
        <f t="shared" si="37"/>
        <v>1186</v>
      </c>
      <c r="B1187">
        <v>2007</v>
      </c>
      <c r="C1187" t="s">
        <v>893</v>
      </c>
      <c r="D1187" t="s">
        <v>509</v>
      </c>
      <c r="E1187" t="s">
        <v>509</v>
      </c>
      <c r="F1187" s="2">
        <v>305</v>
      </c>
      <c r="G1187" s="2">
        <v>3</v>
      </c>
      <c r="H1187" t="s">
        <v>387</v>
      </c>
      <c r="I1187" t="s">
        <v>521</v>
      </c>
      <c r="J1187" s="11">
        <v>1091.0804693473326</v>
      </c>
      <c r="K1187" t="str">
        <f t="shared" si="36"/>
        <v>Chuck Humphrey</v>
      </c>
    </row>
    <row r="1188" spans="1:11" hidden="1" x14ac:dyDescent="0.35">
      <c r="A1188">
        <f t="shared" si="37"/>
        <v>1187</v>
      </c>
      <c r="B1188">
        <v>2007</v>
      </c>
      <c r="C1188" t="s">
        <v>893</v>
      </c>
      <c r="D1188" t="s">
        <v>509</v>
      </c>
      <c r="E1188" t="s">
        <v>509</v>
      </c>
      <c r="F1188" s="2">
        <v>205</v>
      </c>
      <c r="G1188" s="2">
        <v>4</v>
      </c>
      <c r="H1188" t="s">
        <v>764</v>
      </c>
      <c r="I1188" t="s">
        <v>901</v>
      </c>
      <c r="J1188" s="11">
        <v>966.14173273903259</v>
      </c>
      <c r="K1188" t="str">
        <f t="shared" si="36"/>
        <v>Jerrod Ankenman</v>
      </c>
    </row>
    <row r="1189" spans="1:11" hidden="1" x14ac:dyDescent="0.35">
      <c r="A1189">
        <f t="shared" si="37"/>
        <v>1188</v>
      </c>
      <c r="B1189">
        <v>2007</v>
      </c>
      <c r="C1189" t="s">
        <v>893</v>
      </c>
      <c r="D1189" t="s">
        <v>509</v>
      </c>
      <c r="E1189" t="s">
        <v>509</v>
      </c>
      <c r="F1189" s="2">
        <v>100</v>
      </c>
      <c r="G1189" s="2">
        <v>5</v>
      </c>
      <c r="H1189" t="s">
        <v>903</v>
      </c>
      <c r="I1189" t="s">
        <v>71</v>
      </c>
      <c r="J1189" s="11">
        <v>869.23171973097612</v>
      </c>
      <c r="K1189" t="str">
        <f t="shared" si="36"/>
        <v>Scott Harker</v>
      </c>
    </row>
    <row r="1190" spans="1:11" hidden="1" x14ac:dyDescent="0.35">
      <c r="A1190">
        <f t="shared" si="37"/>
        <v>1189</v>
      </c>
      <c r="B1190">
        <v>2007</v>
      </c>
      <c r="C1190" t="s">
        <v>893</v>
      </c>
      <c r="D1190" t="s">
        <v>913</v>
      </c>
      <c r="E1190" t="s">
        <v>1429</v>
      </c>
      <c r="F1190" s="2">
        <v>915</v>
      </c>
      <c r="G1190" s="2">
        <v>1</v>
      </c>
      <c r="H1190" t="s">
        <v>80</v>
      </c>
      <c r="I1190" t="s">
        <v>82</v>
      </c>
      <c r="J1190" s="11">
        <v>1568.201724066995</v>
      </c>
      <c r="K1190" t="str">
        <f t="shared" si="36"/>
        <v>Karen Adams</v>
      </c>
    </row>
    <row r="1191" spans="1:11" hidden="1" x14ac:dyDescent="0.35">
      <c r="A1191">
        <f t="shared" si="37"/>
        <v>1190</v>
      </c>
      <c r="B1191">
        <v>2007</v>
      </c>
      <c r="C1191" t="s">
        <v>893</v>
      </c>
      <c r="D1191" t="s">
        <v>913</v>
      </c>
      <c r="E1191" t="s">
        <v>1429</v>
      </c>
      <c r="F1191" s="2">
        <v>510</v>
      </c>
      <c r="G1191" s="2">
        <v>2</v>
      </c>
      <c r="H1191" t="s">
        <v>105</v>
      </c>
      <c r="I1191" t="s">
        <v>106</v>
      </c>
      <c r="J1191" s="11">
        <v>1267.1717284030137</v>
      </c>
      <c r="K1191" t="str">
        <f t="shared" si="36"/>
        <v>Kenny Shei</v>
      </c>
    </row>
    <row r="1192" spans="1:11" hidden="1" x14ac:dyDescent="0.35">
      <c r="A1192">
        <f t="shared" si="37"/>
        <v>1191</v>
      </c>
      <c r="B1192">
        <v>2007</v>
      </c>
      <c r="C1192" t="s">
        <v>893</v>
      </c>
      <c r="D1192" t="s">
        <v>913</v>
      </c>
      <c r="E1192" t="s">
        <v>1429</v>
      </c>
      <c r="F1192" s="2">
        <v>305</v>
      </c>
      <c r="G1192" s="2">
        <v>3</v>
      </c>
      <c r="H1192" t="s">
        <v>915</v>
      </c>
      <c r="I1192" t="s">
        <v>44</v>
      </c>
      <c r="J1192" s="11">
        <v>1091.0804693473326</v>
      </c>
      <c r="K1192" t="str">
        <f t="shared" si="36"/>
        <v>Mike Tarrant</v>
      </c>
    </row>
    <row r="1193" spans="1:11" hidden="1" x14ac:dyDescent="0.35">
      <c r="A1193">
        <f t="shared" si="37"/>
        <v>1192</v>
      </c>
      <c r="B1193">
        <v>2007</v>
      </c>
      <c r="C1193" t="s">
        <v>893</v>
      </c>
      <c r="D1193" t="s">
        <v>913</v>
      </c>
      <c r="E1193" t="s">
        <v>1429</v>
      </c>
      <c r="F1193" s="2">
        <v>205</v>
      </c>
      <c r="G1193" s="2">
        <v>4</v>
      </c>
      <c r="H1193" t="s">
        <v>910</v>
      </c>
      <c r="I1193" t="s">
        <v>911</v>
      </c>
      <c r="J1193" s="11">
        <v>966.14173273903259</v>
      </c>
      <c r="K1193" t="str">
        <f t="shared" si="36"/>
        <v>Fern Chamberlain</v>
      </c>
    </row>
    <row r="1194" spans="1:11" hidden="1" x14ac:dyDescent="0.35">
      <c r="A1194">
        <f t="shared" si="37"/>
        <v>1193</v>
      </c>
      <c r="B1194">
        <v>2007</v>
      </c>
      <c r="C1194" t="s">
        <v>893</v>
      </c>
      <c r="D1194" t="s">
        <v>913</v>
      </c>
      <c r="E1194" t="s">
        <v>1429</v>
      </c>
      <c r="F1194" s="2">
        <v>100</v>
      </c>
      <c r="G1194" s="2">
        <v>5</v>
      </c>
      <c r="H1194" t="s">
        <v>50</v>
      </c>
      <c r="I1194" t="s">
        <v>25</v>
      </c>
      <c r="J1194" s="11">
        <v>869.23171973097612</v>
      </c>
      <c r="K1194" t="str">
        <f t="shared" si="36"/>
        <v>Russell Fox</v>
      </c>
    </row>
    <row r="1195" spans="1:11" hidden="1" x14ac:dyDescent="0.35">
      <c r="A1195">
        <f t="shared" si="37"/>
        <v>1194</v>
      </c>
      <c r="B1195">
        <v>2007</v>
      </c>
      <c r="C1195" t="s">
        <v>893</v>
      </c>
      <c r="D1195" t="s">
        <v>905</v>
      </c>
      <c r="E1195" t="s">
        <v>1429</v>
      </c>
      <c r="F1195" s="2">
        <v>1250</v>
      </c>
      <c r="G1195" s="2">
        <v>1</v>
      </c>
      <c r="H1195" t="s">
        <v>906</v>
      </c>
      <c r="I1195" t="s">
        <v>44</v>
      </c>
      <c r="J1195" s="11">
        <v>1591.0646070264991</v>
      </c>
      <c r="K1195" t="str">
        <f t="shared" si="36"/>
        <v>Mike Osborne</v>
      </c>
    </row>
    <row r="1196" spans="1:11" hidden="1" x14ac:dyDescent="0.35">
      <c r="A1196">
        <f t="shared" si="37"/>
        <v>1195</v>
      </c>
      <c r="B1196">
        <v>2007</v>
      </c>
      <c r="C1196" t="s">
        <v>893</v>
      </c>
      <c r="D1196" t="s">
        <v>905</v>
      </c>
      <c r="E1196" t="s">
        <v>1429</v>
      </c>
      <c r="F1196" s="2">
        <v>780</v>
      </c>
      <c r="G1196" s="2">
        <v>2</v>
      </c>
      <c r="H1196" t="s">
        <v>908</v>
      </c>
      <c r="I1196" t="s">
        <v>11</v>
      </c>
      <c r="J1196" s="11">
        <v>1290.0346113625178</v>
      </c>
      <c r="K1196" t="str">
        <f t="shared" si="36"/>
        <v>Paul Joo</v>
      </c>
    </row>
    <row r="1197" spans="1:11" hidden="1" x14ac:dyDescent="0.35">
      <c r="A1197">
        <f t="shared" si="37"/>
        <v>1196</v>
      </c>
      <c r="B1197">
        <v>2007</v>
      </c>
      <c r="C1197" t="s">
        <v>893</v>
      </c>
      <c r="D1197" t="s">
        <v>905</v>
      </c>
      <c r="E1197" t="s">
        <v>1429</v>
      </c>
      <c r="F1197" s="2">
        <v>470</v>
      </c>
      <c r="G1197" s="2">
        <v>3</v>
      </c>
      <c r="H1197" t="s">
        <v>910</v>
      </c>
      <c r="I1197" t="s">
        <v>911</v>
      </c>
      <c r="J1197" s="11">
        <v>1113.9433523068367</v>
      </c>
      <c r="K1197" t="str">
        <f t="shared" si="36"/>
        <v>Fern Chamberlain</v>
      </c>
    </row>
    <row r="1198" spans="1:11" hidden="1" x14ac:dyDescent="0.35">
      <c r="A1198">
        <f t="shared" si="37"/>
        <v>1197</v>
      </c>
      <c r="B1198">
        <v>2007</v>
      </c>
      <c r="C1198" t="s">
        <v>893</v>
      </c>
      <c r="D1198" t="s">
        <v>905</v>
      </c>
      <c r="E1198" t="s">
        <v>1429</v>
      </c>
      <c r="F1198" s="2">
        <v>310</v>
      </c>
      <c r="G1198" s="2">
        <v>4.5</v>
      </c>
      <c r="H1198" t="s">
        <v>105</v>
      </c>
      <c r="I1198" t="s">
        <v>106</v>
      </c>
      <c r="J1198" s="11">
        <v>937.85209325115534</v>
      </c>
      <c r="K1198" t="str">
        <f t="shared" si="36"/>
        <v>Kenny Shei</v>
      </c>
    </row>
    <row r="1199" spans="1:11" hidden="1" x14ac:dyDescent="0.35">
      <c r="A1199">
        <f t="shared" si="37"/>
        <v>1198</v>
      </c>
      <c r="B1199">
        <v>2007</v>
      </c>
      <c r="C1199" t="s">
        <v>893</v>
      </c>
      <c r="D1199" t="s">
        <v>905</v>
      </c>
      <c r="E1199" t="s">
        <v>1429</v>
      </c>
      <c r="F1199" s="2">
        <v>310</v>
      </c>
      <c r="G1199" s="2">
        <v>4.5</v>
      </c>
      <c r="H1199" t="s">
        <v>896</v>
      </c>
      <c r="I1199" t="s">
        <v>139</v>
      </c>
      <c r="J1199" s="11">
        <v>937.85209325115534</v>
      </c>
      <c r="K1199" t="str">
        <f t="shared" si="36"/>
        <v>Mark Singer</v>
      </c>
    </row>
    <row r="1200" spans="1:11" hidden="1" x14ac:dyDescent="0.35">
      <c r="A1200">
        <f t="shared" si="37"/>
        <v>1199</v>
      </c>
      <c r="B1200">
        <v>2007</v>
      </c>
      <c r="C1200" t="s">
        <v>893</v>
      </c>
      <c r="D1200" t="s">
        <v>894</v>
      </c>
      <c r="E1200" t="s">
        <v>133</v>
      </c>
      <c r="F1200" s="2">
        <v>815</v>
      </c>
      <c r="G1200" s="2">
        <v>1</v>
      </c>
      <c r="H1200" t="s">
        <v>461</v>
      </c>
      <c r="I1200" t="s">
        <v>665</v>
      </c>
      <c r="J1200" s="11">
        <v>1518.5139398778874</v>
      </c>
      <c r="K1200" t="str">
        <f t="shared" si="36"/>
        <v>Robert Jones</v>
      </c>
    </row>
    <row r="1201" spans="1:11" hidden="1" x14ac:dyDescent="0.35">
      <c r="A1201">
        <f t="shared" si="37"/>
        <v>1200</v>
      </c>
      <c r="B1201">
        <v>2007</v>
      </c>
      <c r="C1201" t="s">
        <v>893</v>
      </c>
      <c r="D1201" t="s">
        <v>894</v>
      </c>
      <c r="E1201" t="s">
        <v>133</v>
      </c>
      <c r="F1201" s="2">
        <v>455</v>
      </c>
      <c r="G1201" s="2">
        <v>2</v>
      </c>
      <c r="H1201" t="s">
        <v>895</v>
      </c>
      <c r="I1201" t="s">
        <v>67</v>
      </c>
      <c r="J1201" s="11">
        <v>1217.4839442139062</v>
      </c>
      <c r="K1201" t="str">
        <f t="shared" si="36"/>
        <v>Bob Maher</v>
      </c>
    </row>
    <row r="1202" spans="1:11" hidden="1" x14ac:dyDescent="0.35">
      <c r="A1202">
        <f t="shared" si="37"/>
        <v>1201</v>
      </c>
      <c r="B1202">
        <v>2007</v>
      </c>
      <c r="C1202" t="s">
        <v>893</v>
      </c>
      <c r="D1202" t="s">
        <v>894</v>
      </c>
      <c r="E1202" t="s">
        <v>133</v>
      </c>
      <c r="F1202" s="2">
        <v>270</v>
      </c>
      <c r="G1202" s="2">
        <v>3</v>
      </c>
      <c r="H1202" t="s">
        <v>92</v>
      </c>
      <c r="I1202" t="s">
        <v>93</v>
      </c>
      <c r="J1202" s="11">
        <v>1041.392685158225</v>
      </c>
      <c r="K1202" t="str">
        <f t="shared" si="36"/>
        <v>Kirk Oshiro</v>
      </c>
    </row>
    <row r="1203" spans="1:11" hidden="1" x14ac:dyDescent="0.35">
      <c r="A1203">
        <f t="shared" si="37"/>
        <v>1202</v>
      </c>
      <c r="B1203">
        <v>2007</v>
      </c>
      <c r="C1203" t="s">
        <v>893</v>
      </c>
      <c r="D1203" t="s">
        <v>894</v>
      </c>
      <c r="E1203" t="s">
        <v>133</v>
      </c>
      <c r="F1203" s="2">
        <v>180</v>
      </c>
      <c r="G1203" s="2">
        <v>4</v>
      </c>
      <c r="H1203" t="s">
        <v>72</v>
      </c>
      <c r="I1203" t="s">
        <v>73</v>
      </c>
      <c r="J1203" s="11">
        <v>916.45394854992514</v>
      </c>
      <c r="K1203" t="str">
        <f t="shared" si="36"/>
        <v>Corey Imsdahl</v>
      </c>
    </row>
    <row r="1204" spans="1:11" hidden="1" x14ac:dyDescent="0.35">
      <c r="A1204">
        <f t="shared" si="37"/>
        <v>1203</v>
      </c>
      <c r="B1204">
        <v>2007</v>
      </c>
      <c r="C1204" t="s">
        <v>893</v>
      </c>
      <c r="D1204" t="s">
        <v>894</v>
      </c>
      <c r="E1204" t="s">
        <v>133</v>
      </c>
      <c r="F1204" s="2">
        <v>95</v>
      </c>
      <c r="G1204" s="2">
        <v>5</v>
      </c>
      <c r="H1204" t="s">
        <v>475</v>
      </c>
      <c r="I1204" t="s">
        <v>887</v>
      </c>
      <c r="J1204" s="11">
        <v>819.54393554186868</v>
      </c>
      <c r="K1204" t="str">
        <f t="shared" si="36"/>
        <v>Chic Natkins</v>
      </c>
    </row>
    <row r="1205" spans="1:11" hidden="1" x14ac:dyDescent="0.35">
      <c r="A1205">
        <f t="shared" si="37"/>
        <v>1204</v>
      </c>
      <c r="B1205">
        <v>2007</v>
      </c>
      <c r="C1205" t="s">
        <v>8</v>
      </c>
      <c r="D1205" t="s">
        <v>9</v>
      </c>
      <c r="E1205" t="s">
        <v>1429</v>
      </c>
      <c r="F1205" s="2">
        <v>1200</v>
      </c>
      <c r="G1205" s="2">
        <v>1</v>
      </c>
      <c r="H1205" t="s">
        <v>885</v>
      </c>
      <c r="I1205" t="s">
        <v>136</v>
      </c>
      <c r="J1205" s="11">
        <v>1681.2412373755872</v>
      </c>
      <c r="K1205" t="str">
        <f t="shared" si="36"/>
        <v>John Faeth</v>
      </c>
    </row>
    <row r="1206" spans="1:11" hidden="1" x14ac:dyDescent="0.35">
      <c r="A1206">
        <f t="shared" si="37"/>
        <v>1205</v>
      </c>
      <c r="B1206">
        <v>2007</v>
      </c>
      <c r="C1206" t="s">
        <v>8</v>
      </c>
      <c r="D1206" t="s">
        <v>9</v>
      </c>
      <c r="E1206" t="s">
        <v>1429</v>
      </c>
      <c r="F1206" s="2">
        <v>900</v>
      </c>
      <c r="G1206" s="2">
        <v>2</v>
      </c>
      <c r="H1206" t="s">
        <v>475</v>
      </c>
      <c r="I1206" t="s">
        <v>887</v>
      </c>
      <c r="J1206" s="11">
        <v>1380.2112417116059</v>
      </c>
      <c r="K1206" t="str">
        <f t="shared" si="36"/>
        <v>Chic Natkins</v>
      </c>
    </row>
    <row r="1207" spans="1:11" hidden="1" x14ac:dyDescent="0.35">
      <c r="A1207">
        <f t="shared" si="37"/>
        <v>1206</v>
      </c>
      <c r="B1207">
        <v>2007</v>
      </c>
      <c r="C1207" t="s">
        <v>8</v>
      </c>
      <c r="D1207" t="s">
        <v>9</v>
      </c>
      <c r="E1207" t="s">
        <v>1429</v>
      </c>
      <c r="F1207" s="2">
        <v>600</v>
      </c>
      <c r="G1207" s="2">
        <v>3</v>
      </c>
      <c r="H1207" t="s">
        <v>248</v>
      </c>
      <c r="I1207" t="s">
        <v>249</v>
      </c>
      <c r="J1207" s="11">
        <v>1204.1199826559248</v>
      </c>
      <c r="K1207" t="str">
        <f t="shared" si="36"/>
        <v>Ross Poppel</v>
      </c>
    </row>
    <row r="1208" spans="1:11" hidden="1" x14ac:dyDescent="0.35">
      <c r="A1208">
        <f t="shared" si="37"/>
        <v>1207</v>
      </c>
      <c r="B1208">
        <v>2007</v>
      </c>
      <c r="C1208" t="s">
        <v>8</v>
      </c>
      <c r="D1208" t="s">
        <v>9</v>
      </c>
      <c r="E1208" t="s">
        <v>1429</v>
      </c>
      <c r="F1208" s="2">
        <v>500</v>
      </c>
      <c r="G1208" s="2">
        <v>4</v>
      </c>
      <c r="H1208" t="s">
        <v>889</v>
      </c>
      <c r="I1208" t="s">
        <v>890</v>
      </c>
      <c r="J1208" s="11">
        <v>1079.1812460476247</v>
      </c>
      <c r="K1208" t="str">
        <f t="shared" si="36"/>
        <v>Perry Spies</v>
      </c>
    </row>
    <row r="1209" spans="1:11" hidden="1" x14ac:dyDescent="0.35">
      <c r="A1209">
        <f t="shared" si="37"/>
        <v>1208</v>
      </c>
      <c r="B1209">
        <v>2007</v>
      </c>
      <c r="C1209" t="s">
        <v>8</v>
      </c>
      <c r="D1209" t="s">
        <v>9</v>
      </c>
      <c r="E1209" t="s">
        <v>1429</v>
      </c>
      <c r="F1209" s="2">
        <v>400</v>
      </c>
      <c r="G1209" s="2">
        <v>6.5</v>
      </c>
      <c r="H1209" t="s">
        <v>161</v>
      </c>
      <c r="I1209" t="s">
        <v>162</v>
      </c>
      <c r="J1209" s="11">
        <v>868.32788073273161</v>
      </c>
      <c r="K1209" t="str">
        <f t="shared" si="36"/>
        <v>Tracy Becker</v>
      </c>
    </row>
    <row r="1210" spans="1:11" hidden="1" x14ac:dyDescent="0.35">
      <c r="A1210">
        <f t="shared" si="37"/>
        <v>1209</v>
      </c>
      <c r="B1210">
        <v>2007</v>
      </c>
      <c r="C1210" t="s">
        <v>8</v>
      </c>
      <c r="D1210" t="s">
        <v>9</v>
      </c>
      <c r="E1210" t="s">
        <v>1429</v>
      </c>
      <c r="F1210" s="2">
        <v>400</v>
      </c>
      <c r="G1210" s="2">
        <v>6.5</v>
      </c>
      <c r="H1210" t="s">
        <v>731</v>
      </c>
      <c r="I1210" t="s">
        <v>384</v>
      </c>
      <c r="J1210" s="11">
        <v>868.32788073273161</v>
      </c>
      <c r="K1210" t="str">
        <f t="shared" si="36"/>
        <v>Jeff Calkins</v>
      </c>
    </row>
    <row r="1211" spans="1:11" hidden="1" x14ac:dyDescent="0.35">
      <c r="A1211">
        <f t="shared" si="37"/>
        <v>1210</v>
      </c>
      <c r="B1211">
        <v>2007</v>
      </c>
      <c r="C1211" t="s">
        <v>8</v>
      </c>
      <c r="D1211" t="s">
        <v>9</v>
      </c>
      <c r="E1211" t="s">
        <v>1429</v>
      </c>
      <c r="F1211" s="2">
        <v>400</v>
      </c>
      <c r="G1211" s="2">
        <v>6.5</v>
      </c>
      <c r="H1211" t="s">
        <v>428</v>
      </c>
      <c r="I1211" t="s">
        <v>429</v>
      </c>
      <c r="J1211" s="11">
        <v>868.32788073273161</v>
      </c>
      <c r="K1211" t="str">
        <f t="shared" si="36"/>
        <v>Mary Hall</v>
      </c>
    </row>
    <row r="1212" spans="1:11" hidden="1" x14ac:dyDescent="0.35">
      <c r="A1212">
        <f t="shared" si="37"/>
        <v>1211</v>
      </c>
      <c r="B1212">
        <v>2007</v>
      </c>
      <c r="C1212" t="s">
        <v>8</v>
      </c>
      <c r="D1212" t="s">
        <v>9</v>
      </c>
      <c r="E1212" t="s">
        <v>1429</v>
      </c>
      <c r="F1212" s="2">
        <v>400</v>
      </c>
      <c r="G1212" s="2">
        <v>6.5</v>
      </c>
      <c r="H1212" t="s">
        <v>105</v>
      </c>
      <c r="I1212" t="s">
        <v>106</v>
      </c>
      <c r="J1212" s="11">
        <v>868.32788073273161</v>
      </c>
      <c r="K1212" t="str">
        <f t="shared" si="36"/>
        <v>Kenny Shei</v>
      </c>
    </row>
    <row r="1213" spans="1:11" hidden="1" x14ac:dyDescent="0.35">
      <c r="A1213">
        <f t="shared" si="37"/>
        <v>1212</v>
      </c>
      <c r="B1213">
        <v>2007</v>
      </c>
      <c r="C1213" t="s">
        <v>8</v>
      </c>
      <c r="D1213" t="s">
        <v>557</v>
      </c>
      <c r="E1213" t="s">
        <v>1430</v>
      </c>
      <c r="F1213" s="2">
        <v>2166</v>
      </c>
      <c r="G1213" s="2">
        <v>1</v>
      </c>
      <c r="H1213" t="s">
        <v>57</v>
      </c>
      <c r="I1213" t="s">
        <v>58</v>
      </c>
      <c r="J1213" s="11">
        <v>1792.391689498254</v>
      </c>
      <c r="K1213" t="str">
        <f t="shared" si="36"/>
        <v>Jim Rogers</v>
      </c>
    </row>
    <row r="1214" spans="1:11" hidden="1" x14ac:dyDescent="0.35">
      <c r="A1214">
        <f t="shared" si="37"/>
        <v>1213</v>
      </c>
      <c r="B1214">
        <v>2007</v>
      </c>
      <c r="C1214" t="s">
        <v>8</v>
      </c>
      <c r="D1214" t="s">
        <v>557</v>
      </c>
      <c r="E1214" t="s">
        <v>1430</v>
      </c>
      <c r="F1214" s="2">
        <v>1112</v>
      </c>
      <c r="G1214" s="2">
        <v>2</v>
      </c>
      <c r="H1214" t="s">
        <v>377</v>
      </c>
      <c r="I1214" t="s">
        <v>119</v>
      </c>
      <c r="J1214" s="11">
        <v>1491.3616938342727</v>
      </c>
      <c r="K1214" t="str">
        <f t="shared" si="36"/>
        <v>Peter Stephenson</v>
      </c>
    </row>
    <row r="1215" spans="1:11" hidden="1" x14ac:dyDescent="0.35">
      <c r="A1215">
        <f t="shared" si="37"/>
        <v>1214</v>
      </c>
      <c r="B1215">
        <v>2007</v>
      </c>
      <c r="C1215" t="s">
        <v>8</v>
      </c>
      <c r="D1215" t="s">
        <v>557</v>
      </c>
      <c r="E1215" t="s">
        <v>1430</v>
      </c>
      <c r="F1215" s="2">
        <v>692</v>
      </c>
      <c r="G1215" s="2">
        <v>3</v>
      </c>
      <c r="H1215" t="s">
        <v>189</v>
      </c>
      <c r="I1215" t="s">
        <v>190</v>
      </c>
      <c r="J1215" s="11">
        <v>1315.2704347785916</v>
      </c>
      <c r="K1215" t="str">
        <f t="shared" si="36"/>
        <v>Gary Starr</v>
      </c>
    </row>
    <row r="1216" spans="1:11" hidden="1" x14ac:dyDescent="0.35">
      <c r="A1216">
        <f t="shared" si="37"/>
        <v>1215</v>
      </c>
      <c r="B1216">
        <v>2007</v>
      </c>
      <c r="C1216" t="s">
        <v>8</v>
      </c>
      <c r="D1216" t="s">
        <v>557</v>
      </c>
      <c r="E1216" t="s">
        <v>1430</v>
      </c>
      <c r="F1216" s="2">
        <v>511</v>
      </c>
      <c r="G1216" s="2">
        <v>4</v>
      </c>
      <c r="H1216" t="s">
        <v>64</v>
      </c>
      <c r="I1216" t="s">
        <v>65</v>
      </c>
      <c r="J1216" s="11">
        <v>1190.3316981702915</v>
      </c>
      <c r="K1216" t="str">
        <f t="shared" si="36"/>
        <v>Steve Daniel</v>
      </c>
    </row>
    <row r="1217" spans="1:11" hidden="1" x14ac:dyDescent="0.35">
      <c r="A1217">
        <f t="shared" si="37"/>
        <v>1216</v>
      </c>
      <c r="B1217">
        <v>2007</v>
      </c>
      <c r="C1217" t="s">
        <v>8</v>
      </c>
      <c r="D1217" t="s">
        <v>557</v>
      </c>
      <c r="E1217" t="s">
        <v>1430</v>
      </c>
      <c r="F1217" s="2">
        <v>311</v>
      </c>
      <c r="G1217" s="2">
        <v>5</v>
      </c>
      <c r="H1217" t="s">
        <v>882</v>
      </c>
      <c r="I1217" t="s">
        <v>388</v>
      </c>
      <c r="J1217" s="11">
        <v>1093.4216851622352</v>
      </c>
      <c r="K1217" t="str">
        <f t="shared" si="36"/>
        <v>Charles Sawyer</v>
      </c>
    </row>
    <row r="1218" spans="1:11" hidden="1" x14ac:dyDescent="0.35">
      <c r="A1218">
        <f t="shared" si="37"/>
        <v>1217</v>
      </c>
      <c r="B1218">
        <v>2007</v>
      </c>
      <c r="C1218" t="s">
        <v>8</v>
      </c>
      <c r="D1218" t="s">
        <v>557</v>
      </c>
      <c r="E1218" t="s">
        <v>1430</v>
      </c>
      <c r="F1218" s="2">
        <v>300</v>
      </c>
      <c r="G1218" s="2">
        <v>6</v>
      </c>
      <c r="H1218" t="s">
        <v>238</v>
      </c>
      <c r="I1218" t="s">
        <v>16</v>
      </c>
      <c r="J1218" s="11">
        <v>1014.2404391146102</v>
      </c>
      <c r="K1218" t="str">
        <f t="shared" ref="K1218:K1281" si="38">I1218&amp;" "&amp;H1218</f>
        <v>David Kuznick</v>
      </c>
    </row>
    <row r="1219" spans="1:11" hidden="1" x14ac:dyDescent="0.35">
      <c r="A1219">
        <f t="shared" si="37"/>
        <v>1218</v>
      </c>
      <c r="B1219">
        <v>2007</v>
      </c>
      <c r="C1219" t="s">
        <v>8</v>
      </c>
      <c r="D1219" t="s">
        <v>557</v>
      </c>
      <c r="E1219" t="s">
        <v>1430</v>
      </c>
      <c r="F1219" s="2">
        <v>271</v>
      </c>
      <c r="G1219" s="2">
        <v>7</v>
      </c>
      <c r="H1219" t="s">
        <v>866</v>
      </c>
      <c r="I1219" t="s">
        <v>421</v>
      </c>
      <c r="J1219" s="11">
        <v>947.29364948399711</v>
      </c>
      <c r="K1219" t="str">
        <f t="shared" si="38"/>
        <v>Bill Matros</v>
      </c>
    </row>
    <row r="1220" spans="1:11" hidden="1" x14ac:dyDescent="0.35">
      <c r="A1220">
        <f t="shared" ref="A1220:A1283" si="39">A1219+1</f>
        <v>1219</v>
      </c>
      <c r="B1220">
        <v>2007</v>
      </c>
      <c r="C1220" t="s">
        <v>8</v>
      </c>
      <c r="D1220" t="s">
        <v>557</v>
      </c>
      <c r="E1220" t="s">
        <v>1430</v>
      </c>
      <c r="F1220" s="2">
        <v>241</v>
      </c>
      <c r="G1220" s="2">
        <v>8</v>
      </c>
      <c r="H1220" t="s">
        <v>883</v>
      </c>
      <c r="I1220" t="s">
        <v>884</v>
      </c>
      <c r="J1220" s="11">
        <v>889.30170250631033</v>
      </c>
      <c r="K1220" t="str">
        <f t="shared" si="38"/>
        <v>Salim Valimahomed</v>
      </c>
    </row>
    <row r="1221" spans="1:11" hidden="1" x14ac:dyDescent="0.35">
      <c r="A1221">
        <f t="shared" si="39"/>
        <v>1220</v>
      </c>
      <c r="B1221">
        <v>2007</v>
      </c>
      <c r="C1221" t="s">
        <v>8</v>
      </c>
      <c r="D1221" t="s">
        <v>557</v>
      </c>
      <c r="E1221" t="s">
        <v>1430</v>
      </c>
      <c r="F1221" s="2">
        <v>210</v>
      </c>
      <c r="G1221" s="2">
        <v>9</v>
      </c>
      <c r="H1221" t="s">
        <v>436</v>
      </c>
      <c r="I1221" t="s">
        <v>16</v>
      </c>
      <c r="J1221" s="11">
        <v>838.14918005892901</v>
      </c>
      <c r="K1221" t="str">
        <f t="shared" si="38"/>
        <v>David Coates</v>
      </c>
    </row>
    <row r="1222" spans="1:11" hidden="1" x14ac:dyDescent="0.35">
      <c r="A1222">
        <f t="shared" si="39"/>
        <v>1221</v>
      </c>
      <c r="B1222">
        <v>2007</v>
      </c>
      <c r="C1222" t="s">
        <v>8</v>
      </c>
      <c r="D1222" t="s">
        <v>557</v>
      </c>
      <c r="E1222" t="s">
        <v>1430</v>
      </c>
      <c r="F1222" s="2">
        <v>180</v>
      </c>
      <c r="G1222" s="2">
        <v>10</v>
      </c>
      <c r="H1222" t="s">
        <v>870</v>
      </c>
      <c r="I1222" t="s">
        <v>528</v>
      </c>
      <c r="J1222" s="11">
        <v>792.39168949825387</v>
      </c>
      <c r="K1222" t="str">
        <f t="shared" si="38"/>
        <v>Tim Woodbury</v>
      </c>
    </row>
    <row r="1223" spans="1:11" hidden="1" x14ac:dyDescent="0.35">
      <c r="A1223">
        <f t="shared" si="39"/>
        <v>1222</v>
      </c>
      <c r="B1223">
        <v>2007</v>
      </c>
      <c r="C1223" t="s">
        <v>8</v>
      </c>
      <c r="D1223" t="s">
        <v>45</v>
      </c>
      <c r="E1223" t="s">
        <v>1429</v>
      </c>
      <c r="F1223" s="2">
        <v>3434</v>
      </c>
      <c r="G1223" s="2">
        <v>1</v>
      </c>
      <c r="H1223" t="s">
        <v>866</v>
      </c>
      <c r="I1223" t="s">
        <v>142</v>
      </c>
      <c r="J1223" s="11">
        <v>2071.8820073061256</v>
      </c>
      <c r="K1223" t="str">
        <f t="shared" si="38"/>
        <v>Matt Matros</v>
      </c>
    </row>
    <row r="1224" spans="1:11" hidden="1" x14ac:dyDescent="0.35">
      <c r="A1224">
        <f t="shared" si="39"/>
        <v>1223</v>
      </c>
      <c r="B1224">
        <v>2007</v>
      </c>
      <c r="C1224" t="s">
        <v>8</v>
      </c>
      <c r="D1224" t="s">
        <v>45</v>
      </c>
      <c r="E1224" t="s">
        <v>1429</v>
      </c>
      <c r="F1224" s="2">
        <v>2003</v>
      </c>
      <c r="G1224" s="2">
        <v>2</v>
      </c>
      <c r="H1224" t="s">
        <v>66</v>
      </c>
      <c r="I1224" t="s">
        <v>67</v>
      </c>
      <c r="J1224" s="11">
        <v>1770.8520116421441</v>
      </c>
      <c r="K1224" t="str">
        <f t="shared" si="38"/>
        <v>Bob Lauria</v>
      </c>
    </row>
    <row r="1225" spans="1:11" hidden="1" x14ac:dyDescent="0.35">
      <c r="A1225">
        <f t="shared" si="39"/>
        <v>1224</v>
      </c>
      <c r="B1225">
        <v>2007</v>
      </c>
      <c r="C1225" t="s">
        <v>8</v>
      </c>
      <c r="D1225" t="s">
        <v>45</v>
      </c>
      <c r="E1225" t="s">
        <v>1429</v>
      </c>
      <c r="F1225" s="2">
        <v>1202</v>
      </c>
      <c r="G1225" s="2">
        <v>3</v>
      </c>
      <c r="H1225" t="s">
        <v>648</v>
      </c>
      <c r="I1225" t="s">
        <v>649</v>
      </c>
      <c r="J1225" s="11">
        <v>1594.760752586463</v>
      </c>
      <c r="K1225" t="str">
        <f t="shared" si="38"/>
        <v>Luisa Gomes</v>
      </c>
    </row>
    <row r="1226" spans="1:11" hidden="1" x14ac:dyDescent="0.35">
      <c r="A1226">
        <f t="shared" si="39"/>
        <v>1225</v>
      </c>
      <c r="B1226">
        <v>2007</v>
      </c>
      <c r="C1226" t="s">
        <v>8</v>
      </c>
      <c r="D1226" t="s">
        <v>45</v>
      </c>
      <c r="E1226" t="s">
        <v>1429</v>
      </c>
      <c r="F1226" s="2">
        <v>859</v>
      </c>
      <c r="G1226" s="2">
        <v>4</v>
      </c>
      <c r="H1226" t="s">
        <v>642</v>
      </c>
      <c r="I1226" t="s">
        <v>136</v>
      </c>
      <c r="J1226" s="11">
        <v>1469.8220159781629</v>
      </c>
      <c r="K1226" t="str">
        <f t="shared" si="38"/>
        <v>John DeRose</v>
      </c>
    </row>
    <row r="1227" spans="1:11" hidden="1" x14ac:dyDescent="0.35">
      <c r="A1227">
        <f t="shared" si="39"/>
        <v>1226</v>
      </c>
      <c r="B1227">
        <v>2007</v>
      </c>
      <c r="C1227" t="s">
        <v>8</v>
      </c>
      <c r="D1227" t="s">
        <v>45</v>
      </c>
      <c r="E1227" t="s">
        <v>1429</v>
      </c>
      <c r="F1227" s="2">
        <v>515</v>
      </c>
      <c r="G1227" s="2">
        <v>5</v>
      </c>
      <c r="H1227" t="s">
        <v>465</v>
      </c>
      <c r="I1227" t="s">
        <v>11</v>
      </c>
      <c r="J1227" s="11">
        <v>1372.9120029701066</v>
      </c>
      <c r="K1227" t="str">
        <f t="shared" si="38"/>
        <v>Paul Sikorski</v>
      </c>
    </row>
    <row r="1228" spans="1:11" hidden="1" x14ac:dyDescent="0.35">
      <c r="A1228">
        <f t="shared" si="39"/>
        <v>1227</v>
      </c>
      <c r="B1228">
        <v>2007</v>
      </c>
      <c r="C1228" t="s">
        <v>8</v>
      </c>
      <c r="D1228" t="s">
        <v>45</v>
      </c>
      <c r="E1228" t="s">
        <v>1429</v>
      </c>
      <c r="F1228" s="2">
        <v>458</v>
      </c>
      <c r="G1228" s="2">
        <v>6</v>
      </c>
      <c r="H1228" t="s">
        <v>868</v>
      </c>
      <c r="I1228" t="s">
        <v>63</v>
      </c>
      <c r="J1228" s="11">
        <v>1293.7307569224818</v>
      </c>
      <c r="K1228" t="str">
        <f t="shared" si="38"/>
        <v>Claudia Mastroianni</v>
      </c>
    </row>
    <row r="1229" spans="1:11" hidden="1" x14ac:dyDescent="0.35">
      <c r="A1229">
        <f t="shared" si="39"/>
        <v>1228</v>
      </c>
      <c r="B1229">
        <v>2007</v>
      </c>
      <c r="C1229" t="s">
        <v>8</v>
      </c>
      <c r="D1229" t="s">
        <v>45</v>
      </c>
      <c r="E1229" t="s">
        <v>1429</v>
      </c>
      <c r="F1229" s="2">
        <v>400</v>
      </c>
      <c r="G1229" s="2">
        <v>7</v>
      </c>
      <c r="H1229" t="s">
        <v>711</v>
      </c>
      <c r="I1229" t="s">
        <v>85</v>
      </c>
      <c r="J1229" s="11">
        <v>1226.7839672918685</v>
      </c>
      <c r="K1229" t="str">
        <f t="shared" si="38"/>
        <v>Patrick Kirwan</v>
      </c>
    </row>
    <row r="1230" spans="1:11" hidden="1" x14ac:dyDescent="0.35">
      <c r="A1230">
        <f t="shared" si="39"/>
        <v>1229</v>
      </c>
      <c r="B1230">
        <v>2007</v>
      </c>
      <c r="C1230" t="s">
        <v>8</v>
      </c>
      <c r="D1230" t="s">
        <v>45</v>
      </c>
      <c r="E1230" t="s">
        <v>1429</v>
      </c>
      <c r="F1230" s="2">
        <v>344</v>
      </c>
      <c r="G1230" s="2">
        <v>8</v>
      </c>
      <c r="H1230" t="s">
        <v>870</v>
      </c>
      <c r="I1230" t="s">
        <v>528</v>
      </c>
      <c r="J1230" s="11">
        <v>1168.7920203141819</v>
      </c>
      <c r="K1230" t="str">
        <f t="shared" si="38"/>
        <v>Tim Woodbury</v>
      </c>
    </row>
    <row r="1231" spans="1:11" hidden="1" x14ac:dyDescent="0.35">
      <c r="A1231">
        <f t="shared" si="39"/>
        <v>1230</v>
      </c>
      <c r="B1231">
        <v>2007</v>
      </c>
      <c r="C1231" t="s">
        <v>8</v>
      </c>
      <c r="D1231" t="s">
        <v>45</v>
      </c>
      <c r="E1231" t="s">
        <v>1429</v>
      </c>
      <c r="F1231" s="2">
        <v>286</v>
      </c>
      <c r="G1231" s="2">
        <v>9</v>
      </c>
      <c r="H1231" t="s">
        <v>128</v>
      </c>
      <c r="I1231" t="s">
        <v>443</v>
      </c>
      <c r="J1231" s="11">
        <v>1117.6394978668006</v>
      </c>
      <c r="K1231" t="str">
        <f t="shared" si="38"/>
        <v>Ming Lee</v>
      </c>
    </row>
    <row r="1232" spans="1:11" hidden="1" x14ac:dyDescent="0.35">
      <c r="A1232">
        <f t="shared" si="39"/>
        <v>1231</v>
      </c>
      <c r="B1232">
        <v>2007</v>
      </c>
      <c r="C1232" t="s">
        <v>8</v>
      </c>
      <c r="D1232" t="s">
        <v>45</v>
      </c>
      <c r="E1232" t="s">
        <v>1429</v>
      </c>
      <c r="F1232" s="2">
        <v>235</v>
      </c>
      <c r="G1232" s="2">
        <v>10</v>
      </c>
      <c r="H1232" t="s">
        <v>716</v>
      </c>
      <c r="I1232" t="s">
        <v>855</v>
      </c>
      <c r="J1232" s="11">
        <v>1071.8820073061254</v>
      </c>
      <c r="K1232" t="str">
        <f t="shared" si="38"/>
        <v>Robin Walker</v>
      </c>
    </row>
    <row r="1233" spans="1:11" hidden="1" x14ac:dyDescent="0.35">
      <c r="A1233">
        <f t="shared" si="39"/>
        <v>1232</v>
      </c>
      <c r="B1233">
        <v>2007</v>
      </c>
      <c r="C1233" t="s">
        <v>8</v>
      </c>
      <c r="D1233" t="s">
        <v>45</v>
      </c>
      <c r="E1233" t="s">
        <v>1429</v>
      </c>
      <c r="F1233" s="2">
        <v>171</v>
      </c>
      <c r="G1233" s="2">
        <v>11</v>
      </c>
      <c r="H1233" t="s">
        <v>871</v>
      </c>
      <c r="I1233" t="s">
        <v>872</v>
      </c>
      <c r="J1233" s="11">
        <v>1030.4893221479003</v>
      </c>
      <c r="K1233" t="str">
        <f t="shared" si="38"/>
        <v>Marie Hannah</v>
      </c>
    </row>
    <row r="1234" spans="1:11" hidden="1" x14ac:dyDescent="0.35">
      <c r="A1234">
        <f t="shared" si="39"/>
        <v>1233</v>
      </c>
      <c r="B1234">
        <v>2007</v>
      </c>
      <c r="C1234" t="s">
        <v>8</v>
      </c>
      <c r="D1234" t="s">
        <v>45</v>
      </c>
      <c r="E1234" t="s">
        <v>1429</v>
      </c>
      <c r="F1234" s="2">
        <v>171</v>
      </c>
      <c r="G1234" s="2">
        <v>12</v>
      </c>
      <c r="H1234" t="s">
        <v>64</v>
      </c>
      <c r="I1234" t="s">
        <v>65</v>
      </c>
      <c r="J1234" s="11">
        <v>992.70076125850062</v>
      </c>
      <c r="K1234" t="str">
        <f t="shared" si="38"/>
        <v>Steve Daniel</v>
      </c>
    </row>
    <row r="1235" spans="1:11" hidden="1" x14ac:dyDescent="0.35">
      <c r="A1235">
        <f t="shared" si="39"/>
        <v>1234</v>
      </c>
      <c r="B1235">
        <v>2007</v>
      </c>
      <c r="C1235" t="s">
        <v>8</v>
      </c>
      <c r="D1235" t="s">
        <v>45</v>
      </c>
      <c r="E1235" t="s">
        <v>1429</v>
      </c>
      <c r="F1235" s="2">
        <v>171</v>
      </c>
      <c r="G1235" s="2">
        <v>13</v>
      </c>
      <c r="H1235" t="s">
        <v>874</v>
      </c>
      <c r="I1235" t="s">
        <v>136</v>
      </c>
      <c r="J1235" s="11">
        <v>957.93865499928881</v>
      </c>
      <c r="K1235" t="str">
        <f t="shared" si="38"/>
        <v>John Ginty</v>
      </c>
    </row>
    <row r="1236" spans="1:11" hidden="1" x14ac:dyDescent="0.35">
      <c r="A1236">
        <f t="shared" si="39"/>
        <v>1235</v>
      </c>
      <c r="B1236">
        <v>2007</v>
      </c>
      <c r="C1236" t="s">
        <v>8</v>
      </c>
      <c r="D1236" t="s">
        <v>45</v>
      </c>
      <c r="E1236" t="s">
        <v>1429</v>
      </c>
      <c r="F1236" s="2">
        <v>171</v>
      </c>
      <c r="G1236" s="2">
        <v>14</v>
      </c>
      <c r="H1236" t="s">
        <v>876</v>
      </c>
      <c r="I1236" t="s">
        <v>480</v>
      </c>
      <c r="J1236" s="11">
        <v>925.75397162788749</v>
      </c>
      <c r="K1236" t="str">
        <f t="shared" si="38"/>
        <v>James Connelly</v>
      </c>
    </row>
    <row r="1237" spans="1:11" hidden="1" x14ac:dyDescent="0.35">
      <c r="A1237">
        <f t="shared" si="39"/>
        <v>1236</v>
      </c>
      <c r="B1237">
        <v>2007</v>
      </c>
      <c r="C1237" t="s">
        <v>8</v>
      </c>
      <c r="D1237" t="s">
        <v>45</v>
      </c>
      <c r="E1237" t="s">
        <v>1429</v>
      </c>
      <c r="F1237" s="2">
        <v>171</v>
      </c>
      <c r="G1237" s="2">
        <v>15</v>
      </c>
      <c r="H1237" t="s">
        <v>759</v>
      </c>
      <c r="I1237" t="s">
        <v>760</v>
      </c>
      <c r="J1237" s="11">
        <v>895.79074825044415</v>
      </c>
      <c r="K1237" t="str">
        <f t="shared" si="38"/>
        <v>Victor Luzarraga</v>
      </c>
    </row>
    <row r="1238" spans="1:11" hidden="1" x14ac:dyDescent="0.35">
      <c r="A1238">
        <f t="shared" si="39"/>
        <v>1237</v>
      </c>
      <c r="B1238">
        <v>2007</v>
      </c>
      <c r="C1238" t="s">
        <v>8</v>
      </c>
      <c r="D1238" t="s">
        <v>45</v>
      </c>
      <c r="E1238" t="s">
        <v>1429</v>
      </c>
      <c r="F1238" s="2">
        <v>171</v>
      </c>
      <c r="G1238" s="2">
        <v>16</v>
      </c>
      <c r="H1238" t="s">
        <v>878</v>
      </c>
      <c r="I1238" t="s">
        <v>136</v>
      </c>
      <c r="J1238" s="11">
        <v>867.76202465020071</v>
      </c>
      <c r="K1238" t="str">
        <f t="shared" si="38"/>
        <v>John Chesser</v>
      </c>
    </row>
    <row r="1239" spans="1:11" hidden="1" x14ac:dyDescent="0.35">
      <c r="A1239">
        <f t="shared" si="39"/>
        <v>1238</v>
      </c>
      <c r="B1239">
        <v>2007</v>
      </c>
      <c r="C1239" t="s">
        <v>8</v>
      </c>
      <c r="D1239" t="s">
        <v>45</v>
      </c>
      <c r="E1239" t="s">
        <v>1429</v>
      </c>
      <c r="F1239" s="2">
        <v>171</v>
      </c>
      <c r="G1239" s="2">
        <v>17</v>
      </c>
      <c r="H1239" t="s">
        <v>702</v>
      </c>
      <c r="I1239" t="s">
        <v>218</v>
      </c>
      <c r="J1239" s="11">
        <v>841.43308592785161</v>
      </c>
      <c r="K1239" t="str">
        <f t="shared" si="38"/>
        <v>Michael Simpson</v>
      </c>
    </row>
    <row r="1240" spans="1:11" hidden="1" x14ac:dyDescent="0.35">
      <c r="A1240">
        <f t="shared" si="39"/>
        <v>1239</v>
      </c>
      <c r="B1240">
        <v>2007</v>
      </c>
      <c r="C1240" t="s">
        <v>8</v>
      </c>
      <c r="D1240" t="s">
        <v>45</v>
      </c>
      <c r="E1240" t="s">
        <v>1429</v>
      </c>
      <c r="F1240" s="2">
        <v>171</v>
      </c>
      <c r="G1240" s="2">
        <v>18</v>
      </c>
      <c r="H1240" t="s">
        <v>340</v>
      </c>
      <c r="I1240" t="s">
        <v>665</v>
      </c>
      <c r="J1240" s="11">
        <v>816.6095022028195</v>
      </c>
      <c r="K1240" t="str">
        <f t="shared" si="38"/>
        <v>Robert Catlett</v>
      </c>
    </row>
    <row r="1241" spans="1:11" hidden="1" x14ac:dyDescent="0.35">
      <c r="A1241">
        <f t="shared" si="39"/>
        <v>1240</v>
      </c>
      <c r="B1241">
        <v>2007</v>
      </c>
      <c r="C1241" t="s">
        <v>8</v>
      </c>
      <c r="D1241" t="s">
        <v>45</v>
      </c>
      <c r="E1241" t="s">
        <v>1429</v>
      </c>
      <c r="F1241" s="2">
        <v>171</v>
      </c>
      <c r="G1241" s="2">
        <v>19</v>
      </c>
      <c r="H1241" t="s">
        <v>118</v>
      </c>
      <c r="I1241" t="s">
        <v>415</v>
      </c>
      <c r="J1241" s="11">
        <v>793.12840635329667</v>
      </c>
      <c r="K1241" t="str">
        <f t="shared" si="38"/>
        <v>Pete Segal</v>
      </c>
    </row>
    <row r="1242" spans="1:11" hidden="1" x14ac:dyDescent="0.35">
      <c r="A1242">
        <f t="shared" si="39"/>
        <v>1241</v>
      </c>
      <c r="B1242">
        <v>2007</v>
      </c>
      <c r="C1242" t="s">
        <v>8</v>
      </c>
      <c r="D1242" t="s">
        <v>45</v>
      </c>
      <c r="E1242" t="s">
        <v>1429</v>
      </c>
      <c r="F1242" s="2">
        <v>171</v>
      </c>
      <c r="G1242" s="2">
        <v>20</v>
      </c>
      <c r="H1242" t="s">
        <v>880</v>
      </c>
      <c r="I1242" t="s">
        <v>687</v>
      </c>
      <c r="J1242" s="11">
        <v>770.85201164214425</v>
      </c>
      <c r="K1242" t="str">
        <f t="shared" si="38"/>
        <v>Debra Johnson</v>
      </c>
    </row>
    <row r="1243" spans="1:11" hidden="1" x14ac:dyDescent="0.35">
      <c r="A1243">
        <f t="shared" si="39"/>
        <v>1242</v>
      </c>
      <c r="B1243">
        <v>2007</v>
      </c>
      <c r="C1243" t="s">
        <v>8</v>
      </c>
      <c r="D1243" t="s">
        <v>24</v>
      </c>
      <c r="E1243" t="s">
        <v>1432</v>
      </c>
      <c r="F1243" s="2">
        <v>1746</v>
      </c>
      <c r="G1243" s="2">
        <v>1</v>
      </c>
      <c r="H1243" t="s">
        <v>80</v>
      </c>
      <c r="I1243" t="s">
        <v>156</v>
      </c>
      <c r="J1243" s="11">
        <v>849.48500216800937</v>
      </c>
      <c r="K1243" t="str">
        <f t="shared" si="38"/>
        <v>Ashley Adams</v>
      </c>
    </row>
    <row r="1244" spans="1:11" hidden="1" x14ac:dyDescent="0.35">
      <c r="A1244">
        <f t="shared" si="39"/>
        <v>1243</v>
      </c>
      <c r="B1244">
        <v>2007</v>
      </c>
      <c r="C1244" t="s">
        <v>8</v>
      </c>
      <c r="D1244" t="s">
        <v>24</v>
      </c>
      <c r="E1244" t="s">
        <v>1432</v>
      </c>
      <c r="F1244" s="2">
        <v>1746</v>
      </c>
      <c r="G1244" s="2">
        <v>1</v>
      </c>
      <c r="H1244" t="s">
        <v>158</v>
      </c>
      <c r="I1244" t="s">
        <v>159</v>
      </c>
      <c r="J1244" s="11">
        <v>849.48500216800937</v>
      </c>
      <c r="K1244" t="str">
        <f t="shared" si="38"/>
        <v>Brian Hackett</v>
      </c>
    </row>
    <row r="1245" spans="1:11" hidden="1" x14ac:dyDescent="0.35">
      <c r="A1245">
        <f t="shared" si="39"/>
        <v>1244</v>
      </c>
      <c r="B1245">
        <v>2007</v>
      </c>
      <c r="C1245" t="s">
        <v>8</v>
      </c>
      <c r="D1245" t="s">
        <v>24</v>
      </c>
      <c r="E1245" t="s">
        <v>1432</v>
      </c>
      <c r="F1245" s="2">
        <v>989</v>
      </c>
      <c r="G1245" s="2">
        <v>2</v>
      </c>
      <c r="H1245" t="s">
        <v>853</v>
      </c>
      <c r="I1245" t="s">
        <v>854</v>
      </c>
      <c r="J1245" s="11">
        <v>698.97000433601875</v>
      </c>
      <c r="K1245" t="str">
        <f t="shared" si="38"/>
        <v>Geoffery Talvola</v>
      </c>
    </row>
    <row r="1246" spans="1:11" hidden="1" x14ac:dyDescent="0.35">
      <c r="A1246">
        <f t="shared" si="39"/>
        <v>1245</v>
      </c>
      <c r="B1246">
        <v>2007</v>
      </c>
      <c r="C1246" t="s">
        <v>8</v>
      </c>
      <c r="D1246" t="s">
        <v>24</v>
      </c>
      <c r="E1246" t="s">
        <v>1432</v>
      </c>
      <c r="F1246" s="2">
        <v>897</v>
      </c>
      <c r="G1246" s="2">
        <v>2</v>
      </c>
      <c r="H1246" t="s">
        <v>716</v>
      </c>
      <c r="I1246" t="s">
        <v>855</v>
      </c>
      <c r="J1246" s="11">
        <v>698.97000433601875</v>
      </c>
      <c r="K1246" t="str">
        <f t="shared" si="38"/>
        <v>Robin Walker</v>
      </c>
    </row>
    <row r="1247" spans="1:11" hidden="1" x14ac:dyDescent="0.35">
      <c r="A1247">
        <f t="shared" si="39"/>
        <v>1246</v>
      </c>
      <c r="B1247">
        <v>2007</v>
      </c>
      <c r="C1247" t="s">
        <v>8</v>
      </c>
      <c r="D1247" t="s">
        <v>24</v>
      </c>
      <c r="E1247" t="s">
        <v>1432</v>
      </c>
      <c r="F1247" s="2">
        <v>557</v>
      </c>
      <c r="G1247" s="2">
        <v>3</v>
      </c>
      <c r="H1247" t="s">
        <v>238</v>
      </c>
      <c r="I1247" t="s">
        <v>16</v>
      </c>
      <c r="J1247" s="11">
        <v>610.92437480817819</v>
      </c>
      <c r="K1247" t="str">
        <f t="shared" si="38"/>
        <v>David Kuznick</v>
      </c>
    </row>
    <row r="1248" spans="1:11" hidden="1" x14ac:dyDescent="0.35">
      <c r="A1248">
        <f t="shared" si="39"/>
        <v>1247</v>
      </c>
      <c r="B1248">
        <v>2007</v>
      </c>
      <c r="C1248" t="s">
        <v>8</v>
      </c>
      <c r="D1248" t="s">
        <v>24</v>
      </c>
      <c r="E1248" t="s">
        <v>1432</v>
      </c>
      <c r="F1248" s="2">
        <v>558</v>
      </c>
      <c r="G1248" s="2">
        <v>3</v>
      </c>
      <c r="H1248" t="s">
        <v>363</v>
      </c>
      <c r="I1248" t="s">
        <v>364</v>
      </c>
      <c r="J1248" s="11">
        <v>610.92437480817819</v>
      </c>
      <c r="K1248" t="str">
        <f t="shared" si="38"/>
        <v>Warren Sander</v>
      </c>
    </row>
    <row r="1249" spans="1:11" hidden="1" x14ac:dyDescent="0.35">
      <c r="A1249">
        <f t="shared" si="39"/>
        <v>1248</v>
      </c>
      <c r="B1249">
        <v>2007</v>
      </c>
      <c r="C1249" t="s">
        <v>8</v>
      </c>
      <c r="D1249" t="s">
        <v>24</v>
      </c>
      <c r="E1249" t="s">
        <v>1432</v>
      </c>
      <c r="F1249" s="2">
        <v>413</v>
      </c>
      <c r="G1249" s="2">
        <v>4</v>
      </c>
      <c r="H1249" t="s">
        <v>857</v>
      </c>
      <c r="I1249" t="s">
        <v>13</v>
      </c>
      <c r="J1249" s="11">
        <v>548.45500650402812</v>
      </c>
      <c r="K1249" t="str">
        <f t="shared" si="38"/>
        <v>Tom O'Boyle</v>
      </c>
    </row>
    <row r="1250" spans="1:11" hidden="1" x14ac:dyDescent="0.35">
      <c r="A1250">
        <f t="shared" si="39"/>
        <v>1249</v>
      </c>
      <c r="B1250">
        <v>2007</v>
      </c>
      <c r="C1250" t="s">
        <v>8</v>
      </c>
      <c r="D1250" t="s">
        <v>24</v>
      </c>
      <c r="E1250" t="s">
        <v>1432</v>
      </c>
      <c r="F1250" s="2">
        <v>412</v>
      </c>
      <c r="G1250" s="2">
        <v>4</v>
      </c>
      <c r="H1250" t="s">
        <v>858</v>
      </c>
      <c r="I1250" t="s">
        <v>859</v>
      </c>
      <c r="J1250" s="11">
        <v>548.45500650402812</v>
      </c>
      <c r="K1250" t="str">
        <f t="shared" si="38"/>
        <v>Kristopher Quintiliani</v>
      </c>
    </row>
    <row r="1251" spans="1:11" hidden="1" x14ac:dyDescent="0.35">
      <c r="A1251">
        <f t="shared" si="39"/>
        <v>1250</v>
      </c>
      <c r="B1251">
        <v>2007</v>
      </c>
      <c r="C1251" t="s">
        <v>8</v>
      </c>
      <c r="D1251" t="s">
        <v>24</v>
      </c>
      <c r="E1251" t="s">
        <v>1432</v>
      </c>
      <c r="F1251" s="2">
        <v>266</v>
      </c>
      <c r="G1251" s="2">
        <v>5</v>
      </c>
      <c r="H1251" t="s">
        <v>759</v>
      </c>
      <c r="I1251" t="s">
        <v>760</v>
      </c>
      <c r="J1251" s="11">
        <v>500</v>
      </c>
      <c r="K1251" t="str">
        <f t="shared" si="38"/>
        <v>Victor Luzarraga</v>
      </c>
    </row>
    <row r="1252" spans="1:11" hidden="1" x14ac:dyDescent="0.35">
      <c r="A1252">
        <f t="shared" si="39"/>
        <v>1251</v>
      </c>
      <c r="B1252">
        <v>2007</v>
      </c>
      <c r="C1252" t="s">
        <v>8</v>
      </c>
      <c r="D1252" t="s">
        <v>24</v>
      </c>
      <c r="E1252" t="s">
        <v>1432</v>
      </c>
      <c r="F1252" s="2">
        <v>267</v>
      </c>
      <c r="G1252" s="2">
        <v>5</v>
      </c>
      <c r="H1252" t="s">
        <v>860</v>
      </c>
      <c r="I1252" t="s">
        <v>861</v>
      </c>
      <c r="J1252" s="11">
        <v>500</v>
      </c>
      <c r="K1252" t="str">
        <f t="shared" si="38"/>
        <v>Rith Peou</v>
      </c>
    </row>
    <row r="1253" spans="1:11" hidden="1" x14ac:dyDescent="0.35">
      <c r="A1253">
        <f t="shared" si="39"/>
        <v>1252</v>
      </c>
      <c r="B1253">
        <v>2007</v>
      </c>
      <c r="C1253" t="s">
        <v>8</v>
      </c>
      <c r="D1253" t="s">
        <v>24</v>
      </c>
      <c r="E1253" t="s">
        <v>1432</v>
      </c>
      <c r="F1253" s="2">
        <v>243</v>
      </c>
      <c r="G1253" s="2">
        <v>6</v>
      </c>
      <c r="H1253" t="s">
        <v>53</v>
      </c>
      <c r="I1253" t="s">
        <v>54</v>
      </c>
      <c r="J1253" s="11">
        <v>460.40937697618756</v>
      </c>
      <c r="K1253" t="str">
        <f t="shared" si="38"/>
        <v>Joyce Ciotti</v>
      </c>
    </row>
    <row r="1254" spans="1:11" hidden="1" x14ac:dyDescent="0.35">
      <c r="A1254">
        <f t="shared" si="39"/>
        <v>1253</v>
      </c>
      <c r="B1254">
        <v>2007</v>
      </c>
      <c r="C1254" t="s">
        <v>8</v>
      </c>
      <c r="D1254" t="s">
        <v>24</v>
      </c>
      <c r="E1254" t="s">
        <v>1432</v>
      </c>
      <c r="F1254" s="2">
        <v>242</v>
      </c>
      <c r="G1254" s="2">
        <v>6</v>
      </c>
      <c r="H1254" t="s">
        <v>66</v>
      </c>
      <c r="I1254" t="s">
        <v>67</v>
      </c>
      <c r="J1254" s="11">
        <v>460.40937697618756</v>
      </c>
      <c r="K1254" t="str">
        <f t="shared" si="38"/>
        <v>Bob Lauria</v>
      </c>
    </row>
    <row r="1255" spans="1:11" hidden="1" x14ac:dyDescent="0.35">
      <c r="A1255">
        <f t="shared" si="39"/>
        <v>1254</v>
      </c>
      <c r="B1255">
        <v>2007</v>
      </c>
      <c r="C1255" t="s">
        <v>8</v>
      </c>
      <c r="D1255" t="s">
        <v>24</v>
      </c>
      <c r="E1255" t="s">
        <v>1432</v>
      </c>
      <c r="F1255" s="2">
        <v>219</v>
      </c>
      <c r="G1255" s="2">
        <v>7</v>
      </c>
      <c r="H1255" t="s">
        <v>436</v>
      </c>
      <c r="I1255" t="s">
        <v>16</v>
      </c>
      <c r="J1255" s="11">
        <v>426.93598216088094</v>
      </c>
      <c r="K1255" t="str">
        <f t="shared" si="38"/>
        <v>David Coates</v>
      </c>
    </row>
    <row r="1256" spans="1:11" hidden="1" x14ac:dyDescent="0.35">
      <c r="A1256">
        <f t="shared" si="39"/>
        <v>1255</v>
      </c>
      <c r="B1256">
        <v>2007</v>
      </c>
      <c r="C1256" t="s">
        <v>8</v>
      </c>
      <c r="D1256" t="s">
        <v>24</v>
      </c>
      <c r="E1256" t="s">
        <v>1432</v>
      </c>
      <c r="F1256" s="2">
        <v>218</v>
      </c>
      <c r="G1256" s="2">
        <v>7</v>
      </c>
      <c r="H1256" t="s">
        <v>433</v>
      </c>
      <c r="I1256" t="s">
        <v>434</v>
      </c>
      <c r="J1256" s="11">
        <v>426.93598216088094</v>
      </c>
      <c r="K1256" t="str">
        <f t="shared" si="38"/>
        <v>AJ Evangelista</v>
      </c>
    </row>
    <row r="1257" spans="1:11" hidden="1" x14ac:dyDescent="0.35">
      <c r="A1257">
        <f t="shared" si="39"/>
        <v>1256</v>
      </c>
      <c r="B1257">
        <v>2007</v>
      </c>
      <c r="C1257" t="s">
        <v>8</v>
      </c>
      <c r="D1257" t="s">
        <v>24</v>
      </c>
      <c r="E1257" t="s">
        <v>1432</v>
      </c>
      <c r="F1257" s="2">
        <v>194</v>
      </c>
      <c r="G1257" s="2">
        <v>8</v>
      </c>
      <c r="H1257" t="s">
        <v>173</v>
      </c>
      <c r="I1257" t="s">
        <v>117</v>
      </c>
      <c r="J1257" s="11">
        <v>397.94000867203761</v>
      </c>
      <c r="K1257" t="str">
        <f t="shared" si="38"/>
        <v>Thomas Aprea</v>
      </c>
    </row>
    <row r="1258" spans="1:11" hidden="1" x14ac:dyDescent="0.35">
      <c r="A1258">
        <f t="shared" si="39"/>
        <v>1257</v>
      </c>
      <c r="B1258">
        <v>2007</v>
      </c>
      <c r="C1258" t="s">
        <v>8</v>
      </c>
      <c r="D1258" t="s">
        <v>24</v>
      </c>
      <c r="E1258" t="s">
        <v>1432</v>
      </c>
      <c r="F1258" s="2">
        <v>194</v>
      </c>
      <c r="G1258" s="2">
        <v>8</v>
      </c>
      <c r="H1258" t="s">
        <v>862</v>
      </c>
      <c r="I1258" t="s">
        <v>117</v>
      </c>
      <c r="J1258" s="11">
        <v>397.94000867203761</v>
      </c>
      <c r="K1258" t="str">
        <f t="shared" si="38"/>
        <v>Thomas Kelley</v>
      </c>
    </row>
    <row r="1259" spans="1:11" hidden="1" x14ac:dyDescent="0.35">
      <c r="A1259">
        <f t="shared" si="39"/>
        <v>1258</v>
      </c>
      <c r="B1259">
        <v>2007</v>
      </c>
      <c r="C1259" t="s">
        <v>8</v>
      </c>
      <c r="D1259" t="s">
        <v>24</v>
      </c>
      <c r="E1259" t="s">
        <v>1432</v>
      </c>
      <c r="F1259" s="2">
        <v>170</v>
      </c>
      <c r="G1259" s="2">
        <v>9</v>
      </c>
      <c r="H1259" t="s">
        <v>340</v>
      </c>
      <c r="I1259" t="s">
        <v>665</v>
      </c>
      <c r="J1259" s="11">
        <v>372.36374744834694</v>
      </c>
      <c r="K1259" t="str">
        <f t="shared" si="38"/>
        <v>Robert Catlett</v>
      </c>
    </row>
    <row r="1260" spans="1:11" hidden="1" x14ac:dyDescent="0.35">
      <c r="A1260">
        <f t="shared" si="39"/>
        <v>1259</v>
      </c>
      <c r="B1260">
        <v>2007</v>
      </c>
      <c r="C1260" t="s">
        <v>8</v>
      </c>
      <c r="D1260" t="s">
        <v>24</v>
      </c>
      <c r="E1260" t="s">
        <v>1432</v>
      </c>
      <c r="F1260" s="2">
        <v>169</v>
      </c>
      <c r="G1260" s="2">
        <v>9</v>
      </c>
      <c r="H1260" t="s">
        <v>352</v>
      </c>
      <c r="I1260" t="s">
        <v>353</v>
      </c>
      <c r="J1260" s="11">
        <v>372.36374744834694</v>
      </c>
      <c r="K1260" t="str">
        <f t="shared" si="38"/>
        <v>Frank Sordi</v>
      </c>
    </row>
    <row r="1261" spans="1:11" hidden="1" x14ac:dyDescent="0.35">
      <c r="A1261">
        <f t="shared" si="39"/>
        <v>1260</v>
      </c>
      <c r="B1261">
        <v>2007</v>
      </c>
      <c r="C1261" t="s">
        <v>8</v>
      </c>
      <c r="D1261" t="s">
        <v>24</v>
      </c>
      <c r="E1261" t="s">
        <v>1432</v>
      </c>
      <c r="F1261" s="2">
        <v>146</v>
      </c>
      <c r="G1261" s="2">
        <v>10</v>
      </c>
      <c r="H1261" t="s">
        <v>864</v>
      </c>
      <c r="I1261" t="s">
        <v>52</v>
      </c>
      <c r="J1261" s="11">
        <v>349.48500216800937</v>
      </c>
      <c r="K1261" t="str">
        <f t="shared" si="38"/>
        <v>Steven Bennett</v>
      </c>
    </row>
    <row r="1262" spans="1:11" hidden="1" x14ac:dyDescent="0.35">
      <c r="A1262">
        <f t="shared" si="39"/>
        <v>1261</v>
      </c>
      <c r="B1262">
        <v>2007</v>
      </c>
      <c r="C1262" t="s">
        <v>8</v>
      </c>
      <c r="D1262" t="s">
        <v>24</v>
      </c>
      <c r="E1262" t="s">
        <v>1432</v>
      </c>
      <c r="F1262" s="2">
        <v>145</v>
      </c>
      <c r="G1262" s="2">
        <v>10</v>
      </c>
      <c r="H1262" t="s">
        <v>865</v>
      </c>
      <c r="I1262" t="s">
        <v>115</v>
      </c>
      <c r="J1262" s="11">
        <v>349.48500216800937</v>
      </c>
      <c r="K1262" t="str">
        <f t="shared" si="38"/>
        <v>Joseph Muldon</v>
      </c>
    </row>
    <row r="1263" spans="1:11" hidden="1" x14ac:dyDescent="0.35">
      <c r="A1263">
        <f t="shared" si="39"/>
        <v>1262</v>
      </c>
      <c r="B1263">
        <v>2007</v>
      </c>
      <c r="C1263" t="s">
        <v>583</v>
      </c>
      <c r="D1263" t="s">
        <v>45</v>
      </c>
      <c r="E1263" t="s">
        <v>1429</v>
      </c>
      <c r="F1263" s="2">
        <v>598</v>
      </c>
      <c r="G1263" s="2">
        <v>1</v>
      </c>
      <c r="H1263" t="s">
        <v>265</v>
      </c>
      <c r="I1263" t="s">
        <v>139</v>
      </c>
      <c r="J1263" s="11">
        <v>1322.2192947339192</v>
      </c>
      <c r="K1263" t="str">
        <f t="shared" si="38"/>
        <v>Mark Hughes</v>
      </c>
    </row>
    <row r="1264" spans="1:11" hidden="1" x14ac:dyDescent="0.35">
      <c r="A1264">
        <f t="shared" si="39"/>
        <v>1263</v>
      </c>
      <c r="B1264">
        <v>2007</v>
      </c>
      <c r="C1264" t="s">
        <v>583</v>
      </c>
      <c r="D1264" t="s">
        <v>45</v>
      </c>
      <c r="E1264" t="s">
        <v>1429</v>
      </c>
      <c r="F1264" s="2">
        <v>598</v>
      </c>
      <c r="G1264" s="2">
        <v>2</v>
      </c>
      <c r="H1264" t="s">
        <v>585</v>
      </c>
      <c r="I1264" t="s">
        <v>136</v>
      </c>
      <c r="J1264" s="11">
        <v>1021.1892990699381</v>
      </c>
      <c r="K1264" t="str">
        <f t="shared" si="38"/>
        <v>John Pickels</v>
      </c>
    </row>
    <row r="1265" spans="1:11" hidden="1" x14ac:dyDescent="0.35">
      <c r="A1265">
        <f t="shared" si="39"/>
        <v>1264</v>
      </c>
      <c r="B1265">
        <v>2007</v>
      </c>
      <c r="C1265" t="s">
        <v>583</v>
      </c>
      <c r="D1265" t="s">
        <v>45</v>
      </c>
      <c r="E1265" t="s">
        <v>1429</v>
      </c>
      <c r="F1265" s="2">
        <v>357</v>
      </c>
      <c r="G1265" s="2">
        <v>3</v>
      </c>
      <c r="H1265" t="s">
        <v>678</v>
      </c>
      <c r="I1265" t="s">
        <v>136</v>
      </c>
      <c r="J1265" s="11">
        <v>845.09804001425687</v>
      </c>
      <c r="K1265" t="str">
        <f t="shared" si="38"/>
        <v>John Fleming</v>
      </c>
    </row>
    <row r="1266" spans="1:11" hidden="1" x14ac:dyDescent="0.35">
      <c r="A1266">
        <f t="shared" si="39"/>
        <v>1265</v>
      </c>
      <c r="B1266">
        <v>2007</v>
      </c>
      <c r="C1266" t="s">
        <v>583</v>
      </c>
      <c r="D1266" t="s">
        <v>45</v>
      </c>
      <c r="E1266" t="s">
        <v>1429</v>
      </c>
      <c r="F1266" s="2">
        <v>294</v>
      </c>
      <c r="G1266" s="2">
        <v>4</v>
      </c>
      <c r="H1266" t="s">
        <v>183</v>
      </c>
      <c r="I1266" t="s">
        <v>13</v>
      </c>
      <c r="J1266" s="11">
        <v>720.15930340595696</v>
      </c>
      <c r="K1266" t="str">
        <f t="shared" si="38"/>
        <v>Tom White</v>
      </c>
    </row>
    <row r="1267" spans="1:11" hidden="1" x14ac:dyDescent="0.35">
      <c r="A1267">
        <f t="shared" si="39"/>
        <v>1266</v>
      </c>
      <c r="B1267">
        <v>2007</v>
      </c>
      <c r="C1267" t="s">
        <v>583</v>
      </c>
      <c r="D1267" t="s">
        <v>45</v>
      </c>
      <c r="E1267" t="s">
        <v>1429</v>
      </c>
      <c r="F1267" s="2">
        <v>252</v>
      </c>
      <c r="G1267" s="2">
        <v>5</v>
      </c>
      <c r="H1267" t="s">
        <v>801</v>
      </c>
      <c r="I1267" t="s">
        <v>200</v>
      </c>
      <c r="J1267" s="11">
        <v>623.2492903979005</v>
      </c>
      <c r="K1267" t="str">
        <f t="shared" si="38"/>
        <v>Rick Farver</v>
      </c>
    </row>
    <row r="1268" spans="1:11" hidden="1" x14ac:dyDescent="0.35">
      <c r="A1268">
        <f t="shared" si="39"/>
        <v>1267</v>
      </c>
      <c r="B1268">
        <v>2007</v>
      </c>
      <c r="C1268" t="s">
        <v>583</v>
      </c>
      <c r="D1268" t="s">
        <v>951</v>
      </c>
      <c r="E1268" t="s">
        <v>1433</v>
      </c>
      <c r="F1268" s="2">
        <v>433</v>
      </c>
      <c r="G1268" s="2">
        <v>1</v>
      </c>
      <c r="H1268" t="s">
        <v>307</v>
      </c>
      <c r="I1268" t="s">
        <v>67</v>
      </c>
      <c r="J1268" s="11">
        <v>1278.7536009528289</v>
      </c>
      <c r="K1268" t="str">
        <f t="shared" si="38"/>
        <v>Bob Ogus</v>
      </c>
    </row>
    <row r="1269" spans="1:11" hidden="1" x14ac:dyDescent="0.35">
      <c r="A1269">
        <f t="shared" si="39"/>
        <v>1268</v>
      </c>
      <c r="B1269">
        <v>2007</v>
      </c>
      <c r="C1269" t="s">
        <v>583</v>
      </c>
      <c r="D1269" t="s">
        <v>951</v>
      </c>
      <c r="E1269" t="s">
        <v>1433</v>
      </c>
      <c r="F1269" s="2">
        <v>433</v>
      </c>
      <c r="G1269" s="2">
        <v>2</v>
      </c>
      <c r="H1269" t="s">
        <v>183</v>
      </c>
      <c r="I1269" t="s">
        <v>13</v>
      </c>
      <c r="J1269" s="11">
        <v>977.72360528884758</v>
      </c>
      <c r="K1269" t="str">
        <f t="shared" si="38"/>
        <v>Tom White</v>
      </c>
    </row>
    <row r="1270" spans="1:11" hidden="1" x14ac:dyDescent="0.35">
      <c r="A1270">
        <f t="shared" si="39"/>
        <v>1269</v>
      </c>
      <c r="B1270">
        <v>2007</v>
      </c>
      <c r="C1270" t="s">
        <v>583</v>
      </c>
      <c r="D1270" t="s">
        <v>951</v>
      </c>
      <c r="E1270" t="s">
        <v>1433</v>
      </c>
      <c r="F1270" s="2">
        <v>258</v>
      </c>
      <c r="G1270" s="2">
        <v>3</v>
      </c>
      <c r="H1270" t="s">
        <v>684</v>
      </c>
      <c r="I1270" t="s">
        <v>521</v>
      </c>
      <c r="J1270" s="11">
        <v>801.63234623316646</v>
      </c>
      <c r="K1270" t="str">
        <f t="shared" si="38"/>
        <v>Chuck Bayne</v>
      </c>
    </row>
    <row r="1271" spans="1:11" hidden="1" x14ac:dyDescent="0.35">
      <c r="A1271">
        <f t="shared" si="39"/>
        <v>1270</v>
      </c>
      <c r="B1271">
        <v>2007</v>
      </c>
      <c r="C1271" t="s">
        <v>583</v>
      </c>
      <c r="D1271" t="s">
        <v>951</v>
      </c>
      <c r="E1271" t="s">
        <v>1433</v>
      </c>
      <c r="F1271" s="2">
        <v>212</v>
      </c>
      <c r="G1271" s="2">
        <v>4</v>
      </c>
      <c r="H1271" t="s">
        <v>1154</v>
      </c>
      <c r="I1271" t="s">
        <v>952</v>
      </c>
      <c r="J1271" s="11">
        <v>676.69360962486644</v>
      </c>
      <c r="K1271" t="str">
        <f t="shared" si="38"/>
        <v>Craig Mordock</v>
      </c>
    </row>
    <row r="1272" spans="1:11" hidden="1" x14ac:dyDescent="0.35">
      <c r="A1272">
        <f t="shared" si="39"/>
        <v>1271</v>
      </c>
      <c r="B1272">
        <v>2007</v>
      </c>
      <c r="C1272" t="s">
        <v>583</v>
      </c>
      <c r="D1272" t="s">
        <v>951</v>
      </c>
      <c r="E1272" t="s">
        <v>1433</v>
      </c>
      <c r="F1272" s="2">
        <v>184</v>
      </c>
      <c r="G1272" s="2">
        <v>5</v>
      </c>
      <c r="H1272" t="s">
        <v>681</v>
      </c>
      <c r="I1272" t="s">
        <v>13</v>
      </c>
      <c r="J1272" s="11">
        <v>579.78359661680997</v>
      </c>
      <c r="K1272" t="str">
        <f t="shared" si="38"/>
        <v>Tom Valentino</v>
      </c>
    </row>
    <row r="1273" spans="1:11" hidden="1" x14ac:dyDescent="0.35">
      <c r="A1273">
        <f t="shared" si="39"/>
        <v>1272</v>
      </c>
      <c r="B1273">
        <v>2007</v>
      </c>
      <c r="C1273" t="s">
        <v>583</v>
      </c>
      <c r="D1273" t="s">
        <v>770</v>
      </c>
      <c r="E1273" t="s">
        <v>1430</v>
      </c>
      <c r="F1273" s="2">
        <v>525</v>
      </c>
      <c r="G1273" s="2">
        <v>1</v>
      </c>
      <c r="H1273" t="s">
        <v>953</v>
      </c>
      <c r="I1273" t="s">
        <v>406</v>
      </c>
      <c r="J1273" s="11">
        <v>1342.4226808222061</v>
      </c>
      <c r="K1273" t="str">
        <f t="shared" si="38"/>
        <v>Howard Kaplan   </v>
      </c>
    </row>
    <row r="1274" spans="1:11" hidden="1" x14ac:dyDescent="0.35">
      <c r="A1274">
        <f t="shared" si="39"/>
        <v>1273</v>
      </c>
      <c r="B1274">
        <v>2007</v>
      </c>
      <c r="C1274" t="s">
        <v>583</v>
      </c>
      <c r="D1274" t="s">
        <v>770</v>
      </c>
      <c r="E1274" t="s">
        <v>1430</v>
      </c>
      <c r="F1274" s="2">
        <v>475</v>
      </c>
      <c r="G1274" s="2">
        <v>2</v>
      </c>
      <c r="H1274" t="s">
        <v>954</v>
      </c>
      <c r="I1274" t="s">
        <v>955</v>
      </c>
      <c r="J1274" s="11">
        <v>1041.3926851582248</v>
      </c>
      <c r="K1274" t="str">
        <f t="shared" si="38"/>
        <v>Terry Leatherwood   </v>
      </c>
    </row>
    <row r="1275" spans="1:11" hidden="1" x14ac:dyDescent="0.35">
      <c r="A1275">
        <f t="shared" si="39"/>
        <v>1274</v>
      </c>
      <c r="B1275">
        <v>2007</v>
      </c>
      <c r="C1275" t="s">
        <v>583</v>
      </c>
      <c r="D1275" t="s">
        <v>770</v>
      </c>
      <c r="E1275" t="s">
        <v>1430</v>
      </c>
      <c r="F1275" s="2">
        <v>299</v>
      </c>
      <c r="G1275" s="2">
        <v>3</v>
      </c>
      <c r="H1275" t="s">
        <v>265</v>
      </c>
      <c r="I1275" t="s">
        <v>139</v>
      </c>
      <c r="J1275" s="11">
        <v>865.30142610254381</v>
      </c>
      <c r="K1275" t="str">
        <f t="shared" si="38"/>
        <v>Mark Hughes</v>
      </c>
    </row>
    <row r="1276" spans="1:11" hidden="1" x14ac:dyDescent="0.35">
      <c r="A1276">
        <f t="shared" si="39"/>
        <v>1275</v>
      </c>
      <c r="B1276">
        <v>2007</v>
      </c>
      <c r="C1276" t="s">
        <v>583</v>
      </c>
      <c r="D1276" t="s">
        <v>770</v>
      </c>
      <c r="E1276" t="s">
        <v>1430</v>
      </c>
      <c r="F1276" s="2">
        <v>246</v>
      </c>
      <c r="G1276" s="2">
        <v>4</v>
      </c>
      <c r="H1276" t="s">
        <v>678</v>
      </c>
      <c r="I1276" t="s">
        <v>136</v>
      </c>
      <c r="J1276" s="11">
        <v>740.3626894942438</v>
      </c>
      <c r="K1276" t="str">
        <f t="shared" si="38"/>
        <v>John Fleming</v>
      </c>
    </row>
    <row r="1277" spans="1:11" hidden="1" x14ac:dyDescent="0.35">
      <c r="A1277">
        <f t="shared" si="39"/>
        <v>1276</v>
      </c>
      <c r="B1277">
        <v>2007</v>
      </c>
      <c r="C1277" t="s">
        <v>583</v>
      </c>
      <c r="D1277" t="s">
        <v>770</v>
      </c>
      <c r="E1277" t="s">
        <v>1430</v>
      </c>
      <c r="F1277" s="2">
        <v>213</v>
      </c>
      <c r="G1277" s="2">
        <v>5</v>
      </c>
      <c r="H1277" t="s">
        <v>956</v>
      </c>
      <c r="I1277" t="s">
        <v>13</v>
      </c>
      <c r="J1277" s="11">
        <v>643.45267648618733</v>
      </c>
      <c r="K1277" t="str">
        <f t="shared" si="38"/>
        <v>Tom Delaino   </v>
      </c>
    </row>
    <row r="1278" spans="1:11" hidden="1" x14ac:dyDescent="0.35">
      <c r="A1278">
        <f t="shared" si="39"/>
        <v>1277</v>
      </c>
      <c r="B1278">
        <v>2008</v>
      </c>
      <c r="C1278" t="s">
        <v>109</v>
      </c>
      <c r="D1278" t="s">
        <v>45</v>
      </c>
      <c r="E1278" t="s">
        <v>1429</v>
      </c>
      <c r="F1278" s="2">
        <v>5373</v>
      </c>
      <c r="G1278" s="2">
        <v>1</v>
      </c>
      <c r="H1278" t="s">
        <v>452</v>
      </c>
      <c r="I1278" t="s">
        <v>334</v>
      </c>
      <c r="J1278" s="11">
        <v>2149.2191126553798</v>
      </c>
      <c r="K1278" t="str">
        <f t="shared" si="38"/>
        <v>Todd Bergmann</v>
      </c>
    </row>
    <row r="1279" spans="1:11" hidden="1" x14ac:dyDescent="0.35">
      <c r="A1279">
        <f t="shared" si="39"/>
        <v>1278</v>
      </c>
      <c r="B1279">
        <v>2008</v>
      </c>
      <c r="C1279" t="s">
        <v>109</v>
      </c>
      <c r="D1279" t="s">
        <v>45</v>
      </c>
      <c r="E1279" t="s">
        <v>1429</v>
      </c>
      <c r="F1279" s="2">
        <v>2820</v>
      </c>
      <c r="G1279" s="2">
        <v>2</v>
      </c>
      <c r="H1279" t="s">
        <v>436</v>
      </c>
      <c r="I1279" t="s">
        <v>16</v>
      </c>
      <c r="J1279" s="11">
        <v>1848.1891169913984</v>
      </c>
      <c r="K1279" t="str">
        <f t="shared" si="38"/>
        <v>David Coates</v>
      </c>
    </row>
    <row r="1280" spans="1:11" hidden="1" x14ac:dyDescent="0.35">
      <c r="A1280">
        <f t="shared" si="39"/>
        <v>1279</v>
      </c>
      <c r="B1280">
        <v>2008</v>
      </c>
      <c r="C1280" t="s">
        <v>109</v>
      </c>
      <c r="D1280" t="s">
        <v>45</v>
      </c>
      <c r="E1280" t="s">
        <v>1429</v>
      </c>
      <c r="F1280" s="2">
        <v>1410</v>
      </c>
      <c r="G1280" s="2">
        <v>3</v>
      </c>
      <c r="H1280" t="s">
        <v>411</v>
      </c>
      <c r="I1280" t="s">
        <v>737</v>
      </c>
      <c r="J1280" s="11">
        <v>1672.0978579357172</v>
      </c>
      <c r="K1280" t="str">
        <f t="shared" si="38"/>
        <v>Lawrence Larson</v>
      </c>
    </row>
    <row r="1281" spans="1:11" hidden="1" x14ac:dyDescent="0.35">
      <c r="A1281">
        <f t="shared" si="39"/>
        <v>1280</v>
      </c>
      <c r="B1281">
        <v>2008</v>
      </c>
      <c r="C1281" t="s">
        <v>109</v>
      </c>
      <c r="D1281" t="s">
        <v>45</v>
      </c>
      <c r="E1281" t="s">
        <v>1429</v>
      </c>
      <c r="F1281" s="2">
        <v>846</v>
      </c>
      <c r="G1281" s="2">
        <v>4</v>
      </c>
      <c r="H1281" t="s">
        <v>775</v>
      </c>
      <c r="I1281" t="s">
        <v>139</v>
      </c>
      <c r="J1281" s="11">
        <v>1547.1591213274171</v>
      </c>
      <c r="K1281" t="str">
        <f t="shared" si="38"/>
        <v>Mark Richardson</v>
      </c>
    </row>
    <row r="1282" spans="1:11" hidden="1" x14ac:dyDescent="0.35">
      <c r="A1282">
        <f t="shared" si="39"/>
        <v>1281</v>
      </c>
      <c r="B1282">
        <v>2008</v>
      </c>
      <c r="C1282" t="s">
        <v>109</v>
      </c>
      <c r="D1282" t="s">
        <v>45</v>
      </c>
      <c r="E1282" t="s">
        <v>1429</v>
      </c>
      <c r="F1282" s="2">
        <v>635</v>
      </c>
      <c r="G1282" s="2">
        <v>5</v>
      </c>
      <c r="H1282" t="s">
        <v>777</v>
      </c>
      <c r="I1282" t="s">
        <v>139</v>
      </c>
      <c r="J1282" s="11">
        <v>1450.2491083193609</v>
      </c>
      <c r="K1282" t="str">
        <f t="shared" ref="K1282:K1345" si="40">I1282&amp;" "&amp;H1282</f>
        <v>Mark Wisniewski</v>
      </c>
    </row>
    <row r="1283" spans="1:11" hidden="1" x14ac:dyDescent="0.35">
      <c r="A1283">
        <f t="shared" si="39"/>
        <v>1282</v>
      </c>
      <c r="B1283">
        <v>2008</v>
      </c>
      <c r="C1283" t="s">
        <v>109</v>
      </c>
      <c r="D1283" t="s">
        <v>45</v>
      </c>
      <c r="E1283" t="s">
        <v>1429</v>
      </c>
      <c r="F1283" s="2">
        <v>494</v>
      </c>
      <c r="G1283" s="2">
        <v>6</v>
      </c>
      <c r="H1283" t="s">
        <v>174</v>
      </c>
      <c r="I1283" t="s">
        <v>175</v>
      </c>
      <c r="J1283" s="11">
        <v>1371.067862271736</v>
      </c>
      <c r="K1283" t="str">
        <f t="shared" si="40"/>
        <v>Claude Carlson</v>
      </c>
    </row>
    <row r="1284" spans="1:11" hidden="1" x14ac:dyDescent="0.35">
      <c r="A1284">
        <f t="shared" ref="A1284:A1347" si="41">A1283+1</f>
        <v>1283</v>
      </c>
      <c r="B1284">
        <v>2008</v>
      </c>
      <c r="C1284" t="s">
        <v>109</v>
      </c>
      <c r="D1284" t="s">
        <v>45</v>
      </c>
      <c r="E1284" t="s">
        <v>1429</v>
      </c>
      <c r="F1284" s="2">
        <v>353</v>
      </c>
      <c r="G1284" s="2">
        <v>7</v>
      </c>
      <c r="H1284" t="s">
        <v>161</v>
      </c>
      <c r="I1284" t="s">
        <v>162</v>
      </c>
      <c r="J1284" s="11">
        <v>1304.1210726411227</v>
      </c>
      <c r="K1284" t="str">
        <f t="shared" si="40"/>
        <v>Tracy Becker</v>
      </c>
    </row>
    <row r="1285" spans="1:11" hidden="1" x14ac:dyDescent="0.35">
      <c r="A1285">
        <f t="shared" si="41"/>
        <v>1284</v>
      </c>
      <c r="B1285">
        <v>2008</v>
      </c>
      <c r="C1285" t="s">
        <v>109</v>
      </c>
      <c r="D1285" t="s">
        <v>45</v>
      </c>
      <c r="E1285" t="s">
        <v>1429</v>
      </c>
      <c r="F1285" s="2">
        <v>282</v>
      </c>
      <c r="G1285" s="2">
        <v>8</v>
      </c>
      <c r="H1285" t="s">
        <v>211</v>
      </c>
      <c r="I1285" t="s">
        <v>779</v>
      </c>
      <c r="J1285" s="11">
        <v>1246.1291256634361</v>
      </c>
      <c r="K1285" t="str">
        <f t="shared" si="40"/>
        <v>Joshua Long</v>
      </c>
    </row>
    <row r="1286" spans="1:11" hidden="1" x14ac:dyDescent="0.35">
      <c r="A1286">
        <f t="shared" si="41"/>
        <v>1285</v>
      </c>
      <c r="B1286">
        <v>2008</v>
      </c>
      <c r="C1286" t="s">
        <v>109</v>
      </c>
      <c r="D1286" t="s">
        <v>45</v>
      </c>
      <c r="E1286" t="s">
        <v>1429</v>
      </c>
      <c r="F1286" s="2">
        <v>240</v>
      </c>
      <c r="G1286" s="2">
        <v>9</v>
      </c>
      <c r="H1286" t="s">
        <v>621</v>
      </c>
      <c r="I1286" t="s">
        <v>16</v>
      </c>
      <c r="J1286" s="11">
        <v>1194.9766032160549</v>
      </c>
      <c r="K1286" t="str">
        <f t="shared" si="40"/>
        <v>David Trinidad</v>
      </c>
    </row>
    <row r="1287" spans="1:11" hidden="1" x14ac:dyDescent="0.35">
      <c r="A1287">
        <f t="shared" si="41"/>
        <v>1286</v>
      </c>
      <c r="B1287">
        <v>2008</v>
      </c>
      <c r="C1287" t="s">
        <v>109</v>
      </c>
      <c r="D1287" t="s">
        <v>45</v>
      </c>
      <c r="E1287" t="s">
        <v>1429</v>
      </c>
      <c r="F1287" s="2">
        <v>183</v>
      </c>
      <c r="G1287" s="2">
        <v>10</v>
      </c>
      <c r="H1287" t="s">
        <v>781</v>
      </c>
      <c r="I1287" t="s">
        <v>782</v>
      </c>
      <c r="J1287" s="11">
        <v>1149.2191126553796</v>
      </c>
      <c r="K1287" t="str">
        <f t="shared" si="40"/>
        <v>Dennis Drangula</v>
      </c>
    </row>
    <row r="1288" spans="1:11" hidden="1" x14ac:dyDescent="0.35">
      <c r="A1288">
        <f t="shared" si="41"/>
        <v>1287</v>
      </c>
      <c r="B1288">
        <v>2008</v>
      </c>
      <c r="C1288" t="s">
        <v>109</v>
      </c>
      <c r="D1288" t="s">
        <v>45</v>
      </c>
      <c r="E1288" t="s">
        <v>1429</v>
      </c>
      <c r="F1288" s="2">
        <v>183</v>
      </c>
      <c r="G1288" s="2">
        <v>11</v>
      </c>
      <c r="H1288" t="s">
        <v>64</v>
      </c>
      <c r="I1288" t="s">
        <v>65</v>
      </c>
      <c r="J1288" s="11">
        <v>1107.8264274971546</v>
      </c>
      <c r="K1288" t="str">
        <f t="shared" si="40"/>
        <v>Steve Daniel</v>
      </c>
    </row>
    <row r="1289" spans="1:11" hidden="1" x14ac:dyDescent="0.35">
      <c r="A1289">
        <f t="shared" si="41"/>
        <v>1288</v>
      </c>
      <c r="B1289">
        <v>2008</v>
      </c>
      <c r="C1289" t="s">
        <v>109</v>
      </c>
      <c r="D1289" t="s">
        <v>45</v>
      </c>
      <c r="E1289" t="s">
        <v>1429</v>
      </c>
      <c r="F1289" s="2">
        <v>183</v>
      </c>
      <c r="G1289" s="2">
        <v>12</v>
      </c>
      <c r="H1289" t="s">
        <v>784</v>
      </c>
      <c r="I1289" t="s">
        <v>665</v>
      </c>
      <c r="J1289" s="11">
        <v>1070.0378666077547</v>
      </c>
      <c r="K1289" t="str">
        <f t="shared" si="40"/>
        <v>Robert Campbell</v>
      </c>
    </row>
    <row r="1290" spans="1:11" hidden="1" x14ac:dyDescent="0.35">
      <c r="A1290">
        <f t="shared" si="41"/>
        <v>1289</v>
      </c>
      <c r="B1290">
        <v>2008</v>
      </c>
      <c r="C1290" t="s">
        <v>109</v>
      </c>
      <c r="D1290" t="s">
        <v>45</v>
      </c>
      <c r="E1290" t="s">
        <v>1429</v>
      </c>
      <c r="F1290" s="2">
        <v>183</v>
      </c>
      <c r="G1290" s="2">
        <v>13</v>
      </c>
      <c r="H1290" t="s">
        <v>124</v>
      </c>
      <c r="I1290" t="s">
        <v>125</v>
      </c>
      <c r="J1290" s="11">
        <v>1035.2757603485429</v>
      </c>
      <c r="K1290" t="str">
        <f t="shared" si="40"/>
        <v>Ronald Farrar</v>
      </c>
    </row>
    <row r="1291" spans="1:11" hidden="1" x14ac:dyDescent="0.35">
      <c r="A1291">
        <f t="shared" si="41"/>
        <v>1290</v>
      </c>
      <c r="B1291">
        <v>2008</v>
      </c>
      <c r="C1291" t="s">
        <v>109</v>
      </c>
      <c r="D1291" t="s">
        <v>45</v>
      </c>
      <c r="E1291" t="s">
        <v>1429</v>
      </c>
      <c r="F1291" s="2">
        <v>183</v>
      </c>
      <c r="G1291" s="2">
        <v>14</v>
      </c>
      <c r="H1291" t="s">
        <v>786</v>
      </c>
      <c r="I1291" t="s">
        <v>787</v>
      </c>
      <c r="J1291" s="11">
        <v>1003.0910769771417</v>
      </c>
      <c r="K1291" t="str">
        <f t="shared" si="40"/>
        <v>Alvin West</v>
      </c>
    </row>
    <row r="1292" spans="1:11" hidden="1" x14ac:dyDescent="0.35">
      <c r="A1292">
        <f t="shared" si="41"/>
        <v>1291</v>
      </c>
      <c r="B1292">
        <v>2008</v>
      </c>
      <c r="C1292" t="s">
        <v>109</v>
      </c>
      <c r="D1292" t="s">
        <v>45</v>
      </c>
      <c r="E1292" t="s">
        <v>1429</v>
      </c>
      <c r="F1292" s="2">
        <v>183</v>
      </c>
      <c r="G1292" s="2">
        <v>15</v>
      </c>
      <c r="H1292" t="s">
        <v>789</v>
      </c>
      <c r="I1292" t="s">
        <v>77</v>
      </c>
      <c r="J1292" s="11">
        <v>973.12785359969837</v>
      </c>
      <c r="K1292" t="str">
        <f t="shared" si="40"/>
        <v>Eric Holtman</v>
      </c>
    </row>
    <row r="1293" spans="1:11" hidden="1" x14ac:dyDescent="0.35">
      <c r="A1293">
        <f t="shared" si="41"/>
        <v>1292</v>
      </c>
      <c r="B1293">
        <v>2008</v>
      </c>
      <c r="C1293" t="s">
        <v>109</v>
      </c>
      <c r="D1293" t="s">
        <v>45</v>
      </c>
      <c r="E1293" t="s">
        <v>1429</v>
      </c>
      <c r="F1293" s="2">
        <v>183</v>
      </c>
      <c r="G1293" s="2">
        <v>16</v>
      </c>
      <c r="H1293" t="s">
        <v>791</v>
      </c>
      <c r="I1293" t="s">
        <v>463</v>
      </c>
      <c r="J1293" s="11">
        <v>945.09912999945493</v>
      </c>
      <c r="K1293" t="str">
        <f t="shared" si="40"/>
        <v>Richard Angello</v>
      </c>
    </row>
    <row r="1294" spans="1:11" hidden="1" x14ac:dyDescent="0.35">
      <c r="A1294">
        <f t="shared" si="41"/>
        <v>1293</v>
      </c>
      <c r="B1294">
        <v>2008</v>
      </c>
      <c r="C1294" t="s">
        <v>109</v>
      </c>
      <c r="D1294" t="s">
        <v>45</v>
      </c>
      <c r="E1294" t="s">
        <v>1429</v>
      </c>
      <c r="F1294" s="2">
        <v>183</v>
      </c>
      <c r="G1294" s="2">
        <v>17</v>
      </c>
      <c r="H1294" t="s">
        <v>793</v>
      </c>
      <c r="I1294" t="s">
        <v>448</v>
      </c>
      <c r="J1294" s="11">
        <v>918.77019127710582</v>
      </c>
      <c r="K1294" t="str">
        <f t="shared" si="40"/>
        <v>Keenan Keeling</v>
      </c>
    </row>
    <row r="1295" spans="1:11" hidden="1" x14ac:dyDescent="0.35">
      <c r="A1295">
        <f t="shared" si="41"/>
        <v>1294</v>
      </c>
      <c r="B1295">
        <v>2008</v>
      </c>
      <c r="C1295" t="s">
        <v>109</v>
      </c>
      <c r="D1295" t="s">
        <v>45</v>
      </c>
      <c r="E1295" t="s">
        <v>1429</v>
      </c>
      <c r="F1295" s="2">
        <v>183</v>
      </c>
      <c r="G1295" s="2">
        <v>18</v>
      </c>
      <c r="H1295" t="s">
        <v>795</v>
      </c>
      <c r="I1295" t="s">
        <v>159</v>
      </c>
      <c r="J1295" s="11">
        <v>893.94660755207371</v>
      </c>
      <c r="K1295" t="str">
        <f t="shared" si="40"/>
        <v>Brian Connolly</v>
      </c>
    </row>
    <row r="1296" spans="1:11" hidden="1" x14ac:dyDescent="0.35">
      <c r="A1296">
        <f t="shared" si="41"/>
        <v>1295</v>
      </c>
      <c r="B1296">
        <v>2008</v>
      </c>
      <c r="C1296" t="s">
        <v>109</v>
      </c>
      <c r="D1296" t="s">
        <v>797</v>
      </c>
      <c r="E1296" t="s">
        <v>1434</v>
      </c>
      <c r="F1296" s="2">
        <v>1755</v>
      </c>
      <c r="G1296" s="2">
        <v>1</v>
      </c>
      <c r="H1296" t="s">
        <v>411</v>
      </c>
      <c r="I1296" t="s">
        <v>737</v>
      </c>
      <c r="J1296" s="11">
        <v>1591.0646070264991</v>
      </c>
      <c r="K1296" t="str">
        <f t="shared" si="40"/>
        <v>Lawrence Larson</v>
      </c>
    </row>
    <row r="1297" spans="1:11" hidden="1" x14ac:dyDescent="0.35">
      <c r="A1297">
        <f t="shared" si="41"/>
        <v>1296</v>
      </c>
      <c r="B1297">
        <v>2008</v>
      </c>
      <c r="C1297" t="s">
        <v>109</v>
      </c>
      <c r="D1297" t="s">
        <v>797</v>
      </c>
      <c r="E1297" t="s">
        <v>1434</v>
      </c>
      <c r="F1297" s="2">
        <v>975</v>
      </c>
      <c r="G1297" s="2">
        <v>2</v>
      </c>
      <c r="H1297" t="s">
        <v>248</v>
      </c>
      <c r="I1297" t="s">
        <v>249</v>
      </c>
      <c r="J1297" s="11">
        <v>1290.0346113625178</v>
      </c>
      <c r="K1297" t="str">
        <f t="shared" si="40"/>
        <v>Ross Poppel</v>
      </c>
    </row>
    <row r="1298" spans="1:11" hidden="1" x14ac:dyDescent="0.35">
      <c r="A1298">
        <f t="shared" si="41"/>
        <v>1297</v>
      </c>
      <c r="B1298">
        <v>2008</v>
      </c>
      <c r="C1298" t="s">
        <v>109</v>
      </c>
      <c r="D1298" t="s">
        <v>797</v>
      </c>
      <c r="E1298" t="s">
        <v>1434</v>
      </c>
      <c r="F1298" s="2">
        <v>585</v>
      </c>
      <c r="G1298" s="2">
        <v>3</v>
      </c>
      <c r="H1298" t="s">
        <v>798</v>
      </c>
      <c r="I1298" t="s">
        <v>799</v>
      </c>
      <c r="J1298" s="11">
        <v>1113.9433523068367</v>
      </c>
      <c r="K1298" t="str">
        <f t="shared" si="40"/>
        <v>Martin Lipschutz</v>
      </c>
    </row>
    <row r="1299" spans="1:11" hidden="1" x14ac:dyDescent="0.35">
      <c r="A1299">
        <f t="shared" si="41"/>
        <v>1298</v>
      </c>
      <c r="B1299">
        <v>2008</v>
      </c>
      <c r="C1299" t="s">
        <v>109</v>
      </c>
      <c r="D1299" t="s">
        <v>797</v>
      </c>
      <c r="E1299" t="s">
        <v>1434</v>
      </c>
      <c r="F1299" s="2">
        <v>390</v>
      </c>
      <c r="G1299" s="2">
        <v>4</v>
      </c>
      <c r="H1299" t="s">
        <v>238</v>
      </c>
      <c r="I1299" t="s">
        <v>16</v>
      </c>
      <c r="J1299" s="11">
        <v>989.00461569853667</v>
      </c>
      <c r="K1299" t="str">
        <f t="shared" si="40"/>
        <v>David Kuznick</v>
      </c>
    </row>
    <row r="1300" spans="1:11" hidden="1" x14ac:dyDescent="0.35">
      <c r="A1300">
        <f t="shared" si="41"/>
        <v>1299</v>
      </c>
      <c r="B1300">
        <v>2008</v>
      </c>
      <c r="C1300" t="s">
        <v>109</v>
      </c>
      <c r="D1300" t="s">
        <v>797</v>
      </c>
      <c r="E1300" t="s">
        <v>1434</v>
      </c>
      <c r="F1300" s="2">
        <v>195</v>
      </c>
      <c r="G1300" s="2">
        <v>5</v>
      </c>
      <c r="H1300" t="s">
        <v>2512</v>
      </c>
      <c r="I1300" t="s">
        <v>659</v>
      </c>
      <c r="J1300" s="11">
        <v>892.0946026904802</v>
      </c>
      <c r="K1300" t="str">
        <f t="shared" si="40"/>
        <v>Tanya Peck-Devenport</v>
      </c>
    </row>
    <row r="1301" spans="1:11" hidden="1" x14ac:dyDescent="0.35">
      <c r="A1301">
        <f t="shared" si="41"/>
        <v>1300</v>
      </c>
      <c r="B1301">
        <v>2008</v>
      </c>
      <c r="C1301" t="s">
        <v>109</v>
      </c>
      <c r="D1301" t="s">
        <v>770</v>
      </c>
      <c r="E1301" t="s">
        <v>1430</v>
      </c>
      <c r="F1301" s="2">
        <v>2800</v>
      </c>
      <c r="G1301" s="2">
        <v>1</v>
      </c>
      <c r="H1301" t="s">
        <v>51</v>
      </c>
      <c r="I1301" t="s">
        <v>153</v>
      </c>
      <c r="J1301" s="11">
        <v>1845.0980400142569</v>
      </c>
      <c r="K1301" t="str">
        <f t="shared" si="40"/>
        <v>Stephen Rosenblatt</v>
      </c>
    </row>
    <row r="1302" spans="1:11" hidden="1" x14ac:dyDescent="0.35">
      <c r="A1302">
        <f t="shared" si="41"/>
        <v>1301</v>
      </c>
      <c r="B1302">
        <v>2008</v>
      </c>
      <c r="C1302" t="s">
        <v>109</v>
      </c>
      <c r="D1302" t="s">
        <v>770</v>
      </c>
      <c r="E1302" t="s">
        <v>1430</v>
      </c>
      <c r="F1302" s="2">
        <v>1610</v>
      </c>
      <c r="G1302" s="2">
        <v>2</v>
      </c>
      <c r="H1302" t="s">
        <v>2512</v>
      </c>
      <c r="I1302" t="s">
        <v>659</v>
      </c>
      <c r="J1302" s="11">
        <v>1544.0680443502756</v>
      </c>
      <c r="K1302" t="str">
        <f t="shared" si="40"/>
        <v>Tanya Peck-Devenport</v>
      </c>
    </row>
    <row r="1303" spans="1:11" hidden="1" x14ac:dyDescent="0.35">
      <c r="A1303">
        <f t="shared" si="41"/>
        <v>1302</v>
      </c>
      <c r="B1303">
        <v>2008</v>
      </c>
      <c r="C1303" t="s">
        <v>109</v>
      </c>
      <c r="D1303" t="s">
        <v>770</v>
      </c>
      <c r="E1303" t="s">
        <v>1430</v>
      </c>
      <c r="F1303" s="2">
        <v>840</v>
      </c>
      <c r="G1303" s="2">
        <v>3</v>
      </c>
      <c r="H1303" t="s">
        <v>66</v>
      </c>
      <c r="I1303" t="s">
        <v>67</v>
      </c>
      <c r="J1303" s="11">
        <v>1367.9767852945945</v>
      </c>
      <c r="K1303" t="str">
        <f t="shared" si="40"/>
        <v>Bob Lauria</v>
      </c>
    </row>
    <row r="1304" spans="1:11" hidden="1" x14ac:dyDescent="0.35">
      <c r="A1304">
        <f t="shared" si="41"/>
        <v>1303</v>
      </c>
      <c r="B1304">
        <v>2008</v>
      </c>
      <c r="C1304" t="s">
        <v>109</v>
      </c>
      <c r="D1304" t="s">
        <v>770</v>
      </c>
      <c r="E1304" t="s">
        <v>1430</v>
      </c>
      <c r="F1304" s="2">
        <v>490</v>
      </c>
      <c r="G1304" s="2">
        <v>4</v>
      </c>
      <c r="H1304" t="s">
        <v>771</v>
      </c>
      <c r="I1304" t="s">
        <v>267</v>
      </c>
      <c r="J1304" s="11">
        <v>1243.0380486862944</v>
      </c>
      <c r="K1304" t="str">
        <f t="shared" si="40"/>
        <v>Christopher Garman</v>
      </c>
    </row>
    <row r="1305" spans="1:11" hidden="1" x14ac:dyDescent="0.35">
      <c r="A1305">
        <f t="shared" si="41"/>
        <v>1304</v>
      </c>
      <c r="B1305">
        <v>2008</v>
      </c>
      <c r="C1305" t="s">
        <v>109</v>
      </c>
      <c r="D1305" t="s">
        <v>770</v>
      </c>
      <c r="E1305" t="s">
        <v>1430</v>
      </c>
      <c r="F1305" s="2">
        <v>385</v>
      </c>
      <c r="G1305" s="2">
        <v>5</v>
      </c>
      <c r="H1305" t="s">
        <v>748</v>
      </c>
      <c r="I1305" t="s">
        <v>89</v>
      </c>
      <c r="J1305" s="11">
        <v>1146.1280356782381</v>
      </c>
      <c r="K1305" t="str">
        <f t="shared" si="40"/>
        <v>Ken Sias</v>
      </c>
    </row>
    <row r="1306" spans="1:11" hidden="1" x14ac:dyDescent="0.35">
      <c r="A1306">
        <f t="shared" si="41"/>
        <v>1305</v>
      </c>
      <c r="B1306">
        <v>2008</v>
      </c>
      <c r="C1306" t="s">
        <v>109</v>
      </c>
      <c r="D1306" t="s">
        <v>770</v>
      </c>
      <c r="E1306" t="s">
        <v>1430</v>
      </c>
      <c r="F1306" s="2">
        <v>315</v>
      </c>
      <c r="G1306" s="2">
        <v>6</v>
      </c>
      <c r="H1306" t="s">
        <v>772</v>
      </c>
      <c r="I1306" t="s">
        <v>463</v>
      </c>
      <c r="J1306" s="11">
        <v>1066.9467896306132</v>
      </c>
      <c r="K1306" t="str">
        <f t="shared" si="40"/>
        <v>Richard Puleo</v>
      </c>
    </row>
    <row r="1307" spans="1:11" hidden="1" x14ac:dyDescent="0.35">
      <c r="A1307">
        <f t="shared" si="41"/>
        <v>1306</v>
      </c>
      <c r="B1307">
        <v>2008</v>
      </c>
      <c r="C1307" t="s">
        <v>109</v>
      </c>
      <c r="D1307" t="s">
        <v>770</v>
      </c>
      <c r="E1307" t="s">
        <v>1430</v>
      </c>
      <c r="F1307" s="2">
        <v>245</v>
      </c>
      <c r="G1307" s="2">
        <v>7</v>
      </c>
      <c r="H1307" t="s">
        <v>363</v>
      </c>
      <c r="I1307" t="s">
        <v>364</v>
      </c>
      <c r="J1307" s="11">
        <v>1000</v>
      </c>
      <c r="K1307" t="str">
        <f t="shared" si="40"/>
        <v>Warren Sander</v>
      </c>
    </row>
    <row r="1308" spans="1:11" hidden="1" x14ac:dyDescent="0.35">
      <c r="A1308">
        <f t="shared" si="41"/>
        <v>1307</v>
      </c>
      <c r="B1308">
        <v>2008</v>
      </c>
      <c r="C1308" t="s">
        <v>109</v>
      </c>
      <c r="D1308" t="s">
        <v>770</v>
      </c>
      <c r="E1308" t="s">
        <v>1430</v>
      </c>
      <c r="F1308" s="2">
        <v>175</v>
      </c>
      <c r="G1308" s="2">
        <v>8</v>
      </c>
      <c r="H1308" t="s">
        <v>773</v>
      </c>
      <c r="I1308" t="s">
        <v>413</v>
      </c>
      <c r="J1308" s="11">
        <v>942.00805302231333</v>
      </c>
      <c r="K1308" t="str">
        <f t="shared" si="40"/>
        <v>Bruce Altner</v>
      </c>
    </row>
    <row r="1309" spans="1:11" hidden="1" x14ac:dyDescent="0.35">
      <c r="A1309">
        <f t="shared" si="41"/>
        <v>1308</v>
      </c>
      <c r="B1309">
        <v>2008</v>
      </c>
      <c r="C1309" t="s">
        <v>109</v>
      </c>
      <c r="D1309" t="s">
        <v>770</v>
      </c>
      <c r="E1309" t="s">
        <v>1430</v>
      </c>
      <c r="F1309" s="2">
        <v>140</v>
      </c>
      <c r="G1309" s="2">
        <v>9</v>
      </c>
      <c r="H1309" t="s">
        <v>774</v>
      </c>
      <c r="I1309" t="s">
        <v>480</v>
      </c>
      <c r="J1309" s="11">
        <v>890.855530574932</v>
      </c>
      <c r="K1309" t="str">
        <f t="shared" si="40"/>
        <v>James Skoulikas</v>
      </c>
    </row>
    <row r="1310" spans="1:11" hidden="1" x14ac:dyDescent="0.35">
      <c r="A1310">
        <f t="shared" si="41"/>
        <v>1309</v>
      </c>
      <c r="B1310">
        <v>2008</v>
      </c>
      <c r="C1310" t="s">
        <v>263</v>
      </c>
      <c r="D1310" t="s">
        <v>835</v>
      </c>
      <c r="E1310" t="s">
        <v>1051</v>
      </c>
      <c r="F1310" s="2">
        <v>1290</v>
      </c>
      <c r="G1310" s="2">
        <v>1</v>
      </c>
      <c r="H1310" t="s">
        <v>810</v>
      </c>
      <c r="I1310" t="s">
        <v>463</v>
      </c>
      <c r="J1310" s="11">
        <v>1934.4984512435676</v>
      </c>
      <c r="K1310" t="str">
        <f t="shared" si="40"/>
        <v>Richard Brodie</v>
      </c>
    </row>
    <row r="1311" spans="1:11" hidden="1" x14ac:dyDescent="0.35">
      <c r="A1311">
        <f t="shared" si="41"/>
        <v>1310</v>
      </c>
      <c r="B1311">
        <v>2008</v>
      </c>
      <c r="C1311" t="s">
        <v>263</v>
      </c>
      <c r="D1311" t="s">
        <v>835</v>
      </c>
      <c r="E1311" t="s">
        <v>1051</v>
      </c>
      <c r="F1311" s="2">
        <v>1030</v>
      </c>
      <c r="G1311" s="2">
        <v>2</v>
      </c>
      <c r="H1311" t="s">
        <v>266</v>
      </c>
      <c r="I1311" t="s">
        <v>28</v>
      </c>
      <c r="J1311" s="11">
        <v>1633.4684555795864</v>
      </c>
      <c r="K1311" t="str">
        <f t="shared" si="40"/>
        <v>Chris Mecklin</v>
      </c>
    </row>
    <row r="1312" spans="1:11" hidden="1" x14ac:dyDescent="0.35">
      <c r="A1312">
        <f t="shared" si="41"/>
        <v>1311</v>
      </c>
      <c r="B1312">
        <v>2008</v>
      </c>
      <c r="C1312" t="s">
        <v>263</v>
      </c>
      <c r="D1312" t="s">
        <v>835</v>
      </c>
      <c r="E1312" t="s">
        <v>1051</v>
      </c>
      <c r="F1312" s="2">
        <v>770</v>
      </c>
      <c r="G1312" s="2">
        <v>3</v>
      </c>
      <c r="H1312" t="s">
        <v>88</v>
      </c>
      <c r="I1312" t="s">
        <v>89</v>
      </c>
      <c r="J1312" s="11">
        <v>1457.3771965239052</v>
      </c>
      <c r="K1312" t="str">
        <f t="shared" si="40"/>
        <v>Ken Kubey</v>
      </c>
    </row>
    <row r="1313" spans="1:11" hidden="1" x14ac:dyDescent="0.35">
      <c r="A1313">
        <f t="shared" si="41"/>
        <v>1312</v>
      </c>
      <c r="B1313">
        <v>2008</v>
      </c>
      <c r="C1313" t="s">
        <v>263</v>
      </c>
      <c r="D1313" t="s">
        <v>835</v>
      </c>
      <c r="E1313" t="s">
        <v>1051</v>
      </c>
      <c r="F1313" s="2">
        <v>620</v>
      </c>
      <c r="G1313" s="2">
        <v>4</v>
      </c>
      <c r="H1313" t="s">
        <v>824</v>
      </c>
      <c r="I1313" t="s">
        <v>65</v>
      </c>
      <c r="J1313" s="11">
        <v>1332.4384599156053</v>
      </c>
      <c r="K1313" t="str">
        <f t="shared" si="40"/>
        <v>Steve Clayton</v>
      </c>
    </row>
    <row r="1314" spans="1:11" hidden="1" x14ac:dyDescent="0.35">
      <c r="A1314">
        <f t="shared" si="41"/>
        <v>1313</v>
      </c>
      <c r="B1314">
        <v>2008</v>
      </c>
      <c r="C1314" t="s">
        <v>263</v>
      </c>
      <c r="D1314" t="s">
        <v>835</v>
      </c>
      <c r="E1314" t="s">
        <v>1051</v>
      </c>
      <c r="F1314" s="2">
        <v>520</v>
      </c>
      <c r="G1314" s="2">
        <v>5</v>
      </c>
      <c r="H1314" t="s">
        <v>525</v>
      </c>
      <c r="I1314" t="s">
        <v>58</v>
      </c>
      <c r="J1314" s="11">
        <v>1235.5284469075486</v>
      </c>
      <c r="K1314" t="str">
        <f t="shared" si="40"/>
        <v>Jim Anderson</v>
      </c>
    </row>
    <row r="1315" spans="1:11" hidden="1" x14ac:dyDescent="0.35">
      <c r="A1315">
        <f t="shared" si="41"/>
        <v>1314</v>
      </c>
      <c r="B1315">
        <v>2008</v>
      </c>
      <c r="C1315" t="s">
        <v>263</v>
      </c>
      <c r="D1315" t="s">
        <v>835</v>
      </c>
      <c r="E1315" t="s">
        <v>1051</v>
      </c>
      <c r="F1315" s="2">
        <v>410</v>
      </c>
      <c r="G1315" s="2">
        <v>6</v>
      </c>
      <c r="H1315" t="s">
        <v>629</v>
      </c>
      <c r="I1315" t="s">
        <v>630</v>
      </c>
      <c r="J1315" s="11">
        <v>1156.347200859924</v>
      </c>
      <c r="K1315" t="str">
        <f t="shared" si="40"/>
        <v>Betty Tanenbaum</v>
      </c>
    </row>
    <row r="1316" spans="1:11" hidden="1" x14ac:dyDescent="0.35">
      <c r="A1316">
        <f t="shared" si="41"/>
        <v>1315</v>
      </c>
      <c r="B1316">
        <v>2008</v>
      </c>
      <c r="C1316" t="s">
        <v>263</v>
      </c>
      <c r="D1316" t="s">
        <v>835</v>
      </c>
      <c r="E1316" t="s">
        <v>1051</v>
      </c>
      <c r="F1316" s="2">
        <v>310</v>
      </c>
      <c r="G1316" s="2">
        <v>7</v>
      </c>
      <c r="H1316" t="s">
        <v>836</v>
      </c>
      <c r="I1316" t="s">
        <v>136</v>
      </c>
      <c r="J1316" s="11">
        <v>1089.400411229311</v>
      </c>
      <c r="K1316" t="str">
        <f t="shared" si="40"/>
        <v>John Grout</v>
      </c>
    </row>
    <row r="1317" spans="1:11" hidden="1" x14ac:dyDescent="0.35">
      <c r="A1317">
        <f t="shared" si="41"/>
        <v>1316</v>
      </c>
      <c r="B1317">
        <v>2008</v>
      </c>
      <c r="C1317" t="s">
        <v>263</v>
      </c>
      <c r="D1317" t="s">
        <v>835</v>
      </c>
      <c r="E1317" t="s">
        <v>1051</v>
      </c>
      <c r="F1317" s="2">
        <v>210</v>
      </c>
      <c r="G1317" s="2">
        <v>8</v>
      </c>
      <c r="H1317" t="s">
        <v>294</v>
      </c>
      <c r="I1317" t="s">
        <v>16</v>
      </c>
      <c r="J1317" s="11">
        <v>1031.4084642516241</v>
      </c>
      <c r="K1317" t="str">
        <f t="shared" si="40"/>
        <v>David Low</v>
      </c>
    </row>
    <row r="1318" spans="1:11" hidden="1" x14ac:dyDescent="0.35">
      <c r="A1318">
        <f t="shared" si="41"/>
        <v>1317</v>
      </c>
      <c r="B1318">
        <v>2008</v>
      </c>
      <c r="C1318" t="s">
        <v>263</v>
      </c>
      <c r="D1318" t="s">
        <v>838</v>
      </c>
      <c r="E1318" t="s">
        <v>1430</v>
      </c>
      <c r="F1318" s="2">
        <v>920</v>
      </c>
      <c r="G1318" s="2">
        <v>1</v>
      </c>
      <c r="H1318" t="s">
        <v>1719</v>
      </c>
      <c r="I1318" t="s">
        <v>524</v>
      </c>
      <c r="J1318" s="11">
        <v>1897.6270912904413</v>
      </c>
      <c r="K1318" t="str">
        <f t="shared" si="40"/>
        <v>Guy Berentsen</v>
      </c>
    </row>
    <row r="1319" spans="1:11" hidden="1" x14ac:dyDescent="0.35">
      <c r="A1319">
        <f t="shared" si="41"/>
        <v>1318</v>
      </c>
      <c r="B1319">
        <v>2008</v>
      </c>
      <c r="C1319" t="s">
        <v>263</v>
      </c>
      <c r="D1319" t="s">
        <v>838</v>
      </c>
      <c r="E1319" t="s">
        <v>1430</v>
      </c>
      <c r="F1319" s="2">
        <v>720</v>
      </c>
      <c r="G1319" s="2">
        <v>2</v>
      </c>
      <c r="H1319" t="s">
        <v>713</v>
      </c>
      <c r="I1319" t="s">
        <v>28</v>
      </c>
      <c r="J1319" s="11">
        <v>1596.59709562646</v>
      </c>
      <c r="K1319" t="str">
        <f t="shared" si="40"/>
        <v>Chris Jepsen</v>
      </c>
    </row>
    <row r="1320" spans="1:11" hidden="1" x14ac:dyDescent="0.35">
      <c r="A1320">
        <f t="shared" si="41"/>
        <v>1319</v>
      </c>
      <c r="B1320">
        <v>2008</v>
      </c>
      <c r="C1320" t="s">
        <v>263</v>
      </c>
      <c r="D1320" t="s">
        <v>838</v>
      </c>
      <c r="E1320" t="s">
        <v>1430</v>
      </c>
      <c r="F1320" s="2">
        <v>720</v>
      </c>
      <c r="G1320" s="2">
        <v>3</v>
      </c>
      <c r="H1320" t="s">
        <v>307</v>
      </c>
      <c r="I1320" t="s">
        <v>67</v>
      </c>
      <c r="J1320" s="11">
        <v>1420.5058365707789</v>
      </c>
      <c r="K1320" t="str">
        <f t="shared" si="40"/>
        <v>Bob Ogus</v>
      </c>
    </row>
    <row r="1321" spans="1:11" hidden="1" x14ac:dyDescent="0.35">
      <c r="A1321">
        <f t="shared" si="41"/>
        <v>1320</v>
      </c>
      <c r="B1321">
        <v>2008</v>
      </c>
      <c r="C1321" t="s">
        <v>263</v>
      </c>
      <c r="D1321" t="s">
        <v>838</v>
      </c>
      <c r="E1321" t="s">
        <v>1430</v>
      </c>
      <c r="F1321" s="2">
        <v>470</v>
      </c>
      <c r="G1321" s="2">
        <v>4</v>
      </c>
      <c r="H1321" t="s">
        <v>531</v>
      </c>
      <c r="I1321" t="s">
        <v>271</v>
      </c>
      <c r="J1321" s="11">
        <v>1295.5670999624788</v>
      </c>
      <c r="K1321" t="str">
        <f t="shared" si="40"/>
        <v>Dan Nussbaum</v>
      </c>
    </row>
    <row r="1322" spans="1:11" hidden="1" x14ac:dyDescent="0.35">
      <c r="A1322">
        <f t="shared" si="41"/>
        <v>1321</v>
      </c>
      <c r="B1322">
        <v>2008</v>
      </c>
      <c r="C1322" t="s">
        <v>263</v>
      </c>
      <c r="D1322" t="s">
        <v>838</v>
      </c>
      <c r="E1322" t="s">
        <v>1430</v>
      </c>
      <c r="F1322" s="2">
        <v>400</v>
      </c>
      <c r="G1322" s="2">
        <v>5</v>
      </c>
      <c r="H1322" t="s">
        <v>396</v>
      </c>
      <c r="I1322" t="s">
        <v>397</v>
      </c>
      <c r="J1322" s="11">
        <v>1198.6570869544225</v>
      </c>
      <c r="K1322" t="str">
        <f t="shared" si="40"/>
        <v>Asya Kamsky</v>
      </c>
    </row>
    <row r="1323" spans="1:11" hidden="1" x14ac:dyDescent="0.35">
      <c r="A1323">
        <f t="shared" si="41"/>
        <v>1322</v>
      </c>
      <c r="B1323">
        <v>2008</v>
      </c>
      <c r="C1323" t="s">
        <v>263</v>
      </c>
      <c r="D1323" t="s">
        <v>838</v>
      </c>
      <c r="E1323" t="s">
        <v>1430</v>
      </c>
      <c r="F1323" s="2">
        <v>320</v>
      </c>
      <c r="G1323" s="2">
        <v>6</v>
      </c>
      <c r="H1323" t="s">
        <v>692</v>
      </c>
      <c r="I1323" t="s">
        <v>200</v>
      </c>
      <c r="J1323" s="11">
        <v>1119.4758409067977</v>
      </c>
      <c r="K1323" t="str">
        <f t="shared" si="40"/>
        <v>Rick Monbourquette</v>
      </c>
    </row>
    <row r="1324" spans="1:11" hidden="1" x14ac:dyDescent="0.35">
      <c r="A1324">
        <f t="shared" si="41"/>
        <v>1323</v>
      </c>
      <c r="B1324">
        <v>2008</v>
      </c>
      <c r="C1324" t="s">
        <v>263</v>
      </c>
      <c r="D1324" t="s">
        <v>838</v>
      </c>
      <c r="E1324" t="s">
        <v>1430</v>
      </c>
      <c r="F1324" s="2">
        <v>240</v>
      </c>
      <c r="G1324" s="2">
        <v>7</v>
      </c>
      <c r="H1324" t="s">
        <v>537</v>
      </c>
      <c r="I1324" t="s">
        <v>538</v>
      </c>
      <c r="J1324" s="11">
        <v>1052.5290512761844</v>
      </c>
      <c r="K1324" t="str">
        <f t="shared" si="40"/>
        <v>Cliff Matthews</v>
      </c>
    </row>
    <row r="1325" spans="1:11" hidden="1" x14ac:dyDescent="0.35">
      <c r="A1325">
        <f t="shared" si="41"/>
        <v>1324</v>
      </c>
      <c r="B1325">
        <v>2008</v>
      </c>
      <c r="C1325" t="s">
        <v>263</v>
      </c>
      <c r="D1325" t="s">
        <v>838</v>
      </c>
      <c r="E1325" t="s">
        <v>1430</v>
      </c>
      <c r="F1325" s="2">
        <v>160</v>
      </c>
      <c r="G1325" s="2">
        <v>8</v>
      </c>
      <c r="H1325" t="s">
        <v>810</v>
      </c>
      <c r="I1325" t="s">
        <v>463</v>
      </c>
      <c r="J1325" s="11">
        <v>994.53710429849787</v>
      </c>
      <c r="K1325" t="str">
        <f t="shared" si="40"/>
        <v>Richard Brodie</v>
      </c>
    </row>
    <row r="1326" spans="1:11" hidden="1" x14ac:dyDescent="0.35">
      <c r="A1326">
        <f t="shared" si="41"/>
        <v>1325</v>
      </c>
      <c r="B1326">
        <v>2008</v>
      </c>
      <c r="C1326" t="s">
        <v>263</v>
      </c>
      <c r="D1326" t="s">
        <v>45</v>
      </c>
      <c r="E1326" t="s">
        <v>1429</v>
      </c>
      <c r="F1326" s="2">
        <v>4550</v>
      </c>
      <c r="G1326" s="2">
        <v>1</v>
      </c>
      <c r="H1326" t="s">
        <v>839</v>
      </c>
      <c r="I1326" t="s">
        <v>271</v>
      </c>
      <c r="J1326" s="11">
        <v>2309.6301674258989</v>
      </c>
      <c r="K1326" t="str">
        <f t="shared" si="40"/>
        <v>Dan Chevrie</v>
      </c>
    </row>
    <row r="1327" spans="1:11" hidden="1" x14ac:dyDescent="0.35">
      <c r="A1327">
        <f t="shared" si="41"/>
        <v>1326</v>
      </c>
      <c r="B1327">
        <v>2008</v>
      </c>
      <c r="C1327" t="s">
        <v>263</v>
      </c>
      <c r="D1327" t="s">
        <v>45</v>
      </c>
      <c r="E1327" t="s">
        <v>1429</v>
      </c>
      <c r="F1327" s="2">
        <v>3640</v>
      </c>
      <c r="G1327" s="2">
        <v>2</v>
      </c>
      <c r="H1327" t="s">
        <v>841</v>
      </c>
      <c r="I1327" t="s">
        <v>139</v>
      </c>
      <c r="J1327" s="11">
        <v>2008.6001717619174</v>
      </c>
      <c r="K1327" t="str">
        <f t="shared" si="40"/>
        <v>Mark Rafn</v>
      </c>
    </row>
    <row r="1328" spans="1:11" hidden="1" x14ac:dyDescent="0.35">
      <c r="A1328">
        <f t="shared" si="41"/>
        <v>1327</v>
      </c>
      <c r="B1328">
        <v>2008</v>
      </c>
      <c r="C1328" t="s">
        <v>263</v>
      </c>
      <c r="D1328" t="s">
        <v>45</v>
      </c>
      <c r="E1328" t="s">
        <v>1429</v>
      </c>
      <c r="F1328" s="2">
        <v>2730</v>
      </c>
      <c r="G1328" s="2">
        <v>3</v>
      </c>
      <c r="H1328" t="s">
        <v>623</v>
      </c>
      <c r="I1328" t="s">
        <v>65</v>
      </c>
      <c r="J1328" s="11">
        <v>1832.5089127062363</v>
      </c>
      <c r="K1328" t="str">
        <f t="shared" si="40"/>
        <v>Steve Forcash</v>
      </c>
    </row>
    <row r="1329" spans="1:11" hidden="1" x14ac:dyDescent="0.35">
      <c r="A1329">
        <f t="shared" si="41"/>
        <v>1328</v>
      </c>
      <c r="B1329">
        <v>2008</v>
      </c>
      <c r="C1329" t="s">
        <v>263</v>
      </c>
      <c r="D1329" t="s">
        <v>45</v>
      </c>
      <c r="E1329" t="s">
        <v>1429</v>
      </c>
      <c r="F1329" s="2">
        <v>2180</v>
      </c>
      <c r="G1329" s="2">
        <v>4</v>
      </c>
      <c r="H1329" t="s">
        <v>645</v>
      </c>
      <c r="I1329" t="s">
        <v>644</v>
      </c>
      <c r="J1329" s="11">
        <v>1707.5701760979362</v>
      </c>
      <c r="K1329" t="str">
        <f t="shared" si="40"/>
        <v>Ed Baker</v>
      </c>
    </row>
    <row r="1330" spans="1:11" hidden="1" x14ac:dyDescent="0.35">
      <c r="A1330">
        <f t="shared" si="41"/>
        <v>1329</v>
      </c>
      <c r="B1330">
        <v>2008</v>
      </c>
      <c r="C1330" t="s">
        <v>263</v>
      </c>
      <c r="D1330" t="s">
        <v>45</v>
      </c>
      <c r="E1330" t="s">
        <v>1429</v>
      </c>
      <c r="F1330" s="2">
        <v>1820</v>
      </c>
      <c r="G1330" s="2">
        <v>5</v>
      </c>
      <c r="H1330" t="s">
        <v>90</v>
      </c>
      <c r="I1330" t="s">
        <v>22</v>
      </c>
      <c r="J1330" s="11">
        <v>1610.6601630898799</v>
      </c>
      <c r="K1330" t="str">
        <f t="shared" si="40"/>
        <v>Rich Strauss</v>
      </c>
    </row>
    <row r="1331" spans="1:11" hidden="1" x14ac:dyDescent="0.35">
      <c r="A1331">
        <f t="shared" si="41"/>
        <v>1330</v>
      </c>
      <c r="B1331">
        <v>2008</v>
      </c>
      <c r="C1331" t="s">
        <v>263</v>
      </c>
      <c r="D1331" t="s">
        <v>45</v>
      </c>
      <c r="E1331" t="s">
        <v>1429</v>
      </c>
      <c r="F1331" s="2">
        <v>1460</v>
      </c>
      <c r="G1331" s="2">
        <v>6</v>
      </c>
      <c r="H1331" t="s">
        <v>277</v>
      </c>
      <c r="I1331" t="s">
        <v>843</v>
      </c>
      <c r="J1331" s="11">
        <v>1531.478917042255</v>
      </c>
      <c r="K1331" t="str">
        <f t="shared" si="40"/>
        <v>Fred Lawful</v>
      </c>
    </row>
    <row r="1332" spans="1:11" hidden="1" x14ac:dyDescent="0.35">
      <c r="A1332">
        <f t="shared" si="41"/>
        <v>1331</v>
      </c>
      <c r="B1332">
        <v>2008</v>
      </c>
      <c r="C1332" t="s">
        <v>263</v>
      </c>
      <c r="D1332" t="s">
        <v>45</v>
      </c>
      <c r="E1332" t="s">
        <v>1429</v>
      </c>
      <c r="F1332" s="2">
        <v>1090</v>
      </c>
      <c r="G1332" s="2">
        <v>7</v>
      </c>
      <c r="H1332" t="s">
        <v>711</v>
      </c>
      <c r="I1332" t="s">
        <v>85</v>
      </c>
      <c r="J1332" s="11">
        <v>1464.5321274116418</v>
      </c>
      <c r="K1332" t="str">
        <f t="shared" si="40"/>
        <v>Patrick Kirwan</v>
      </c>
    </row>
    <row r="1333" spans="1:11" hidden="1" x14ac:dyDescent="0.35">
      <c r="A1333">
        <f t="shared" si="41"/>
        <v>1332</v>
      </c>
      <c r="B1333">
        <v>2008</v>
      </c>
      <c r="C1333" t="s">
        <v>263</v>
      </c>
      <c r="D1333" t="s">
        <v>45</v>
      </c>
      <c r="E1333" t="s">
        <v>1429</v>
      </c>
      <c r="F1333" s="2">
        <v>730</v>
      </c>
      <c r="G1333" s="2">
        <v>8</v>
      </c>
      <c r="H1333" t="s">
        <v>43</v>
      </c>
      <c r="I1333" t="s">
        <v>218</v>
      </c>
      <c r="J1333" s="11">
        <v>1406.5401804339551</v>
      </c>
      <c r="K1333" t="str">
        <f t="shared" si="40"/>
        <v>Michael Klein</v>
      </c>
    </row>
    <row r="1334" spans="1:11" hidden="1" x14ac:dyDescent="0.35">
      <c r="A1334">
        <f t="shared" si="41"/>
        <v>1333</v>
      </c>
      <c r="B1334">
        <v>2008</v>
      </c>
      <c r="C1334" t="s">
        <v>263</v>
      </c>
      <c r="D1334" t="s">
        <v>45</v>
      </c>
      <c r="E1334" t="s">
        <v>1429</v>
      </c>
      <c r="F1334" s="2">
        <v>400</v>
      </c>
      <c r="G1334" s="2">
        <v>9</v>
      </c>
      <c r="H1334" t="s">
        <v>237</v>
      </c>
      <c r="I1334" t="s">
        <v>13</v>
      </c>
      <c r="J1334" s="11">
        <v>1355.3876579865739</v>
      </c>
      <c r="K1334" t="str">
        <f t="shared" si="40"/>
        <v>Tom Goodwin</v>
      </c>
    </row>
    <row r="1335" spans="1:11" hidden="1" x14ac:dyDescent="0.35">
      <c r="A1335">
        <f t="shared" si="41"/>
        <v>1334</v>
      </c>
      <c r="B1335">
        <v>2008</v>
      </c>
      <c r="C1335" t="s">
        <v>263</v>
      </c>
      <c r="D1335" t="s">
        <v>45</v>
      </c>
      <c r="E1335" t="s">
        <v>1429</v>
      </c>
      <c r="F1335" s="2">
        <v>250</v>
      </c>
      <c r="G1335" s="2">
        <v>10</v>
      </c>
      <c r="H1335" t="s">
        <v>35</v>
      </c>
      <c r="I1335" t="s">
        <v>36</v>
      </c>
      <c r="J1335" s="11">
        <v>1309.6301674258987</v>
      </c>
      <c r="K1335" t="str">
        <f t="shared" si="40"/>
        <v>Nolan Dalla</v>
      </c>
    </row>
    <row r="1336" spans="1:11" hidden="1" x14ac:dyDescent="0.35">
      <c r="A1336">
        <f t="shared" si="41"/>
        <v>1335</v>
      </c>
      <c r="B1336">
        <v>2008</v>
      </c>
      <c r="C1336" t="s">
        <v>263</v>
      </c>
      <c r="D1336" t="s">
        <v>45</v>
      </c>
      <c r="E1336" t="s">
        <v>1429</v>
      </c>
      <c r="F1336" s="2">
        <v>250</v>
      </c>
      <c r="G1336" s="2">
        <v>11</v>
      </c>
      <c r="H1336" t="s">
        <v>265</v>
      </c>
      <c r="I1336" t="s">
        <v>139</v>
      </c>
      <c r="J1336" s="11">
        <v>1268.2374822676736</v>
      </c>
      <c r="K1336" t="str">
        <f t="shared" si="40"/>
        <v>Mark Hughes</v>
      </c>
    </row>
    <row r="1337" spans="1:11" hidden="1" x14ac:dyDescent="0.35">
      <c r="A1337">
        <f t="shared" si="41"/>
        <v>1336</v>
      </c>
      <c r="B1337">
        <v>2008</v>
      </c>
      <c r="C1337" t="s">
        <v>263</v>
      </c>
      <c r="D1337" t="s">
        <v>45</v>
      </c>
      <c r="E1337" t="s">
        <v>1429</v>
      </c>
      <c r="F1337" s="2">
        <v>250</v>
      </c>
      <c r="G1337" s="2">
        <v>12</v>
      </c>
      <c r="H1337" t="s">
        <v>411</v>
      </c>
      <c r="I1337" t="s">
        <v>737</v>
      </c>
      <c r="J1337" s="11">
        <v>1230.4489213782738</v>
      </c>
      <c r="K1337" t="str">
        <f t="shared" si="40"/>
        <v>Lawrence Larson</v>
      </c>
    </row>
    <row r="1338" spans="1:11" hidden="1" x14ac:dyDescent="0.35">
      <c r="A1338">
        <f t="shared" si="41"/>
        <v>1337</v>
      </c>
      <c r="B1338">
        <v>2008</v>
      </c>
      <c r="C1338" t="s">
        <v>263</v>
      </c>
      <c r="D1338" t="s">
        <v>45</v>
      </c>
      <c r="E1338" t="s">
        <v>1429</v>
      </c>
      <c r="F1338" s="2">
        <v>200</v>
      </c>
      <c r="G1338" s="2">
        <v>13</v>
      </c>
      <c r="H1338" t="s">
        <v>302</v>
      </c>
      <c r="I1338" t="s">
        <v>81</v>
      </c>
      <c r="J1338" s="11">
        <v>1195.686815119062</v>
      </c>
      <c r="K1338" t="str">
        <f t="shared" si="40"/>
        <v>Don Rieck</v>
      </c>
    </row>
    <row r="1339" spans="1:11" hidden="1" x14ac:dyDescent="0.35">
      <c r="A1339">
        <f t="shared" si="41"/>
        <v>1338</v>
      </c>
      <c r="B1339">
        <v>2008</v>
      </c>
      <c r="C1339" t="s">
        <v>263</v>
      </c>
      <c r="D1339" t="s">
        <v>45</v>
      </c>
      <c r="E1339" t="s">
        <v>1429</v>
      </c>
      <c r="F1339" s="2">
        <v>200</v>
      </c>
      <c r="G1339" s="2">
        <v>14</v>
      </c>
      <c r="H1339" t="s">
        <v>847</v>
      </c>
      <c r="I1339" t="s">
        <v>848</v>
      </c>
      <c r="J1339" s="11">
        <v>1163.5021317476608</v>
      </c>
      <c r="K1339" t="str">
        <f t="shared" si="40"/>
        <v>Jason Newitt</v>
      </c>
    </row>
    <row r="1340" spans="1:11" hidden="1" x14ac:dyDescent="0.35">
      <c r="A1340">
        <f t="shared" si="41"/>
        <v>1339</v>
      </c>
      <c r="B1340">
        <v>2008</v>
      </c>
      <c r="C1340" t="s">
        <v>263</v>
      </c>
      <c r="D1340" t="s">
        <v>45</v>
      </c>
      <c r="E1340" t="s">
        <v>1429</v>
      </c>
      <c r="F1340" s="2">
        <v>200</v>
      </c>
      <c r="G1340" s="2">
        <v>15</v>
      </c>
      <c r="H1340" t="s">
        <v>625</v>
      </c>
      <c r="I1340" t="s">
        <v>16</v>
      </c>
      <c r="J1340" s="11">
        <v>1133.5389083702173</v>
      </c>
      <c r="K1340" t="str">
        <f t="shared" si="40"/>
        <v>David Green</v>
      </c>
    </row>
    <row r="1341" spans="1:11" hidden="1" x14ac:dyDescent="0.35">
      <c r="A1341">
        <f t="shared" si="41"/>
        <v>1340</v>
      </c>
      <c r="B1341">
        <v>2008</v>
      </c>
      <c r="C1341" t="s">
        <v>263</v>
      </c>
      <c r="D1341" t="s">
        <v>45</v>
      </c>
      <c r="E1341" t="s">
        <v>1429</v>
      </c>
      <c r="F1341" s="2">
        <v>150</v>
      </c>
      <c r="G1341" s="2">
        <v>16</v>
      </c>
      <c r="H1341" t="s">
        <v>850</v>
      </c>
      <c r="I1341" t="s">
        <v>851</v>
      </c>
      <c r="J1341" s="11">
        <v>1105.5101847699739</v>
      </c>
      <c r="K1341" t="str">
        <f t="shared" si="40"/>
        <v>Mordecai Schwartz</v>
      </c>
    </row>
    <row r="1342" spans="1:11" hidden="1" x14ac:dyDescent="0.35">
      <c r="A1342">
        <f t="shared" si="41"/>
        <v>1341</v>
      </c>
      <c r="B1342">
        <v>2008</v>
      </c>
      <c r="C1342" t="s">
        <v>263</v>
      </c>
      <c r="D1342" t="s">
        <v>45</v>
      </c>
      <c r="E1342" t="s">
        <v>1429</v>
      </c>
      <c r="F1342" s="2">
        <v>150</v>
      </c>
      <c r="G1342" s="2">
        <v>17</v>
      </c>
      <c r="H1342" t="s">
        <v>19</v>
      </c>
      <c r="I1342" t="s">
        <v>20</v>
      </c>
      <c r="J1342" s="11">
        <v>1079.1812460476249</v>
      </c>
      <c r="K1342" t="str">
        <f t="shared" si="40"/>
        <v>Barry Kornspan</v>
      </c>
    </row>
    <row r="1343" spans="1:11" hidden="1" x14ac:dyDescent="0.35">
      <c r="A1343">
        <f t="shared" si="41"/>
        <v>1342</v>
      </c>
      <c r="B1343">
        <v>2008</v>
      </c>
      <c r="C1343" t="s">
        <v>263</v>
      </c>
      <c r="D1343" t="s">
        <v>45</v>
      </c>
      <c r="E1343" t="s">
        <v>1429</v>
      </c>
      <c r="F1343" s="2">
        <v>150</v>
      </c>
      <c r="G1343" s="2">
        <v>18</v>
      </c>
      <c r="H1343" t="s">
        <v>103</v>
      </c>
      <c r="I1343" t="s">
        <v>104</v>
      </c>
      <c r="J1343" s="11">
        <v>1054.3576623225927</v>
      </c>
      <c r="K1343" t="str">
        <f t="shared" si="40"/>
        <v>Masanobu Fujioka</v>
      </c>
    </row>
    <row r="1344" spans="1:11" hidden="1" x14ac:dyDescent="0.35">
      <c r="A1344">
        <f t="shared" si="41"/>
        <v>1343</v>
      </c>
      <c r="B1344">
        <v>2008</v>
      </c>
      <c r="C1344" t="s">
        <v>263</v>
      </c>
      <c r="D1344" t="s">
        <v>817</v>
      </c>
      <c r="E1344" t="s">
        <v>944</v>
      </c>
      <c r="F1344" s="2">
        <v>1110</v>
      </c>
      <c r="G1344" s="2">
        <v>1</v>
      </c>
      <c r="H1344" t="s">
        <v>818</v>
      </c>
      <c r="I1344" t="s">
        <v>65</v>
      </c>
      <c r="J1344" s="11">
        <v>1903.0899869919435</v>
      </c>
      <c r="K1344" t="str">
        <f t="shared" si="40"/>
        <v>Steve Nissman</v>
      </c>
    </row>
    <row r="1345" spans="1:11" hidden="1" x14ac:dyDescent="0.35">
      <c r="A1345">
        <f t="shared" si="41"/>
        <v>1344</v>
      </c>
      <c r="B1345">
        <v>2008</v>
      </c>
      <c r="C1345" t="s">
        <v>263</v>
      </c>
      <c r="D1345" t="s">
        <v>817</v>
      </c>
      <c r="E1345" t="s">
        <v>944</v>
      </c>
      <c r="F1345" s="2">
        <v>1110</v>
      </c>
      <c r="G1345" s="2">
        <v>2</v>
      </c>
      <c r="H1345" t="s">
        <v>580</v>
      </c>
      <c r="I1345" t="s">
        <v>153</v>
      </c>
      <c r="J1345" s="11">
        <v>1602.0599913279623</v>
      </c>
      <c r="K1345" t="str">
        <f t="shared" si="40"/>
        <v>Stephen Cohen</v>
      </c>
    </row>
    <row r="1346" spans="1:11" hidden="1" x14ac:dyDescent="0.35">
      <c r="A1346">
        <f t="shared" si="41"/>
        <v>1345</v>
      </c>
      <c r="B1346">
        <v>2008</v>
      </c>
      <c r="C1346" t="s">
        <v>263</v>
      </c>
      <c r="D1346" t="s">
        <v>817</v>
      </c>
      <c r="E1346" t="s">
        <v>944</v>
      </c>
      <c r="F1346" s="2">
        <v>740</v>
      </c>
      <c r="G1346" s="2">
        <v>3</v>
      </c>
      <c r="H1346" t="s">
        <v>820</v>
      </c>
      <c r="I1346" t="s">
        <v>471</v>
      </c>
      <c r="J1346" s="11">
        <v>1425.9687322722812</v>
      </c>
      <c r="K1346" t="str">
        <f t="shared" ref="K1346:K1409" si="42">I1346&amp;" "&amp;H1346</f>
        <v>Greg Pappas</v>
      </c>
    </row>
    <row r="1347" spans="1:11" hidden="1" x14ac:dyDescent="0.35">
      <c r="A1347">
        <f t="shared" si="41"/>
        <v>1346</v>
      </c>
      <c r="B1347">
        <v>2008</v>
      </c>
      <c r="C1347" t="s">
        <v>263</v>
      </c>
      <c r="D1347" t="s">
        <v>817</v>
      </c>
      <c r="E1347" t="s">
        <v>944</v>
      </c>
      <c r="F1347" s="2">
        <v>590</v>
      </c>
      <c r="G1347" s="2">
        <v>4</v>
      </c>
      <c r="H1347" t="s">
        <v>536</v>
      </c>
      <c r="I1347" t="s">
        <v>52</v>
      </c>
      <c r="J1347" s="11">
        <v>1301.0299956639813</v>
      </c>
      <c r="K1347" t="str">
        <f t="shared" si="42"/>
        <v>Steven McLaughlin</v>
      </c>
    </row>
    <row r="1348" spans="1:11" hidden="1" x14ac:dyDescent="0.35">
      <c r="A1348">
        <f t="shared" ref="A1348:A1411" si="43">A1347+1</f>
        <v>1347</v>
      </c>
      <c r="B1348">
        <v>2008</v>
      </c>
      <c r="C1348" t="s">
        <v>263</v>
      </c>
      <c r="D1348" t="s">
        <v>817</v>
      </c>
      <c r="E1348" t="s">
        <v>944</v>
      </c>
      <c r="F1348" s="2">
        <v>500</v>
      </c>
      <c r="G1348" s="2">
        <v>5</v>
      </c>
      <c r="H1348" t="s">
        <v>821</v>
      </c>
      <c r="I1348" t="s">
        <v>822</v>
      </c>
      <c r="J1348" s="11">
        <v>1204.1199826559246</v>
      </c>
      <c r="K1348" t="str">
        <f t="shared" si="42"/>
        <v>Gavin Smith</v>
      </c>
    </row>
    <row r="1349" spans="1:11" hidden="1" x14ac:dyDescent="0.35">
      <c r="A1349">
        <f t="shared" si="43"/>
        <v>1348</v>
      </c>
      <c r="B1349">
        <v>2008</v>
      </c>
      <c r="C1349" t="s">
        <v>263</v>
      </c>
      <c r="D1349" t="s">
        <v>817</v>
      </c>
      <c r="E1349" t="s">
        <v>944</v>
      </c>
      <c r="F1349" s="2">
        <v>400</v>
      </c>
      <c r="G1349" s="2">
        <v>6</v>
      </c>
      <c r="H1349" t="s">
        <v>66</v>
      </c>
      <c r="I1349" t="s">
        <v>67</v>
      </c>
      <c r="J1349" s="11">
        <v>1124.9387366082999</v>
      </c>
      <c r="K1349" t="str">
        <f t="shared" si="42"/>
        <v>Bob Lauria</v>
      </c>
    </row>
    <row r="1350" spans="1:11" hidden="1" x14ac:dyDescent="0.35">
      <c r="A1350">
        <f t="shared" si="43"/>
        <v>1349</v>
      </c>
      <c r="B1350">
        <v>2008</v>
      </c>
      <c r="C1350" t="s">
        <v>263</v>
      </c>
      <c r="D1350" t="s">
        <v>817</v>
      </c>
      <c r="E1350" t="s">
        <v>944</v>
      </c>
      <c r="F1350" s="2">
        <v>300</v>
      </c>
      <c r="G1350" s="2">
        <v>7</v>
      </c>
      <c r="H1350" t="s">
        <v>824</v>
      </c>
      <c r="I1350" t="s">
        <v>65</v>
      </c>
      <c r="J1350" s="11">
        <v>1057.9919469776869</v>
      </c>
      <c r="K1350" t="str">
        <f t="shared" si="42"/>
        <v>Steve Clayton</v>
      </c>
    </row>
    <row r="1351" spans="1:11" hidden="1" x14ac:dyDescent="0.35">
      <c r="A1351">
        <f t="shared" si="43"/>
        <v>1350</v>
      </c>
      <c r="B1351">
        <v>2008</v>
      </c>
      <c r="C1351" t="s">
        <v>263</v>
      </c>
      <c r="D1351" t="s">
        <v>817</v>
      </c>
      <c r="E1351" t="s">
        <v>944</v>
      </c>
      <c r="F1351" s="2">
        <v>200</v>
      </c>
      <c r="G1351" s="2">
        <v>8</v>
      </c>
      <c r="H1351" t="s">
        <v>825</v>
      </c>
      <c r="I1351" t="s">
        <v>826</v>
      </c>
      <c r="J1351" s="11">
        <v>1000</v>
      </c>
      <c r="K1351" t="str">
        <f t="shared" si="42"/>
        <v>Kelly Sprankle</v>
      </c>
    </row>
    <row r="1352" spans="1:11" hidden="1" x14ac:dyDescent="0.35">
      <c r="A1352">
        <f t="shared" si="43"/>
        <v>1351</v>
      </c>
      <c r="B1352">
        <v>2008</v>
      </c>
      <c r="C1352" t="s">
        <v>263</v>
      </c>
      <c r="D1352" t="s">
        <v>817</v>
      </c>
      <c r="E1352" t="s">
        <v>944</v>
      </c>
      <c r="F1352" s="2">
        <v>150</v>
      </c>
      <c r="G1352" s="2">
        <v>9</v>
      </c>
      <c r="H1352" t="s">
        <v>764</v>
      </c>
      <c r="I1352" t="s">
        <v>765</v>
      </c>
      <c r="J1352" s="11">
        <v>948.84747755261867</v>
      </c>
      <c r="K1352" t="str">
        <f t="shared" si="42"/>
        <v>Michelle Ankenman</v>
      </c>
    </row>
    <row r="1353" spans="1:11" hidden="1" x14ac:dyDescent="0.35">
      <c r="A1353">
        <f t="shared" si="43"/>
        <v>1352</v>
      </c>
      <c r="B1353">
        <v>2008</v>
      </c>
      <c r="C1353" t="s">
        <v>263</v>
      </c>
      <c r="D1353" t="s">
        <v>817</v>
      </c>
      <c r="E1353" t="s">
        <v>944</v>
      </c>
      <c r="F1353" s="2">
        <v>150</v>
      </c>
      <c r="G1353" s="2">
        <v>10</v>
      </c>
      <c r="H1353" t="s">
        <v>1719</v>
      </c>
      <c r="I1353" t="s">
        <v>524</v>
      </c>
      <c r="J1353" s="11">
        <v>903.08998699194353</v>
      </c>
      <c r="K1353" t="str">
        <f t="shared" si="42"/>
        <v>Guy Berentsen</v>
      </c>
    </row>
    <row r="1354" spans="1:11" hidden="1" x14ac:dyDescent="0.35">
      <c r="A1354">
        <f t="shared" si="43"/>
        <v>1353</v>
      </c>
      <c r="B1354">
        <v>2008</v>
      </c>
      <c r="C1354" t="s">
        <v>263</v>
      </c>
      <c r="D1354" t="s">
        <v>817</v>
      </c>
      <c r="E1354" t="s">
        <v>944</v>
      </c>
      <c r="F1354" s="2">
        <v>75</v>
      </c>
      <c r="G1354" s="2">
        <v>11</v>
      </c>
      <c r="H1354" t="s">
        <v>475</v>
      </c>
      <c r="I1354" t="s">
        <v>887</v>
      </c>
      <c r="J1354" s="11">
        <v>861.69730183371837</v>
      </c>
      <c r="K1354" t="str">
        <f t="shared" si="42"/>
        <v>Chic Natkins</v>
      </c>
    </row>
    <row r="1355" spans="1:11" hidden="1" x14ac:dyDescent="0.35">
      <c r="A1355">
        <f t="shared" si="43"/>
        <v>1354</v>
      </c>
      <c r="B1355">
        <v>2008</v>
      </c>
      <c r="C1355" t="s">
        <v>263</v>
      </c>
      <c r="D1355" t="s">
        <v>817</v>
      </c>
      <c r="E1355" t="s">
        <v>944</v>
      </c>
      <c r="F1355" s="2">
        <v>75</v>
      </c>
      <c r="G1355" s="2">
        <v>12</v>
      </c>
      <c r="H1355" t="s">
        <v>281</v>
      </c>
      <c r="I1355" t="s">
        <v>282</v>
      </c>
      <c r="J1355" s="11">
        <v>823.90874094431865</v>
      </c>
      <c r="K1355" t="str">
        <f t="shared" si="42"/>
        <v>Randy Collack</v>
      </c>
    </row>
    <row r="1356" spans="1:11" hidden="1" x14ac:dyDescent="0.35">
      <c r="A1356">
        <f t="shared" si="43"/>
        <v>1355</v>
      </c>
      <c r="B1356">
        <v>2008</v>
      </c>
      <c r="C1356" t="s">
        <v>263</v>
      </c>
      <c r="D1356" t="s">
        <v>817</v>
      </c>
      <c r="E1356" t="s">
        <v>944</v>
      </c>
      <c r="F1356" s="2">
        <v>75</v>
      </c>
      <c r="G1356" s="2">
        <v>13</v>
      </c>
      <c r="H1356" t="s">
        <v>827</v>
      </c>
      <c r="I1356" t="s">
        <v>52</v>
      </c>
      <c r="J1356" s="11">
        <v>789.14663468510685</v>
      </c>
      <c r="K1356" t="str">
        <f t="shared" si="42"/>
        <v>Steven Evans</v>
      </c>
    </row>
    <row r="1357" spans="1:11" hidden="1" x14ac:dyDescent="0.35">
      <c r="A1357">
        <f t="shared" si="43"/>
        <v>1356</v>
      </c>
      <c r="B1357">
        <v>2008</v>
      </c>
      <c r="C1357" t="s">
        <v>263</v>
      </c>
      <c r="D1357" t="s">
        <v>817</v>
      </c>
      <c r="E1357" t="s">
        <v>944</v>
      </c>
      <c r="F1357" s="2">
        <v>75</v>
      </c>
      <c r="G1357" s="2">
        <v>14</v>
      </c>
      <c r="H1357" t="s">
        <v>829</v>
      </c>
      <c r="I1357" t="s">
        <v>830</v>
      </c>
      <c r="J1357" s="11">
        <v>756.96195131370564</v>
      </c>
      <c r="K1357" t="str">
        <f t="shared" si="42"/>
        <v>Murray Logan</v>
      </c>
    </row>
    <row r="1358" spans="1:11" hidden="1" x14ac:dyDescent="0.35">
      <c r="A1358">
        <f t="shared" si="43"/>
        <v>1357</v>
      </c>
      <c r="B1358">
        <v>2008</v>
      </c>
      <c r="C1358" t="s">
        <v>263</v>
      </c>
      <c r="D1358" t="s">
        <v>817</v>
      </c>
      <c r="E1358" t="s">
        <v>944</v>
      </c>
      <c r="F1358" s="2">
        <v>75</v>
      </c>
      <c r="G1358" s="2">
        <v>15</v>
      </c>
      <c r="H1358" t="s">
        <v>170</v>
      </c>
      <c r="I1358" t="s">
        <v>171</v>
      </c>
      <c r="J1358" s="11">
        <v>726.99872793626218</v>
      </c>
      <c r="K1358" t="str">
        <f t="shared" si="42"/>
        <v>Brenda Mowrey</v>
      </c>
    </row>
    <row r="1359" spans="1:11" hidden="1" x14ac:dyDescent="0.35">
      <c r="A1359">
        <f t="shared" si="43"/>
        <v>1358</v>
      </c>
      <c r="B1359">
        <v>2008</v>
      </c>
      <c r="C1359" t="s">
        <v>263</v>
      </c>
      <c r="D1359" t="s">
        <v>817</v>
      </c>
      <c r="E1359" t="s">
        <v>944</v>
      </c>
      <c r="F1359" s="2">
        <v>75</v>
      </c>
      <c r="G1359" s="2">
        <v>16</v>
      </c>
      <c r="H1359" t="s">
        <v>831</v>
      </c>
      <c r="I1359" t="s">
        <v>384</v>
      </c>
      <c r="J1359" s="11">
        <v>698.97000433601875</v>
      </c>
      <c r="K1359" t="str">
        <f t="shared" si="42"/>
        <v>Jeff Woods</v>
      </c>
    </row>
    <row r="1360" spans="1:11" hidden="1" x14ac:dyDescent="0.35">
      <c r="A1360">
        <f t="shared" si="43"/>
        <v>1359</v>
      </c>
      <c r="B1360">
        <v>2008</v>
      </c>
      <c r="C1360" t="s">
        <v>263</v>
      </c>
      <c r="D1360" t="s">
        <v>817</v>
      </c>
      <c r="E1360" t="s">
        <v>944</v>
      </c>
      <c r="F1360" s="2">
        <v>75</v>
      </c>
      <c r="G1360" s="2">
        <v>17</v>
      </c>
      <c r="H1360" t="s">
        <v>608</v>
      </c>
      <c r="I1360" t="s">
        <v>267</v>
      </c>
      <c r="J1360" s="11">
        <v>672.64106561366964</v>
      </c>
      <c r="K1360" t="str">
        <f t="shared" si="42"/>
        <v>Christopher Kuntz</v>
      </c>
    </row>
    <row r="1361" spans="1:11" hidden="1" x14ac:dyDescent="0.35">
      <c r="A1361">
        <f t="shared" si="43"/>
        <v>1360</v>
      </c>
      <c r="B1361">
        <v>2008</v>
      </c>
      <c r="C1361" t="s">
        <v>263</v>
      </c>
      <c r="D1361" t="s">
        <v>817</v>
      </c>
      <c r="E1361" t="s">
        <v>944</v>
      </c>
      <c r="F1361" s="2">
        <v>75</v>
      </c>
      <c r="G1361" s="2">
        <v>18</v>
      </c>
      <c r="H1361" t="s">
        <v>833</v>
      </c>
      <c r="I1361" t="s">
        <v>44</v>
      </c>
      <c r="J1361" s="11">
        <v>647.81748188863753</v>
      </c>
      <c r="K1361" t="str">
        <f t="shared" si="42"/>
        <v>Mike Mcbride</v>
      </c>
    </row>
    <row r="1362" spans="1:11" hidden="1" x14ac:dyDescent="0.35">
      <c r="A1362">
        <f t="shared" si="43"/>
        <v>1361</v>
      </c>
      <c r="B1362">
        <v>2008</v>
      </c>
      <c r="C1362" t="s">
        <v>263</v>
      </c>
      <c r="D1362" t="s">
        <v>817</v>
      </c>
      <c r="E1362" t="s">
        <v>944</v>
      </c>
      <c r="F1362" s="2">
        <v>75</v>
      </c>
      <c r="G1362" s="2">
        <v>19</v>
      </c>
      <c r="H1362" t="s">
        <v>597</v>
      </c>
      <c r="I1362" t="s">
        <v>598</v>
      </c>
      <c r="J1362" s="11">
        <v>624.3363860391147</v>
      </c>
      <c r="K1362" t="str">
        <f t="shared" si="42"/>
        <v>Lou Krieger</v>
      </c>
    </row>
    <row r="1363" spans="1:11" hidden="1" x14ac:dyDescent="0.35">
      <c r="A1363">
        <f t="shared" si="43"/>
        <v>1362</v>
      </c>
      <c r="B1363">
        <v>2008</v>
      </c>
      <c r="C1363" t="s">
        <v>263</v>
      </c>
      <c r="D1363" t="s">
        <v>817</v>
      </c>
      <c r="E1363" t="s">
        <v>944</v>
      </c>
      <c r="F1363" s="2">
        <v>75</v>
      </c>
      <c r="G1363" s="2">
        <v>20</v>
      </c>
      <c r="H1363" t="s">
        <v>645</v>
      </c>
      <c r="I1363" t="s">
        <v>644</v>
      </c>
      <c r="J1363" s="11">
        <v>602.05999132796228</v>
      </c>
      <c r="K1363" t="str">
        <f t="shared" si="42"/>
        <v>Ed Baker</v>
      </c>
    </row>
    <row r="1364" spans="1:11" hidden="1" x14ac:dyDescent="0.35">
      <c r="A1364">
        <f t="shared" si="43"/>
        <v>1363</v>
      </c>
      <c r="B1364">
        <v>2008</v>
      </c>
      <c r="C1364" t="s">
        <v>263</v>
      </c>
      <c r="D1364" t="s">
        <v>770</v>
      </c>
      <c r="E1364" t="s">
        <v>1430</v>
      </c>
      <c r="F1364" s="2">
        <v>3000</v>
      </c>
      <c r="G1364" s="2">
        <v>1</v>
      </c>
      <c r="H1364" t="s">
        <v>629</v>
      </c>
      <c r="I1364" t="s">
        <v>20</v>
      </c>
      <c r="J1364" s="11">
        <v>2222.7164711475834</v>
      </c>
      <c r="K1364" t="str">
        <f t="shared" si="42"/>
        <v>Barry Tanenbaum</v>
      </c>
    </row>
    <row r="1365" spans="1:11" hidden="1" x14ac:dyDescent="0.35">
      <c r="A1365">
        <f t="shared" si="43"/>
        <v>1364</v>
      </c>
      <c r="B1365">
        <v>2008</v>
      </c>
      <c r="C1365" t="s">
        <v>263</v>
      </c>
      <c r="D1365" t="s">
        <v>770</v>
      </c>
      <c r="E1365" t="s">
        <v>1430</v>
      </c>
      <c r="F1365" s="2">
        <v>2240</v>
      </c>
      <c r="G1365" s="2">
        <v>2</v>
      </c>
      <c r="H1365" t="s">
        <v>807</v>
      </c>
      <c r="I1365" t="s">
        <v>808</v>
      </c>
      <c r="J1365" s="11">
        <v>1921.686475483602</v>
      </c>
      <c r="K1365" t="str">
        <f t="shared" si="42"/>
        <v>Marc Gilutin</v>
      </c>
    </row>
    <row r="1366" spans="1:11" hidden="1" x14ac:dyDescent="0.35">
      <c r="A1366">
        <f t="shared" si="43"/>
        <v>1365</v>
      </c>
      <c r="B1366">
        <v>2008</v>
      </c>
      <c r="C1366" t="s">
        <v>263</v>
      </c>
      <c r="D1366" t="s">
        <v>770</v>
      </c>
      <c r="E1366" t="s">
        <v>1430</v>
      </c>
      <c r="F1366" s="2">
        <v>1625</v>
      </c>
      <c r="G1366" s="2">
        <v>3</v>
      </c>
      <c r="H1366" t="s">
        <v>618</v>
      </c>
      <c r="I1366" t="s">
        <v>521</v>
      </c>
      <c r="J1366" s="11">
        <v>1745.5952164279208</v>
      </c>
      <c r="K1366" t="str">
        <f t="shared" si="42"/>
        <v>Chuck Weinstock</v>
      </c>
    </row>
    <row r="1367" spans="1:11" hidden="1" x14ac:dyDescent="0.35">
      <c r="A1367">
        <f t="shared" si="43"/>
        <v>1366</v>
      </c>
      <c r="B1367">
        <v>2008</v>
      </c>
      <c r="C1367" t="s">
        <v>263</v>
      </c>
      <c r="D1367" t="s">
        <v>770</v>
      </c>
      <c r="E1367" t="s">
        <v>1430</v>
      </c>
      <c r="F1367" s="2">
        <v>1250</v>
      </c>
      <c r="G1367" s="2">
        <v>4</v>
      </c>
      <c r="H1367" t="s">
        <v>237</v>
      </c>
      <c r="I1367" t="s">
        <v>13</v>
      </c>
      <c r="J1367" s="11">
        <v>1620.6564798196207</v>
      </c>
      <c r="K1367" t="str">
        <f t="shared" si="42"/>
        <v>Tom Goodwin</v>
      </c>
    </row>
    <row r="1368" spans="1:11" hidden="1" x14ac:dyDescent="0.35">
      <c r="A1368">
        <f t="shared" si="43"/>
        <v>1367</v>
      </c>
      <c r="B1368">
        <v>2008</v>
      </c>
      <c r="C1368" t="s">
        <v>263</v>
      </c>
      <c r="D1368" t="s">
        <v>770</v>
      </c>
      <c r="E1368" t="s">
        <v>1430</v>
      </c>
      <c r="F1368" s="2">
        <v>1000</v>
      </c>
      <c r="G1368" s="2">
        <v>5</v>
      </c>
      <c r="H1368" t="s">
        <v>810</v>
      </c>
      <c r="I1368" t="s">
        <v>463</v>
      </c>
      <c r="J1368" s="11">
        <v>1523.7464668115645</v>
      </c>
      <c r="K1368" t="str">
        <f t="shared" si="42"/>
        <v>Richard Brodie</v>
      </c>
    </row>
    <row r="1369" spans="1:11" hidden="1" x14ac:dyDescent="0.35">
      <c r="A1369">
        <f t="shared" si="43"/>
        <v>1368</v>
      </c>
      <c r="B1369">
        <v>2008</v>
      </c>
      <c r="C1369" t="s">
        <v>263</v>
      </c>
      <c r="D1369" t="s">
        <v>770</v>
      </c>
      <c r="E1369" t="s">
        <v>1430</v>
      </c>
      <c r="F1369" s="2">
        <v>750</v>
      </c>
      <c r="G1369" s="2">
        <v>6</v>
      </c>
      <c r="H1369" t="s">
        <v>204</v>
      </c>
      <c r="I1369" t="s">
        <v>205</v>
      </c>
      <c r="J1369" s="11">
        <v>1444.5652207639396</v>
      </c>
      <c r="K1369" t="str">
        <f t="shared" si="42"/>
        <v>Ron Grossberg</v>
      </c>
    </row>
    <row r="1370" spans="1:11" hidden="1" x14ac:dyDescent="0.35">
      <c r="A1370">
        <f t="shared" si="43"/>
        <v>1369</v>
      </c>
      <c r="B1370">
        <v>2008</v>
      </c>
      <c r="C1370" t="s">
        <v>263</v>
      </c>
      <c r="D1370" t="s">
        <v>770</v>
      </c>
      <c r="E1370" t="s">
        <v>1430</v>
      </c>
      <c r="F1370" s="2">
        <v>500</v>
      </c>
      <c r="G1370" s="2">
        <v>7</v>
      </c>
      <c r="H1370" t="s">
        <v>724</v>
      </c>
      <c r="I1370" t="s">
        <v>725</v>
      </c>
      <c r="J1370" s="11">
        <v>1377.6184311333263</v>
      </c>
      <c r="K1370" t="str">
        <f t="shared" si="42"/>
        <v>Merlynn Schuck</v>
      </c>
    </row>
    <row r="1371" spans="1:11" hidden="1" x14ac:dyDescent="0.35">
      <c r="A1371">
        <f t="shared" si="43"/>
        <v>1370</v>
      </c>
      <c r="B1371">
        <v>2008</v>
      </c>
      <c r="C1371" t="s">
        <v>263</v>
      </c>
      <c r="D1371" t="s">
        <v>770</v>
      </c>
      <c r="E1371" t="s">
        <v>1430</v>
      </c>
      <c r="F1371" s="2">
        <v>340</v>
      </c>
      <c r="G1371" s="2">
        <v>8</v>
      </c>
      <c r="H1371" t="s">
        <v>490</v>
      </c>
      <c r="I1371" t="s">
        <v>480</v>
      </c>
      <c r="J1371" s="11">
        <v>1319.6264841556397</v>
      </c>
      <c r="K1371" t="str">
        <f t="shared" si="42"/>
        <v>James Hammer</v>
      </c>
    </row>
    <row r="1372" spans="1:11" hidden="1" x14ac:dyDescent="0.35">
      <c r="A1372">
        <f t="shared" si="43"/>
        <v>1371</v>
      </c>
      <c r="B1372">
        <v>2008</v>
      </c>
      <c r="C1372" t="s">
        <v>263</v>
      </c>
      <c r="D1372" t="s">
        <v>770</v>
      </c>
      <c r="E1372" t="s">
        <v>1430</v>
      </c>
      <c r="F1372" s="2">
        <v>250</v>
      </c>
      <c r="G1372" s="2">
        <v>9</v>
      </c>
      <c r="H1372" t="s">
        <v>170</v>
      </c>
      <c r="I1372" t="s">
        <v>171</v>
      </c>
      <c r="J1372" s="11">
        <v>1268.4739617082585</v>
      </c>
      <c r="K1372" t="str">
        <f t="shared" si="42"/>
        <v>Brenda Mowrey</v>
      </c>
    </row>
    <row r="1373" spans="1:11" hidden="1" x14ac:dyDescent="0.35">
      <c r="A1373">
        <f t="shared" si="43"/>
        <v>1372</v>
      </c>
      <c r="B1373">
        <v>2008</v>
      </c>
      <c r="C1373" t="s">
        <v>263</v>
      </c>
      <c r="D1373" t="s">
        <v>770</v>
      </c>
      <c r="E1373" t="s">
        <v>1430</v>
      </c>
      <c r="F1373" s="2">
        <v>190</v>
      </c>
      <c r="G1373" s="2">
        <v>10</v>
      </c>
      <c r="H1373" t="s">
        <v>811</v>
      </c>
      <c r="I1373" t="s">
        <v>812</v>
      </c>
      <c r="J1373" s="11">
        <v>1222.7164711475832</v>
      </c>
      <c r="K1373" t="str">
        <f t="shared" si="42"/>
        <v>Raffy Kaloustian</v>
      </c>
    </row>
    <row r="1374" spans="1:11" hidden="1" x14ac:dyDescent="0.35">
      <c r="A1374">
        <f t="shared" si="43"/>
        <v>1373</v>
      </c>
      <c r="B1374">
        <v>2008</v>
      </c>
      <c r="C1374" t="s">
        <v>263</v>
      </c>
      <c r="D1374" t="s">
        <v>770</v>
      </c>
      <c r="E1374" t="s">
        <v>1430</v>
      </c>
      <c r="F1374" s="2">
        <v>190</v>
      </c>
      <c r="G1374" s="2">
        <v>11</v>
      </c>
      <c r="H1374" t="s">
        <v>813</v>
      </c>
      <c r="I1374" t="s">
        <v>665</v>
      </c>
      <c r="J1374" s="11">
        <v>1181.3237859893582</v>
      </c>
      <c r="K1374" t="str">
        <f t="shared" si="42"/>
        <v>Robert Borzomati</v>
      </c>
    </row>
    <row r="1375" spans="1:11" hidden="1" x14ac:dyDescent="0.35">
      <c r="A1375">
        <f t="shared" si="43"/>
        <v>1374</v>
      </c>
      <c r="B1375">
        <v>2008</v>
      </c>
      <c r="C1375" t="s">
        <v>263</v>
      </c>
      <c r="D1375" t="s">
        <v>770</v>
      </c>
      <c r="E1375" t="s">
        <v>1430</v>
      </c>
      <c r="F1375" s="2">
        <v>190</v>
      </c>
      <c r="G1375" s="2">
        <v>12</v>
      </c>
      <c r="H1375" t="s">
        <v>814</v>
      </c>
      <c r="I1375" t="s">
        <v>815</v>
      </c>
      <c r="J1375" s="11">
        <v>1143.5352250999583</v>
      </c>
      <c r="K1375" t="str">
        <f t="shared" si="42"/>
        <v>Sean Mcguiness</v>
      </c>
    </row>
    <row r="1376" spans="1:11" hidden="1" x14ac:dyDescent="0.35">
      <c r="A1376">
        <f t="shared" si="43"/>
        <v>1375</v>
      </c>
      <c r="B1376">
        <v>2008</v>
      </c>
      <c r="C1376" t="s">
        <v>263</v>
      </c>
      <c r="D1376" t="s">
        <v>770</v>
      </c>
      <c r="E1376" t="s">
        <v>1430</v>
      </c>
      <c r="F1376" s="2">
        <v>160</v>
      </c>
      <c r="G1376" s="2">
        <v>13</v>
      </c>
      <c r="H1376" t="s">
        <v>107</v>
      </c>
      <c r="I1376" t="s">
        <v>108</v>
      </c>
      <c r="J1376" s="11">
        <v>1108.7731188407465</v>
      </c>
      <c r="K1376" t="str">
        <f t="shared" si="42"/>
        <v>Kyle Minnis</v>
      </c>
    </row>
    <row r="1377" spans="1:11" hidden="1" x14ac:dyDescent="0.35">
      <c r="A1377">
        <f t="shared" si="43"/>
        <v>1376</v>
      </c>
      <c r="B1377">
        <v>2008</v>
      </c>
      <c r="C1377" t="s">
        <v>263</v>
      </c>
      <c r="D1377" t="s">
        <v>770</v>
      </c>
      <c r="E1377" t="s">
        <v>1430</v>
      </c>
      <c r="F1377" s="2">
        <v>160</v>
      </c>
      <c r="G1377" s="2">
        <v>14</v>
      </c>
      <c r="H1377" t="s">
        <v>543</v>
      </c>
      <c r="I1377" t="s">
        <v>67</v>
      </c>
      <c r="J1377" s="11">
        <v>1076.5884354693453</v>
      </c>
      <c r="K1377" t="str">
        <f t="shared" si="42"/>
        <v>Bob Herlien</v>
      </c>
    </row>
    <row r="1378" spans="1:11" hidden="1" x14ac:dyDescent="0.35">
      <c r="A1378">
        <f t="shared" si="43"/>
        <v>1377</v>
      </c>
      <c r="B1378">
        <v>2008</v>
      </c>
      <c r="C1378" t="s">
        <v>263</v>
      </c>
      <c r="D1378" t="s">
        <v>770</v>
      </c>
      <c r="E1378" t="s">
        <v>1430</v>
      </c>
      <c r="F1378" s="2">
        <v>160</v>
      </c>
      <c r="G1378" s="2">
        <v>15</v>
      </c>
      <c r="H1378" t="s">
        <v>623</v>
      </c>
      <c r="I1378" t="s">
        <v>65</v>
      </c>
      <c r="J1378" s="11">
        <v>1046.6252120919019</v>
      </c>
      <c r="K1378" t="str">
        <f t="shared" si="42"/>
        <v>Steve Forcash</v>
      </c>
    </row>
    <row r="1379" spans="1:11" hidden="1" x14ac:dyDescent="0.35">
      <c r="A1379">
        <f t="shared" si="43"/>
        <v>1378</v>
      </c>
      <c r="B1379">
        <v>2008</v>
      </c>
      <c r="C1379" t="s">
        <v>263</v>
      </c>
      <c r="D1379" t="s">
        <v>770</v>
      </c>
      <c r="E1379" t="s">
        <v>1430</v>
      </c>
      <c r="F1379" s="2">
        <v>130</v>
      </c>
      <c r="G1379" s="2">
        <v>16</v>
      </c>
      <c r="H1379" t="s">
        <v>287</v>
      </c>
      <c r="I1379" t="s">
        <v>125</v>
      </c>
      <c r="J1379" s="11">
        <v>1018.5964884916585</v>
      </c>
      <c r="K1379" t="str">
        <f t="shared" si="42"/>
        <v>Ronald Nutt</v>
      </c>
    </row>
    <row r="1380" spans="1:11" hidden="1" x14ac:dyDescent="0.35">
      <c r="A1380">
        <f t="shared" si="43"/>
        <v>1379</v>
      </c>
      <c r="B1380">
        <v>2008</v>
      </c>
      <c r="C1380" t="s">
        <v>263</v>
      </c>
      <c r="D1380" t="s">
        <v>770</v>
      </c>
      <c r="E1380" t="s">
        <v>1430</v>
      </c>
      <c r="F1380" s="2">
        <v>130</v>
      </c>
      <c r="G1380" s="2">
        <v>17</v>
      </c>
      <c r="H1380" t="s">
        <v>816</v>
      </c>
      <c r="I1380" t="s">
        <v>196</v>
      </c>
      <c r="J1380" s="11">
        <v>992.26754976930943</v>
      </c>
      <c r="K1380" t="str">
        <f t="shared" si="42"/>
        <v>Dave Mcvay</v>
      </c>
    </row>
    <row r="1381" spans="1:11" hidden="1" x14ac:dyDescent="0.35">
      <c r="A1381">
        <f t="shared" si="43"/>
        <v>1380</v>
      </c>
      <c r="B1381">
        <v>2008</v>
      </c>
      <c r="C1381" t="s">
        <v>263</v>
      </c>
      <c r="D1381" t="s">
        <v>770</v>
      </c>
      <c r="E1381" t="s">
        <v>1430</v>
      </c>
      <c r="F1381" s="2">
        <v>130</v>
      </c>
      <c r="G1381" s="2">
        <v>18</v>
      </c>
      <c r="H1381" t="s">
        <v>279</v>
      </c>
      <c r="I1381" t="s">
        <v>16</v>
      </c>
      <c r="J1381" s="11">
        <v>967.44396604427732</v>
      </c>
      <c r="K1381" t="str">
        <f t="shared" si="42"/>
        <v>David Soussan</v>
      </c>
    </row>
    <row r="1382" spans="1:11" hidden="1" x14ac:dyDescent="0.35">
      <c r="A1382">
        <f t="shared" si="43"/>
        <v>1381</v>
      </c>
      <c r="B1382">
        <v>2008</v>
      </c>
      <c r="C1382" t="s">
        <v>263</v>
      </c>
      <c r="D1382" t="s">
        <v>770</v>
      </c>
      <c r="E1382" t="s">
        <v>1430</v>
      </c>
      <c r="F1382" s="2">
        <v>130</v>
      </c>
      <c r="G1382" s="2">
        <v>19</v>
      </c>
      <c r="H1382" t="s">
        <v>220</v>
      </c>
      <c r="I1382" t="s">
        <v>221</v>
      </c>
      <c r="J1382" s="11">
        <v>943.96287019475449</v>
      </c>
      <c r="K1382" t="str">
        <f t="shared" si="42"/>
        <v>Rodney Chen</v>
      </c>
    </row>
    <row r="1383" spans="1:11" hidden="1" x14ac:dyDescent="0.35">
      <c r="A1383">
        <f t="shared" si="43"/>
        <v>1382</v>
      </c>
      <c r="B1383">
        <v>2008</v>
      </c>
      <c r="C1383" t="s">
        <v>8</v>
      </c>
      <c r="D1383" t="s">
        <v>9</v>
      </c>
      <c r="E1383" t="s">
        <v>1429</v>
      </c>
      <c r="F1383" s="2">
        <v>1100</v>
      </c>
      <c r="G1383" s="2">
        <v>1</v>
      </c>
      <c r="H1383" t="s">
        <v>428</v>
      </c>
      <c r="I1383" t="s">
        <v>729</v>
      </c>
      <c r="J1383" s="11">
        <v>1602.0599913279623</v>
      </c>
      <c r="K1383" t="str">
        <f t="shared" si="42"/>
        <v>Tristan Hall</v>
      </c>
    </row>
    <row r="1384" spans="1:11" hidden="1" x14ac:dyDescent="0.35">
      <c r="A1384">
        <f t="shared" si="43"/>
        <v>1383</v>
      </c>
      <c r="B1384">
        <v>2008</v>
      </c>
      <c r="C1384" t="s">
        <v>8</v>
      </c>
      <c r="D1384" t="s">
        <v>9</v>
      </c>
      <c r="E1384" t="s">
        <v>1429</v>
      </c>
      <c r="F1384" s="2">
        <v>800</v>
      </c>
      <c r="G1384" s="2">
        <v>2</v>
      </c>
      <c r="H1384" t="s">
        <v>731</v>
      </c>
      <c r="I1384" t="s">
        <v>732</v>
      </c>
      <c r="J1384" s="11">
        <v>1301.029995663981</v>
      </c>
      <c r="K1384" t="str">
        <f t="shared" si="42"/>
        <v>Lauri Calkins</v>
      </c>
    </row>
    <row r="1385" spans="1:11" hidden="1" x14ac:dyDescent="0.35">
      <c r="A1385">
        <f t="shared" si="43"/>
        <v>1384</v>
      </c>
      <c r="B1385">
        <v>2008</v>
      </c>
      <c r="C1385" t="s">
        <v>8</v>
      </c>
      <c r="D1385" t="s">
        <v>9</v>
      </c>
      <c r="E1385" t="s">
        <v>1429</v>
      </c>
      <c r="F1385" s="2">
        <v>500</v>
      </c>
      <c r="G1385" s="2">
        <v>3</v>
      </c>
      <c r="H1385" t="s">
        <v>734</v>
      </c>
      <c r="I1385" t="s">
        <v>735</v>
      </c>
      <c r="J1385" s="11">
        <v>1124.9387366082999</v>
      </c>
      <c r="K1385" t="str">
        <f t="shared" si="42"/>
        <v>Aubrey Kyburz</v>
      </c>
    </row>
    <row r="1386" spans="1:11" hidden="1" x14ac:dyDescent="0.35">
      <c r="A1386">
        <f t="shared" si="43"/>
        <v>1385</v>
      </c>
      <c r="B1386">
        <v>2008</v>
      </c>
      <c r="C1386" t="s">
        <v>8</v>
      </c>
      <c r="D1386" t="s">
        <v>9</v>
      </c>
      <c r="E1386" t="s">
        <v>1429</v>
      </c>
      <c r="F1386" s="2">
        <v>400</v>
      </c>
      <c r="G1386" s="2">
        <v>4</v>
      </c>
      <c r="H1386" t="s">
        <v>411</v>
      </c>
      <c r="I1386" t="s">
        <v>737</v>
      </c>
      <c r="J1386" s="11">
        <v>1000</v>
      </c>
      <c r="K1386" t="str">
        <f t="shared" si="42"/>
        <v>Lawrence Larson</v>
      </c>
    </row>
    <row r="1387" spans="1:11" hidden="1" x14ac:dyDescent="0.35">
      <c r="A1387">
        <f t="shared" si="43"/>
        <v>1386</v>
      </c>
      <c r="B1387">
        <v>2008</v>
      </c>
      <c r="C1387" t="s">
        <v>8</v>
      </c>
      <c r="D1387" t="s">
        <v>9</v>
      </c>
      <c r="E1387" t="s">
        <v>1429</v>
      </c>
      <c r="F1387" s="2">
        <v>300</v>
      </c>
      <c r="G1387" s="2">
        <v>6.5</v>
      </c>
      <c r="H1387" t="s">
        <v>739</v>
      </c>
      <c r="I1387" t="s">
        <v>740</v>
      </c>
      <c r="J1387" s="11">
        <v>789.14663468510673</v>
      </c>
      <c r="K1387" t="str">
        <f t="shared" si="42"/>
        <v>Joan Hadley</v>
      </c>
    </row>
    <row r="1388" spans="1:11" hidden="1" x14ac:dyDescent="0.35">
      <c r="A1388">
        <f t="shared" si="43"/>
        <v>1387</v>
      </c>
      <c r="B1388">
        <v>2008</v>
      </c>
      <c r="C1388" t="s">
        <v>8</v>
      </c>
      <c r="D1388" t="s">
        <v>9</v>
      </c>
      <c r="E1388" t="s">
        <v>1429</v>
      </c>
      <c r="F1388" s="2">
        <v>300</v>
      </c>
      <c r="G1388" s="2">
        <v>6.5</v>
      </c>
      <c r="H1388" t="s">
        <v>742</v>
      </c>
      <c r="I1388" t="s">
        <v>16</v>
      </c>
      <c r="J1388" s="11">
        <v>789.14663468510673</v>
      </c>
      <c r="K1388" t="str">
        <f t="shared" si="42"/>
        <v>David Klatte</v>
      </c>
    </row>
    <row r="1389" spans="1:11" hidden="1" x14ac:dyDescent="0.35">
      <c r="A1389">
        <f t="shared" si="43"/>
        <v>1388</v>
      </c>
      <c r="B1389">
        <v>2008</v>
      </c>
      <c r="C1389" t="s">
        <v>8</v>
      </c>
      <c r="D1389" t="s">
        <v>9</v>
      </c>
      <c r="E1389" t="s">
        <v>1429</v>
      </c>
      <c r="F1389" s="2">
        <v>300</v>
      </c>
      <c r="G1389" s="2">
        <v>6.5</v>
      </c>
      <c r="H1389" t="s">
        <v>198</v>
      </c>
      <c r="I1389" t="s">
        <v>149</v>
      </c>
      <c r="J1389" s="11">
        <v>789.14663468510673</v>
      </c>
      <c r="K1389" t="str">
        <f t="shared" si="42"/>
        <v>Alex Lahoski</v>
      </c>
    </row>
    <row r="1390" spans="1:11" hidden="1" x14ac:dyDescent="0.35">
      <c r="A1390">
        <f t="shared" si="43"/>
        <v>1389</v>
      </c>
      <c r="B1390">
        <v>2008</v>
      </c>
      <c r="C1390" t="s">
        <v>8</v>
      </c>
      <c r="D1390" t="s">
        <v>9</v>
      </c>
      <c r="E1390" t="s">
        <v>1429</v>
      </c>
      <c r="F1390" s="2">
        <v>300</v>
      </c>
      <c r="G1390" s="2">
        <v>6.5</v>
      </c>
      <c r="H1390" t="s">
        <v>745</v>
      </c>
      <c r="I1390" t="s">
        <v>746</v>
      </c>
      <c r="J1390" s="11">
        <v>789.14663468510673</v>
      </c>
      <c r="K1390" t="str">
        <f t="shared" si="42"/>
        <v>Alec Usticke</v>
      </c>
    </row>
    <row r="1391" spans="1:11" hidden="1" x14ac:dyDescent="0.35">
      <c r="A1391">
        <f t="shared" si="43"/>
        <v>1390</v>
      </c>
      <c r="B1391">
        <v>2008</v>
      </c>
      <c r="C1391" t="s">
        <v>8</v>
      </c>
      <c r="D1391" t="s">
        <v>557</v>
      </c>
      <c r="E1391" t="s">
        <v>1430</v>
      </c>
      <c r="F1391" s="2">
        <v>1956</v>
      </c>
      <c r="G1391" s="2">
        <v>1</v>
      </c>
      <c r="H1391" t="s">
        <v>702</v>
      </c>
      <c r="I1391" t="s">
        <v>218</v>
      </c>
      <c r="J1391" s="11">
        <v>1748.1880270062004</v>
      </c>
      <c r="K1391" t="str">
        <f t="shared" si="42"/>
        <v>Michael Simpson</v>
      </c>
    </row>
    <row r="1392" spans="1:11" hidden="1" x14ac:dyDescent="0.35">
      <c r="A1392">
        <f t="shared" si="43"/>
        <v>1391</v>
      </c>
      <c r="B1392">
        <v>2008</v>
      </c>
      <c r="C1392" t="s">
        <v>8</v>
      </c>
      <c r="D1392" t="s">
        <v>557</v>
      </c>
      <c r="E1392" t="s">
        <v>1430</v>
      </c>
      <c r="F1392" s="2">
        <v>1005</v>
      </c>
      <c r="G1392" s="2">
        <v>2</v>
      </c>
      <c r="H1392" t="s">
        <v>141</v>
      </c>
      <c r="I1392" t="s">
        <v>142</v>
      </c>
      <c r="J1392" s="11">
        <v>1447.1580313422191</v>
      </c>
      <c r="K1392" t="str">
        <f t="shared" si="42"/>
        <v>Matt Ivester</v>
      </c>
    </row>
    <row r="1393" spans="1:11" hidden="1" x14ac:dyDescent="0.35">
      <c r="A1393">
        <f t="shared" si="43"/>
        <v>1392</v>
      </c>
      <c r="B1393">
        <v>2008</v>
      </c>
      <c r="C1393" t="s">
        <v>8</v>
      </c>
      <c r="D1393" t="s">
        <v>557</v>
      </c>
      <c r="E1393" t="s">
        <v>1430</v>
      </c>
      <c r="F1393" s="2">
        <v>625</v>
      </c>
      <c r="G1393" s="2">
        <v>3</v>
      </c>
      <c r="H1393" t="s">
        <v>445</v>
      </c>
      <c r="I1393" t="s">
        <v>446</v>
      </c>
      <c r="J1393" s="11">
        <v>1271.066772286538</v>
      </c>
      <c r="K1393" t="str">
        <f t="shared" si="42"/>
        <v>Edson Pap</v>
      </c>
    </row>
    <row r="1394" spans="1:11" hidden="1" x14ac:dyDescent="0.35">
      <c r="A1394">
        <f t="shared" si="43"/>
        <v>1393</v>
      </c>
      <c r="B1394">
        <v>2008</v>
      </c>
      <c r="C1394" t="s">
        <v>8</v>
      </c>
      <c r="D1394" t="s">
        <v>557</v>
      </c>
      <c r="E1394" t="s">
        <v>1430</v>
      </c>
      <c r="F1394" s="2">
        <v>461</v>
      </c>
      <c r="G1394" s="2">
        <v>4</v>
      </c>
      <c r="H1394" t="s">
        <v>442</v>
      </c>
      <c r="I1394" t="s">
        <v>429</v>
      </c>
      <c r="J1394" s="11">
        <v>1146.1280356782381</v>
      </c>
      <c r="K1394" t="str">
        <f t="shared" si="42"/>
        <v>Mary Massey</v>
      </c>
    </row>
    <row r="1395" spans="1:11" hidden="1" x14ac:dyDescent="0.35">
      <c r="A1395">
        <f t="shared" si="43"/>
        <v>1394</v>
      </c>
      <c r="B1395">
        <v>2008</v>
      </c>
      <c r="C1395" t="s">
        <v>8</v>
      </c>
      <c r="D1395" t="s">
        <v>557</v>
      </c>
      <c r="E1395" t="s">
        <v>1430</v>
      </c>
      <c r="F1395" s="2">
        <v>299</v>
      </c>
      <c r="G1395" s="2">
        <v>5</v>
      </c>
      <c r="H1395" t="s">
        <v>769</v>
      </c>
      <c r="I1395" t="s">
        <v>463</v>
      </c>
      <c r="J1395" s="11">
        <v>1049.2180226701814</v>
      </c>
      <c r="K1395" t="str">
        <f t="shared" si="42"/>
        <v>Richard Bright</v>
      </c>
    </row>
    <row r="1396" spans="1:11" hidden="1" x14ac:dyDescent="0.35">
      <c r="A1396">
        <f t="shared" si="43"/>
        <v>1395</v>
      </c>
      <c r="B1396">
        <v>2008</v>
      </c>
      <c r="C1396" t="s">
        <v>8</v>
      </c>
      <c r="D1396" t="s">
        <v>557</v>
      </c>
      <c r="E1396" t="s">
        <v>1430</v>
      </c>
      <c r="F1396" s="2">
        <v>272</v>
      </c>
      <c r="G1396" s="2">
        <v>6</v>
      </c>
      <c r="H1396" t="s">
        <v>238</v>
      </c>
      <c r="I1396" t="s">
        <v>16</v>
      </c>
      <c r="J1396" s="11">
        <v>970.03677662255677</v>
      </c>
      <c r="K1396" t="str">
        <f t="shared" si="42"/>
        <v>David Kuznick</v>
      </c>
    </row>
    <row r="1397" spans="1:11" hidden="1" x14ac:dyDescent="0.35">
      <c r="A1397">
        <f t="shared" si="43"/>
        <v>1396</v>
      </c>
      <c r="B1397">
        <v>2008</v>
      </c>
      <c r="C1397" t="s">
        <v>8</v>
      </c>
      <c r="D1397" t="s">
        <v>557</v>
      </c>
      <c r="E1397" t="s">
        <v>1430</v>
      </c>
      <c r="F1397" s="2">
        <v>244</v>
      </c>
      <c r="G1397" s="2">
        <v>7</v>
      </c>
      <c r="H1397" t="s">
        <v>198</v>
      </c>
      <c r="I1397" t="s">
        <v>149</v>
      </c>
      <c r="J1397" s="11">
        <v>903.08998699194365</v>
      </c>
      <c r="K1397" t="str">
        <f t="shared" si="42"/>
        <v>Alex Lahoski</v>
      </c>
    </row>
    <row r="1398" spans="1:11" hidden="1" x14ac:dyDescent="0.35">
      <c r="A1398">
        <f t="shared" si="43"/>
        <v>1397</v>
      </c>
      <c r="B1398">
        <v>2008</v>
      </c>
      <c r="C1398" t="s">
        <v>8</v>
      </c>
      <c r="D1398" t="s">
        <v>557</v>
      </c>
      <c r="E1398" t="s">
        <v>1430</v>
      </c>
      <c r="F1398" s="2">
        <v>217</v>
      </c>
      <c r="G1398" s="2">
        <v>8</v>
      </c>
      <c r="H1398" t="s">
        <v>739</v>
      </c>
      <c r="I1398" t="s">
        <v>740</v>
      </c>
      <c r="J1398" s="11">
        <v>845.09804001425687</v>
      </c>
      <c r="K1398" t="str">
        <f t="shared" si="42"/>
        <v>Joan Hadley</v>
      </c>
    </row>
    <row r="1399" spans="1:11" hidden="1" x14ac:dyDescent="0.35">
      <c r="A1399">
        <f t="shared" si="43"/>
        <v>1398</v>
      </c>
      <c r="B1399">
        <v>2008</v>
      </c>
      <c r="C1399" t="s">
        <v>8</v>
      </c>
      <c r="D1399" t="s">
        <v>557</v>
      </c>
      <c r="E1399" t="s">
        <v>1430</v>
      </c>
      <c r="F1399" s="2">
        <v>191</v>
      </c>
      <c r="G1399" s="2">
        <v>9</v>
      </c>
      <c r="H1399" t="s">
        <v>642</v>
      </c>
      <c r="I1399" t="s">
        <v>136</v>
      </c>
      <c r="J1399" s="11">
        <v>793.94551756687554</v>
      </c>
      <c r="K1399" t="str">
        <f t="shared" si="42"/>
        <v>John DeRose</v>
      </c>
    </row>
    <row r="1400" spans="1:11" hidden="1" x14ac:dyDescent="0.35">
      <c r="A1400">
        <f t="shared" si="43"/>
        <v>1399</v>
      </c>
      <c r="B1400">
        <v>2008</v>
      </c>
      <c r="C1400" t="s">
        <v>8</v>
      </c>
      <c r="D1400" t="s">
        <v>557</v>
      </c>
      <c r="E1400" t="s">
        <v>1430</v>
      </c>
      <c r="F1400" s="2">
        <v>81</v>
      </c>
      <c r="G1400" s="2">
        <v>10.5</v>
      </c>
      <c r="H1400" t="s">
        <v>648</v>
      </c>
      <c r="I1400" t="s">
        <v>649</v>
      </c>
      <c r="J1400" s="11">
        <v>726.99872793626241</v>
      </c>
      <c r="K1400" t="str">
        <f t="shared" si="42"/>
        <v>Luisa Gomes</v>
      </c>
    </row>
    <row r="1401" spans="1:11" hidden="1" x14ac:dyDescent="0.35">
      <c r="A1401">
        <f t="shared" si="43"/>
        <v>1400</v>
      </c>
      <c r="B1401">
        <v>2008</v>
      </c>
      <c r="C1401" t="s">
        <v>8</v>
      </c>
      <c r="D1401" t="s">
        <v>557</v>
      </c>
      <c r="E1401" t="s">
        <v>1430</v>
      </c>
      <c r="F1401" s="2">
        <v>81</v>
      </c>
      <c r="G1401" s="2">
        <v>10.5</v>
      </c>
      <c r="H1401" t="s">
        <v>238</v>
      </c>
      <c r="I1401" t="s">
        <v>375</v>
      </c>
      <c r="J1401" s="11">
        <v>726.99872793626241</v>
      </c>
      <c r="K1401" t="str">
        <f t="shared" si="42"/>
        <v>Jessica Kuznick</v>
      </c>
    </row>
    <row r="1402" spans="1:11" hidden="1" x14ac:dyDescent="0.35">
      <c r="A1402">
        <f t="shared" si="43"/>
        <v>1401</v>
      </c>
      <c r="B1402">
        <v>2008</v>
      </c>
      <c r="C1402" t="s">
        <v>8</v>
      </c>
      <c r="D1402" t="s">
        <v>45</v>
      </c>
      <c r="E1402" t="s">
        <v>1429</v>
      </c>
      <c r="F1402" s="2">
        <v>3318</v>
      </c>
      <c r="G1402" s="2">
        <v>1</v>
      </c>
      <c r="H1402" t="s">
        <v>251</v>
      </c>
      <c r="I1402" t="s">
        <v>252</v>
      </c>
      <c r="J1402" s="11">
        <v>2056.9048513364728</v>
      </c>
      <c r="K1402" t="str">
        <f t="shared" si="42"/>
        <v>Linda Lewis</v>
      </c>
    </row>
    <row r="1403" spans="1:11" hidden="1" x14ac:dyDescent="0.35">
      <c r="A1403">
        <f t="shared" si="43"/>
        <v>1402</v>
      </c>
      <c r="B1403">
        <v>2008</v>
      </c>
      <c r="C1403" t="s">
        <v>8</v>
      </c>
      <c r="D1403" t="s">
        <v>45</v>
      </c>
      <c r="E1403" t="s">
        <v>1429</v>
      </c>
      <c r="F1403" s="2">
        <v>1935</v>
      </c>
      <c r="G1403" s="2">
        <v>2</v>
      </c>
      <c r="H1403" t="s">
        <v>15</v>
      </c>
      <c r="I1403" t="s">
        <v>16</v>
      </c>
      <c r="J1403" s="11">
        <v>1755.8748556724915</v>
      </c>
      <c r="K1403" t="str">
        <f t="shared" si="42"/>
        <v>David Kluchman</v>
      </c>
    </row>
    <row r="1404" spans="1:11" hidden="1" x14ac:dyDescent="0.35">
      <c r="A1404">
        <f t="shared" si="43"/>
        <v>1403</v>
      </c>
      <c r="B1404">
        <v>2008</v>
      </c>
      <c r="C1404" t="s">
        <v>8</v>
      </c>
      <c r="D1404" t="s">
        <v>45</v>
      </c>
      <c r="E1404" t="s">
        <v>1429</v>
      </c>
      <c r="F1404" s="2">
        <v>1161</v>
      </c>
      <c r="G1404" s="2">
        <v>3</v>
      </c>
      <c r="H1404" t="s">
        <v>248</v>
      </c>
      <c r="I1404" t="s">
        <v>249</v>
      </c>
      <c r="J1404" s="11">
        <v>1579.7835966168104</v>
      </c>
      <c r="K1404" t="str">
        <f t="shared" si="42"/>
        <v>Ross Poppel</v>
      </c>
    </row>
    <row r="1405" spans="1:11" hidden="1" x14ac:dyDescent="0.35">
      <c r="A1405">
        <f t="shared" si="43"/>
        <v>1404</v>
      </c>
      <c r="B1405">
        <v>2008</v>
      </c>
      <c r="C1405" t="s">
        <v>8</v>
      </c>
      <c r="D1405" t="s">
        <v>45</v>
      </c>
      <c r="E1405" t="s">
        <v>1429</v>
      </c>
      <c r="F1405" s="2">
        <v>829</v>
      </c>
      <c r="G1405" s="2">
        <v>4</v>
      </c>
      <c r="H1405" t="s">
        <v>750</v>
      </c>
      <c r="I1405" t="s">
        <v>218</v>
      </c>
      <c r="J1405" s="11">
        <v>1454.8448600085103</v>
      </c>
      <c r="K1405" t="str">
        <f t="shared" si="42"/>
        <v>Michael Brennan</v>
      </c>
    </row>
    <row r="1406" spans="1:11" hidden="1" x14ac:dyDescent="0.35">
      <c r="A1406">
        <f t="shared" si="43"/>
        <v>1405</v>
      </c>
      <c r="B1406">
        <v>2008</v>
      </c>
      <c r="C1406" t="s">
        <v>8</v>
      </c>
      <c r="D1406" t="s">
        <v>45</v>
      </c>
      <c r="E1406" t="s">
        <v>1429</v>
      </c>
      <c r="F1406" s="2">
        <v>498</v>
      </c>
      <c r="G1406" s="2">
        <v>5</v>
      </c>
      <c r="H1406" t="s">
        <v>256</v>
      </c>
      <c r="I1406" t="s">
        <v>257</v>
      </c>
      <c r="J1406" s="11">
        <v>1357.9348470004541</v>
      </c>
      <c r="K1406" t="str">
        <f t="shared" si="42"/>
        <v>Stephanie Wasserman</v>
      </c>
    </row>
    <row r="1407" spans="1:11" hidden="1" x14ac:dyDescent="0.35">
      <c r="A1407">
        <f t="shared" si="43"/>
        <v>1406</v>
      </c>
      <c r="B1407">
        <v>2008</v>
      </c>
      <c r="C1407" t="s">
        <v>8</v>
      </c>
      <c r="D1407" t="s">
        <v>45</v>
      </c>
      <c r="E1407" t="s">
        <v>1429</v>
      </c>
      <c r="F1407" s="2">
        <v>442</v>
      </c>
      <c r="G1407" s="2">
        <v>6</v>
      </c>
      <c r="H1407" t="s">
        <v>2323</v>
      </c>
      <c r="I1407" t="s">
        <v>2383</v>
      </c>
      <c r="J1407" s="11">
        <v>1278.7536009528292</v>
      </c>
      <c r="K1407" t="str">
        <f t="shared" si="42"/>
        <v>Lynsy Higgs-Iwamoto</v>
      </c>
    </row>
    <row r="1408" spans="1:11" hidden="1" x14ac:dyDescent="0.35">
      <c r="A1408">
        <f t="shared" si="43"/>
        <v>1407</v>
      </c>
      <c r="B1408">
        <v>2008</v>
      </c>
      <c r="C1408" t="s">
        <v>8</v>
      </c>
      <c r="D1408" t="s">
        <v>45</v>
      </c>
      <c r="E1408" t="s">
        <v>1429</v>
      </c>
      <c r="F1408" s="2">
        <v>387</v>
      </c>
      <c r="G1408" s="2">
        <v>7</v>
      </c>
      <c r="H1408" t="s">
        <v>752</v>
      </c>
      <c r="I1408" t="s">
        <v>753</v>
      </c>
      <c r="J1408" s="11">
        <v>1211.8068113222157</v>
      </c>
      <c r="K1408" t="str">
        <f t="shared" si="42"/>
        <v>Carl Lepinski</v>
      </c>
    </row>
    <row r="1409" spans="1:11" hidden="1" x14ac:dyDescent="0.35">
      <c r="A1409">
        <f t="shared" si="43"/>
        <v>1408</v>
      </c>
      <c r="B1409">
        <v>2008</v>
      </c>
      <c r="C1409" t="s">
        <v>8</v>
      </c>
      <c r="D1409" t="s">
        <v>45</v>
      </c>
      <c r="E1409" t="s">
        <v>1429</v>
      </c>
      <c r="F1409" s="2">
        <v>332</v>
      </c>
      <c r="G1409" s="2">
        <v>8</v>
      </c>
      <c r="H1409" t="s">
        <v>414</v>
      </c>
      <c r="I1409" t="s">
        <v>413</v>
      </c>
      <c r="J1409" s="11">
        <v>1153.8148643445293</v>
      </c>
      <c r="K1409" t="str">
        <f t="shared" si="42"/>
        <v>Bruce Kramer</v>
      </c>
    </row>
    <row r="1410" spans="1:11" hidden="1" x14ac:dyDescent="0.35">
      <c r="A1410">
        <f t="shared" si="43"/>
        <v>1409</v>
      </c>
      <c r="B1410">
        <v>2008</v>
      </c>
      <c r="C1410" t="s">
        <v>8</v>
      </c>
      <c r="D1410" t="s">
        <v>45</v>
      </c>
      <c r="E1410" t="s">
        <v>1429</v>
      </c>
      <c r="F1410" s="2">
        <v>277</v>
      </c>
      <c r="G1410" s="2">
        <v>9</v>
      </c>
      <c r="H1410" t="s">
        <v>756</v>
      </c>
      <c r="I1410" t="s">
        <v>757</v>
      </c>
      <c r="J1410" s="11">
        <v>1102.6623418971481</v>
      </c>
      <c r="K1410" t="str">
        <f t="shared" ref="K1410:K1473" si="44">I1410&amp;" "&amp;H1410</f>
        <v>Lon Derkatch</v>
      </c>
    </row>
    <row r="1411" spans="1:11" hidden="1" x14ac:dyDescent="0.35">
      <c r="A1411">
        <f t="shared" si="43"/>
        <v>1410</v>
      </c>
      <c r="B1411">
        <v>2008</v>
      </c>
      <c r="C1411" t="s">
        <v>8</v>
      </c>
      <c r="D1411" t="s">
        <v>45</v>
      </c>
      <c r="E1411" t="s">
        <v>1429</v>
      </c>
      <c r="F1411" s="2">
        <v>229</v>
      </c>
      <c r="G1411" s="2">
        <v>10</v>
      </c>
      <c r="H1411" t="s">
        <v>759</v>
      </c>
      <c r="I1411" t="s">
        <v>760</v>
      </c>
      <c r="J1411" s="11">
        <v>1056.9048513364728</v>
      </c>
      <c r="K1411" t="str">
        <f t="shared" si="44"/>
        <v>Victor Luzarraga</v>
      </c>
    </row>
    <row r="1412" spans="1:11" hidden="1" x14ac:dyDescent="0.35">
      <c r="A1412">
        <f t="shared" ref="A1412:A1475" si="45">A1411+1</f>
        <v>1411</v>
      </c>
      <c r="B1412">
        <v>2008</v>
      </c>
      <c r="C1412" t="s">
        <v>8</v>
      </c>
      <c r="D1412" t="s">
        <v>45</v>
      </c>
      <c r="E1412" t="s">
        <v>1429</v>
      </c>
      <c r="F1412" s="2">
        <v>165</v>
      </c>
      <c r="G1412" s="2">
        <v>11</v>
      </c>
      <c r="H1412" t="s">
        <v>445</v>
      </c>
      <c r="I1412" t="s">
        <v>446</v>
      </c>
      <c r="J1412" s="11">
        <v>1015.5121661782475</v>
      </c>
      <c r="K1412" t="str">
        <f t="shared" si="44"/>
        <v>Edson Pap</v>
      </c>
    </row>
    <row r="1413" spans="1:11" hidden="1" x14ac:dyDescent="0.35">
      <c r="A1413">
        <f t="shared" si="45"/>
        <v>1412</v>
      </c>
      <c r="B1413">
        <v>2008</v>
      </c>
      <c r="C1413" t="s">
        <v>8</v>
      </c>
      <c r="D1413" t="s">
        <v>45</v>
      </c>
      <c r="E1413" t="s">
        <v>1429</v>
      </c>
      <c r="F1413" s="2">
        <v>165</v>
      </c>
      <c r="G1413" s="2">
        <v>12</v>
      </c>
      <c r="H1413" t="s">
        <v>642</v>
      </c>
      <c r="I1413" t="s">
        <v>136</v>
      </c>
      <c r="J1413" s="11">
        <v>977.72360528884781</v>
      </c>
      <c r="K1413" t="str">
        <f t="shared" si="44"/>
        <v>John DeRose</v>
      </c>
    </row>
    <row r="1414" spans="1:11" hidden="1" x14ac:dyDescent="0.35">
      <c r="A1414">
        <f t="shared" si="45"/>
        <v>1413</v>
      </c>
      <c r="B1414">
        <v>2008</v>
      </c>
      <c r="C1414" t="s">
        <v>8</v>
      </c>
      <c r="D1414" t="s">
        <v>45</v>
      </c>
      <c r="E1414" t="s">
        <v>1429</v>
      </c>
      <c r="F1414" s="2">
        <v>165</v>
      </c>
      <c r="G1414" s="2">
        <v>13</v>
      </c>
      <c r="H1414" t="s">
        <v>762</v>
      </c>
      <c r="I1414" t="s">
        <v>153</v>
      </c>
      <c r="J1414" s="11">
        <v>942.961499029636</v>
      </c>
      <c r="K1414" t="str">
        <f t="shared" si="44"/>
        <v>Stephen Carbonara</v>
      </c>
    </row>
    <row r="1415" spans="1:11" hidden="1" x14ac:dyDescent="0.35">
      <c r="A1415">
        <f t="shared" si="45"/>
        <v>1414</v>
      </c>
      <c r="B1415">
        <v>2008</v>
      </c>
      <c r="C1415" t="s">
        <v>8</v>
      </c>
      <c r="D1415" t="s">
        <v>45</v>
      </c>
      <c r="E1415" t="s">
        <v>1429</v>
      </c>
      <c r="F1415" s="2">
        <v>165</v>
      </c>
      <c r="G1415" s="2">
        <v>14</v>
      </c>
      <c r="H1415" t="s">
        <v>475</v>
      </c>
      <c r="I1415" t="s">
        <v>887</v>
      </c>
      <c r="J1415" s="11">
        <v>910.7768156582348</v>
      </c>
      <c r="K1415" t="str">
        <f t="shared" si="44"/>
        <v>Chic Natkins</v>
      </c>
    </row>
    <row r="1416" spans="1:11" hidden="1" x14ac:dyDescent="0.35">
      <c r="A1416">
        <f t="shared" si="45"/>
        <v>1415</v>
      </c>
      <c r="B1416">
        <v>2008</v>
      </c>
      <c r="C1416" t="s">
        <v>8</v>
      </c>
      <c r="D1416" t="s">
        <v>45</v>
      </c>
      <c r="E1416" t="s">
        <v>1429</v>
      </c>
      <c r="F1416" s="2">
        <v>165</v>
      </c>
      <c r="G1416" s="2">
        <v>15</v>
      </c>
      <c r="H1416" t="s">
        <v>304</v>
      </c>
      <c r="I1416" t="s">
        <v>65</v>
      </c>
      <c r="J1416" s="11">
        <v>880.81359228079134</v>
      </c>
      <c r="K1416" t="str">
        <f t="shared" si="44"/>
        <v>Steve Pierce</v>
      </c>
    </row>
    <row r="1417" spans="1:11" hidden="1" x14ac:dyDescent="0.35">
      <c r="A1417">
        <f t="shared" si="45"/>
        <v>1416</v>
      </c>
      <c r="B1417">
        <v>2008</v>
      </c>
      <c r="C1417" t="s">
        <v>8</v>
      </c>
      <c r="D1417" t="s">
        <v>45</v>
      </c>
      <c r="E1417" t="s">
        <v>1429</v>
      </c>
      <c r="F1417" s="2">
        <v>165</v>
      </c>
      <c r="G1417" s="2">
        <v>16</v>
      </c>
      <c r="H1417" t="s">
        <v>161</v>
      </c>
      <c r="I1417" t="s">
        <v>200</v>
      </c>
      <c r="J1417" s="11">
        <v>852.7848686805479</v>
      </c>
      <c r="K1417" t="str">
        <f t="shared" si="44"/>
        <v>Rick Becker</v>
      </c>
    </row>
    <row r="1418" spans="1:11" hidden="1" x14ac:dyDescent="0.35">
      <c r="A1418">
        <f t="shared" si="45"/>
        <v>1417</v>
      </c>
      <c r="B1418">
        <v>2008</v>
      </c>
      <c r="C1418" t="s">
        <v>8</v>
      </c>
      <c r="D1418" t="s">
        <v>45</v>
      </c>
      <c r="E1418" t="s">
        <v>1429</v>
      </c>
      <c r="F1418" s="2">
        <v>165</v>
      </c>
      <c r="G1418" s="2">
        <v>17</v>
      </c>
      <c r="H1418" t="s">
        <v>118</v>
      </c>
      <c r="I1418" t="s">
        <v>415</v>
      </c>
      <c r="J1418" s="11">
        <v>826.45592995819879</v>
      </c>
      <c r="K1418" t="str">
        <f t="shared" si="44"/>
        <v>Pete Segal</v>
      </c>
    </row>
    <row r="1419" spans="1:11" hidden="1" x14ac:dyDescent="0.35">
      <c r="A1419">
        <f t="shared" si="45"/>
        <v>1418</v>
      </c>
      <c r="B1419">
        <v>2008</v>
      </c>
      <c r="C1419" t="s">
        <v>8</v>
      </c>
      <c r="D1419" t="s">
        <v>45</v>
      </c>
      <c r="E1419" t="s">
        <v>1429</v>
      </c>
      <c r="F1419" s="2">
        <v>165</v>
      </c>
      <c r="G1419" s="2">
        <v>18</v>
      </c>
      <c r="H1419" t="s">
        <v>764</v>
      </c>
      <c r="I1419" t="s">
        <v>765</v>
      </c>
      <c r="J1419" s="11">
        <v>801.63234623316669</v>
      </c>
      <c r="K1419" t="str">
        <f t="shared" si="44"/>
        <v>Michelle Ankenman</v>
      </c>
    </row>
    <row r="1420" spans="1:11" hidden="1" x14ac:dyDescent="0.35">
      <c r="A1420">
        <f t="shared" si="45"/>
        <v>1419</v>
      </c>
      <c r="B1420">
        <v>2008</v>
      </c>
      <c r="C1420" t="s">
        <v>8</v>
      </c>
      <c r="D1420" t="s">
        <v>45</v>
      </c>
      <c r="E1420" t="s">
        <v>1429</v>
      </c>
      <c r="F1420" s="2">
        <v>165</v>
      </c>
      <c r="G1420" s="2">
        <v>19</v>
      </c>
      <c r="H1420" t="s">
        <v>19</v>
      </c>
      <c r="I1420" t="s">
        <v>20</v>
      </c>
      <c r="J1420" s="11">
        <v>778.15125038364386</v>
      </c>
      <c r="K1420" t="str">
        <f t="shared" si="44"/>
        <v>Barry Kornspan</v>
      </c>
    </row>
    <row r="1421" spans="1:11" hidden="1" x14ac:dyDescent="0.35">
      <c r="A1421">
        <f t="shared" si="45"/>
        <v>1420</v>
      </c>
      <c r="B1421">
        <v>2008</v>
      </c>
      <c r="C1421" t="s">
        <v>8</v>
      </c>
      <c r="D1421" t="s">
        <v>45</v>
      </c>
      <c r="E1421" t="s">
        <v>1429</v>
      </c>
      <c r="F1421" s="2">
        <v>165</v>
      </c>
      <c r="G1421" s="2">
        <v>20</v>
      </c>
      <c r="H1421" t="s">
        <v>128</v>
      </c>
      <c r="I1421" t="s">
        <v>443</v>
      </c>
      <c r="J1421" s="11">
        <v>755.87485567249144</v>
      </c>
      <c r="K1421" t="str">
        <f t="shared" si="44"/>
        <v>Ming Lee</v>
      </c>
    </row>
    <row r="1422" spans="1:11" hidden="1" x14ac:dyDescent="0.35">
      <c r="A1422">
        <f t="shared" si="45"/>
        <v>1421</v>
      </c>
      <c r="B1422">
        <v>2008</v>
      </c>
      <c r="C1422" t="s">
        <v>8</v>
      </c>
      <c r="D1422" t="s">
        <v>24</v>
      </c>
      <c r="E1422" t="s">
        <v>1432</v>
      </c>
      <c r="F1422" s="2">
        <v>1921</v>
      </c>
      <c r="G1422" s="2">
        <v>1</v>
      </c>
      <c r="H1422" t="s">
        <v>642</v>
      </c>
      <c r="I1422" t="s">
        <v>136</v>
      </c>
      <c r="J1422" s="11">
        <v>821.72633824309366</v>
      </c>
      <c r="K1422" t="str">
        <f t="shared" si="44"/>
        <v>John DeRose</v>
      </c>
    </row>
    <row r="1423" spans="1:11" hidden="1" x14ac:dyDescent="0.35">
      <c r="A1423">
        <f t="shared" si="45"/>
        <v>1422</v>
      </c>
      <c r="B1423">
        <v>2008</v>
      </c>
      <c r="C1423" t="s">
        <v>8</v>
      </c>
      <c r="D1423" t="s">
        <v>24</v>
      </c>
      <c r="E1423" t="s">
        <v>1432</v>
      </c>
      <c r="F1423" s="2">
        <v>1921</v>
      </c>
      <c r="G1423" s="2">
        <v>1</v>
      </c>
      <c r="H1423" t="s">
        <v>445</v>
      </c>
      <c r="I1423" t="s">
        <v>446</v>
      </c>
      <c r="J1423" s="11">
        <v>821.72633824309366</v>
      </c>
      <c r="K1423" t="str">
        <f t="shared" si="44"/>
        <v>Edson Pap</v>
      </c>
    </row>
    <row r="1424" spans="1:11" hidden="1" x14ac:dyDescent="0.35">
      <c r="A1424">
        <f t="shared" si="45"/>
        <v>1423</v>
      </c>
      <c r="B1424">
        <v>2008</v>
      </c>
      <c r="C1424" t="s">
        <v>8</v>
      </c>
      <c r="D1424" t="s">
        <v>24</v>
      </c>
      <c r="E1424" t="s">
        <v>1432</v>
      </c>
      <c r="F1424" s="2">
        <v>1067</v>
      </c>
      <c r="G1424" s="2">
        <v>2</v>
      </c>
      <c r="H1424" t="s">
        <v>340</v>
      </c>
      <c r="I1424" t="s">
        <v>665</v>
      </c>
      <c r="J1424" s="11">
        <v>671.21134041110304</v>
      </c>
      <c r="K1424" t="str">
        <f t="shared" si="44"/>
        <v>Robert Catlett</v>
      </c>
    </row>
    <row r="1425" spans="1:11" hidden="1" x14ac:dyDescent="0.35">
      <c r="A1425">
        <f t="shared" si="45"/>
        <v>1424</v>
      </c>
      <c r="B1425">
        <v>2008</v>
      </c>
      <c r="C1425" t="s">
        <v>8</v>
      </c>
      <c r="D1425" t="s">
        <v>24</v>
      </c>
      <c r="E1425" t="s">
        <v>1432</v>
      </c>
      <c r="F1425" s="2">
        <v>1067</v>
      </c>
      <c r="G1425" s="2">
        <v>2</v>
      </c>
      <c r="H1425" t="s">
        <v>748</v>
      </c>
      <c r="I1425" t="s">
        <v>89</v>
      </c>
      <c r="J1425" s="11">
        <v>671.21134041110304</v>
      </c>
      <c r="K1425" t="str">
        <f t="shared" si="44"/>
        <v>Ken Sias</v>
      </c>
    </row>
    <row r="1426" spans="1:11" hidden="1" x14ac:dyDescent="0.35">
      <c r="A1426">
        <f t="shared" si="45"/>
        <v>1425</v>
      </c>
      <c r="B1426">
        <v>2008</v>
      </c>
      <c r="C1426" t="s">
        <v>8</v>
      </c>
      <c r="D1426" t="s">
        <v>24</v>
      </c>
      <c r="E1426" t="s">
        <v>1432</v>
      </c>
      <c r="F1426" s="2">
        <v>640</v>
      </c>
      <c r="G1426" s="2">
        <v>3</v>
      </c>
      <c r="H1426" t="s">
        <v>731</v>
      </c>
      <c r="I1426" t="s">
        <v>732</v>
      </c>
      <c r="J1426" s="11">
        <v>583.16571088326248</v>
      </c>
      <c r="K1426" t="str">
        <f t="shared" si="44"/>
        <v>Lauri Calkins</v>
      </c>
    </row>
    <row r="1427" spans="1:11" hidden="1" x14ac:dyDescent="0.35">
      <c r="A1427">
        <f t="shared" si="45"/>
        <v>1426</v>
      </c>
      <c r="B1427">
        <v>2008</v>
      </c>
      <c r="C1427" t="s">
        <v>8</v>
      </c>
      <c r="D1427" t="s">
        <v>24</v>
      </c>
      <c r="E1427" t="s">
        <v>1432</v>
      </c>
      <c r="F1427" s="2">
        <v>640</v>
      </c>
      <c r="G1427" s="2">
        <v>3</v>
      </c>
      <c r="H1427" t="s">
        <v>475</v>
      </c>
      <c r="I1427" t="s">
        <v>887</v>
      </c>
      <c r="J1427" s="11">
        <v>583.16571088326248</v>
      </c>
      <c r="K1427" t="str">
        <f t="shared" si="44"/>
        <v>Chic Natkins</v>
      </c>
    </row>
    <row r="1428" spans="1:11" hidden="1" x14ac:dyDescent="0.35">
      <c r="A1428">
        <f t="shared" si="45"/>
        <v>1427</v>
      </c>
      <c r="B1428">
        <v>2008</v>
      </c>
      <c r="C1428" t="s">
        <v>8</v>
      </c>
      <c r="D1428" t="s">
        <v>24</v>
      </c>
      <c r="E1428" t="s">
        <v>1432</v>
      </c>
      <c r="F1428" s="2">
        <v>384</v>
      </c>
      <c r="G1428" s="2">
        <v>4</v>
      </c>
      <c r="H1428" t="s">
        <v>53</v>
      </c>
      <c r="I1428" t="s">
        <v>54</v>
      </c>
      <c r="J1428" s="11">
        <v>520.69634257911241</v>
      </c>
      <c r="K1428" t="str">
        <f t="shared" si="44"/>
        <v>Joyce Ciotti</v>
      </c>
    </row>
    <row r="1429" spans="1:11" hidden="1" x14ac:dyDescent="0.35">
      <c r="A1429">
        <f t="shared" si="45"/>
        <v>1428</v>
      </c>
      <c r="B1429">
        <v>2008</v>
      </c>
      <c r="C1429" t="s">
        <v>8</v>
      </c>
      <c r="D1429" t="s">
        <v>24</v>
      </c>
      <c r="E1429" t="s">
        <v>1432</v>
      </c>
      <c r="F1429" s="2">
        <v>384</v>
      </c>
      <c r="G1429" s="2">
        <v>4</v>
      </c>
      <c r="H1429" t="s">
        <v>66</v>
      </c>
      <c r="I1429" t="s">
        <v>67</v>
      </c>
      <c r="J1429" s="11">
        <v>520.69634257911241</v>
      </c>
      <c r="K1429" t="str">
        <f t="shared" si="44"/>
        <v>Bob Lauria</v>
      </c>
    </row>
    <row r="1430" spans="1:11" hidden="1" x14ac:dyDescent="0.35">
      <c r="A1430">
        <f t="shared" si="45"/>
        <v>1429</v>
      </c>
      <c r="B1430">
        <v>2008</v>
      </c>
      <c r="C1430" t="s">
        <v>8</v>
      </c>
      <c r="D1430" t="s">
        <v>24</v>
      </c>
      <c r="E1430" t="s">
        <v>1432</v>
      </c>
      <c r="F1430" s="2">
        <v>256</v>
      </c>
      <c r="G1430" s="2">
        <v>5</v>
      </c>
      <c r="H1430" t="s">
        <v>304</v>
      </c>
      <c r="I1430" t="s">
        <v>1003</v>
      </c>
      <c r="J1430" s="11">
        <v>472.24133607508429</v>
      </c>
      <c r="K1430" t="str">
        <f t="shared" si="44"/>
        <v>Jan Pierce</v>
      </c>
    </row>
    <row r="1431" spans="1:11" hidden="1" x14ac:dyDescent="0.35">
      <c r="A1431">
        <f t="shared" si="45"/>
        <v>1430</v>
      </c>
      <c r="B1431">
        <v>2008</v>
      </c>
      <c r="C1431" t="s">
        <v>8</v>
      </c>
      <c r="D1431" t="s">
        <v>24</v>
      </c>
      <c r="E1431" t="s">
        <v>1432</v>
      </c>
      <c r="F1431" s="2">
        <v>256</v>
      </c>
      <c r="G1431" s="2">
        <v>5</v>
      </c>
      <c r="H1431" t="s">
        <v>304</v>
      </c>
      <c r="I1431" t="s">
        <v>65</v>
      </c>
      <c r="J1431" s="11">
        <v>472.24133607508429</v>
      </c>
      <c r="K1431" t="str">
        <f t="shared" si="44"/>
        <v>Steve Pierce</v>
      </c>
    </row>
    <row r="1432" spans="1:11" hidden="1" x14ac:dyDescent="0.35">
      <c r="A1432">
        <f t="shared" si="45"/>
        <v>1431</v>
      </c>
      <c r="B1432">
        <v>2008</v>
      </c>
      <c r="C1432" t="s">
        <v>583</v>
      </c>
      <c r="D1432" t="s">
        <v>800</v>
      </c>
      <c r="E1432" t="s">
        <v>1432</v>
      </c>
      <c r="F1432" s="2">
        <v>420</v>
      </c>
      <c r="G1432" s="2">
        <v>1</v>
      </c>
      <c r="H1432" t="s">
        <v>689</v>
      </c>
      <c r="I1432" t="s">
        <v>61</v>
      </c>
      <c r="J1432" s="11">
        <v>1204.1199826559248</v>
      </c>
      <c r="K1432" t="str">
        <f t="shared" si="44"/>
        <v>Len Forsyth</v>
      </c>
    </row>
    <row r="1433" spans="1:11" hidden="1" x14ac:dyDescent="0.35">
      <c r="A1433">
        <f t="shared" si="45"/>
        <v>1432</v>
      </c>
      <c r="B1433">
        <v>2008</v>
      </c>
      <c r="C1433" t="s">
        <v>583</v>
      </c>
      <c r="D1433" t="s">
        <v>800</v>
      </c>
      <c r="E1433" t="s">
        <v>1432</v>
      </c>
      <c r="F1433" s="2">
        <v>420</v>
      </c>
      <c r="G1433" s="2">
        <v>2</v>
      </c>
      <c r="H1433" t="s">
        <v>296</v>
      </c>
      <c r="I1433" t="s">
        <v>297</v>
      </c>
      <c r="J1433" s="11">
        <v>903.08998699194353</v>
      </c>
      <c r="K1433" t="str">
        <f t="shared" si="44"/>
        <v>Janie McIntosh</v>
      </c>
    </row>
    <row r="1434" spans="1:11" hidden="1" x14ac:dyDescent="0.35">
      <c r="A1434">
        <f t="shared" si="45"/>
        <v>1433</v>
      </c>
      <c r="B1434">
        <v>2008</v>
      </c>
      <c r="C1434" t="s">
        <v>583</v>
      </c>
      <c r="D1434" t="s">
        <v>800</v>
      </c>
      <c r="E1434" t="s">
        <v>1432</v>
      </c>
      <c r="F1434" s="2">
        <v>180</v>
      </c>
      <c r="G1434" s="2">
        <v>3</v>
      </c>
      <c r="H1434" t="s">
        <v>265</v>
      </c>
      <c r="I1434" t="s">
        <v>139</v>
      </c>
      <c r="J1434" s="11">
        <v>726.99872793626241</v>
      </c>
      <c r="K1434" t="str">
        <f t="shared" si="44"/>
        <v>Mark Hughes</v>
      </c>
    </row>
    <row r="1435" spans="1:11" hidden="1" x14ac:dyDescent="0.35">
      <c r="A1435">
        <f t="shared" si="45"/>
        <v>1434</v>
      </c>
      <c r="B1435">
        <v>2008</v>
      </c>
      <c r="C1435" t="s">
        <v>583</v>
      </c>
      <c r="D1435" t="s">
        <v>800</v>
      </c>
      <c r="E1435" t="s">
        <v>1432</v>
      </c>
      <c r="F1435" s="2">
        <v>120</v>
      </c>
      <c r="G1435" s="2">
        <v>4</v>
      </c>
      <c r="H1435" t="s">
        <v>801</v>
      </c>
      <c r="I1435" t="s">
        <v>200</v>
      </c>
      <c r="J1435" s="11">
        <v>602.05999132796239</v>
      </c>
      <c r="K1435" t="str">
        <f t="shared" si="44"/>
        <v>Rick Farver</v>
      </c>
    </row>
    <row r="1436" spans="1:11" hidden="1" x14ac:dyDescent="0.35">
      <c r="A1436">
        <f t="shared" si="45"/>
        <v>1435</v>
      </c>
      <c r="B1436">
        <v>2008</v>
      </c>
      <c r="C1436" t="s">
        <v>583</v>
      </c>
      <c r="D1436" t="s">
        <v>800</v>
      </c>
      <c r="E1436" t="s">
        <v>1432</v>
      </c>
      <c r="F1436" s="2">
        <v>60</v>
      </c>
      <c r="G1436" s="2">
        <v>5</v>
      </c>
      <c r="H1436" t="s">
        <v>585</v>
      </c>
      <c r="I1436" t="s">
        <v>136</v>
      </c>
      <c r="J1436" s="11">
        <v>505.14997831990593</v>
      </c>
      <c r="K1436" t="str">
        <f t="shared" si="44"/>
        <v>John Pickels</v>
      </c>
    </row>
    <row r="1437" spans="1:11" hidden="1" x14ac:dyDescent="0.35">
      <c r="A1437">
        <f t="shared" si="45"/>
        <v>1436</v>
      </c>
      <c r="B1437">
        <v>2008</v>
      </c>
      <c r="C1437" t="s">
        <v>583</v>
      </c>
      <c r="D1437" t="s">
        <v>800</v>
      </c>
      <c r="E1437" t="s">
        <v>1432</v>
      </c>
      <c r="F1437" s="2">
        <v>50</v>
      </c>
      <c r="G1437" s="2">
        <v>6</v>
      </c>
      <c r="H1437" t="s">
        <v>588</v>
      </c>
      <c r="I1437" t="s">
        <v>353</v>
      </c>
      <c r="J1437" s="11">
        <v>425.96873227228116</v>
      </c>
      <c r="K1437" t="str">
        <f t="shared" si="44"/>
        <v>Frank Bruegger</v>
      </c>
    </row>
    <row r="1438" spans="1:11" hidden="1" x14ac:dyDescent="0.35">
      <c r="A1438">
        <f t="shared" si="45"/>
        <v>1437</v>
      </c>
      <c r="B1438">
        <v>2008</v>
      </c>
      <c r="C1438" t="s">
        <v>583</v>
      </c>
      <c r="D1438" t="s">
        <v>45</v>
      </c>
      <c r="E1438" t="s">
        <v>1429</v>
      </c>
      <c r="F1438" s="2">
        <v>565</v>
      </c>
      <c r="G1438" s="2">
        <v>1</v>
      </c>
      <c r="H1438" t="s">
        <v>686</v>
      </c>
      <c r="I1438" t="s">
        <v>687</v>
      </c>
      <c r="J1438" s="11">
        <v>1176.0912590556813</v>
      </c>
      <c r="K1438" t="str">
        <f t="shared" si="44"/>
        <v>Debra Bounds</v>
      </c>
    </row>
    <row r="1439" spans="1:11" hidden="1" x14ac:dyDescent="0.35">
      <c r="A1439">
        <f t="shared" si="45"/>
        <v>1438</v>
      </c>
      <c r="B1439">
        <v>2008</v>
      </c>
      <c r="C1439" t="s">
        <v>583</v>
      </c>
      <c r="D1439" t="s">
        <v>45</v>
      </c>
      <c r="E1439" t="s">
        <v>1429</v>
      </c>
      <c r="F1439" s="2">
        <v>465</v>
      </c>
      <c r="G1439" s="2">
        <v>2</v>
      </c>
      <c r="H1439" t="s">
        <v>801</v>
      </c>
      <c r="I1439" t="s">
        <v>200</v>
      </c>
      <c r="J1439" s="11">
        <v>875.06126339170009</v>
      </c>
      <c r="K1439" t="str">
        <f t="shared" si="44"/>
        <v>Rick Farver</v>
      </c>
    </row>
    <row r="1440" spans="1:11" hidden="1" x14ac:dyDescent="0.35">
      <c r="A1440">
        <f t="shared" si="45"/>
        <v>1439</v>
      </c>
      <c r="B1440">
        <v>2008</v>
      </c>
      <c r="C1440" t="s">
        <v>583</v>
      </c>
      <c r="D1440" t="s">
        <v>45</v>
      </c>
      <c r="E1440" t="s">
        <v>1429</v>
      </c>
      <c r="F1440" s="2">
        <v>215</v>
      </c>
      <c r="G1440" s="2">
        <v>3</v>
      </c>
      <c r="H1440" t="s">
        <v>803</v>
      </c>
      <c r="I1440" t="s">
        <v>495</v>
      </c>
      <c r="J1440" s="11">
        <v>698.97000433601897</v>
      </c>
      <c r="K1440" t="str">
        <f t="shared" si="44"/>
        <v>Travis williams</v>
      </c>
    </row>
    <row r="1441" spans="1:11" hidden="1" x14ac:dyDescent="0.35">
      <c r="A1441">
        <f t="shared" si="45"/>
        <v>1440</v>
      </c>
      <c r="B1441">
        <v>2008</v>
      </c>
      <c r="C1441" t="s">
        <v>583</v>
      </c>
      <c r="D1441" t="s">
        <v>45</v>
      </c>
      <c r="E1441" t="s">
        <v>1429</v>
      </c>
      <c r="F1441" s="2">
        <v>140</v>
      </c>
      <c r="G1441" s="2">
        <v>4</v>
      </c>
      <c r="H1441" t="s">
        <v>588</v>
      </c>
      <c r="I1441" t="s">
        <v>353</v>
      </c>
      <c r="J1441" s="11">
        <v>574.03126772771896</v>
      </c>
      <c r="K1441" t="str">
        <f t="shared" si="44"/>
        <v>Frank Bruegger</v>
      </c>
    </row>
    <row r="1442" spans="1:11" hidden="1" x14ac:dyDescent="0.35">
      <c r="A1442">
        <f t="shared" si="45"/>
        <v>1441</v>
      </c>
      <c r="B1442">
        <v>2008</v>
      </c>
      <c r="C1442" t="s">
        <v>583</v>
      </c>
      <c r="D1442" t="s">
        <v>45</v>
      </c>
      <c r="E1442" t="s">
        <v>1429</v>
      </c>
      <c r="F1442" s="2">
        <v>115</v>
      </c>
      <c r="G1442" s="2">
        <v>5</v>
      </c>
      <c r="H1442" t="s">
        <v>804</v>
      </c>
      <c r="I1442" t="s">
        <v>644</v>
      </c>
      <c r="J1442" s="11">
        <v>477.12125471966249</v>
      </c>
      <c r="K1442" t="str">
        <f t="shared" si="44"/>
        <v>Ed Barrett</v>
      </c>
    </row>
    <row r="1443" spans="1:11" hidden="1" x14ac:dyDescent="0.35">
      <c r="A1443">
        <f t="shared" si="45"/>
        <v>1442</v>
      </c>
      <c r="B1443">
        <v>2008</v>
      </c>
      <c r="C1443" t="s">
        <v>583</v>
      </c>
      <c r="D1443" t="s">
        <v>770</v>
      </c>
      <c r="E1443" t="s">
        <v>1430</v>
      </c>
      <c r="F1443" s="2">
        <v>382</v>
      </c>
      <c r="G1443" s="2">
        <v>1</v>
      </c>
      <c r="H1443" t="s">
        <v>494</v>
      </c>
      <c r="I1443" t="s">
        <v>495</v>
      </c>
      <c r="J1443" s="11">
        <v>1176.0912590556813</v>
      </c>
      <c r="K1443" t="str">
        <f t="shared" si="44"/>
        <v>Travis Williams</v>
      </c>
    </row>
    <row r="1444" spans="1:11" hidden="1" x14ac:dyDescent="0.35">
      <c r="A1444">
        <f t="shared" si="45"/>
        <v>1443</v>
      </c>
      <c r="B1444">
        <v>2008</v>
      </c>
      <c r="C1444" t="s">
        <v>583</v>
      </c>
      <c r="D1444" t="s">
        <v>770</v>
      </c>
      <c r="E1444" t="s">
        <v>1430</v>
      </c>
      <c r="F1444" s="2">
        <v>381</v>
      </c>
      <c r="G1444" s="2">
        <v>2</v>
      </c>
      <c r="H1444" t="s">
        <v>588</v>
      </c>
      <c r="I1444" t="s">
        <v>353</v>
      </c>
      <c r="J1444" s="11">
        <v>875.06126339170009</v>
      </c>
      <c r="K1444" t="str">
        <f t="shared" si="44"/>
        <v>Frank Bruegger</v>
      </c>
    </row>
    <row r="1445" spans="1:11" hidden="1" x14ac:dyDescent="0.35">
      <c r="A1445">
        <f t="shared" si="45"/>
        <v>1444</v>
      </c>
      <c r="B1445">
        <v>2008</v>
      </c>
      <c r="C1445" t="s">
        <v>583</v>
      </c>
      <c r="D1445" t="s">
        <v>770</v>
      </c>
      <c r="E1445" t="s">
        <v>1430</v>
      </c>
      <c r="F1445" s="2">
        <v>159</v>
      </c>
      <c r="G1445" s="2">
        <v>3</v>
      </c>
      <c r="H1445" t="s">
        <v>801</v>
      </c>
      <c r="I1445" t="s">
        <v>200</v>
      </c>
      <c r="J1445" s="11">
        <v>698.97000433601897</v>
      </c>
      <c r="K1445" t="str">
        <f t="shared" si="44"/>
        <v>Rick Farver</v>
      </c>
    </row>
    <row r="1446" spans="1:11" hidden="1" x14ac:dyDescent="0.35">
      <c r="A1446">
        <f t="shared" si="45"/>
        <v>1445</v>
      </c>
      <c r="B1446">
        <v>2008</v>
      </c>
      <c r="C1446" t="s">
        <v>583</v>
      </c>
      <c r="D1446" t="s">
        <v>770</v>
      </c>
      <c r="E1446" t="s">
        <v>1430</v>
      </c>
      <c r="F1446" s="2">
        <v>103</v>
      </c>
      <c r="G1446" s="2">
        <v>4</v>
      </c>
      <c r="H1446" t="s">
        <v>296</v>
      </c>
      <c r="I1446" t="s">
        <v>297</v>
      </c>
      <c r="J1446" s="11">
        <v>574.03126772771896</v>
      </c>
      <c r="K1446" t="str">
        <f t="shared" si="44"/>
        <v>Janie McIntosh</v>
      </c>
    </row>
    <row r="1447" spans="1:11" hidden="1" x14ac:dyDescent="0.35">
      <c r="A1447">
        <f t="shared" si="45"/>
        <v>1446</v>
      </c>
      <c r="B1447">
        <v>2008</v>
      </c>
      <c r="C1447" t="s">
        <v>583</v>
      </c>
      <c r="D1447" t="s">
        <v>770</v>
      </c>
      <c r="E1447" t="s">
        <v>1430</v>
      </c>
      <c r="F1447" s="2">
        <v>100</v>
      </c>
      <c r="G1447" s="2">
        <v>5</v>
      </c>
      <c r="H1447" t="s">
        <v>585</v>
      </c>
      <c r="I1447" t="s">
        <v>676</v>
      </c>
      <c r="J1447" s="11">
        <v>477.12125471966249</v>
      </c>
      <c r="K1447" t="str">
        <f t="shared" si="44"/>
        <v>Dianne Pickels</v>
      </c>
    </row>
    <row r="1448" spans="1:11" hidden="1" x14ac:dyDescent="0.35">
      <c r="A1448">
        <f t="shared" si="45"/>
        <v>1447</v>
      </c>
      <c r="B1448">
        <v>2009</v>
      </c>
      <c r="C1448" t="s">
        <v>109</v>
      </c>
      <c r="D1448" t="s">
        <v>45</v>
      </c>
      <c r="E1448" t="s">
        <v>1429</v>
      </c>
      <c r="F1448" s="2">
        <v>4800</v>
      </c>
      <c r="G1448" s="2">
        <v>1</v>
      </c>
      <c r="H1448" t="s">
        <v>664</v>
      </c>
      <c r="I1448" t="s">
        <v>665</v>
      </c>
      <c r="J1448" s="11">
        <v>2079.1812460476249</v>
      </c>
      <c r="K1448" t="str">
        <f t="shared" si="44"/>
        <v>Robert Hwang</v>
      </c>
    </row>
    <row r="1449" spans="1:11" hidden="1" x14ac:dyDescent="0.35">
      <c r="A1449">
        <f t="shared" si="45"/>
        <v>1448</v>
      </c>
      <c r="B1449">
        <v>2009</v>
      </c>
      <c r="C1449" t="s">
        <v>109</v>
      </c>
      <c r="D1449" t="s">
        <v>45</v>
      </c>
      <c r="E1449" t="s">
        <v>1429</v>
      </c>
      <c r="F1449" s="2">
        <v>2760</v>
      </c>
      <c r="G1449" s="2">
        <v>2</v>
      </c>
      <c r="H1449" t="s">
        <v>667</v>
      </c>
      <c r="I1449" t="s">
        <v>668</v>
      </c>
      <c r="J1449" s="11">
        <v>1778.1512503836434</v>
      </c>
      <c r="K1449" t="str">
        <f t="shared" si="44"/>
        <v>Colleen McGraham</v>
      </c>
    </row>
    <row r="1450" spans="1:11" hidden="1" x14ac:dyDescent="0.35">
      <c r="A1450">
        <f t="shared" si="45"/>
        <v>1449</v>
      </c>
      <c r="B1450">
        <v>2009</v>
      </c>
      <c r="C1450" t="s">
        <v>109</v>
      </c>
      <c r="D1450" t="s">
        <v>45</v>
      </c>
      <c r="E1450" t="s">
        <v>1429</v>
      </c>
      <c r="F1450" s="2">
        <v>1440</v>
      </c>
      <c r="G1450" s="2">
        <v>3</v>
      </c>
      <c r="H1450" t="s">
        <v>202</v>
      </c>
      <c r="I1450" t="s">
        <v>205</v>
      </c>
      <c r="J1450" s="11">
        <v>1602.0599913279623</v>
      </c>
      <c r="K1450" t="str">
        <f t="shared" si="44"/>
        <v>Ron Lyons</v>
      </c>
    </row>
    <row r="1451" spans="1:11" hidden="1" x14ac:dyDescent="0.35">
      <c r="A1451">
        <f t="shared" si="45"/>
        <v>1450</v>
      </c>
      <c r="B1451">
        <v>2009</v>
      </c>
      <c r="C1451" t="s">
        <v>109</v>
      </c>
      <c r="D1451" t="s">
        <v>45</v>
      </c>
      <c r="E1451" t="s">
        <v>1429</v>
      </c>
      <c r="F1451" s="2">
        <v>840</v>
      </c>
      <c r="G1451" s="2">
        <v>4</v>
      </c>
      <c r="H1451" t="s">
        <v>238</v>
      </c>
      <c r="I1451" t="s">
        <v>16</v>
      </c>
      <c r="J1451" s="11">
        <v>1477.1212547196621</v>
      </c>
      <c r="K1451" t="str">
        <f t="shared" si="44"/>
        <v>David Kuznick</v>
      </c>
    </row>
    <row r="1452" spans="1:11" hidden="1" x14ac:dyDescent="0.35">
      <c r="A1452">
        <f t="shared" si="45"/>
        <v>1451</v>
      </c>
      <c r="B1452">
        <v>2009</v>
      </c>
      <c r="C1452" t="s">
        <v>109</v>
      </c>
      <c r="D1452" t="s">
        <v>45</v>
      </c>
      <c r="E1452" t="s">
        <v>1429</v>
      </c>
      <c r="F1452" s="2">
        <v>660</v>
      </c>
      <c r="G1452" s="2">
        <v>5</v>
      </c>
      <c r="H1452" t="s">
        <v>670</v>
      </c>
      <c r="I1452" t="s">
        <v>16</v>
      </c>
      <c r="J1452" s="11">
        <v>1380.2112417116059</v>
      </c>
      <c r="K1452" t="str">
        <f t="shared" si="44"/>
        <v>David Matteo</v>
      </c>
    </row>
    <row r="1453" spans="1:11" hidden="1" x14ac:dyDescent="0.35">
      <c r="A1453">
        <f t="shared" si="45"/>
        <v>1452</v>
      </c>
      <c r="B1453">
        <v>2009</v>
      </c>
      <c r="C1453" t="s">
        <v>109</v>
      </c>
      <c r="D1453" t="s">
        <v>45</v>
      </c>
      <c r="E1453" t="s">
        <v>1429</v>
      </c>
      <c r="F1453" s="2">
        <v>540</v>
      </c>
      <c r="G1453" s="2">
        <v>6</v>
      </c>
      <c r="H1453" t="s">
        <v>51</v>
      </c>
      <c r="I1453" t="s">
        <v>153</v>
      </c>
      <c r="J1453" s="11">
        <v>1301.029995663981</v>
      </c>
      <c r="K1453" t="str">
        <f t="shared" si="44"/>
        <v>Stephen Rosenblatt</v>
      </c>
    </row>
    <row r="1454" spans="1:11" hidden="1" x14ac:dyDescent="0.35">
      <c r="A1454">
        <f t="shared" si="45"/>
        <v>1453</v>
      </c>
      <c r="B1454">
        <v>2009</v>
      </c>
      <c r="C1454" t="s">
        <v>109</v>
      </c>
      <c r="D1454" t="s">
        <v>45</v>
      </c>
      <c r="E1454" t="s">
        <v>1429</v>
      </c>
      <c r="F1454" s="2">
        <v>420</v>
      </c>
      <c r="G1454" s="2">
        <v>7</v>
      </c>
      <c r="H1454" t="s">
        <v>254</v>
      </c>
      <c r="I1454" t="s">
        <v>136</v>
      </c>
      <c r="J1454" s="11">
        <v>1234.0832060333678</v>
      </c>
      <c r="K1454" t="str">
        <f t="shared" si="44"/>
        <v>John Timm</v>
      </c>
    </row>
    <row r="1455" spans="1:11" hidden="1" x14ac:dyDescent="0.35">
      <c r="A1455">
        <f t="shared" si="45"/>
        <v>1454</v>
      </c>
      <c r="B1455">
        <v>2009</v>
      </c>
      <c r="C1455" t="s">
        <v>109</v>
      </c>
      <c r="D1455" t="s">
        <v>45</v>
      </c>
      <c r="E1455" t="s">
        <v>1429</v>
      </c>
      <c r="F1455" s="2">
        <v>300</v>
      </c>
      <c r="G1455" s="2">
        <v>8</v>
      </c>
      <c r="H1455" t="s">
        <v>625</v>
      </c>
      <c r="I1455" t="s">
        <v>662</v>
      </c>
      <c r="J1455" s="11">
        <v>1176.0912590556811</v>
      </c>
      <c r="K1455" t="str">
        <f t="shared" si="44"/>
        <v>Jonathan Green</v>
      </c>
    </row>
    <row r="1456" spans="1:11" hidden="1" x14ac:dyDescent="0.35">
      <c r="A1456">
        <f t="shared" si="45"/>
        <v>1455</v>
      </c>
      <c r="B1456">
        <v>2009</v>
      </c>
      <c r="C1456" t="s">
        <v>109</v>
      </c>
      <c r="D1456" t="s">
        <v>45</v>
      </c>
      <c r="E1456" t="s">
        <v>1429</v>
      </c>
      <c r="F1456" s="2">
        <v>240</v>
      </c>
      <c r="G1456" s="2">
        <v>9</v>
      </c>
      <c r="H1456" t="s">
        <v>320</v>
      </c>
      <c r="I1456" t="s">
        <v>321</v>
      </c>
      <c r="J1456" s="11">
        <v>1124.9387366082999</v>
      </c>
      <c r="K1456" t="str">
        <f t="shared" si="44"/>
        <v>Tina Gonzalez</v>
      </c>
    </row>
    <row r="1457" spans="1:11" hidden="1" x14ac:dyDescent="0.35">
      <c r="A1457">
        <f t="shared" si="45"/>
        <v>1456</v>
      </c>
      <c r="B1457">
        <v>2009</v>
      </c>
      <c r="C1457" t="s">
        <v>109</v>
      </c>
      <c r="D1457" t="s">
        <v>582</v>
      </c>
      <c r="E1457" t="s">
        <v>1434</v>
      </c>
      <c r="F1457" s="2">
        <v>2025</v>
      </c>
      <c r="G1457" s="2">
        <v>1</v>
      </c>
      <c r="H1457" t="s">
        <v>658</v>
      </c>
      <c r="I1457" t="s">
        <v>330</v>
      </c>
      <c r="J1457" s="11">
        <v>1653.2125137753437</v>
      </c>
      <c r="K1457" t="str">
        <f t="shared" si="44"/>
        <v>Sandra Benditt</v>
      </c>
    </row>
    <row r="1458" spans="1:11" hidden="1" x14ac:dyDescent="0.35">
      <c r="A1458">
        <f t="shared" si="45"/>
        <v>1457</v>
      </c>
      <c r="B1458">
        <v>2009</v>
      </c>
      <c r="C1458" t="s">
        <v>109</v>
      </c>
      <c r="D1458" t="s">
        <v>582</v>
      </c>
      <c r="E1458" t="s">
        <v>1434</v>
      </c>
      <c r="F1458" s="2">
        <v>1125</v>
      </c>
      <c r="G1458" s="2">
        <v>2</v>
      </c>
      <c r="H1458" t="s">
        <v>33</v>
      </c>
      <c r="I1458" t="s">
        <v>34</v>
      </c>
      <c r="J1458" s="11">
        <v>1352.1825181113625</v>
      </c>
      <c r="K1458" t="str">
        <f t="shared" si="44"/>
        <v>Meredith Holtzman</v>
      </c>
    </row>
    <row r="1459" spans="1:11" hidden="1" x14ac:dyDescent="0.35">
      <c r="A1459">
        <f t="shared" si="45"/>
        <v>1458</v>
      </c>
      <c r="B1459">
        <v>2009</v>
      </c>
      <c r="C1459" t="s">
        <v>109</v>
      </c>
      <c r="D1459" t="s">
        <v>582</v>
      </c>
      <c r="E1459" t="s">
        <v>1434</v>
      </c>
      <c r="F1459" s="2">
        <v>675</v>
      </c>
      <c r="G1459" s="2">
        <v>3</v>
      </c>
      <c r="H1459" t="s">
        <v>672</v>
      </c>
      <c r="I1459" t="s">
        <v>673</v>
      </c>
      <c r="J1459" s="11">
        <v>1176.0912590556813</v>
      </c>
      <c r="K1459" t="str">
        <f t="shared" si="44"/>
        <v>Jazbo Burns</v>
      </c>
    </row>
    <row r="1460" spans="1:11" hidden="1" x14ac:dyDescent="0.35">
      <c r="A1460">
        <f t="shared" si="45"/>
        <v>1459</v>
      </c>
      <c r="B1460">
        <v>2009</v>
      </c>
      <c r="C1460" t="s">
        <v>109</v>
      </c>
      <c r="D1460" t="s">
        <v>582</v>
      </c>
      <c r="E1460" t="s">
        <v>1434</v>
      </c>
      <c r="F1460" s="2">
        <v>450</v>
      </c>
      <c r="G1460" s="2">
        <v>4</v>
      </c>
      <c r="H1460" t="s">
        <v>238</v>
      </c>
      <c r="I1460" t="s">
        <v>16</v>
      </c>
      <c r="J1460" s="11">
        <v>1051.1525224473814</v>
      </c>
      <c r="K1460" t="str">
        <f t="shared" si="44"/>
        <v>David Kuznick</v>
      </c>
    </row>
    <row r="1461" spans="1:11" hidden="1" x14ac:dyDescent="0.35">
      <c r="A1461">
        <f t="shared" si="45"/>
        <v>1460</v>
      </c>
      <c r="B1461">
        <v>2009</v>
      </c>
      <c r="C1461" t="s">
        <v>109</v>
      </c>
      <c r="D1461" t="s">
        <v>582</v>
      </c>
      <c r="E1461" t="s">
        <v>1434</v>
      </c>
      <c r="F1461" s="2">
        <v>225</v>
      </c>
      <c r="G1461" s="2">
        <v>5</v>
      </c>
      <c r="H1461" t="s">
        <v>320</v>
      </c>
      <c r="I1461" t="s">
        <v>321</v>
      </c>
      <c r="J1461" s="11">
        <v>954.24250943932486</v>
      </c>
      <c r="K1461" t="str">
        <f t="shared" si="44"/>
        <v>Tina Gonzalez</v>
      </c>
    </row>
    <row r="1462" spans="1:11" hidden="1" x14ac:dyDescent="0.35">
      <c r="A1462">
        <f t="shared" si="45"/>
        <v>1461</v>
      </c>
      <c r="B1462">
        <v>2009</v>
      </c>
      <c r="C1462" t="s">
        <v>109</v>
      </c>
      <c r="D1462" t="s">
        <v>110</v>
      </c>
      <c r="E1462" t="s">
        <v>1430</v>
      </c>
      <c r="F1462" s="2">
        <v>2840</v>
      </c>
      <c r="G1462" s="2">
        <v>1</v>
      </c>
      <c r="H1462" t="s">
        <v>494</v>
      </c>
      <c r="I1462" t="s">
        <v>495</v>
      </c>
      <c r="J1462" s="11">
        <v>1851.2583487190752</v>
      </c>
      <c r="K1462" t="str">
        <f t="shared" si="44"/>
        <v>Travis Williams</v>
      </c>
    </row>
    <row r="1463" spans="1:11" hidden="1" x14ac:dyDescent="0.35">
      <c r="A1463">
        <f t="shared" si="45"/>
        <v>1462</v>
      </c>
      <c r="B1463">
        <v>2009</v>
      </c>
      <c r="C1463" t="s">
        <v>109</v>
      </c>
      <c r="D1463" t="s">
        <v>110</v>
      </c>
      <c r="E1463" t="s">
        <v>1430</v>
      </c>
      <c r="F1463" s="2">
        <v>1633</v>
      </c>
      <c r="G1463" s="2">
        <v>2</v>
      </c>
      <c r="H1463" t="s">
        <v>2539</v>
      </c>
      <c r="I1463" t="s">
        <v>28</v>
      </c>
      <c r="J1463" s="11">
        <v>1550.228353055094</v>
      </c>
      <c r="K1463" t="str">
        <f t="shared" si="44"/>
        <v>Chris O’Connor</v>
      </c>
    </row>
    <row r="1464" spans="1:11" hidden="1" x14ac:dyDescent="0.35">
      <c r="A1464">
        <f t="shared" si="45"/>
        <v>1463</v>
      </c>
      <c r="B1464">
        <v>2009</v>
      </c>
      <c r="C1464" t="s">
        <v>109</v>
      </c>
      <c r="D1464" t="s">
        <v>110</v>
      </c>
      <c r="E1464" t="s">
        <v>1430</v>
      </c>
      <c r="F1464" s="2">
        <v>852</v>
      </c>
      <c r="G1464" s="2">
        <v>3</v>
      </c>
      <c r="H1464" t="s">
        <v>658</v>
      </c>
      <c r="I1464" t="s">
        <v>330</v>
      </c>
      <c r="J1464" s="11">
        <v>1374.1370939994129</v>
      </c>
      <c r="K1464" t="str">
        <f t="shared" si="44"/>
        <v>Sandra Benditt</v>
      </c>
    </row>
    <row r="1465" spans="1:11" hidden="1" x14ac:dyDescent="0.35">
      <c r="A1465">
        <f t="shared" si="45"/>
        <v>1464</v>
      </c>
      <c r="B1465">
        <v>2009</v>
      </c>
      <c r="C1465" t="s">
        <v>109</v>
      </c>
      <c r="D1465" t="s">
        <v>110</v>
      </c>
      <c r="E1465" t="s">
        <v>1430</v>
      </c>
      <c r="F1465" s="2">
        <v>497</v>
      </c>
      <c r="G1465" s="2">
        <v>4</v>
      </c>
      <c r="H1465" t="s">
        <v>12</v>
      </c>
      <c r="I1465" t="s">
        <v>13</v>
      </c>
      <c r="J1465" s="11">
        <v>1249.1983573911129</v>
      </c>
      <c r="K1465" t="str">
        <f t="shared" si="44"/>
        <v>Tom Bessoir</v>
      </c>
    </row>
    <row r="1466" spans="1:11" hidden="1" x14ac:dyDescent="0.35">
      <c r="A1466">
        <f t="shared" si="45"/>
        <v>1465</v>
      </c>
      <c r="B1466">
        <v>2009</v>
      </c>
      <c r="C1466" t="s">
        <v>109</v>
      </c>
      <c r="D1466" t="s">
        <v>110</v>
      </c>
      <c r="E1466" t="s">
        <v>1430</v>
      </c>
      <c r="F1466" s="2">
        <v>426</v>
      </c>
      <c r="G1466" s="2">
        <v>5</v>
      </c>
      <c r="H1466" t="s">
        <v>2512</v>
      </c>
      <c r="I1466" t="s">
        <v>659</v>
      </c>
      <c r="J1466" s="11">
        <v>1152.2883443830563</v>
      </c>
      <c r="K1466" t="str">
        <f t="shared" si="44"/>
        <v>Tanya Peck-Devenport</v>
      </c>
    </row>
    <row r="1467" spans="1:11" hidden="1" x14ac:dyDescent="0.35">
      <c r="A1467">
        <f t="shared" si="45"/>
        <v>1466</v>
      </c>
      <c r="B1467">
        <v>2009</v>
      </c>
      <c r="C1467" t="s">
        <v>109</v>
      </c>
      <c r="D1467" t="s">
        <v>110</v>
      </c>
      <c r="E1467" t="s">
        <v>1430</v>
      </c>
      <c r="F1467" s="2">
        <v>355</v>
      </c>
      <c r="G1467" s="2">
        <v>6</v>
      </c>
      <c r="H1467" t="s">
        <v>660</v>
      </c>
      <c r="I1467" t="s">
        <v>471</v>
      </c>
      <c r="J1467" s="11">
        <v>1073.1070983354316</v>
      </c>
      <c r="K1467" t="str">
        <f t="shared" si="44"/>
        <v>Greg Mitz</v>
      </c>
    </row>
    <row r="1468" spans="1:11" hidden="1" x14ac:dyDescent="0.35">
      <c r="A1468">
        <f t="shared" si="45"/>
        <v>1467</v>
      </c>
      <c r="B1468">
        <v>2009</v>
      </c>
      <c r="C1468" t="s">
        <v>109</v>
      </c>
      <c r="D1468" t="s">
        <v>110</v>
      </c>
      <c r="E1468" t="s">
        <v>1430</v>
      </c>
      <c r="F1468" s="2">
        <v>284</v>
      </c>
      <c r="G1468" s="2">
        <v>7</v>
      </c>
      <c r="H1468" t="s">
        <v>27</v>
      </c>
      <c r="I1468" t="s">
        <v>28</v>
      </c>
      <c r="J1468" s="11">
        <v>1006.1603087048186</v>
      </c>
      <c r="K1468" t="str">
        <f t="shared" si="44"/>
        <v>Chris Richards</v>
      </c>
    </row>
    <row r="1469" spans="1:11" hidden="1" x14ac:dyDescent="0.35">
      <c r="A1469">
        <f t="shared" si="45"/>
        <v>1468</v>
      </c>
      <c r="B1469">
        <v>2009</v>
      </c>
      <c r="C1469" t="s">
        <v>109</v>
      </c>
      <c r="D1469" t="s">
        <v>110</v>
      </c>
      <c r="E1469" t="s">
        <v>1430</v>
      </c>
      <c r="F1469" s="2">
        <v>213</v>
      </c>
      <c r="G1469" s="2">
        <v>8</v>
      </c>
      <c r="H1469" t="s">
        <v>625</v>
      </c>
      <c r="I1469" t="s">
        <v>662</v>
      </c>
      <c r="J1469" s="11">
        <v>948.1683617271317</v>
      </c>
      <c r="K1469" t="str">
        <f t="shared" si="44"/>
        <v>Jonathan Green</v>
      </c>
    </row>
    <row r="1470" spans="1:11" hidden="1" x14ac:dyDescent="0.35">
      <c r="A1470">
        <f t="shared" si="45"/>
        <v>1469</v>
      </c>
      <c r="B1470">
        <v>2009</v>
      </c>
      <c r="C1470" t="s">
        <v>263</v>
      </c>
      <c r="D1470" t="s">
        <v>691</v>
      </c>
      <c r="E1470" t="s">
        <v>1432</v>
      </c>
      <c r="F1470" s="18">
        <v>875</v>
      </c>
      <c r="G1470" s="2">
        <v>1</v>
      </c>
      <c r="H1470" t="s">
        <v>692</v>
      </c>
      <c r="I1470" t="s">
        <v>200</v>
      </c>
      <c r="J1470" s="11">
        <v>1857.3324964312685</v>
      </c>
      <c r="K1470" t="str">
        <f t="shared" si="44"/>
        <v>Rick Monbourquette</v>
      </c>
    </row>
    <row r="1471" spans="1:11" hidden="1" x14ac:dyDescent="0.35">
      <c r="A1471">
        <f t="shared" si="45"/>
        <v>1470</v>
      </c>
      <c r="B1471">
        <v>2009</v>
      </c>
      <c r="C1471" t="s">
        <v>263</v>
      </c>
      <c r="D1471" t="s">
        <v>691</v>
      </c>
      <c r="E1471" t="s">
        <v>1432</v>
      </c>
      <c r="F1471" s="18">
        <v>695</v>
      </c>
      <c r="G1471" s="2">
        <v>2</v>
      </c>
      <c r="H1471" t="s">
        <v>220</v>
      </c>
      <c r="I1471" t="s">
        <v>221</v>
      </c>
      <c r="J1471" s="11">
        <v>1556.3025007672873</v>
      </c>
      <c r="K1471" t="str">
        <f t="shared" si="44"/>
        <v>Rodney Chen</v>
      </c>
    </row>
    <row r="1472" spans="1:11" hidden="1" x14ac:dyDescent="0.35">
      <c r="A1472">
        <f t="shared" si="45"/>
        <v>1471</v>
      </c>
      <c r="B1472">
        <v>2009</v>
      </c>
      <c r="C1472" t="s">
        <v>263</v>
      </c>
      <c r="D1472" t="s">
        <v>691</v>
      </c>
      <c r="E1472" t="s">
        <v>1432</v>
      </c>
      <c r="F1472" s="18">
        <v>530</v>
      </c>
      <c r="G1472" s="2">
        <v>3</v>
      </c>
      <c r="H1472" t="s">
        <v>1719</v>
      </c>
      <c r="I1472" t="s">
        <v>524</v>
      </c>
      <c r="J1472" s="11">
        <v>1380.2112417116061</v>
      </c>
      <c r="K1472" t="str">
        <f t="shared" si="44"/>
        <v>Guy Berentsen</v>
      </c>
    </row>
    <row r="1473" spans="1:11" hidden="1" x14ac:dyDescent="0.35">
      <c r="A1473">
        <f t="shared" si="45"/>
        <v>1472</v>
      </c>
      <c r="B1473">
        <v>2009</v>
      </c>
      <c r="C1473" t="s">
        <v>263</v>
      </c>
      <c r="D1473" t="s">
        <v>691</v>
      </c>
      <c r="E1473" t="s">
        <v>1432</v>
      </c>
      <c r="F1473" s="18">
        <v>420</v>
      </c>
      <c r="G1473" s="2">
        <v>4</v>
      </c>
      <c r="H1473" t="s">
        <v>19</v>
      </c>
      <c r="I1473" t="s">
        <v>20</v>
      </c>
      <c r="J1473" s="11">
        <v>1255.272505103306</v>
      </c>
      <c r="K1473" t="str">
        <f t="shared" si="44"/>
        <v>Barry Kornspan</v>
      </c>
    </row>
    <row r="1474" spans="1:11" hidden="1" x14ac:dyDescent="0.35">
      <c r="A1474">
        <f t="shared" si="45"/>
        <v>1473</v>
      </c>
      <c r="B1474">
        <v>2009</v>
      </c>
      <c r="C1474" t="s">
        <v>263</v>
      </c>
      <c r="D1474" t="s">
        <v>691</v>
      </c>
      <c r="E1474" t="s">
        <v>1432</v>
      </c>
      <c r="F1474" s="18">
        <v>350</v>
      </c>
      <c r="G1474" s="2">
        <v>5</v>
      </c>
      <c r="H1474" t="s">
        <v>320</v>
      </c>
      <c r="I1474" t="s">
        <v>321</v>
      </c>
      <c r="J1474" s="11">
        <v>1158.3624920952498</v>
      </c>
      <c r="K1474" t="str">
        <f t="shared" ref="K1474:K1537" si="46">I1474&amp;" "&amp;H1474</f>
        <v>Tina Gonzalez</v>
      </c>
    </row>
    <row r="1475" spans="1:11" hidden="1" x14ac:dyDescent="0.35">
      <c r="A1475">
        <f t="shared" si="45"/>
        <v>1474</v>
      </c>
      <c r="B1475">
        <v>2009</v>
      </c>
      <c r="C1475" t="s">
        <v>263</v>
      </c>
      <c r="D1475" t="s">
        <v>691</v>
      </c>
      <c r="E1475" t="s">
        <v>1432</v>
      </c>
      <c r="F1475" s="18">
        <v>280</v>
      </c>
      <c r="G1475" s="2">
        <v>6</v>
      </c>
      <c r="H1475" t="s">
        <v>306</v>
      </c>
      <c r="I1475" t="s">
        <v>694</v>
      </c>
      <c r="J1475" s="11">
        <v>1079.1812460476249</v>
      </c>
      <c r="K1475" t="str">
        <f t="shared" si="46"/>
        <v>J P Massar</v>
      </c>
    </row>
    <row r="1476" spans="1:11" hidden="1" x14ac:dyDescent="0.35">
      <c r="A1476">
        <f t="shared" ref="A1476:A1539" si="47">A1475+1</f>
        <v>1475</v>
      </c>
      <c r="B1476">
        <v>2009</v>
      </c>
      <c r="C1476" t="s">
        <v>263</v>
      </c>
      <c r="D1476" t="s">
        <v>691</v>
      </c>
      <c r="E1476" t="s">
        <v>1432</v>
      </c>
      <c r="F1476" s="18">
        <v>210</v>
      </c>
      <c r="G1476" s="2">
        <v>7</v>
      </c>
      <c r="H1476" t="s">
        <v>363</v>
      </c>
      <c r="I1476" t="s">
        <v>364</v>
      </c>
      <c r="J1476" s="11">
        <v>1012.2344564170116</v>
      </c>
      <c r="K1476" t="str">
        <f t="shared" si="46"/>
        <v>Warren Sander</v>
      </c>
    </row>
    <row r="1477" spans="1:11" hidden="1" x14ac:dyDescent="0.35">
      <c r="A1477">
        <f t="shared" si="47"/>
        <v>1476</v>
      </c>
      <c r="B1477">
        <v>2009</v>
      </c>
      <c r="C1477" t="s">
        <v>263</v>
      </c>
      <c r="D1477" t="s">
        <v>691</v>
      </c>
      <c r="E1477" t="s">
        <v>1432</v>
      </c>
      <c r="F1477" s="18">
        <v>140</v>
      </c>
      <c r="G1477" s="2">
        <v>8</v>
      </c>
      <c r="H1477" t="s">
        <v>383</v>
      </c>
      <c r="I1477" t="s">
        <v>384</v>
      </c>
      <c r="J1477" s="11">
        <v>954.24250943932498</v>
      </c>
      <c r="K1477" t="str">
        <f t="shared" si="46"/>
        <v>Jeff Deitch</v>
      </c>
    </row>
    <row r="1478" spans="1:11" hidden="1" x14ac:dyDescent="0.35">
      <c r="A1478">
        <f t="shared" si="47"/>
        <v>1477</v>
      </c>
      <c r="B1478">
        <v>2009</v>
      </c>
      <c r="C1478" t="s">
        <v>263</v>
      </c>
      <c r="D1478" t="s">
        <v>691</v>
      </c>
      <c r="E1478" t="s">
        <v>1432</v>
      </c>
      <c r="F1478" s="18">
        <v>50</v>
      </c>
      <c r="G1478" s="2">
        <v>9</v>
      </c>
      <c r="H1478" t="s">
        <v>86</v>
      </c>
      <c r="I1478" t="s">
        <v>271</v>
      </c>
      <c r="J1478" s="11">
        <v>903.08998699194365</v>
      </c>
      <c r="K1478" t="str">
        <f t="shared" si="46"/>
        <v>Dan Goldman</v>
      </c>
    </row>
    <row r="1479" spans="1:11" hidden="1" x14ac:dyDescent="0.35">
      <c r="A1479">
        <f t="shared" si="47"/>
        <v>1478</v>
      </c>
      <c r="B1479">
        <v>2009</v>
      </c>
      <c r="C1479" t="s">
        <v>263</v>
      </c>
      <c r="D1479" t="s">
        <v>691</v>
      </c>
      <c r="E1479" t="s">
        <v>1432</v>
      </c>
      <c r="F1479" s="18">
        <v>50</v>
      </c>
      <c r="G1479" s="2">
        <v>10</v>
      </c>
      <c r="H1479" t="s">
        <v>16</v>
      </c>
      <c r="I1479" t="s">
        <v>59</v>
      </c>
      <c r="J1479" s="11">
        <v>857.33249643126851</v>
      </c>
      <c r="K1479" t="str">
        <f t="shared" si="46"/>
        <v>Jeanne David</v>
      </c>
    </row>
    <row r="1480" spans="1:11" hidden="1" x14ac:dyDescent="0.35">
      <c r="A1480">
        <f t="shared" si="47"/>
        <v>1479</v>
      </c>
      <c r="B1480">
        <v>2009</v>
      </c>
      <c r="C1480" t="s">
        <v>263</v>
      </c>
      <c r="D1480" t="s">
        <v>696</v>
      </c>
      <c r="E1480" t="s">
        <v>1051</v>
      </c>
      <c r="F1480" s="2">
        <v>910</v>
      </c>
      <c r="G1480" s="2">
        <v>1</v>
      </c>
      <c r="H1480" t="s">
        <v>299</v>
      </c>
      <c r="I1480" t="s">
        <v>300</v>
      </c>
      <c r="J1480" s="11">
        <v>1908.4850188786497</v>
      </c>
      <c r="K1480" t="str">
        <f t="shared" si="46"/>
        <v>Gillian Groves</v>
      </c>
    </row>
    <row r="1481" spans="1:11" hidden="1" x14ac:dyDescent="0.35">
      <c r="A1481">
        <f t="shared" si="47"/>
        <v>1480</v>
      </c>
      <c r="B1481">
        <v>2009</v>
      </c>
      <c r="C1481" t="s">
        <v>263</v>
      </c>
      <c r="D1481" t="s">
        <v>696</v>
      </c>
      <c r="E1481" t="s">
        <v>1051</v>
      </c>
      <c r="F1481" s="2">
        <v>1005</v>
      </c>
      <c r="G1481" s="2">
        <v>2</v>
      </c>
      <c r="H1481" t="s">
        <v>697</v>
      </c>
      <c r="I1481" t="s">
        <v>200</v>
      </c>
      <c r="J1481" s="11">
        <v>1607.4550232146685</v>
      </c>
      <c r="K1481" t="str">
        <f t="shared" si="46"/>
        <v>Rick Bevan</v>
      </c>
    </row>
    <row r="1482" spans="1:11" hidden="1" x14ac:dyDescent="0.35">
      <c r="A1482">
        <f t="shared" si="47"/>
        <v>1481</v>
      </c>
      <c r="B1482">
        <v>2009</v>
      </c>
      <c r="C1482" t="s">
        <v>263</v>
      </c>
      <c r="D1482" t="s">
        <v>696</v>
      </c>
      <c r="E1482" t="s">
        <v>1051</v>
      </c>
      <c r="F1482" s="2">
        <v>815</v>
      </c>
      <c r="G1482" s="2">
        <v>3</v>
      </c>
      <c r="H1482" t="s">
        <v>699</v>
      </c>
      <c r="I1482" t="s">
        <v>65</v>
      </c>
      <c r="J1482" s="11">
        <v>1431.3637641589874</v>
      </c>
      <c r="K1482" t="str">
        <f t="shared" si="46"/>
        <v>Steve Bartnyk</v>
      </c>
    </row>
    <row r="1483" spans="1:11" hidden="1" x14ac:dyDescent="0.35">
      <c r="A1483">
        <f t="shared" si="47"/>
        <v>1482</v>
      </c>
      <c r="B1483">
        <v>2009</v>
      </c>
      <c r="C1483" t="s">
        <v>263</v>
      </c>
      <c r="D1483" t="s">
        <v>696</v>
      </c>
      <c r="E1483" t="s">
        <v>1051</v>
      </c>
      <c r="F1483" s="2">
        <v>580</v>
      </c>
      <c r="G1483" s="2">
        <v>4</v>
      </c>
      <c r="H1483" t="s">
        <v>90</v>
      </c>
      <c r="I1483" t="s">
        <v>22</v>
      </c>
      <c r="J1483" s="11">
        <v>1306.4250275506874</v>
      </c>
      <c r="K1483" t="str">
        <f t="shared" si="46"/>
        <v>Rich Strauss</v>
      </c>
    </row>
    <row r="1484" spans="1:11" hidden="1" x14ac:dyDescent="0.35">
      <c r="A1484">
        <f t="shared" si="47"/>
        <v>1483</v>
      </c>
      <c r="B1484">
        <v>2009</v>
      </c>
      <c r="C1484" t="s">
        <v>263</v>
      </c>
      <c r="D1484" t="s">
        <v>696</v>
      </c>
      <c r="E1484" t="s">
        <v>1051</v>
      </c>
      <c r="F1484" s="2">
        <v>490</v>
      </c>
      <c r="G1484" s="2">
        <v>5</v>
      </c>
      <c r="H1484" t="s">
        <v>629</v>
      </c>
      <c r="I1484" t="s">
        <v>630</v>
      </c>
      <c r="J1484" s="11">
        <v>1209.5150145426308</v>
      </c>
      <c r="K1484" t="str">
        <f t="shared" si="46"/>
        <v>Betty Tanenbaum</v>
      </c>
    </row>
    <row r="1485" spans="1:11" hidden="1" x14ac:dyDescent="0.35">
      <c r="A1485">
        <f t="shared" si="47"/>
        <v>1484</v>
      </c>
      <c r="B1485">
        <v>2009</v>
      </c>
      <c r="C1485" t="s">
        <v>263</v>
      </c>
      <c r="D1485" t="s">
        <v>696</v>
      </c>
      <c r="E1485" t="s">
        <v>1051</v>
      </c>
      <c r="F1485" s="2">
        <v>390</v>
      </c>
      <c r="G1485" s="2">
        <v>6</v>
      </c>
      <c r="H1485" t="s">
        <v>526</v>
      </c>
      <c r="I1485" t="s">
        <v>136</v>
      </c>
      <c r="J1485" s="11">
        <v>1130.3337684950061</v>
      </c>
      <c r="K1485" t="str">
        <f t="shared" si="46"/>
        <v>John Reed</v>
      </c>
    </row>
    <row r="1486" spans="1:11" hidden="1" x14ac:dyDescent="0.35">
      <c r="A1486">
        <f t="shared" si="47"/>
        <v>1485</v>
      </c>
      <c r="B1486">
        <v>2009</v>
      </c>
      <c r="C1486" t="s">
        <v>263</v>
      </c>
      <c r="D1486" t="s">
        <v>696</v>
      </c>
      <c r="E1486" t="s">
        <v>1051</v>
      </c>
      <c r="F1486" s="2">
        <v>290</v>
      </c>
      <c r="G1486" s="2">
        <v>7</v>
      </c>
      <c r="H1486" t="s">
        <v>700</v>
      </c>
      <c r="I1486" t="s">
        <v>701</v>
      </c>
      <c r="J1486" s="11">
        <v>1063.3869788643931</v>
      </c>
      <c r="K1486" t="str">
        <f t="shared" si="46"/>
        <v>Bryan Slick</v>
      </c>
    </row>
    <row r="1487" spans="1:11" hidden="1" x14ac:dyDescent="0.35">
      <c r="A1487">
        <f t="shared" si="47"/>
        <v>1486</v>
      </c>
      <c r="B1487">
        <v>2009</v>
      </c>
      <c r="C1487" t="s">
        <v>263</v>
      </c>
      <c r="D1487" t="s">
        <v>696</v>
      </c>
      <c r="E1487" t="s">
        <v>1051</v>
      </c>
      <c r="F1487" s="2">
        <v>100</v>
      </c>
      <c r="G1487" s="2">
        <v>8</v>
      </c>
      <c r="H1487" t="s">
        <v>543</v>
      </c>
      <c r="I1487" t="s">
        <v>67</v>
      </c>
      <c r="J1487" s="11">
        <v>1005.3950318867062</v>
      </c>
      <c r="K1487" t="str">
        <f t="shared" si="46"/>
        <v>Bob Herlien</v>
      </c>
    </row>
    <row r="1488" spans="1:11" hidden="1" x14ac:dyDescent="0.35">
      <c r="A1488">
        <f t="shared" si="47"/>
        <v>1487</v>
      </c>
      <c r="B1488">
        <v>2009</v>
      </c>
      <c r="C1488" t="s">
        <v>263</v>
      </c>
      <c r="D1488" t="s">
        <v>696</v>
      </c>
      <c r="E1488" t="s">
        <v>1051</v>
      </c>
      <c r="F1488" s="2">
        <v>190</v>
      </c>
      <c r="G1488" s="2">
        <v>9</v>
      </c>
      <c r="H1488" t="s">
        <v>702</v>
      </c>
      <c r="I1488" t="s">
        <v>703</v>
      </c>
      <c r="J1488" s="11">
        <v>954.24250943932486</v>
      </c>
      <c r="K1488" t="str">
        <f t="shared" si="46"/>
        <v>Bart Simpson</v>
      </c>
    </row>
    <row r="1489" spans="1:11" hidden="1" x14ac:dyDescent="0.35">
      <c r="A1489">
        <f t="shared" si="47"/>
        <v>1488</v>
      </c>
      <c r="B1489">
        <v>2009</v>
      </c>
      <c r="C1489" t="s">
        <v>263</v>
      </c>
      <c r="D1489" t="s">
        <v>45</v>
      </c>
      <c r="E1489" t="s">
        <v>1429</v>
      </c>
      <c r="F1489" s="2">
        <v>5350</v>
      </c>
      <c r="G1489" s="2">
        <v>1</v>
      </c>
      <c r="H1489" t="s">
        <v>94</v>
      </c>
      <c r="I1489" t="s">
        <v>16</v>
      </c>
      <c r="J1489" s="11">
        <v>2320.146286111054</v>
      </c>
      <c r="K1489" t="str">
        <f t="shared" si="46"/>
        <v>David Heller</v>
      </c>
    </row>
    <row r="1490" spans="1:11" hidden="1" x14ac:dyDescent="0.35">
      <c r="A1490">
        <f t="shared" si="47"/>
        <v>1489</v>
      </c>
      <c r="B1490">
        <v>2009</v>
      </c>
      <c r="C1490" t="s">
        <v>263</v>
      </c>
      <c r="D1490" t="s">
        <v>45</v>
      </c>
      <c r="E1490" t="s">
        <v>1429</v>
      </c>
      <c r="F1490" s="2">
        <v>3765</v>
      </c>
      <c r="G1490" s="2">
        <v>2</v>
      </c>
      <c r="H1490" t="s">
        <v>170</v>
      </c>
      <c r="I1490" t="s">
        <v>171</v>
      </c>
      <c r="J1490" s="11">
        <v>2019.116290447073</v>
      </c>
      <c r="K1490" t="str">
        <f t="shared" si="46"/>
        <v>Brenda Mowrey</v>
      </c>
    </row>
    <row r="1491" spans="1:11" hidden="1" x14ac:dyDescent="0.35">
      <c r="A1491">
        <f t="shared" si="47"/>
        <v>1490</v>
      </c>
      <c r="B1491">
        <v>2009</v>
      </c>
      <c r="C1491" t="s">
        <v>263</v>
      </c>
      <c r="D1491" t="s">
        <v>45</v>
      </c>
      <c r="E1491" t="s">
        <v>1429</v>
      </c>
      <c r="F1491" s="2">
        <v>2720</v>
      </c>
      <c r="G1491" s="2">
        <v>3</v>
      </c>
      <c r="H1491" t="s">
        <v>414</v>
      </c>
      <c r="I1491" t="s">
        <v>413</v>
      </c>
      <c r="J1491" s="11">
        <v>1843.0250313913918</v>
      </c>
      <c r="K1491" t="str">
        <f t="shared" si="46"/>
        <v>Bruce Kramer</v>
      </c>
    </row>
    <row r="1492" spans="1:11" hidden="1" x14ac:dyDescent="0.35">
      <c r="A1492">
        <f t="shared" si="47"/>
        <v>1491</v>
      </c>
      <c r="B1492">
        <v>2009</v>
      </c>
      <c r="C1492" t="s">
        <v>263</v>
      </c>
      <c r="D1492" t="s">
        <v>45</v>
      </c>
      <c r="E1492" t="s">
        <v>1429</v>
      </c>
      <c r="F1492" s="2">
        <v>2090</v>
      </c>
      <c r="G1492" s="2">
        <v>4</v>
      </c>
      <c r="H1492" t="s">
        <v>105</v>
      </c>
      <c r="I1492" t="s">
        <v>106</v>
      </c>
      <c r="J1492" s="11">
        <v>1718.0862947830917</v>
      </c>
      <c r="K1492" t="str">
        <f t="shared" si="46"/>
        <v>Kenny Shei</v>
      </c>
    </row>
    <row r="1493" spans="1:11" hidden="1" x14ac:dyDescent="0.35">
      <c r="A1493">
        <f t="shared" si="47"/>
        <v>1492</v>
      </c>
      <c r="B1493">
        <v>2009</v>
      </c>
      <c r="C1493" t="s">
        <v>263</v>
      </c>
      <c r="D1493" t="s">
        <v>45</v>
      </c>
      <c r="E1493" t="s">
        <v>1429</v>
      </c>
      <c r="F1493" s="2">
        <v>1670</v>
      </c>
      <c r="G1493" s="2">
        <v>5</v>
      </c>
      <c r="H1493" t="s">
        <v>72</v>
      </c>
      <c r="I1493" t="s">
        <v>73</v>
      </c>
      <c r="J1493" s="11">
        <v>1621.1762817750355</v>
      </c>
      <c r="K1493" t="str">
        <f t="shared" si="46"/>
        <v>Corey Imsdahl</v>
      </c>
    </row>
    <row r="1494" spans="1:11" hidden="1" x14ac:dyDescent="0.35">
      <c r="A1494">
        <f t="shared" si="47"/>
        <v>1493</v>
      </c>
      <c r="B1494">
        <v>2009</v>
      </c>
      <c r="C1494" t="s">
        <v>263</v>
      </c>
      <c r="D1494" t="s">
        <v>45</v>
      </c>
      <c r="E1494" t="s">
        <v>1429</v>
      </c>
      <c r="F1494" s="2">
        <v>1250</v>
      </c>
      <c r="G1494" s="2">
        <v>6</v>
      </c>
      <c r="H1494" t="s">
        <v>1177</v>
      </c>
      <c r="I1494" t="s">
        <v>717</v>
      </c>
      <c r="J1494" s="11">
        <v>1541.9950357274106</v>
      </c>
      <c r="K1494" t="str">
        <f t="shared" si="46"/>
        <v>Ben Gamble</v>
      </c>
    </row>
    <row r="1495" spans="1:11" hidden="1" x14ac:dyDescent="0.35">
      <c r="A1495">
        <f t="shared" si="47"/>
        <v>1494</v>
      </c>
      <c r="B1495">
        <v>2009</v>
      </c>
      <c r="C1495" t="s">
        <v>263</v>
      </c>
      <c r="D1495" t="s">
        <v>45</v>
      </c>
      <c r="E1495" t="s">
        <v>1429</v>
      </c>
      <c r="F1495" s="2">
        <v>840</v>
      </c>
      <c r="G1495" s="2">
        <v>7</v>
      </c>
      <c r="H1495" t="s">
        <v>306</v>
      </c>
      <c r="I1495" t="s">
        <v>694</v>
      </c>
      <c r="J1495" s="11">
        <v>1475.0482460967974</v>
      </c>
      <c r="K1495" t="str">
        <f t="shared" si="46"/>
        <v>J P Massar</v>
      </c>
    </row>
    <row r="1496" spans="1:11" hidden="1" x14ac:dyDescent="0.35">
      <c r="A1496">
        <f t="shared" si="47"/>
        <v>1495</v>
      </c>
      <c r="B1496">
        <v>2009</v>
      </c>
      <c r="C1496" t="s">
        <v>263</v>
      </c>
      <c r="D1496" t="s">
        <v>45</v>
      </c>
      <c r="E1496" t="s">
        <v>1429</v>
      </c>
      <c r="F1496" s="2">
        <v>570</v>
      </c>
      <c r="G1496" s="2">
        <v>8</v>
      </c>
      <c r="H1496" t="s">
        <v>279</v>
      </c>
      <c r="I1496" t="s">
        <v>16</v>
      </c>
      <c r="J1496" s="11">
        <v>1417.0562991191107</v>
      </c>
      <c r="K1496" t="str">
        <f t="shared" si="46"/>
        <v>David Soussan</v>
      </c>
    </row>
    <row r="1497" spans="1:11" hidden="1" x14ac:dyDescent="0.35">
      <c r="A1497">
        <f t="shared" si="47"/>
        <v>1496</v>
      </c>
      <c r="B1497">
        <v>2009</v>
      </c>
      <c r="C1497" t="s">
        <v>263</v>
      </c>
      <c r="D1497" t="s">
        <v>45</v>
      </c>
      <c r="E1497" t="s">
        <v>1429</v>
      </c>
      <c r="F1497" s="2">
        <v>420</v>
      </c>
      <c r="G1497" s="2">
        <v>9</v>
      </c>
      <c r="H1497" t="s">
        <v>479</v>
      </c>
      <c r="I1497" t="s">
        <v>480</v>
      </c>
      <c r="J1497" s="11">
        <v>1365.9037766717295</v>
      </c>
      <c r="K1497" t="str">
        <f t="shared" si="46"/>
        <v>James Kittock</v>
      </c>
    </row>
    <row r="1498" spans="1:11" hidden="1" x14ac:dyDescent="0.35">
      <c r="A1498">
        <f t="shared" si="47"/>
        <v>1497</v>
      </c>
      <c r="B1498">
        <v>2009</v>
      </c>
      <c r="C1498" t="s">
        <v>263</v>
      </c>
      <c r="D1498" t="s">
        <v>45</v>
      </c>
      <c r="E1498" t="s">
        <v>1429</v>
      </c>
      <c r="F1498" s="2">
        <v>310</v>
      </c>
      <c r="G1498" s="2">
        <v>10</v>
      </c>
      <c r="H1498" t="s">
        <v>707</v>
      </c>
      <c r="I1498" t="s">
        <v>480</v>
      </c>
      <c r="J1498" s="11">
        <v>1320.1462861110542</v>
      </c>
      <c r="K1498" t="str">
        <f t="shared" si="46"/>
        <v>James Angotti</v>
      </c>
    </row>
    <row r="1499" spans="1:11" hidden="1" x14ac:dyDescent="0.35">
      <c r="A1499">
        <f t="shared" si="47"/>
        <v>1498</v>
      </c>
      <c r="B1499">
        <v>2009</v>
      </c>
      <c r="C1499" t="s">
        <v>263</v>
      </c>
      <c r="D1499" t="s">
        <v>45</v>
      </c>
      <c r="E1499" t="s">
        <v>1429</v>
      </c>
      <c r="F1499" s="2">
        <v>310</v>
      </c>
      <c r="G1499" s="2">
        <v>11</v>
      </c>
      <c r="H1499" t="s">
        <v>15</v>
      </c>
      <c r="I1499" t="s">
        <v>16</v>
      </c>
      <c r="J1499" s="11">
        <v>1278.7536009528292</v>
      </c>
      <c r="K1499" t="str">
        <f t="shared" si="46"/>
        <v>David Kluchman</v>
      </c>
    </row>
    <row r="1500" spans="1:11" hidden="1" x14ac:dyDescent="0.35">
      <c r="A1500">
        <f t="shared" si="47"/>
        <v>1499</v>
      </c>
      <c r="B1500">
        <v>2009</v>
      </c>
      <c r="C1500" t="s">
        <v>263</v>
      </c>
      <c r="D1500" t="s">
        <v>45</v>
      </c>
      <c r="E1500" t="s">
        <v>1429</v>
      </c>
      <c r="F1500" s="2">
        <v>310</v>
      </c>
      <c r="G1500" s="2">
        <v>12</v>
      </c>
      <c r="H1500" t="s">
        <v>88</v>
      </c>
      <c r="I1500" t="s">
        <v>89</v>
      </c>
      <c r="J1500" s="11">
        <v>1240.9650400634293</v>
      </c>
      <c r="K1500" t="str">
        <f t="shared" si="46"/>
        <v>Ken Kubey</v>
      </c>
    </row>
    <row r="1501" spans="1:11" hidden="1" x14ac:dyDescent="0.35">
      <c r="A1501">
        <f t="shared" si="47"/>
        <v>1500</v>
      </c>
      <c r="B1501">
        <v>2009</v>
      </c>
      <c r="C1501" t="s">
        <v>263</v>
      </c>
      <c r="D1501" t="s">
        <v>45</v>
      </c>
      <c r="E1501" t="s">
        <v>1429</v>
      </c>
      <c r="F1501" s="2">
        <v>260</v>
      </c>
      <c r="G1501" s="2">
        <v>13</v>
      </c>
      <c r="H1501" t="s">
        <v>609</v>
      </c>
      <c r="I1501" t="s">
        <v>610</v>
      </c>
      <c r="J1501" s="11">
        <v>1206.2029338042175</v>
      </c>
      <c r="K1501" t="str">
        <f t="shared" si="46"/>
        <v>Deron Brod</v>
      </c>
    </row>
    <row r="1502" spans="1:11" hidden="1" x14ac:dyDescent="0.35">
      <c r="A1502">
        <f t="shared" si="47"/>
        <v>1501</v>
      </c>
      <c r="B1502">
        <v>2009</v>
      </c>
      <c r="C1502" t="s">
        <v>263</v>
      </c>
      <c r="D1502" t="s">
        <v>45</v>
      </c>
      <c r="E1502" t="s">
        <v>1429</v>
      </c>
      <c r="F1502" s="2">
        <v>260</v>
      </c>
      <c r="G1502" s="2">
        <v>14</v>
      </c>
      <c r="H1502" t="s">
        <v>461</v>
      </c>
      <c r="I1502" t="s">
        <v>665</v>
      </c>
      <c r="J1502" s="11">
        <v>1174.0182504328163</v>
      </c>
      <c r="K1502" t="str">
        <f t="shared" si="46"/>
        <v>Robert Jones</v>
      </c>
    </row>
    <row r="1503" spans="1:11" hidden="1" x14ac:dyDescent="0.35">
      <c r="A1503">
        <f t="shared" si="47"/>
        <v>1502</v>
      </c>
      <c r="B1503">
        <v>2009</v>
      </c>
      <c r="C1503" t="s">
        <v>263</v>
      </c>
      <c r="D1503" t="s">
        <v>45</v>
      </c>
      <c r="E1503" t="s">
        <v>1429</v>
      </c>
      <c r="F1503" s="2">
        <v>260</v>
      </c>
      <c r="G1503" s="2">
        <v>15</v>
      </c>
      <c r="H1503" t="s">
        <v>719</v>
      </c>
      <c r="I1503" t="s">
        <v>410</v>
      </c>
      <c r="J1503" s="11">
        <v>1144.0550270553729</v>
      </c>
      <c r="K1503" t="str">
        <f t="shared" si="46"/>
        <v>Larry Stone</v>
      </c>
    </row>
    <row r="1504" spans="1:11" hidden="1" x14ac:dyDescent="0.35">
      <c r="A1504">
        <f t="shared" si="47"/>
        <v>1503</v>
      </c>
      <c r="B1504">
        <v>2009</v>
      </c>
      <c r="C1504" t="s">
        <v>263</v>
      </c>
      <c r="D1504" t="s">
        <v>45</v>
      </c>
      <c r="E1504" t="s">
        <v>1429</v>
      </c>
      <c r="F1504" s="2">
        <v>210</v>
      </c>
      <c r="G1504" s="2">
        <v>16</v>
      </c>
      <c r="H1504" t="s">
        <v>721</v>
      </c>
      <c r="I1504" t="s">
        <v>196</v>
      </c>
      <c r="J1504" s="11">
        <v>1116.0263034551294</v>
      </c>
      <c r="K1504" t="str">
        <f t="shared" si="46"/>
        <v>Dave Tall</v>
      </c>
    </row>
    <row r="1505" spans="1:11" hidden="1" x14ac:dyDescent="0.35">
      <c r="A1505">
        <f t="shared" si="47"/>
        <v>1504</v>
      </c>
      <c r="B1505">
        <v>2009</v>
      </c>
      <c r="C1505" t="s">
        <v>263</v>
      </c>
      <c r="D1505" t="s">
        <v>45</v>
      </c>
      <c r="E1505" t="s">
        <v>1429</v>
      </c>
      <c r="F1505" s="2">
        <v>210</v>
      </c>
      <c r="G1505" s="2">
        <v>17</v>
      </c>
      <c r="H1505" t="s">
        <v>442</v>
      </c>
      <c r="I1505" t="s">
        <v>429</v>
      </c>
      <c r="J1505" s="11">
        <v>1089.6973647327804</v>
      </c>
      <c r="K1505" t="str">
        <f t="shared" si="46"/>
        <v>Mary Massey</v>
      </c>
    </row>
    <row r="1506" spans="1:11" hidden="1" x14ac:dyDescent="0.35">
      <c r="A1506">
        <f t="shared" si="47"/>
        <v>1505</v>
      </c>
      <c r="B1506">
        <v>2009</v>
      </c>
      <c r="C1506" t="s">
        <v>263</v>
      </c>
      <c r="D1506" t="s">
        <v>45</v>
      </c>
      <c r="E1506" t="s">
        <v>1429</v>
      </c>
      <c r="F1506" s="2">
        <v>210</v>
      </c>
      <c r="G1506" s="2">
        <v>18</v>
      </c>
      <c r="H1506" t="s">
        <v>724</v>
      </c>
      <c r="I1506" t="s">
        <v>725</v>
      </c>
      <c r="J1506" s="11">
        <v>1064.8737810077482</v>
      </c>
      <c r="K1506" t="str">
        <f t="shared" si="46"/>
        <v>Merlynn Schuck</v>
      </c>
    </row>
    <row r="1507" spans="1:11" hidden="1" x14ac:dyDescent="0.35">
      <c r="A1507">
        <f t="shared" si="47"/>
        <v>1506</v>
      </c>
      <c r="B1507">
        <v>2009</v>
      </c>
      <c r="C1507" t="s">
        <v>263</v>
      </c>
      <c r="D1507" t="s">
        <v>45</v>
      </c>
      <c r="E1507" t="s">
        <v>1429</v>
      </c>
      <c r="F1507" s="2">
        <v>200</v>
      </c>
      <c r="G1507" s="2">
        <v>19</v>
      </c>
      <c r="H1507" t="s">
        <v>727</v>
      </c>
      <c r="I1507" t="s">
        <v>73</v>
      </c>
      <c r="J1507" s="11">
        <v>1041.3926851582253</v>
      </c>
      <c r="K1507" t="str">
        <f t="shared" si="46"/>
        <v>Corey Means</v>
      </c>
    </row>
    <row r="1508" spans="1:11" hidden="1" x14ac:dyDescent="0.35">
      <c r="A1508">
        <f t="shared" si="47"/>
        <v>1507</v>
      </c>
      <c r="B1508">
        <v>2009</v>
      </c>
      <c r="C1508" t="s">
        <v>263</v>
      </c>
      <c r="D1508" t="s">
        <v>704</v>
      </c>
      <c r="E1508" t="s">
        <v>944</v>
      </c>
      <c r="F1508" s="2">
        <v>1010</v>
      </c>
      <c r="G1508" s="2">
        <v>1</v>
      </c>
      <c r="H1508" t="s">
        <v>15</v>
      </c>
      <c r="I1508" t="s">
        <v>16</v>
      </c>
      <c r="J1508" s="11">
        <v>1792.391689498254</v>
      </c>
      <c r="K1508" t="str">
        <f t="shared" si="46"/>
        <v>David Kluchman</v>
      </c>
    </row>
    <row r="1509" spans="1:11" hidden="1" x14ac:dyDescent="0.35">
      <c r="A1509">
        <f t="shared" si="47"/>
        <v>1508</v>
      </c>
      <c r="B1509">
        <v>2009</v>
      </c>
      <c r="C1509" t="s">
        <v>263</v>
      </c>
      <c r="D1509" t="s">
        <v>704</v>
      </c>
      <c r="E1509" t="s">
        <v>944</v>
      </c>
      <c r="F1509" s="2">
        <v>810</v>
      </c>
      <c r="G1509" s="2">
        <v>2</v>
      </c>
      <c r="H1509" t="s">
        <v>537</v>
      </c>
      <c r="I1509" t="s">
        <v>538</v>
      </c>
      <c r="J1509" s="11">
        <v>1491.3616938342727</v>
      </c>
      <c r="K1509" t="str">
        <f t="shared" si="46"/>
        <v>Cliff Matthews</v>
      </c>
    </row>
    <row r="1510" spans="1:11" hidden="1" x14ac:dyDescent="0.35">
      <c r="A1510">
        <f t="shared" si="47"/>
        <v>1509</v>
      </c>
      <c r="B1510">
        <v>2009</v>
      </c>
      <c r="C1510" t="s">
        <v>263</v>
      </c>
      <c r="D1510" t="s">
        <v>704</v>
      </c>
      <c r="E1510" t="s">
        <v>944</v>
      </c>
      <c r="F1510" s="2">
        <v>610</v>
      </c>
      <c r="G1510" s="2">
        <v>3</v>
      </c>
      <c r="H1510" t="s">
        <v>273</v>
      </c>
      <c r="I1510" t="s">
        <v>218</v>
      </c>
      <c r="J1510" s="11">
        <v>1315.2704347785916</v>
      </c>
      <c r="K1510" t="str">
        <f t="shared" si="46"/>
        <v>Michael Maurer</v>
      </c>
    </row>
    <row r="1511" spans="1:11" hidden="1" x14ac:dyDescent="0.35">
      <c r="A1511">
        <f t="shared" si="47"/>
        <v>1510</v>
      </c>
      <c r="B1511">
        <v>2009</v>
      </c>
      <c r="C1511" t="s">
        <v>263</v>
      </c>
      <c r="D1511" t="s">
        <v>704</v>
      </c>
      <c r="E1511" t="s">
        <v>944</v>
      </c>
      <c r="F1511" s="2">
        <v>490</v>
      </c>
      <c r="G1511" s="2">
        <v>4</v>
      </c>
      <c r="H1511" t="s">
        <v>600</v>
      </c>
      <c r="I1511" t="s">
        <v>142</v>
      </c>
      <c r="J1511" s="11">
        <v>1190.3316981702915</v>
      </c>
      <c r="K1511" t="str">
        <f t="shared" si="46"/>
        <v>Matt Grapenthien</v>
      </c>
    </row>
    <row r="1512" spans="1:11" hidden="1" x14ac:dyDescent="0.35">
      <c r="A1512">
        <f t="shared" si="47"/>
        <v>1511</v>
      </c>
      <c r="B1512">
        <v>2009</v>
      </c>
      <c r="C1512" t="s">
        <v>263</v>
      </c>
      <c r="D1512" t="s">
        <v>704</v>
      </c>
      <c r="E1512" t="s">
        <v>944</v>
      </c>
      <c r="F1512" s="2">
        <v>410</v>
      </c>
      <c r="G1512" s="2">
        <v>5</v>
      </c>
      <c r="H1512" t="s">
        <v>705</v>
      </c>
      <c r="I1512" t="s">
        <v>706</v>
      </c>
      <c r="J1512" s="11">
        <v>1093.4216851622352</v>
      </c>
      <c r="K1512" t="str">
        <f t="shared" si="46"/>
        <v>Serrina Monnin</v>
      </c>
    </row>
    <row r="1513" spans="1:11" hidden="1" x14ac:dyDescent="0.35">
      <c r="A1513">
        <f t="shared" si="47"/>
        <v>1512</v>
      </c>
      <c r="B1513">
        <v>2009</v>
      </c>
      <c r="C1513" t="s">
        <v>263</v>
      </c>
      <c r="D1513" t="s">
        <v>704</v>
      </c>
      <c r="E1513" t="s">
        <v>944</v>
      </c>
      <c r="F1513" s="2">
        <v>320</v>
      </c>
      <c r="G1513" s="2">
        <v>6</v>
      </c>
      <c r="H1513" t="s">
        <v>475</v>
      </c>
      <c r="I1513" t="s">
        <v>887</v>
      </c>
      <c r="J1513" s="11">
        <v>1014.2404391146102</v>
      </c>
      <c r="K1513" t="str">
        <f t="shared" si="46"/>
        <v>Chic Natkins</v>
      </c>
    </row>
    <row r="1514" spans="1:11" hidden="1" x14ac:dyDescent="0.35">
      <c r="A1514">
        <f t="shared" si="47"/>
        <v>1513</v>
      </c>
      <c r="B1514">
        <v>2009</v>
      </c>
      <c r="C1514" t="s">
        <v>263</v>
      </c>
      <c r="D1514" t="s">
        <v>704</v>
      </c>
      <c r="E1514" t="s">
        <v>944</v>
      </c>
      <c r="F1514" s="2">
        <v>240</v>
      </c>
      <c r="G1514" s="2">
        <v>7</v>
      </c>
      <c r="H1514" t="s">
        <v>74</v>
      </c>
      <c r="I1514" t="s">
        <v>75</v>
      </c>
      <c r="J1514" s="11">
        <v>947.29364948399711</v>
      </c>
      <c r="K1514" t="str">
        <f t="shared" si="46"/>
        <v>Sabyl Landrum</v>
      </c>
    </row>
    <row r="1515" spans="1:11" hidden="1" x14ac:dyDescent="0.35">
      <c r="A1515">
        <f t="shared" si="47"/>
        <v>1514</v>
      </c>
      <c r="B1515">
        <v>2009</v>
      </c>
      <c r="C1515" t="s">
        <v>263</v>
      </c>
      <c r="D1515" t="s">
        <v>704</v>
      </c>
      <c r="E1515" t="s">
        <v>944</v>
      </c>
      <c r="F1515" s="2">
        <v>160</v>
      </c>
      <c r="G1515" s="2">
        <v>8</v>
      </c>
      <c r="H1515" t="s">
        <v>692</v>
      </c>
      <c r="I1515" t="s">
        <v>200</v>
      </c>
      <c r="J1515" s="11">
        <v>889.30170250631033</v>
      </c>
      <c r="K1515" t="str">
        <f t="shared" si="46"/>
        <v>Rick Monbourquette</v>
      </c>
    </row>
    <row r="1516" spans="1:11" hidden="1" x14ac:dyDescent="0.35">
      <c r="A1516">
        <f t="shared" si="47"/>
        <v>1515</v>
      </c>
      <c r="B1516">
        <v>2009</v>
      </c>
      <c r="C1516" t="s">
        <v>263</v>
      </c>
      <c r="D1516" t="s">
        <v>704</v>
      </c>
      <c r="E1516" t="s">
        <v>944</v>
      </c>
      <c r="F1516" s="2">
        <v>75</v>
      </c>
      <c r="G1516" s="2">
        <v>13</v>
      </c>
      <c r="H1516" t="s">
        <v>707</v>
      </c>
      <c r="I1516" t="s">
        <v>480</v>
      </c>
      <c r="J1516" s="11">
        <v>678.44833719141718</v>
      </c>
      <c r="K1516" t="str">
        <f t="shared" si="46"/>
        <v>James Angotti</v>
      </c>
    </row>
    <row r="1517" spans="1:11" hidden="1" x14ac:dyDescent="0.35">
      <c r="A1517">
        <f t="shared" si="47"/>
        <v>1516</v>
      </c>
      <c r="B1517">
        <v>2009</v>
      </c>
      <c r="C1517" t="s">
        <v>263</v>
      </c>
      <c r="D1517" t="s">
        <v>704</v>
      </c>
      <c r="E1517" t="s">
        <v>944</v>
      </c>
      <c r="F1517" s="2">
        <v>75</v>
      </c>
      <c r="G1517" s="2">
        <v>13</v>
      </c>
      <c r="H1517" t="s">
        <v>601</v>
      </c>
      <c r="I1517" t="s">
        <v>58</v>
      </c>
      <c r="J1517" s="11">
        <v>678.44833719141718</v>
      </c>
      <c r="K1517" t="str">
        <f t="shared" si="46"/>
        <v>Jim Bullard</v>
      </c>
    </row>
    <row r="1518" spans="1:11" hidden="1" x14ac:dyDescent="0.35">
      <c r="A1518">
        <f t="shared" si="47"/>
        <v>1517</v>
      </c>
      <c r="B1518">
        <v>2009</v>
      </c>
      <c r="C1518" t="s">
        <v>263</v>
      </c>
      <c r="D1518" t="s">
        <v>704</v>
      </c>
      <c r="E1518" t="s">
        <v>944</v>
      </c>
      <c r="F1518" s="2">
        <v>75</v>
      </c>
      <c r="G1518" s="2">
        <v>13</v>
      </c>
      <c r="H1518" t="s">
        <v>70</v>
      </c>
      <c r="I1518" t="s">
        <v>71</v>
      </c>
      <c r="J1518" s="11">
        <v>678.44833719141718</v>
      </c>
      <c r="K1518" t="str">
        <f t="shared" si="46"/>
        <v>Scott Byron</v>
      </c>
    </row>
    <row r="1519" spans="1:11" hidden="1" x14ac:dyDescent="0.35">
      <c r="A1519">
        <f t="shared" si="47"/>
        <v>1518</v>
      </c>
      <c r="B1519">
        <v>2009</v>
      </c>
      <c r="C1519" t="s">
        <v>263</v>
      </c>
      <c r="D1519" t="s">
        <v>704</v>
      </c>
      <c r="E1519" t="s">
        <v>944</v>
      </c>
      <c r="F1519" s="2">
        <v>75</v>
      </c>
      <c r="G1519" s="2">
        <v>13</v>
      </c>
      <c r="H1519" t="s">
        <v>294</v>
      </c>
      <c r="I1519" t="s">
        <v>16</v>
      </c>
      <c r="J1519" s="11">
        <v>678.44833719141718</v>
      </c>
      <c r="K1519" t="str">
        <f t="shared" si="46"/>
        <v>David Low</v>
      </c>
    </row>
    <row r="1520" spans="1:11" hidden="1" x14ac:dyDescent="0.35">
      <c r="A1520">
        <f t="shared" si="47"/>
        <v>1519</v>
      </c>
      <c r="B1520">
        <v>2009</v>
      </c>
      <c r="C1520" t="s">
        <v>263</v>
      </c>
      <c r="D1520" t="s">
        <v>704</v>
      </c>
      <c r="E1520" t="s">
        <v>944</v>
      </c>
      <c r="F1520" s="2">
        <v>75</v>
      </c>
      <c r="G1520" s="2">
        <v>13</v>
      </c>
      <c r="H1520" t="s">
        <v>306</v>
      </c>
      <c r="I1520" t="s">
        <v>694</v>
      </c>
      <c r="J1520" s="11">
        <v>678.44833719141718</v>
      </c>
      <c r="K1520" t="str">
        <f t="shared" si="46"/>
        <v>J P Massar</v>
      </c>
    </row>
    <row r="1521" spans="1:11" hidden="1" x14ac:dyDescent="0.35">
      <c r="A1521">
        <f t="shared" si="47"/>
        <v>1520</v>
      </c>
      <c r="B1521">
        <v>2009</v>
      </c>
      <c r="C1521" t="s">
        <v>263</v>
      </c>
      <c r="D1521" t="s">
        <v>704</v>
      </c>
      <c r="E1521" t="s">
        <v>944</v>
      </c>
      <c r="F1521" s="2">
        <v>75</v>
      </c>
      <c r="G1521" s="2">
        <v>13</v>
      </c>
      <c r="H1521" t="s">
        <v>542</v>
      </c>
      <c r="I1521" t="s">
        <v>196</v>
      </c>
      <c r="J1521" s="11">
        <v>678.44833719141718</v>
      </c>
      <c r="K1521" t="str">
        <f t="shared" si="46"/>
        <v>Dave O'Grady</v>
      </c>
    </row>
    <row r="1522" spans="1:11" hidden="1" x14ac:dyDescent="0.35">
      <c r="A1522">
        <f t="shared" si="47"/>
        <v>1521</v>
      </c>
      <c r="B1522">
        <v>2009</v>
      </c>
      <c r="C1522" t="s">
        <v>263</v>
      </c>
      <c r="D1522" t="s">
        <v>704</v>
      </c>
      <c r="E1522" t="s">
        <v>944</v>
      </c>
      <c r="F1522" s="2">
        <v>75</v>
      </c>
      <c r="G1522" s="2">
        <v>13</v>
      </c>
      <c r="H1522" t="s">
        <v>1459</v>
      </c>
      <c r="I1522" t="s">
        <v>516</v>
      </c>
      <c r="J1522" s="11">
        <v>678.44833719141718</v>
      </c>
      <c r="K1522" t="str">
        <f t="shared" si="46"/>
        <v>Erin Ramsay</v>
      </c>
    </row>
    <row r="1523" spans="1:11" hidden="1" x14ac:dyDescent="0.35">
      <c r="A1523">
        <f t="shared" si="47"/>
        <v>1522</v>
      </c>
      <c r="B1523">
        <v>2009</v>
      </c>
      <c r="C1523" t="s">
        <v>263</v>
      </c>
      <c r="D1523" t="s">
        <v>704</v>
      </c>
      <c r="E1523" t="s">
        <v>944</v>
      </c>
      <c r="F1523" s="2">
        <v>75</v>
      </c>
      <c r="G1523" s="2">
        <v>13</v>
      </c>
      <c r="H1523" t="s">
        <v>700</v>
      </c>
      <c r="I1523" t="s">
        <v>701</v>
      </c>
      <c r="J1523" s="11">
        <v>678.44833719141718</v>
      </c>
      <c r="K1523" t="str">
        <f t="shared" si="46"/>
        <v>Bryan Slick</v>
      </c>
    </row>
    <row r="1524" spans="1:11" hidden="1" x14ac:dyDescent="0.35">
      <c r="A1524">
        <f t="shared" si="47"/>
        <v>1523</v>
      </c>
      <c r="B1524">
        <v>2009</v>
      </c>
      <c r="C1524" t="s">
        <v>263</v>
      </c>
      <c r="D1524" t="s">
        <v>110</v>
      </c>
      <c r="E1524" t="s">
        <v>1430</v>
      </c>
      <c r="F1524" s="2">
        <v>3120</v>
      </c>
      <c r="G1524" s="2">
        <v>1</v>
      </c>
      <c r="H1524" t="s">
        <v>273</v>
      </c>
      <c r="I1524" t="s">
        <v>218</v>
      </c>
      <c r="J1524" s="11">
        <v>2217.4839442139064</v>
      </c>
      <c r="K1524" t="str">
        <f t="shared" si="46"/>
        <v>Michael Maurer</v>
      </c>
    </row>
    <row r="1525" spans="1:11" hidden="1" x14ac:dyDescent="0.35">
      <c r="A1525">
        <f t="shared" si="47"/>
        <v>1524</v>
      </c>
      <c r="B1525">
        <v>2009</v>
      </c>
      <c r="C1525" t="s">
        <v>263</v>
      </c>
      <c r="D1525" t="s">
        <v>110</v>
      </c>
      <c r="E1525" t="s">
        <v>1430</v>
      </c>
      <c r="F1525" s="2">
        <v>1465</v>
      </c>
      <c r="G1525" s="2">
        <v>2</v>
      </c>
      <c r="H1525" t="s">
        <v>37</v>
      </c>
      <c r="I1525" t="s">
        <v>38</v>
      </c>
      <c r="J1525" s="11">
        <v>1916.4539485499249</v>
      </c>
      <c r="K1525" t="str">
        <f t="shared" si="46"/>
        <v>Doug Grismore</v>
      </c>
    </row>
    <row r="1526" spans="1:11" hidden="1" x14ac:dyDescent="0.35">
      <c r="A1526">
        <f t="shared" si="47"/>
        <v>1525</v>
      </c>
      <c r="B1526">
        <v>2009</v>
      </c>
      <c r="C1526" t="s">
        <v>263</v>
      </c>
      <c r="D1526" t="s">
        <v>110</v>
      </c>
      <c r="E1526" t="s">
        <v>1430</v>
      </c>
      <c r="F1526" s="2">
        <v>1790</v>
      </c>
      <c r="G1526" s="2">
        <v>3</v>
      </c>
      <c r="H1526" t="s">
        <v>256</v>
      </c>
      <c r="I1526" t="s">
        <v>257</v>
      </c>
      <c r="J1526" s="11">
        <v>1740.3626894942438</v>
      </c>
      <c r="K1526" t="str">
        <f t="shared" si="46"/>
        <v>Stephanie Wasserman</v>
      </c>
    </row>
    <row r="1527" spans="1:11" hidden="1" x14ac:dyDescent="0.35">
      <c r="A1527">
        <f t="shared" si="47"/>
        <v>1526</v>
      </c>
      <c r="B1527">
        <v>2009</v>
      </c>
      <c r="C1527" t="s">
        <v>263</v>
      </c>
      <c r="D1527" t="s">
        <v>110</v>
      </c>
      <c r="E1527" t="s">
        <v>1430</v>
      </c>
      <c r="F1527" s="2">
        <v>1680</v>
      </c>
      <c r="G1527" s="2">
        <v>4</v>
      </c>
      <c r="H1527" t="s">
        <v>709</v>
      </c>
      <c r="I1527" t="s">
        <v>13</v>
      </c>
      <c r="J1527" s="11">
        <v>1615.4239528859437</v>
      </c>
      <c r="K1527" t="str">
        <f t="shared" si="46"/>
        <v>Tom Overton</v>
      </c>
    </row>
    <row r="1528" spans="1:11" hidden="1" x14ac:dyDescent="0.35">
      <c r="A1528">
        <f t="shared" si="47"/>
        <v>1527</v>
      </c>
      <c r="B1528">
        <v>2009</v>
      </c>
      <c r="C1528" t="s">
        <v>263</v>
      </c>
      <c r="D1528" t="s">
        <v>110</v>
      </c>
      <c r="E1528" t="s">
        <v>1430</v>
      </c>
      <c r="F1528" s="2">
        <v>990</v>
      </c>
      <c r="G1528" s="2">
        <v>5</v>
      </c>
      <c r="H1528" t="s">
        <v>316</v>
      </c>
      <c r="I1528" t="s">
        <v>269</v>
      </c>
      <c r="J1528" s="11">
        <v>1518.5139398778874</v>
      </c>
      <c r="K1528" t="str">
        <f t="shared" si="46"/>
        <v>Keith Troell</v>
      </c>
    </row>
    <row r="1529" spans="1:11" hidden="1" x14ac:dyDescent="0.35">
      <c r="A1529">
        <f t="shared" si="47"/>
        <v>1528</v>
      </c>
      <c r="B1529">
        <v>2009</v>
      </c>
      <c r="C1529" t="s">
        <v>263</v>
      </c>
      <c r="D1529" t="s">
        <v>110</v>
      </c>
      <c r="E1529" t="s">
        <v>1430</v>
      </c>
      <c r="F1529" s="2">
        <v>740</v>
      </c>
      <c r="G1529" s="2">
        <v>6</v>
      </c>
      <c r="H1529" t="s">
        <v>692</v>
      </c>
      <c r="I1529" t="s">
        <v>200</v>
      </c>
      <c r="J1529" s="11">
        <v>1439.3326938302625</v>
      </c>
      <c r="K1529" t="str">
        <f t="shared" si="46"/>
        <v>Rick Monbourquette</v>
      </c>
    </row>
    <row r="1530" spans="1:11" hidden="1" x14ac:dyDescent="0.35">
      <c r="A1530">
        <f t="shared" si="47"/>
        <v>1529</v>
      </c>
      <c r="B1530">
        <v>2009</v>
      </c>
      <c r="C1530" t="s">
        <v>263</v>
      </c>
      <c r="D1530" t="s">
        <v>110</v>
      </c>
      <c r="E1530" t="s">
        <v>1430</v>
      </c>
      <c r="F1530" s="2">
        <v>500</v>
      </c>
      <c r="G1530" s="2">
        <v>7</v>
      </c>
      <c r="H1530" t="s">
        <v>50</v>
      </c>
      <c r="I1530" t="s">
        <v>25</v>
      </c>
      <c r="J1530" s="11">
        <v>1372.3859041996493</v>
      </c>
      <c r="K1530" t="str">
        <f t="shared" si="46"/>
        <v>Russell Fox</v>
      </c>
    </row>
    <row r="1531" spans="1:11" hidden="1" x14ac:dyDescent="0.35">
      <c r="A1531">
        <f t="shared" si="47"/>
        <v>1530</v>
      </c>
      <c r="B1531">
        <v>2009</v>
      </c>
      <c r="C1531" t="s">
        <v>263</v>
      </c>
      <c r="D1531" t="s">
        <v>110</v>
      </c>
      <c r="E1531" t="s">
        <v>1430</v>
      </c>
      <c r="F1531" s="2">
        <v>340</v>
      </c>
      <c r="G1531" s="2">
        <v>8</v>
      </c>
      <c r="H1531" t="s">
        <v>710</v>
      </c>
      <c r="I1531" t="s">
        <v>11</v>
      </c>
      <c r="J1531" s="11">
        <v>1314.3939572219626</v>
      </c>
      <c r="K1531" t="str">
        <f t="shared" si="46"/>
        <v>Paul Gibboney</v>
      </c>
    </row>
    <row r="1532" spans="1:11" hidden="1" x14ac:dyDescent="0.35">
      <c r="A1532">
        <f t="shared" si="47"/>
        <v>1531</v>
      </c>
      <c r="B1532">
        <v>2009</v>
      </c>
      <c r="C1532" t="s">
        <v>263</v>
      </c>
      <c r="D1532" t="s">
        <v>110</v>
      </c>
      <c r="E1532" t="s">
        <v>1430</v>
      </c>
      <c r="F1532" s="2">
        <v>250</v>
      </c>
      <c r="G1532" s="2">
        <v>9</v>
      </c>
      <c r="H1532" t="s">
        <v>711</v>
      </c>
      <c r="I1532" t="s">
        <v>85</v>
      </c>
      <c r="J1532" s="11">
        <v>1263.2414347745814</v>
      </c>
      <c r="K1532" t="str">
        <f t="shared" si="46"/>
        <v>Patrick Kirwan</v>
      </c>
    </row>
    <row r="1533" spans="1:11" hidden="1" x14ac:dyDescent="0.35">
      <c r="A1533">
        <f t="shared" si="47"/>
        <v>1532</v>
      </c>
      <c r="B1533">
        <v>2009</v>
      </c>
      <c r="C1533" t="s">
        <v>263</v>
      </c>
      <c r="D1533" t="s">
        <v>110</v>
      </c>
      <c r="E1533" t="s">
        <v>1430</v>
      </c>
      <c r="F1533" s="2">
        <v>190</v>
      </c>
      <c r="G1533" s="2">
        <v>10</v>
      </c>
      <c r="H1533" t="s">
        <v>216</v>
      </c>
      <c r="I1533" t="s">
        <v>65</v>
      </c>
      <c r="J1533" s="11">
        <v>1217.4839442139062</v>
      </c>
      <c r="K1533" t="str">
        <f t="shared" si="46"/>
        <v>Steve Watanabe</v>
      </c>
    </row>
    <row r="1534" spans="1:11" hidden="1" x14ac:dyDescent="0.35">
      <c r="A1534">
        <f t="shared" si="47"/>
        <v>1533</v>
      </c>
      <c r="B1534">
        <v>2009</v>
      </c>
      <c r="C1534" t="s">
        <v>263</v>
      </c>
      <c r="D1534" t="s">
        <v>110</v>
      </c>
      <c r="E1534" t="s">
        <v>1430</v>
      </c>
      <c r="F1534" s="2">
        <v>190</v>
      </c>
      <c r="G1534" s="2">
        <v>11</v>
      </c>
      <c r="H1534" t="s">
        <v>712</v>
      </c>
      <c r="I1534" t="s">
        <v>44</v>
      </c>
      <c r="J1534" s="11">
        <v>1176.0912590556811</v>
      </c>
      <c r="K1534" t="str">
        <f t="shared" si="46"/>
        <v>Mike mcBride</v>
      </c>
    </row>
    <row r="1535" spans="1:11" hidden="1" x14ac:dyDescent="0.35">
      <c r="A1535">
        <f t="shared" si="47"/>
        <v>1534</v>
      </c>
      <c r="B1535">
        <v>2009</v>
      </c>
      <c r="C1535" t="s">
        <v>263</v>
      </c>
      <c r="D1535" t="s">
        <v>110</v>
      </c>
      <c r="E1535" t="s">
        <v>1430</v>
      </c>
      <c r="F1535" s="2">
        <v>190</v>
      </c>
      <c r="G1535" s="2">
        <v>12</v>
      </c>
      <c r="H1535" t="s">
        <v>320</v>
      </c>
      <c r="I1535" t="s">
        <v>321</v>
      </c>
      <c r="J1535" s="11">
        <v>1138.3026981662813</v>
      </c>
      <c r="K1535" t="str">
        <f t="shared" si="46"/>
        <v>Tina Gonzalez</v>
      </c>
    </row>
    <row r="1536" spans="1:11" hidden="1" x14ac:dyDescent="0.35">
      <c r="A1536">
        <f t="shared" si="47"/>
        <v>1535</v>
      </c>
      <c r="B1536">
        <v>2009</v>
      </c>
      <c r="C1536" t="s">
        <v>263</v>
      </c>
      <c r="D1536" t="s">
        <v>110</v>
      </c>
      <c r="E1536" t="s">
        <v>1430</v>
      </c>
      <c r="F1536" s="2">
        <v>150</v>
      </c>
      <c r="G1536" s="2">
        <v>13</v>
      </c>
      <c r="H1536" t="s">
        <v>713</v>
      </c>
      <c r="I1536" t="s">
        <v>28</v>
      </c>
      <c r="J1536" s="11">
        <v>1103.5405919070695</v>
      </c>
      <c r="K1536" t="str">
        <f t="shared" si="46"/>
        <v>Chris Jepsen</v>
      </c>
    </row>
    <row r="1537" spans="1:11" hidden="1" x14ac:dyDescent="0.35">
      <c r="A1537">
        <f t="shared" si="47"/>
        <v>1536</v>
      </c>
      <c r="B1537">
        <v>2009</v>
      </c>
      <c r="C1537" t="s">
        <v>263</v>
      </c>
      <c r="D1537" t="s">
        <v>110</v>
      </c>
      <c r="E1537" t="s">
        <v>1430</v>
      </c>
      <c r="F1537" s="2">
        <v>150</v>
      </c>
      <c r="G1537" s="2">
        <v>14</v>
      </c>
      <c r="H1537" t="s">
        <v>714</v>
      </c>
      <c r="I1537" t="s">
        <v>528</v>
      </c>
      <c r="J1537" s="11">
        <v>1071.3559085356683</v>
      </c>
      <c r="K1537" t="str">
        <f t="shared" si="46"/>
        <v>Tim Showalter</v>
      </c>
    </row>
    <row r="1538" spans="1:11" hidden="1" x14ac:dyDescent="0.35">
      <c r="A1538">
        <f t="shared" si="47"/>
        <v>1537</v>
      </c>
      <c r="B1538">
        <v>2009</v>
      </c>
      <c r="C1538" t="s">
        <v>263</v>
      </c>
      <c r="D1538" t="s">
        <v>110</v>
      </c>
      <c r="E1538" t="s">
        <v>1430</v>
      </c>
      <c r="F1538" s="2">
        <v>150</v>
      </c>
      <c r="G1538" s="2">
        <v>15</v>
      </c>
      <c r="H1538" t="s">
        <v>715</v>
      </c>
      <c r="I1538" t="s">
        <v>11</v>
      </c>
      <c r="J1538" s="11">
        <v>1041.3926851582248</v>
      </c>
      <c r="K1538" t="str">
        <f t="shared" ref="K1538:K1601" si="48">I1538&amp;" "&amp;H1538</f>
        <v>Paul Person</v>
      </c>
    </row>
    <row r="1539" spans="1:11" hidden="1" x14ac:dyDescent="0.35">
      <c r="A1539">
        <f t="shared" si="47"/>
        <v>1538</v>
      </c>
      <c r="B1539">
        <v>2009</v>
      </c>
      <c r="C1539" t="s">
        <v>263</v>
      </c>
      <c r="D1539" t="s">
        <v>110</v>
      </c>
      <c r="E1539" t="s">
        <v>1430</v>
      </c>
      <c r="F1539" s="2">
        <v>120</v>
      </c>
      <c r="G1539" s="2">
        <v>16</v>
      </c>
      <c r="H1539" t="s">
        <v>107</v>
      </c>
      <c r="I1539" t="s">
        <v>108</v>
      </c>
      <c r="J1539" s="11">
        <v>1013.3639615579815</v>
      </c>
      <c r="K1539" t="str">
        <f t="shared" si="48"/>
        <v>Kyle Minnis</v>
      </c>
    </row>
    <row r="1540" spans="1:11" hidden="1" x14ac:dyDescent="0.35">
      <c r="A1540">
        <f t="shared" ref="A1540:A1603" si="49">A1539+1</f>
        <v>1539</v>
      </c>
      <c r="B1540">
        <v>2009</v>
      </c>
      <c r="C1540" t="s">
        <v>263</v>
      </c>
      <c r="D1540" t="s">
        <v>110</v>
      </c>
      <c r="E1540" t="s">
        <v>1430</v>
      </c>
      <c r="F1540" s="2">
        <v>120</v>
      </c>
      <c r="G1540" s="2">
        <v>17</v>
      </c>
      <c r="H1540" t="s">
        <v>716</v>
      </c>
      <c r="I1540" t="s">
        <v>564</v>
      </c>
      <c r="J1540" s="11">
        <v>987.03502283563239</v>
      </c>
      <c r="K1540" t="str">
        <f t="shared" si="48"/>
        <v>Leslie Walker</v>
      </c>
    </row>
    <row r="1541" spans="1:11" hidden="1" x14ac:dyDescent="0.35">
      <c r="A1541">
        <f t="shared" si="49"/>
        <v>1540</v>
      </c>
      <c r="B1541">
        <v>2009</v>
      </c>
      <c r="C1541" t="s">
        <v>263</v>
      </c>
      <c r="D1541" t="s">
        <v>110</v>
      </c>
      <c r="E1541" t="s">
        <v>1430</v>
      </c>
      <c r="F1541" s="2">
        <v>120</v>
      </c>
      <c r="G1541" s="2">
        <v>18</v>
      </c>
      <c r="H1541" t="s">
        <v>700</v>
      </c>
      <c r="I1541" t="s">
        <v>701</v>
      </c>
      <c r="J1541" s="11">
        <v>962.21143911060028</v>
      </c>
      <c r="K1541" t="str">
        <f t="shared" si="48"/>
        <v>Bryan Slick</v>
      </c>
    </row>
    <row r="1542" spans="1:11" hidden="1" x14ac:dyDescent="0.35">
      <c r="A1542">
        <f t="shared" si="49"/>
        <v>1541</v>
      </c>
      <c r="B1542">
        <v>2009</v>
      </c>
      <c r="C1542" t="s">
        <v>263</v>
      </c>
      <c r="D1542" t="s">
        <v>110</v>
      </c>
      <c r="E1542" t="s">
        <v>1430</v>
      </c>
      <c r="F1542" s="2">
        <v>120</v>
      </c>
      <c r="G1542" s="2">
        <v>19</v>
      </c>
      <c r="H1542" t="s">
        <v>103</v>
      </c>
      <c r="I1542" t="s">
        <v>104</v>
      </c>
      <c r="J1542" s="11">
        <v>938.73034326107745</v>
      </c>
      <c r="K1542" t="str">
        <f t="shared" si="48"/>
        <v>Masanobu Fujioka</v>
      </c>
    </row>
    <row r="1543" spans="1:11" hidden="1" x14ac:dyDescent="0.35">
      <c r="A1543">
        <f t="shared" si="49"/>
        <v>1542</v>
      </c>
      <c r="B1543">
        <v>2009</v>
      </c>
      <c r="C1543" t="s">
        <v>8</v>
      </c>
      <c r="D1543" t="s">
        <v>9</v>
      </c>
      <c r="E1543" t="s">
        <v>1429</v>
      </c>
      <c r="F1543" s="2">
        <v>875</v>
      </c>
      <c r="G1543" s="2">
        <v>1</v>
      </c>
      <c r="H1543" t="s">
        <v>549</v>
      </c>
      <c r="I1543" t="s">
        <v>44</v>
      </c>
      <c r="J1543" s="11">
        <v>1505.149978319906</v>
      </c>
      <c r="K1543" t="str">
        <f t="shared" si="48"/>
        <v>Mike Haddad Jr.</v>
      </c>
    </row>
    <row r="1544" spans="1:11" hidden="1" x14ac:dyDescent="0.35">
      <c r="A1544">
        <f t="shared" si="49"/>
        <v>1543</v>
      </c>
      <c r="B1544">
        <v>2009</v>
      </c>
      <c r="C1544" t="s">
        <v>8</v>
      </c>
      <c r="D1544" t="s">
        <v>9</v>
      </c>
      <c r="E1544" t="s">
        <v>1429</v>
      </c>
      <c r="F1544" s="2">
        <v>800</v>
      </c>
      <c r="G1544" s="2">
        <v>2</v>
      </c>
      <c r="H1544" t="s">
        <v>550</v>
      </c>
      <c r="I1544" t="s">
        <v>44</v>
      </c>
      <c r="J1544" s="11">
        <v>1204.1199826559248</v>
      </c>
      <c r="K1544" t="str">
        <f t="shared" si="48"/>
        <v>Mike Haddad Sr.</v>
      </c>
    </row>
    <row r="1545" spans="1:11" hidden="1" x14ac:dyDescent="0.35">
      <c r="A1545">
        <f t="shared" si="49"/>
        <v>1544</v>
      </c>
      <c r="B1545">
        <v>2009</v>
      </c>
      <c r="C1545" t="s">
        <v>8</v>
      </c>
      <c r="D1545" t="s">
        <v>9</v>
      </c>
      <c r="E1545" t="s">
        <v>1429</v>
      </c>
      <c r="F1545" s="2">
        <v>400</v>
      </c>
      <c r="G1545" s="2">
        <v>3</v>
      </c>
      <c r="H1545" t="s">
        <v>10</v>
      </c>
      <c r="I1545" t="s">
        <v>11</v>
      </c>
      <c r="J1545" s="11">
        <v>1028.0287236002437</v>
      </c>
      <c r="K1545" t="str">
        <f t="shared" si="48"/>
        <v>Paul Chakoian</v>
      </c>
    </row>
    <row r="1546" spans="1:11" hidden="1" x14ac:dyDescent="0.35">
      <c r="A1546">
        <f t="shared" si="49"/>
        <v>1545</v>
      </c>
      <c r="B1546">
        <v>2009</v>
      </c>
      <c r="C1546" t="s">
        <v>8</v>
      </c>
      <c r="D1546" t="s">
        <v>9</v>
      </c>
      <c r="E1546" t="s">
        <v>1429</v>
      </c>
      <c r="F1546" s="2">
        <v>325</v>
      </c>
      <c r="G1546" s="2">
        <v>4</v>
      </c>
      <c r="H1546" t="s">
        <v>633</v>
      </c>
      <c r="I1546" t="s">
        <v>634</v>
      </c>
      <c r="J1546" s="11">
        <v>903.08998699194365</v>
      </c>
      <c r="K1546" t="str">
        <f t="shared" si="48"/>
        <v>Charlie Peck</v>
      </c>
    </row>
    <row r="1547" spans="1:11" hidden="1" x14ac:dyDescent="0.35">
      <c r="A1547">
        <f t="shared" si="49"/>
        <v>1546</v>
      </c>
      <c r="B1547">
        <v>2009</v>
      </c>
      <c r="C1547" t="s">
        <v>8</v>
      </c>
      <c r="D1547" t="s">
        <v>9</v>
      </c>
      <c r="E1547" t="s">
        <v>1429</v>
      </c>
      <c r="F1547" s="2">
        <v>250</v>
      </c>
      <c r="G1547" s="2">
        <v>6.5</v>
      </c>
      <c r="H1547" t="s">
        <v>638</v>
      </c>
      <c r="I1547" t="s">
        <v>218</v>
      </c>
      <c r="J1547" s="11">
        <v>692.23662167705049</v>
      </c>
      <c r="K1547" t="str">
        <f t="shared" si="48"/>
        <v>Michael Botwin</v>
      </c>
    </row>
    <row r="1548" spans="1:11" hidden="1" x14ac:dyDescent="0.35">
      <c r="A1548">
        <f t="shared" si="49"/>
        <v>1547</v>
      </c>
      <c r="B1548">
        <v>2009</v>
      </c>
      <c r="C1548" t="s">
        <v>8</v>
      </c>
      <c r="D1548" t="s">
        <v>9</v>
      </c>
      <c r="E1548" t="s">
        <v>1429</v>
      </c>
      <c r="F1548" s="2">
        <v>250</v>
      </c>
      <c r="G1548" s="2">
        <v>6.5</v>
      </c>
      <c r="H1548" t="s">
        <v>66</v>
      </c>
      <c r="I1548" t="s">
        <v>67</v>
      </c>
      <c r="J1548" s="11">
        <v>692.23662167705049</v>
      </c>
      <c r="K1548" t="str">
        <f t="shared" si="48"/>
        <v>Bob Lauria</v>
      </c>
    </row>
    <row r="1549" spans="1:11" hidden="1" x14ac:dyDescent="0.35">
      <c r="A1549">
        <f t="shared" si="49"/>
        <v>1548</v>
      </c>
      <c r="B1549">
        <v>2009</v>
      </c>
      <c r="C1549" t="s">
        <v>8</v>
      </c>
      <c r="D1549" t="s">
        <v>9</v>
      </c>
      <c r="E1549" t="s">
        <v>1429</v>
      </c>
      <c r="F1549" s="2">
        <v>250</v>
      </c>
      <c r="G1549" s="2">
        <v>6.5</v>
      </c>
      <c r="H1549" t="s">
        <v>130</v>
      </c>
      <c r="I1549" t="s">
        <v>131</v>
      </c>
      <c r="J1549" s="11">
        <v>692.23662167705049</v>
      </c>
      <c r="K1549" t="str">
        <f t="shared" si="48"/>
        <v>Alan Stuart</v>
      </c>
    </row>
    <row r="1550" spans="1:11" hidden="1" x14ac:dyDescent="0.35">
      <c r="A1550">
        <f t="shared" si="49"/>
        <v>1549</v>
      </c>
      <c r="B1550">
        <v>2009</v>
      </c>
      <c r="C1550" t="s">
        <v>8</v>
      </c>
      <c r="D1550" t="s">
        <v>9</v>
      </c>
      <c r="E1550" t="s">
        <v>1429</v>
      </c>
      <c r="F1550" s="2">
        <v>250</v>
      </c>
      <c r="G1550" s="2">
        <v>6.5</v>
      </c>
      <c r="H1550" t="s">
        <v>636</v>
      </c>
      <c r="I1550" t="s">
        <v>473</v>
      </c>
      <c r="J1550" s="11">
        <v>692.23662167705049</v>
      </c>
      <c r="K1550" t="str">
        <f t="shared" si="48"/>
        <v>Noah Thompson</v>
      </c>
    </row>
    <row r="1551" spans="1:11" hidden="1" x14ac:dyDescent="0.35">
      <c r="A1551">
        <f t="shared" si="49"/>
        <v>1550</v>
      </c>
      <c r="B1551">
        <v>2009</v>
      </c>
      <c r="C1551" t="s">
        <v>8</v>
      </c>
      <c r="D1551" t="s">
        <v>557</v>
      </c>
      <c r="E1551" t="s">
        <v>1430</v>
      </c>
      <c r="F1551" s="2">
        <v>1102</v>
      </c>
      <c r="G1551" s="2">
        <v>1</v>
      </c>
      <c r="H1551" t="s">
        <v>177</v>
      </c>
      <c r="I1551" t="s">
        <v>178</v>
      </c>
      <c r="J1551" s="11">
        <v>1623.2492903979005</v>
      </c>
      <c r="K1551" t="str">
        <f t="shared" si="48"/>
        <v>Carlos Lobato</v>
      </c>
    </row>
    <row r="1552" spans="1:11" hidden="1" x14ac:dyDescent="0.35">
      <c r="A1552">
        <f t="shared" si="49"/>
        <v>1551</v>
      </c>
      <c r="B1552">
        <v>2009</v>
      </c>
      <c r="C1552" t="s">
        <v>8</v>
      </c>
      <c r="D1552" t="s">
        <v>557</v>
      </c>
      <c r="E1552" t="s">
        <v>1430</v>
      </c>
      <c r="F1552" s="2">
        <v>1102</v>
      </c>
      <c r="G1552" s="2">
        <v>2</v>
      </c>
      <c r="H1552" t="s">
        <v>363</v>
      </c>
      <c r="I1552" t="s">
        <v>364</v>
      </c>
      <c r="J1552" s="11">
        <v>1322.2192947339192</v>
      </c>
      <c r="K1552" t="str">
        <f t="shared" si="48"/>
        <v>Warren Sander</v>
      </c>
    </row>
    <row r="1553" spans="1:11" hidden="1" x14ac:dyDescent="0.35">
      <c r="A1553">
        <f t="shared" si="49"/>
        <v>1552</v>
      </c>
      <c r="B1553">
        <v>2009</v>
      </c>
      <c r="C1553" t="s">
        <v>8</v>
      </c>
      <c r="D1553" t="s">
        <v>557</v>
      </c>
      <c r="E1553" t="s">
        <v>1430</v>
      </c>
      <c r="F1553" s="2">
        <v>650</v>
      </c>
      <c r="G1553" s="2">
        <v>3</v>
      </c>
      <c r="H1553" t="s">
        <v>43</v>
      </c>
      <c r="I1553" t="s">
        <v>218</v>
      </c>
      <c r="J1553" s="11">
        <v>1146.1280356782381</v>
      </c>
      <c r="K1553" t="str">
        <f t="shared" si="48"/>
        <v>Michael Klein</v>
      </c>
    </row>
    <row r="1554" spans="1:11" hidden="1" x14ac:dyDescent="0.35">
      <c r="A1554">
        <f t="shared" si="49"/>
        <v>1553</v>
      </c>
      <c r="B1554">
        <v>2009</v>
      </c>
      <c r="C1554" t="s">
        <v>8</v>
      </c>
      <c r="D1554" t="s">
        <v>557</v>
      </c>
      <c r="E1554" t="s">
        <v>1430</v>
      </c>
      <c r="F1554" s="2">
        <v>650</v>
      </c>
      <c r="G1554" s="2">
        <v>4</v>
      </c>
      <c r="H1554" t="s">
        <v>653</v>
      </c>
      <c r="I1554" t="s">
        <v>654</v>
      </c>
      <c r="J1554" s="11">
        <v>1021.1892990699382</v>
      </c>
      <c r="K1554" t="str">
        <f t="shared" si="48"/>
        <v>Gloria Brown</v>
      </c>
    </row>
    <row r="1555" spans="1:11" hidden="1" x14ac:dyDescent="0.35">
      <c r="A1555">
        <f t="shared" si="49"/>
        <v>1554</v>
      </c>
      <c r="B1555">
        <v>2009</v>
      </c>
      <c r="C1555" t="s">
        <v>8</v>
      </c>
      <c r="D1555" t="s">
        <v>557</v>
      </c>
      <c r="E1555" t="s">
        <v>1430</v>
      </c>
      <c r="F1555" s="2">
        <v>296</v>
      </c>
      <c r="G1555" s="2">
        <v>5</v>
      </c>
      <c r="H1555" t="s">
        <v>656</v>
      </c>
      <c r="I1555" t="s">
        <v>81</v>
      </c>
      <c r="J1555" s="11">
        <v>924.27928606188175</v>
      </c>
      <c r="K1555" t="str">
        <f t="shared" si="48"/>
        <v>Don Taylor</v>
      </c>
    </row>
    <row r="1556" spans="1:11" hidden="1" x14ac:dyDescent="0.35">
      <c r="A1556">
        <f t="shared" si="49"/>
        <v>1555</v>
      </c>
      <c r="B1556">
        <v>2009</v>
      </c>
      <c r="C1556" t="s">
        <v>8</v>
      </c>
      <c r="D1556" t="s">
        <v>557</v>
      </c>
      <c r="E1556" t="s">
        <v>1430</v>
      </c>
      <c r="F1556" s="2">
        <v>214</v>
      </c>
      <c r="G1556" s="2">
        <v>6</v>
      </c>
      <c r="H1556" t="s">
        <v>80</v>
      </c>
      <c r="I1556" t="s">
        <v>156</v>
      </c>
      <c r="J1556" s="11">
        <v>845.09804001425687</v>
      </c>
      <c r="K1556" t="str">
        <f t="shared" si="48"/>
        <v>Ashley Adams</v>
      </c>
    </row>
    <row r="1557" spans="1:11" hidden="1" x14ac:dyDescent="0.35">
      <c r="A1557">
        <f t="shared" si="49"/>
        <v>1556</v>
      </c>
      <c r="B1557">
        <v>2009</v>
      </c>
      <c r="C1557" t="s">
        <v>8</v>
      </c>
      <c r="D1557" t="s">
        <v>557</v>
      </c>
      <c r="E1557" t="s">
        <v>1430</v>
      </c>
      <c r="F1557" s="2">
        <v>180</v>
      </c>
      <c r="G1557" s="2">
        <v>7</v>
      </c>
      <c r="H1557" t="s">
        <v>161</v>
      </c>
      <c r="I1557" t="s">
        <v>200</v>
      </c>
      <c r="J1557" s="11">
        <v>778.15125038364374</v>
      </c>
      <c r="K1557" t="str">
        <f t="shared" si="48"/>
        <v>Rick Becker</v>
      </c>
    </row>
    <row r="1558" spans="1:11" hidden="1" x14ac:dyDescent="0.35">
      <c r="A1558">
        <f t="shared" si="49"/>
        <v>1557</v>
      </c>
      <c r="B1558">
        <v>2009</v>
      </c>
      <c r="C1558" t="s">
        <v>8</v>
      </c>
      <c r="D1558" t="s">
        <v>45</v>
      </c>
      <c r="E1558" t="s">
        <v>1429</v>
      </c>
      <c r="F1558" s="2">
        <v>1533</v>
      </c>
      <c r="G1558" s="2">
        <v>1</v>
      </c>
      <c r="H1558" t="s">
        <v>452</v>
      </c>
      <c r="I1558" t="s">
        <v>334</v>
      </c>
      <c r="J1558" s="11">
        <v>1892.0946026904803</v>
      </c>
      <c r="K1558" t="str">
        <f t="shared" si="48"/>
        <v>Todd Bergmann</v>
      </c>
    </row>
    <row r="1559" spans="1:11" hidden="1" x14ac:dyDescent="0.35">
      <c r="A1559">
        <f t="shared" si="49"/>
        <v>1558</v>
      </c>
      <c r="B1559">
        <v>2009</v>
      </c>
      <c r="C1559" t="s">
        <v>8</v>
      </c>
      <c r="D1559" t="s">
        <v>45</v>
      </c>
      <c r="E1559" t="s">
        <v>1429</v>
      </c>
      <c r="F1559" s="2">
        <v>1532</v>
      </c>
      <c r="G1559" s="2">
        <v>2</v>
      </c>
      <c r="H1559" t="s">
        <v>183</v>
      </c>
      <c r="I1559" t="s">
        <v>101</v>
      </c>
      <c r="J1559" s="11">
        <v>1591.0646070264991</v>
      </c>
      <c r="K1559" t="str">
        <f t="shared" si="48"/>
        <v>Dean White</v>
      </c>
    </row>
    <row r="1560" spans="1:11" hidden="1" x14ac:dyDescent="0.35">
      <c r="A1560">
        <f t="shared" si="49"/>
        <v>1559</v>
      </c>
      <c r="B1560">
        <v>2009</v>
      </c>
      <c r="C1560" t="s">
        <v>8</v>
      </c>
      <c r="D1560" t="s">
        <v>45</v>
      </c>
      <c r="E1560" t="s">
        <v>1429</v>
      </c>
      <c r="F1560" s="2">
        <v>1000</v>
      </c>
      <c r="G1560" s="2">
        <v>3</v>
      </c>
      <c r="H1560" t="s">
        <v>646</v>
      </c>
      <c r="I1560" t="s">
        <v>451</v>
      </c>
      <c r="J1560" s="11">
        <v>1414.9733479708179</v>
      </c>
      <c r="K1560" t="str">
        <f t="shared" si="48"/>
        <v>Connie Henriques</v>
      </c>
    </row>
    <row r="1561" spans="1:11" hidden="1" x14ac:dyDescent="0.35">
      <c r="A1561">
        <f t="shared" si="49"/>
        <v>1560</v>
      </c>
      <c r="B1561">
        <v>2009</v>
      </c>
      <c r="C1561" t="s">
        <v>8</v>
      </c>
      <c r="D1561" t="s">
        <v>45</v>
      </c>
      <c r="E1561" t="s">
        <v>1429</v>
      </c>
      <c r="F1561" s="2">
        <v>500</v>
      </c>
      <c r="G1561" s="2">
        <v>4</v>
      </c>
      <c r="H1561" t="s">
        <v>648</v>
      </c>
      <c r="I1561" t="s">
        <v>649</v>
      </c>
      <c r="J1561" s="11">
        <v>1290.0346113625178</v>
      </c>
      <c r="K1561" t="str">
        <f t="shared" si="48"/>
        <v>Luisa Gomes</v>
      </c>
    </row>
    <row r="1562" spans="1:11" hidden="1" x14ac:dyDescent="0.35">
      <c r="A1562">
        <f t="shared" si="49"/>
        <v>1561</v>
      </c>
      <c r="B1562">
        <v>2009</v>
      </c>
      <c r="C1562" t="s">
        <v>8</v>
      </c>
      <c r="D1562" t="s">
        <v>45</v>
      </c>
      <c r="E1562" t="s">
        <v>1429</v>
      </c>
      <c r="F1562" s="2">
        <v>500</v>
      </c>
      <c r="G1562" s="2">
        <v>5</v>
      </c>
      <c r="H1562" t="s">
        <v>555</v>
      </c>
      <c r="I1562" t="s">
        <v>556</v>
      </c>
      <c r="J1562" s="11">
        <v>1193.1245983544616</v>
      </c>
      <c r="K1562" t="str">
        <f t="shared" si="48"/>
        <v>Anne Barylick</v>
      </c>
    </row>
    <row r="1563" spans="1:11" hidden="1" x14ac:dyDescent="0.35">
      <c r="A1563">
        <f t="shared" si="49"/>
        <v>1562</v>
      </c>
      <c r="B1563">
        <v>2009</v>
      </c>
      <c r="C1563" t="s">
        <v>8</v>
      </c>
      <c r="D1563" t="s">
        <v>45</v>
      </c>
      <c r="E1563" t="s">
        <v>1429</v>
      </c>
      <c r="F1563" s="2">
        <v>500</v>
      </c>
      <c r="G1563" s="2">
        <v>6</v>
      </c>
      <c r="H1563" t="s">
        <v>2539</v>
      </c>
      <c r="I1563" t="s">
        <v>28</v>
      </c>
      <c r="J1563" s="11">
        <v>1113.9433523068367</v>
      </c>
      <c r="K1563" t="str">
        <f t="shared" si="48"/>
        <v>Chris O’Connor</v>
      </c>
    </row>
    <row r="1564" spans="1:11" hidden="1" x14ac:dyDescent="0.35">
      <c r="A1564">
        <f t="shared" si="49"/>
        <v>1563</v>
      </c>
      <c r="B1564">
        <v>2009</v>
      </c>
      <c r="C1564" t="s">
        <v>8</v>
      </c>
      <c r="D1564" t="s">
        <v>45</v>
      </c>
      <c r="E1564" t="s">
        <v>1429</v>
      </c>
      <c r="F1564" s="2">
        <v>500</v>
      </c>
      <c r="G1564" s="2">
        <v>7</v>
      </c>
      <c r="H1564" t="s">
        <v>66</v>
      </c>
      <c r="I1564" t="s">
        <v>67</v>
      </c>
      <c r="J1564" s="11">
        <v>1046.9965626762234</v>
      </c>
      <c r="K1564" t="str">
        <f t="shared" si="48"/>
        <v>Bob Lauria</v>
      </c>
    </row>
    <row r="1565" spans="1:11" hidden="1" x14ac:dyDescent="0.35">
      <c r="A1565">
        <f t="shared" si="49"/>
        <v>1564</v>
      </c>
      <c r="B1565">
        <v>2009</v>
      </c>
      <c r="C1565" t="s">
        <v>8</v>
      </c>
      <c r="D1565" t="s">
        <v>45</v>
      </c>
      <c r="E1565" t="s">
        <v>1429</v>
      </c>
      <c r="F1565" s="2">
        <v>500</v>
      </c>
      <c r="G1565" s="2">
        <v>8</v>
      </c>
      <c r="H1565" t="s">
        <v>53</v>
      </c>
      <c r="I1565" t="s">
        <v>54</v>
      </c>
      <c r="J1565" s="11">
        <v>989.00461569853678</v>
      </c>
      <c r="K1565" t="str">
        <f t="shared" si="48"/>
        <v>Joyce Ciotti</v>
      </c>
    </row>
    <row r="1566" spans="1:11" hidden="1" x14ac:dyDescent="0.35">
      <c r="A1566">
        <f t="shared" si="49"/>
        <v>1565</v>
      </c>
      <c r="B1566">
        <v>2009</v>
      </c>
      <c r="C1566" t="s">
        <v>8</v>
      </c>
      <c r="D1566" t="s">
        <v>45</v>
      </c>
      <c r="E1566" t="s">
        <v>1429</v>
      </c>
      <c r="F1566" s="2">
        <v>500</v>
      </c>
      <c r="G1566" s="2">
        <v>9</v>
      </c>
      <c r="H1566" t="s">
        <v>640</v>
      </c>
      <c r="I1566" t="s">
        <v>410</v>
      </c>
      <c r="J1566" s="11">
        <v>937.85209325115545</v>
      </c>
      <c r="K1566" t="str">
        <f t="shared" si="48"/>
        <v>Larry Robinson</v>
      </c>
    </row>
    <row r="1567" spans="1:11" hidden="1" x14ac:dyDescent="0.35">
      <c r="A1567">
        <f t="shared" si="49"/>
        <v>1566</v>
      </c>
      <c r="B1567">
        <v>2009</v>
      </c>
      <c r="C1567" t="s">
        <v>8</v>
      </c>
      <c r="D1567" t="s">
        <v>45</v>
      </c>
      <c r="E1567" t="s">
        <v>1429</v>
      </c>
      <c r="F1567" s="2">
        <v>500</v>
      </c>
      <c r="G1567" s="2">
        <v>10</v>
      </c>
      <c r="H1567" t="s">
        <v>173</v>
      </c>
      <c r="I1567" t="s">
        <v>117</v>
      </c>
      <c r="J1567" s="11">
        <v>892.09460269048031</v>
      </c>
      <c r="K1567" t="str">
        <f t="shared" si="48"/>
        <v>Thomas Aprea</v>
      </c>
    </row>
    <row r="1568" spans="1:11" hidden="1" x14ac:dyDescent="0.35">
      <c r="A1568">
        <f t="shared" si="49"/>
        <v>1567</v>
      </c>
      <c r="B1568">
        <v>2009</v>
      </c>
      <c r="C1568" t="s">
        <v>8</v>
      </c>
      <c r="D1568" t="s">
        <v>348</v>
      </c>
      <c r="E1568" t="s">
        <v>1432</v>
      </c>
      <c r="F1568" s="2">
        <v>1103</v>
      </c>
      <c r="G1568" s="2">
        <v>1</v>
      </c>
      <c r="H1568" t="s">
        <v>600</v>
      </c>
      <c r="I1568" t="s">
        <v>142</v>
      </c>
      <c r="J1568" s="11">
        <v>784.10086203349749</v>
      </c>
      <c r="K1568" t="str">
        <f t="shared" si="48"/>
        <v>Matt Grapenthien</v>
      </c>
    </row>
    <row r="1569" spans="1:11" hidden="1" x14ac:dyDescent="0.35">
      <c r="A1569">
        <f t="shared" si="49"/>
        <v>1568</v>
      </c>
      <c r="B1569">
        <v>2009</v>
      </c>
      <c r="C1569" t="s">
        <v>8</v>
      </c>
      <c r="D1569" t="s">
        <v>348</v>
      </c>
      <c r="E1569" t="s">
        <v>1432</v>
      </c>
      <c r="F1569" s="2">
        <v>1103</v>
      </c>
      <c r="G1569" s="2">
        <v>1</v>
      </c>
      <c r="H1569" t="s">
        <v>105</v>
      </c>
      <c r="I1569" t="s">
        <v>106</v>
      </c>
      <c r="J1569" s="11">
        <v>784.10086203349749</v>
      </c>
      <c r="K1569" t="str">
        <f t="shared" si="48"/>
        <v>Kenny Shei</v>
      </c>
    </row>
    <row r="1570" spans="1:11" hidden="1" x14ac:dyDescent="0.35">
      <c r="A1570">
        <f t="shared" si="49"/>
        <v>1569</v>
      </c>
      <c r="B1570">
        <v>2009</v>
      </c>
      <c r="C1570" t="s">
        <v>8</v>
      </c>
      <c r="D1570" t="s">
        <v>348</v>
      </c>
      <c r="E1570" t="s">
        <v>1432</v>
      </c>
      <c r="F1570" s="2">
        <v>750</v>
      </c>
      <c r="G1570" s="2">
        <v>2</v>
      </c>
      <c r="H1570" t="s">
        <v>66</v>
      </c>
      <c r="I1570" t="s">
        <v>67</v>
      </c>
      <c r="J1570" s="11">
        <v>633.58586420150687</v>
      </c>
      <c r="K1570" t="str">
        <f t="shared" si="48"/>
        <v>Bob Lauria</v>
      </c>
    </row>
    <row r="1571" spans="1:11" hidden="1" x14ac:dyDescent="0.35">
      <c r="A1571">
        <f t="shared" si="49"/>
        <v>1570</v>
      </c>
      <c r="B1571">
        <v>2009</v>
      </c>
      <c r="C1571" t="s">
        <v>8</v>
      </c>
      <c r="D1571" t="s">
        <v>348</v>
      </c>
      <c r="E1571" t="s">
        <v>1432</v>
      </c>
      <c r="F1571" s="2">
        <v>750</v>
      </c>
      <c r="G1571" s="2">
        <v>2</v>
      </c>
      <c r="H1571" t="s">
        <v>640</v>
      </c>
      <c r="I1571" t="s">
        <v>410</v>
      </c>
      <c r="J1571" s="11">
        <v>633.58586420150687</v>
      </c>
      <c r="K1571" t="str">
        <f t="shared" si="48"/>
        <v>Larry Robinson</v>
      </c>
    </row>
    <row r="1572" spans="1:11" hidden="1" x14ac:dyDescent="0.35">
      <c r="A1572">
        <f t="shared" si="49"/>
        <v>1571</v>
      </c>
      <c r="B1572">
        <v>2009</v>
      </c>
      <c r="C1572" t="s">
        <v>8</v>
      </c>
      <c r="D1572" t="s">
        <v>348</v>
      </c>
      <c r="E1572" t="s">
        <v>1432</v>
      </c>
      <c r="F1572" s="2">
        <v>750</v>
      </c>
      <c r="G1572" s="2">
        <v>3</v>
      </c>
      <c r="H1572" t="s">
        <v>114</v>
      </c>
      <c r="I1572" t="s">
        <v>187</v>
      </c>
      <c r="J1572" s="11">
        <v>545.5402346736663</v>
      </c>
      <c r="K1572" t="str">
        <f t="shared" si="48"/>
        <v>Joe Morrissette</v>
      </c>
    </row>
    <row r="1573" spans="1:11" hidden="1" x14ac:dyDescent="0.35">
      <c r="A1573">
        <f t="shared" si="49"/>
        <v>1572</v>
      </c>
      <c r="B1573">
        <v>2009</v>
      </c>
      <c r="C1573" t="s">
        <v>8</v>
      </c>
      <c r="D1573" t="s">
        <v>348</v>
      </c>
      <c r="E1573" t="s">
        <v>1432</v>
      </c>
      <c r="F1573" s="2">
        <v>750</v>
      </c>
      <c r="G1573" s="2">
        <v>3</v>
      </c>
      <c r="H1573" t="s">
        <v>27</v>
      </c>
      <c r="I1573" t="s">
        <v>28</v>
      </c>
      <c r="J1573" s="11">
        <v>545.5402346736663</v>
      </c>
      <c r="K1573" t="str">
        <f t="shared" si="48"/>
        <v>Chris Richards</v>
      </c>
    </row>
    <row r="1574" spans="1:11" hidden="1" x14ac:dyDescent="0.35">
      <c r="A1574">
        <f t="shared" si="49"/>
        <v>1573</v>
      </c>
      <c r="B1574">
        <v>2009</v>
      </c>
      <c r="C1574" t="s">
        <v>8</v>
      </c>
      <c r="D1574" t="s">
        <v>348</v>
      </c>
      <c r="E1574" t="s">
        <v>1432</v>
      </c>
      <c r="F1574" s="2">
        <v>354</v>
      </c>
      <c r="G1574" s="2">
        <v>4</v>
      </c>
      <c r="H1574" t="s">
        <v>642</v>
      </c>
      <c r="I1574" t="s">
        <v>136</v>
      </c>
      <c r="J1574" s="11">
        <v>483.0708663695163</v>
      </c>
      <c r="K1574" t="str">
        <f t="shared" si="48"/>
        <v>John DeRose</v>
      </c>
    </row>
    <row r="1575" spans="1:11" hidden="1" x14ac:dyDescent="0.35">
      <c r="A1575">
        <f t="shared" si="49"/>
        <v>1574</v>
      </c>
      <c r="B1575">
        <v>2009</v>
      </c>
      <c r="C1575" t="s">
        <v>8</v>
      </c>
      <c r="D1575" t="s">
        <v>348</v>
      </c>
      <c r="E1575" t="s">
        <v>1432</v>
      </c>
      <c r="F1575" s="2">
        <v>354</v>
      </c>
      <c r="G1575" s="2">
        <v>4</v>
      </c>
      <c r="H1575" t="s">
        <v>445</v>
      </c>
      <c r="I1575" t="s">
        <v>446</v>
      </c>
      <c r="J1575" s="11">
        <v>483.0708663695163</v>
      </c>
      <c r="K1575" t="str">
        <f t="shared" si="48"/>
        <v>Edson Pap</v>
      </c>
    </row>
    <row r="1576" spans="1:11" hidden="1" x14ac:dyDescent="0.35">
      <c r="A1576">
        <f t="shared" si="49"/>
        <v>1575</v>
      </c>
      <c r="B1576">
        <v>2009</v>
      </c>
      <c r="C1576" t="s">
        <v>8</v>
      </c>
      <c r="D1576" t="s">
        <v>348</v>
      </c>
      <c r="E1576" t="s">
        <v>1432</v>
      </c>
      <c r="F1576" s="2">
        <v>287</v>
      </c>
      <c r="G1576" s="2">
        <v>5</v>
      </c>
      <c r="H1576" t="s">
        <v>19</v>
      </c>
      <c r="I1576" t="s">
        <v>20</v>
      </c>
      <c r="J1576" s="11">
        <v>434.61585986548806</v>
      </c>
      <c r="K1576" t="str">
        <f t="shared" si="48"/>
        <v>Barry Kornspan</v>
      </c>
    </row>
    <row r="1577" spans="1:11" hidden="1" x14ac:dyDescent="0.35">
      <c r="A1577">
        <f t="shared" si="49"/>
        <v>1576</v>
      </c>
      <c r="B1577">
        <v>2009</v>
      </c>
      <c r="C1577" t="s">
        <v>8</v>
      </c>
      <c r="D1577" t="s">
        <v>348</v>
      </c>
      <c r="E1577" t="s">
        <v>1432</v>
      </c>
      <c r="F1577" s="2">
        <v>287</v>
      </c>
      <c r="G1577" s="2">
        <v>5</v>
      </c>
      <c r="H1577" t="s">
        <v>118</v>
      </c>
      <c r="I1577" t="s">
        <v>415</v>
      </c>
      <c r="J1577" s="11">
        <v>434.61585986548806</v>
      </c>
      <c r="K1577" t="str">
        <f t="shared" si="48"/>
        <v>Pete Segal</v>
      </c>
    </row>
    <row r="1578" spans="1:11" hidden="1" x14ac:dyDescent="0.35">
      <c r="A1578">
        <f t="shared" si="49"/>
        <v>1577</v>
      </c>
      <c r="B1578">
        <v>2009</v>
      </c>
      <c r="C1578" t="s">
        <v>8</v>
      </c>
      <c r="D1578" t="s">
        <v>348</v>
      </c>
      <c r="E1578" t="s">
        <v>1432</v>
      </c>
      <c r="F1578" s="2">
        <v>215</v>
      </c>
      <c r="G1578" s="2">
        <v>6</v>
      </c>
      <c r="H1578" t="s">
        <v>80</v>
      </c>
      <c r="I1578" t="s">
        <v>156</v>
      </c>
      <c r="J1578" s="11">
        <v>395.02523684167568</v>
      </c>
      <c r="K1578" t="str">
        <f t="shared" si="48"/>
        <v>Ashley Adams</v>
      </c>
    </row>
    <row r="1579" spans="1:11" hidden="1" x14ac:dyDescent="0.35">
      <c r="A1579">
        <f t="shared" si="49"/>
        <v>1578</v>
      </c>
      <c r="B1579">
        <v>2009</v>
      </c>
      <c r="C1579" t="s">
        <v>8</v>
      </c>
      <c r="D1579" t="s">
        <v>348</v>
      </c>
      <c r="E1579" t="s">
        <v>1432</v>
      </c>
      <c r="F1579" s="2">
        <v>215</v>
      </c>
      <c r="G1579" s="2">
        <v>6</v>
      </c>
      <c r="H1579" t="s">
        <v>158</v>
      </c>
      <c r="I1579" t="s">
        <v>159</v>
      </c>
      <c r="J1579" s="11">
        <v>395.02523684167568</v>
      </c>
      <c r="K1579" t="str">
        <f t="shared" si="48"/>
        <v>Brian Hackett</v>
      </c>
    </row>
    <row r="1580" spans="1:11" hidden="1" x14ac:dyDescent="0.35">
      <c r="A1580">
        <f t="shared" si="49"/>
        <v>1579</v>
      </c>
      <c r="B1580">
        <v>2009</v>
      </c>
      <c r="C1580" t="s">
        <v>8</v>
      </c>
      <c r="D1580" t="s">
        <v>348</v>
      </c>
      <c r="E1580" t="s">
        <v>1432</v>
      </c>
      <c r="F1580" s="2">
        <v>215</v>
      </c>
      <c r="G1580" s="2">
        <v>7</v>
      </c>
      <c r="H1580" t="s">
        <v>645</v>
      </c>
      <c r="I1580" t="s">
        <v>644</v>
      </c>
      <c r="J1580" s="11">
        <v>361.55184202636906</v>
      </c>
      <c r="K1580" t="str">
        <f t="shared" si="48"/>
        <v>Ed Baker</v>
      </c>
    </row>
    <row r="1581" spans="1:11" hidden="1" x14ac:dyDescent="0.35">
      <c r="A1581">
        <f t="shared" si="49"/>
        <v>1580</v>
      </c>
      <c r="B1581">
        <v>2009</v>
      </c>
      <c r="C1581" t="s">
        <v>8</v>
      </c>
      <c r="D1581" t="s">
        <v>348</v>
      </c>
      <c r="E1581" t="s">
        <v>1432</v>
      </c>
      <c r="F1581" s="2">
        <v>215</v>
      </c>
      <c r="G1581" s="2">
        <v>7</v>
      </c>
      <c r="H1581" t="s">
        <v>15</v>
      </c>
      <c r="I1581" t="s">
        <v>16</v>
      </c>
      <c r="J1581" s="11">
        <v>361.55184202636906</v>
      </c>
      <c r="K1581" t="str">
        <f t="shared" si="48"/>
        <v>David Kluchman</v>
      </c>
    </row>
    <row r="1582" spans="1:11" hidden="1" x14ac:dyDescent="0.35">
      <c r="A1582">
        <f t="shared" si="49"/>
        <v>1581</v>
      </c>
      <c r="B1582">
        <v>2009</v>
      </c>
      <c r="C1582" t="s">
        <v>583</v>
      </c>
      <c r="D1582" t="s">
        <v>675</v>
      </c>
      <c r="E1582" t="s">
        <v>1430</v>
      </c>
      <c r="F1582" s="2">
        <v>230</v>
      </c>
      <c r="G1582" s="2">
        <v>1</v>
      </c>
      <c r="H1582" t="s">
        <v>585</v>
      </c>
      <c r="I1582" t="s">
        <v>676</v>
      </c>
      <c r="J1582" s="11">
        <v>1278.7536009528289</v>
      </c>
      <c r="K1582" t="str">
        <f t="shared" si="48"/>
        <v>Dianne Pickels</v>
      </c>
    </row>
    <row r="1583" spans="1:11" hidden="1" x14ac:dyDescent="0.35">
      <c r="A1583">
        <f t="shared" si="49"/>
        <v>1582</v>
      </c>
      <c r="B1583">
        <v>2009</v>
      </c>
      <c r="C1583" t="s">
        <v>583</v>
      </c>
      <c r="D1583" t="s">
        <v>675</v>
      </c>
      <c r="E1583" t="s">
        <v>1430</v>
      </c>
      <c r="F1583" s="2">
        <v>230</v>
      </c>
      <c r="G1583" s="2">
        <v>2</v>
      </c>
      <c r="H1583" t="s">
        <v>316</v>
      </c>
      <c r="I1583" t="s">
        <v>269</v>
      </c>
      <c r="J1583" s="11">
        <v>977.72360528884758</v>
      </c>
      <c r="K1583" t="str">
        <f t="shared" si="48"/>
        <v>Keith Troell</v>
      </c>
    </row>
    <row r="1584" spans="1:11" hidden="1" x14ac:dyDescent="0.35">
      <c r="A1584">
        <f t="shared" si="49"/>
        <v>1583</v>
      </c>
      <c r="B1584">
        <v>2009</v>
      </c>
      <c r="C1584" t="s">
        <v>583</v>
      </c>
      <c r="D1584" t="s">
        <v>675</v>
      </c>
      <c r="E1584" t="s">
        <v>1430</v>
      </c>
      <c r="F1584" s="2">
        <v>230</v>
      </c>
      <c r="G1584" s="2">
        <v>3</v>
      </c>
      <c r="H1584" t="s">
        <v>585</v>
      </c>
      <c r="I1584" t="s">
        <v>136</v>
      </c>
      <c r="J1584" s="11">
        <v>801.63234623316646</v>
      </c>
      <c r="K1584" t="str">
        <f t="shared" si="48"/>
        <v>John Pickels</v>
      </c>
    </row>
    <row r="1585" spans="1:11" hidden="1" x14ac:dyDescent="0.35">
      <c r="A1585">
        <f t="shared" si="49"/>
        <v>1584</v>
      </c>
      <c r="B1585">
        <v>2009</v>
      </c>
      <c r="C1585" t="s">
        <v>583</v>
      </c>
      <c r="D1585" t="s">
        <v>675</v>
      </c>
      <c r="E1585" t="s">
        <v>1430</v>
      </c>
      <c r="F1585" s="2">
        <v>230</v>
      </c>
      <c r="G1585" s="2">
        <v>4</v>
      </c>
      <c r="H1585" t="s">
        <v>678</v>
      </c>
      <c r="I1585" t="s">
        <v>136</v>
      </c>
      <c r="J1585" s="11">
        <v>676.69360962486644</v>
      </c>
      <c r="K1585" t="str">
        <f t="shared" si="48"/>
        <v>John Fleming</v>
      </c>
    </row>
    <row r="1586" spans="1:11" hidden="1" x14ac:dyDescent="0.35">
      <c r="A1586">
        <f t="shared" si="49"/>
        <v>1585</v>
      </c>
      <c r="B1586">
        <v>2009</v>
      </c>
      <c r="C1586" t="s">
        <v>583</v>
      </c>
      <c r="D1586" t="s">
        <v>45</v>
      </c>
      <c r="E1586" t="s">
        <v>1429</v>
      </c>
      <c r="F1586" s="2">
        <v>650</v>
      </c>
      <c r="G1586" s="2">
        <v>1</v>
      </c>
      <c r="H1586" t="s">
        <v>682</v>
      </c>
      <c r="I1586" t="s">
        <v>56</v>
      </c>
      <c r="J1586" s="11">
        <v>1204.1199826559248</v>
      </c>
      <c r="K1586" t="str">
        <f t="shared" si="48"/>
        <v>Brandon Spears</v>
      </c>
    </row>
    <row r="1587" spans="1:11" hidden="1" x14ac:dyDescent="0.35">
      <c r="A1587">
        <f t="shared" si="49"/>
        <v>1586</v>
      </c>
      <c r="B1587">
        <v>2009</v>
      </c>
      <c r="C1587" t="s">
        <v>583</v>
      </c>
      <c r="D1587" t="s">
        <v>45</v>
      </c>
      <c r="E1587" t="s">
        <v>1429</v>
      </c>
      <c r="F1587" s="2">
        <v>320</v>
      </c>
      <c r="G1587" s="2">
        <v>2</v>
      </c>
      <c r="H1587" t="s">
        <v>686</v>
      </c>
      <c r="I1587" t="s">
        <v>687</v>
      </c>
      <c r="J1587" s="11">
        <v>903.08998699194353</v>
      </c>
      <c r="K1587" t="str">
        <f t="shared" si="48"/>
        <v>Debra Bounds</v>
      </c>
    </row>
    <row r="1588" spans="1:11" hidden="1" x14ac:dyDescent="0.35">
      <c r="A1588">
        <f t="shared" si="49"/>
        <v>1587</v>
      </c>
      <c r="B1588">
        <v>2009</v>
      </c>
      <c r="C1588" t="s">
        <v>583</v>
      </c>
      <c r="D1588" t="s">
        <v>45</v>
      </c>
      <c r="E1588" t="s">
        <v>1429</v>
      </c>
      <c r="F1588" s="2">
        <v>240</v>
      </c>
      <c r="G1588" s="2">
        <v>3</v>
      </c>
      <c r="H1588" t="s">
        <v>585</v>
      </c>
      <c r="I1588" t="s">
        <v>136</v>
      </c>
      <c r="J1588" s="11">
        <v>726.99872793626241</v>
      </c>
      <c r="K1588" t="str">
        <f t="shared" si="48"/>
        <v>John Pickels</v>
      </c>
    </row>
    <row r="1589" spans="1:11" hidden="1" x14ac:dyDescent="0.35">
      <c r="A1589">
        <f t="shared" si="49"/>
        <v>1588</v>
      </c>
      <c r="B1589">
        <v>2009</v>
      </c>
      <c r="C1589" t="s">
        <v>583</v>
      </c>
      <c r="D1589" t="s">
        <v>45</v>
      </c>
      <c r="E1589" t="s">
        <v>1429</v>
      </c>
      <c r="F1589" s="2">
        <v>160</v>
      </c>
      <c r="G1589" s="2">
        <v>4</v>
      </c>
      <c r="H1589" t="s">
        <v>689</v>
      </c>
      <c r="I1589" t="s">
        <v>61</v>
      </c>
      <c r="J1589" s="11">
        <v>602.05999132796239</v>
      </c>
      <c r="K1589" t="str">
        <f t="shared" si="48"/>
        <v>Len Forsyth</v>
      </c>
    </row>
    <row r="1590" spans="1:11" hidden="1" x14ac:dyDescent="0.35">
      <c r="A1590">
        <f t="shared" si="49"/>
        <v>1589</v>
      </c>
      <c r="B1590">
        <v>2009</v>
      </c>
      <c r="C1590" t="s">
        <v>583</v>
      </c>
      <c r="D1590" t="s">
        <v>45</v>
      </c>
      <c r="E1590" t="s">
        <v>1429</v>
      </c>
      <c r="F1590" s="18">
        <v>80</v>
      </c>
      <c r="G1590" s="2">
        <v>5</v>
      </c>
      <c r="H1590" t="s">
        <v>585</v>
      </c>
      <c r="I1590" t="s">
        <v>676</v>
      </c>
      <c r="J1590" s="11">
        <v>505.14997831990593</v>
      </c>
      <c r="K1590" t="str">
        <f t="shared" si="48"/>
        <v>Dianne Pickels</v>
      </c>
    </row>
    <row r="1591" spans="1:11" hidden="1" x14ac:dyDescent="0.35">
      <c r="A1591">
        <f t="shared" si="49"/>
        <v>1590</v>
      </c>
      <c r="B1591">
        <v>2009</v>
      </c>
      <c r="C1591" t="s">
        <v>583</v>
      </c>
      <c r="D1591" t="s">
        <v>680</v>
      </c>
      <c r="E1591" t="s">
        <v>1433</v>
      </c>
      <c r="F1591" s="2">
        <v>436.25</v>
      </c>
      <c r="G1591" s="2">
        <v>1</v>
      </c>
      <c r="H1591" t="s">
        <v>183</v>
      </c>
      <c r="I1591" t="s">
        <v>13</v>
      </c>
      <c r="J1591" s="11">
        <v>1230.4489213782738</v>
      </c>
      <c r="K1591" t="str">
        <f t="shared" si="48"/>
        <v>Tom White</v>
      </c>
    </row>
    <row r="1592" spans="1:11" hidden="1" x14ac:dyDescent="0.35">
      <c r="A1592">
        <f t="shared" si="49"/>
        <v>1591</v>
      </c>
      <c r="B1592">
        <v>2009</v>
      </c>
      <c r="C1592" t="s">
        <v>583</v>
      </c>
      <c r="D1592" t="s">
        <v>680</v>
      </c>
      <c r="E1592" t="s">
        <v>1433</v>
      </c>
      <c r="F1592" s="2">
        <v>436.25</v>
      </c>
      <c r="G1592" s="2">
        <v>2</v>
      </c>
      <c r="H1592" t="s">
        <v>681</v>
      </c>
      <c r="I1592" t="s">
        <v>13</v>
      </c>
      <c r="J1592" s="11">
        <v>929.41892571429264</v>
      </c>
      <c r="K1592" t="str">
        <f t="shared" si="48"/>
        <v>Tom Valentino</v>
      </c>
    </row>
    <row r="1593" spans="1:11" hidden="1" x14ac:dyDescent="0.35">
      <c r="A1593">
        <f t="shared" si="49"/>
        <v>1592</v>
      </c>
      <c r="B1593">
        <v>2009</v>
      </c>
      <c r="C1593" t="s">
        <v>583</v>
      </c>
      <c r="D1593" t="s">
        <v>680</v>
      </c>
      <c r="E1593" t="s">
        <v>1433</v>
      </c>
      <c r="F1593" s="2">
        <v>181.25</v>
      </c>
      <c r="G1593" s="2">
        <v>3</v>
      </c>
      <c r="H1593" t="s">
        <v>316</v>
      </c>
      <c r="I1593" t="s">
        <v>269</v>
      </c>
      <c r="J1593" s="11">
        <v>753.32766665861152</v>
      </c>
      <c r="K1593" t="str">
        <f t="shared" si="48"/>
        <v>Keith Troell</v>
      </c>
    </row>
    <row r="1594" spans="1:11" hidden="1" x14ac:dyDescent="0.35">
      <c r="A1594">
        <f t="shared" si="49"/>
        <v>1593</v>
      </c>
      <c r="B1594">
        <v>2009</v>
      </c>
      <c r="C1594" t="s">
        <v>583</v>
      </c>
      <c r="D1594" t="s">
        <v>680</v>
      </c>
      <c r="E1594" t="s">
        <v>1433</v>
      </c>
      <c r="F1594" s="2">
        <v>117.5</v>
      </c>
      <c r="G1594" s="2">
        <v>4</v>
      </c>
      <c r="H1594" t="s">
        <v>682</v>
      </c>
      <c r="I1594" t="s">
        <v>56</v>
      </c>
      <c r="J1594" s="11">
        <v>628.3889300503115</v>
      </c>
      <c r="K1594" t="str">
        <f t="shared" si="48"/>
        <v>Brandon Spears</v>
      </c>
    </row>
    <row r="1595" spans="1:11" hidden="1" x14ac:dyDescent="0.35">
      <c r="A1595">
        <f t="shared" si="49"/>
        <v>1594</v>
      </c>
      <c r="B1595">
        <v>2009</v>
      </c>
      <c r="C1595" t="s">
        <v>583</v>
      </c>
      <c r="D1595" t="s">
        <v>680</v>
      </c>
      <c r="E1595" t="s">
        <v>1433</v>
      </c>
      <c r="F1595" s="2">
        <v>103.75</v>
      </c>
      <c r="G1595" s="2">
        <v>5</v>
      </c>
      <c r="H1595" t="s">
        <v>684</v>
      </c>
      <c r="I1595" t="s">
        <v>521</v>
      </c>
      <c r="J1595" s="11">
        <v>531.47891704225503</v>
      </c>
      <c r="K1595" t="str">
        <f t="shared" si="48"/>
        <v>Chuck Bayne</v>
      </c>
    </row>
    <row r="1596" spans="1:11" hidden="1" x14ac:dyDescent="0.35">
      <c r="A1596">
        <f t="shared" si="49"/>
        <v>1595</v>
      </c>
      <c r="B1596">
        <v>2010</v>
      </c>
      <c r="C1596" t="s">
        <v>109</v>
      </c>
      <c r="D1596" t="s">
        <v>45</v>
      </c>
      <c r="E1596" t="s">
        <v>1429</v>
      </c>
      <c r="F1596" s="2">
        <v>3774</v>
      </c>
      <c r="G1596" s="2">
        <v>1</v>
      </c>
      <c r="H1596" t="s">
        <v>118</v>
      </c>
      <c r="I1596" t="s">
        <v>415</v>
      </c>
      <c r="J1596" s="11">
        <v>2045.3229787866576</v>
      </c>
      <c r="K1596" t="str">
        <f t="shared" si="48"/>
        <v>Pete Segal</v>
      </c>
    </row>
    <row r="1597" spans="1:11" hidden="1" x14ac:dyDescent="0.35">
      <c r="A1597">
        <f t="shared" si="49"/>
        <v>1596</v>
      </c>
      <c r="B1597">
        <v>2010</v>
      </c>
      <c r="C1597" t="s">
        <v>109</v>
      </c>
      <c r="D1597" t="s">
        <v>45</v>
      </c>
      <c r="E1597" t="s">
        <v>1429</v>
      </c>
      <c r="F1597" s="2">
        <v>1887</v>
      </c>
      <c r="G1597" s="2">
        <v>2</v>
      </c>
      <c r="H1597" t="s">
        <v>202</v>
      </c>
      <c r="I1597" t="s">
        <v>205</v>
      </c>
      <c r="J1597" s="11">
        <v>1744.2929831226763</v>
      </c>
      <c r="K1597" t="str">
        <f t="shared" si="48"/>
        <v>Ron Lyons</v>
      </c>
    </row>
    <row r="1598" spans="1:11" hidden="1" x14ac:dyDescent="0.35">
      <c r="A1598">
        <f t="shared" si="49"/>
        <v>1597</v>
      </c>
      <c r="B1598">
        <v>2010</v>
      </c>
      <c r="C1598" t="s">
        <v>109</v>
      </c>
      <c r="D1598" t="s">
        <v>45</v>
      </c>
      <c r="E1598" t="s">
        <v>1429</v>
      </c>
      <c r="F1598" s="2">
        <v>1110</v>
      </c>
      <c r="G1598" s="2">
        <v>3</v>
      </c>
      <c r="H1598" t="s">
        <v>170</v>
      </c>
      <c r="I1598" t="s">
        <v>171</v>
      </c>
      <c r="J1598" s="11">
        <v>1568.2017240669952</v>
      </c>
      <c r="K1598" t="str">
        <f t="shared" si="48"/>
        <v>Brenda Mowrey</v>
      </c>
    </row>
    <row r="1599" spans="1:11" hidden="1" x14ac:dyDescent="0.35">
      <c r="A1599">
        <f t="shared" si="49"/>
        <v>1598</v>
      </c>
      <c r="B1599">
        <v>2010</v>
      </c>
      <c r="C1599" t="s">
        <v>109</v>
      </c>
      <c r="D1599" t="s">
        <v>45</v>
      </c>
      <c r="E1599" t="s">
        <v>1429</v>
      </c>
      <c r="F1599" s="2">
        <v>888</v>
      </c>
      <c r="G1599" s="2">
        <v>4</v>
      </c>
      <c r="H1599" t="s">
        <v>567</v>
      </c>
      <c r="I1599" t="s">
        <v>568</v>
      </c>
      <c r="J1599" s="11">
        <v>1443.2629874586951</v>
      </c>
      <c r="K1599" t="str">
        <f t="shared" si="48"/>
        <v>Glenn Nickerson</v>
      </c>
    </row>
    <row r="1600" spans="1:11" hidden="1" x14ac:dyDescent="0.35">
      <c r="A1600">
        <f t="shared" si="49"/>
        <v>1599</v>
      </c>
      <c r="B1600">
        <v>2010</v>
      </c>
      <c r="C1600" t="s">
        <v>109</v>
      </c>
      <c r="D1600" t="s">
        <v>45</v>
      </c>
      <c r="E1600" t="s">
        <v>1429</v>
      </c>
      <c r="F1600" s="2">
        <v>665</v>
      </c>
      <c r="G1600" s="2">
        <v>5</v>
      </c>
      <c r="H1600" t="s">
        <v>570</v>
      </c>
      <c r="I1600" t="s">
        <v>571</v>
      </c>
      <c r="J1600" s="11">
        <v>1346.3529744506388</v>
      </c>
      <c r="K1600" t="str">
        <f t="shared" si="48"/>
        <v>Geraldine Worm</v>
      </c>
    </row>
    <row r="1601" spans="1:11" hidden="1" x14ac:dyDescent="0.35">
      <c r="A1601">
        <f t="shared" si="49"/>
        <v>1600</v>
      </c>
      <c r="B1601">
        <v>2010</v>
      </c>
      <c r="C1601" t="s">
        <v>109</v>
      </c>
      <c r="D1601" t="s">
        <v>45</v>
      </c>
      <c r="E1601" t="s">
        <v>1429</v>
      </c>
      <c r="F1601" s="2">
        <v>443</v>
      </c>
      <c r="G1601" s="2">
        <v>6</v>
      </c>
      <c r="H1601" t="s">
        <v>251</v>
      </c>
      <c r="I1601" t="s">
        <v>492</v>
      </c>
      <c r="J1601" s="11">
        <v>1267.171728403014</v>
      </c>
      <c r="K1601" t="str">
        <f t="shared" si="48"/>
        <v>William Lewis</v>
      </c>
    </row>
    <row r="1602" spans="1:11" hidden="1" x14ac:dyDescent="0.35">
      <c r="A1602">
        <f t="shared" si="49"/>
        <v>1601</v>
      </c>
      <c r="B1602">
        <v>2010</v>
      </c>
      <c r="C1602" t="s">
        <v>109</v>
      </c>
      <c r="D1602" t="s">
        <v>45</v>
      </c>
      <c r="E1602" t="s">
        <v>1429</v>
      </c>
      <c r="F1602" s="2">
        <v>332</v>
      </c>
      <c r="G1602" s="2">
        <v>7</v>
      </c>
      <c r="H1602" t="s">
        <v>161</v>
      </c>
      <c r="I1602" t="s">
        <v>200</v>
      </c>
      <c r="J1602" s="11">
        <v>1200.2249387724007</v>
      </c>
      <c r="K1602" t="str">
        <f t="shared" ref="K1602:K1665" si="50">I1602&amp;" "&amp;H1602</f>
        <v>Rick Becker</v>
      </c>
    </row>
    <row r="1603" spans="1:11" hidden="1" x14ac:dyDescent="0.35">
      <c r="A1603">
        <f t="shared" si="49"/>
        <v>1602</v>
      </c>
      <c r="B1603">
        <v>2010</v>
      </c>
      <c r="C1603" t="s">
        <v>109</v>
      </c>
      <c r="D1603" t="s">
        <v>45</v>
      </c>
      <c r="E1603" t="s">
        <v>1429</v>
      </c>
      <c r="F1603" s="2">
        <v>277</v>
      </c>
      <c r="G1603" s="2">
        <v>8</v>
      </c>
      <c r="H1603" t="s">
        <v>558</v>
      </c>
      <c r="I1603" t="s">
        <v>79</v>
      </c>
      <c r="J1603" s="11">
        <v>1142.2329917947141</v>
      </c>
      <c r="K1603" t="str">
        <f t="shared" si="50"/>
        <v>Kevin Conlon</v>
      </c>
    </row>
    <row r="1604" spans="1:11" hidden="1" x14ac:dyDescent="0.35">
      <c r="A1604">
        <f t="shared" ref="A1604:A1667" si="51">A1603+1</f>
        <v>1603</v>
      </c>
      <c r="B1604">
        <v>2010</v>
      </c>
      <c r="C1604" t="s">
        <v>109</v>
      </c>
      <c r="D1604" t="s">
        <v>45</v>
      </c>
      <c r="E1604" t="s">
        <v>1429</v>
      </c>
      <c r="F1604" s="2">
        <v>221</v>
      </c>
      <c r="G1604" s="2">
        <v>9</v>
      </c>
      <c r="H1604" t="s">
        <v>15</v>
      </c>
      <c r="I1604" t="s">
        <v>16</v>
      </c>
      <c r="J1604" s="11">
        <v>1091.0804693473328</v>
      </c>
      <c r="K1604" t="str">
        <f t="shared" si="50"/>
        <v>David Kluchman</v>
      </c>
    </row>
    <row r="1605" spans="1:11" hidden="1" x14ac:dyDescent="0.35">
      <c r="A1605">
        <f t="shared" si="51"/>
        <v>1604</v>
      </c>
      <c r="B1605">
        <v>2010</v>
      </c>
      <c r="C1605" t="s">
        <v>109</v>
      </c>
      <c r="D1605" t="s">
        <v>45</v>
      </c>
      <c r="E1605" t="s">
        <v>1429</v>
      </c>
      <c r="F1605" s="2">
        <v>167</v>
      </c>
      <c r="G1605" s="2">
        <v>10</v>
      </c>
      <c r="H1605" t="s">
        <v>238</v>
      </c>
      <c r="I1605" t="s">
        <v>16</v>
      </c>
      <c r="J1605" s="11">
        <v>1045.3229787866576</v>
      </c>
      <c r="K1605" t="str">
        <f t="shared" si="50"/>
        <v>David Kuznick</v>
      </c>
    </row>
    <row r="1606" spans="1:11" hidden="1" x14ac:dyDescent="0.35">
      <c r="A1606">
        <f t="shared" si="51"/>
        <v>1605</v>
      </c>
      <c r="B1606">
        <v>2010</v>
      </c>
      <c r="C1606" t="s">
        <v>109</v>
      </c>
      <c r="D1606" t="s">
        <v>45</v>
      </c>
      <c r="E1606" t="s">
        <v>1429</v>
      </c>
      <c r="F1606" s="2">
        <v>167</v>
      </c>
      <c r="G1606" s="2">
        <v>11</v>
      </c>
      <c r="H1606" t="s">
        <v>563</v>
      </c>
      <c r="I1606" t="s">
        <v>564</v>
      </c>
      <c r="J1606" s="11">
        <v>1003.9302936284324</v>
      </c>
      <c r="K1606" t="str">
        <f t="shared" si="50"/>
        <v>Leslie Schenkel</v>
      </c>
    </row>
    <row r="1607" spans="1:11" hidden="1" x14ac:dyDescent="0.35">
      <c r="A1607">
        <f t="shared" si="51"/>
        <v>1606</v>
      </c>
      <c r="B1607">
        <v>2010</v>
      </c>
      <c r="C1607" t="s">
        <v>109</v>
      </c>
      <c r="D1607" t="s">
        <v>45</v>
      </c>
      <c r="E1607" t="s">
        <v>1429</v>
      </c>
      <c r="F1607" s="2">
        <v>167</v>
      </c>
      <c r="G1607" s="2">
        <v>12</v>
      </c>
      <c r="H1607" t="s">
        <v>220</v>
      </c>
      <c r="I1607" t="s">
        <v>421</v>
      </c>
      <c r="J1607" s="11">
        <v>966.1417327390327</v>
      </c>
      <c r="K1607" t="str">
        <f t="shared" si="50"/>
        <v>Bill Chen</v>
      </c>
    </row>
    <row r="1608" spans="1:11" hidden="1" x14ac:dyDescent="0.35">
      <c r="A1608">
        <f t="shared" si="51"/>
        <v>1607</v>
      </c>
      <c r="B1608">
        <v>2010</v>
      </c>
      <c r="C1608" t="s">
        <v>109</v>
      </c>
      <c r="D1608" t="s">
        <v>45</v>
      </c>
      <c r="E1608" t="s">
        <v>1429</v>
      </c>
      <c r="F1608" s="2">
        <v>167</v>
      </c>
      <c r="G1608" s="2">
        <v>13</v>
      </c>
      <c r="H1608" t="s">
        <v>574</v>
      </c>
      <c r="I1608" t="s">
        <v>388</v>
      </c>
      <c r="J1608" s="11">
        <v>931.3796264798209</v>
      </c>
      <c r="K1608" t="str">
        <f t="shared" si="50"/>
        <v>Charles Hennessey</v>
      </c>
    </row>
    <row r="1609" spans="1:11" hidden="1" x14ac:dyDescent="0.35">
      <c r="A1609">
        <f t="shared" si="51"/>
        <v>1608</v>
      </c>
      <c r="B1609">
        <v>2010</v>
      </c>
      <c r="C1609" t="s">
        <v>109</v>
      </c>
      <c r="D1609" t="s">
        <v>45</v>
      </c>
      <c r="E1609" t="s">
        <v>1429</v>
      </c>
      <c r="F1609" s="2">
        <v>167</v>
      </c>
      <c r="G1609" s="2">
        <v>14</v>
      </c>
      <c r="H1609" t="s">
        <v>363</v>
      </c>
      <c r="I1609" t="s">
        <v>364</v>
      </c>
      <c r="J1609" s="11">
        <v>899.19494310841958</v>
      </c>
      <c r="K1609" t="str">
        <f t="shared" si="50"/>
        <v>Warren Sander</v>
      </c>
    </row>
    <row r="1610" spans="1:11" hidden="1" x14ac:dyDescent="0.35">
      <c r="A1610">
        <f t="shared" si="51"/>
        <v>1609</v>
      </c>
      <c r="B1610">
        <v>2010</v>
      </c>
      <c r="C1610" t="s">
        <v>109</v>
      </c>
      <c r="D1610" t="s">
        <v>45</v>
      </c>
      <c r="E1610" t="s">
        <v>1429</v>
      </c>
      <c r="F1610" s="2">
        <v>167</v>
      </c>
      <c r="G1610" s="2">
        <v>15</v>
      </c>
      <c r="H1610" t="s">
        <v>576</v>
      </c>
      <c r="I1610" t="s">
        <v>218</v>
      </c>
      <c r="J1610" s="11">
        <v>869.23171973097624</v>
      </c>
      <c r="K1610" t="str">
        <f t="shared" si="50"/>
        <v>Michael Morris</v>
      </c>
    </row>
    <row r="1611" spans="1:11" hidden="1" x14ac:dyDescent="0.35">
      <c r="A1611">
        <f t="shared" si="51"/>
        <v>1610</v>
      </c>
      <c r="B1611">
        <v>2010</v>
      </c>
      <c r="C1611" t="s">
        <v>109</v>
      </c>
      <c r="D1611" t="s">
        <v>45</v>
      </c>
      <c r="E1611" t="s">
        <v>1429</v>
      </c>
      <c r="F1611" s="2">
        <v>167</v>
      </c>
      <c r="G1611" s="2">
        <v>16</v>
      </c>
      <c r="H1611" t="s">
        <v>578</v>
      </c>
      <c r="I1611" t="s">
        <v>480</v>
      </c>
      <c r="J1611" s="11">
        <v>841.2029961307328</v>
      </c>
      <c r="K1611" t="str">
        <f t="shared" si="50"/>
        <v>James Greco</v>
      </c>
    </row>
    <row r="1612" spans="1:11" hidden="1" x14ac:dyDescent="0.35">
      <c r="A1612">
        <f t="shared" si="51"/>
        <v>1611</v>
      </c>
      <c r="B1612">
        <v>2010</v>
      </c>
      <c r="C1612" t="s">
        <v>109</v>
      </c>
      <c r="D1612" t="s">
        <v>45</v>
      </c>
      <c r="E1612" t="s">
        <v>1429</v>
      </c>
      <c r="F1612" s="2">
        <v>167</v>
      </c>
      <c r="G1612" s="2">
        <v>17</v>
      </c>
      <c r="H1612" t="s">
        <v>23</v>
      </c>
      <c r="I1612" t="s">
        <v>13</v>
      </c>
      <c r="J1612" s="11">
        <v>814.87405740838369</v>
      </c>
      <c r="K1612" t="str">
        <f t="shared" si="50"/>
        <v>Tom Hummel</v>
      </c>
    </row>
    <row r="1613" spans="1:11" hidden="1" x14ac:dyDescent="0.35">
      <c r="A1613">
        <f t="shared" si="51"/>
        <v>1612</v>
      </c>
      <c r="B1613">
        <v>2010</v>
      </c>
      <c r="C1613" t="s">
        <v>109</v>
      </c>
      <c r="D1613" t="s">
        <v>45</v>
      </c>
      <c r="E1613" t="s">
        <v>1429</v>
      </c>
      <c r="F1613" s="2">
        <v>167</v>
      </c>
      <c r="G1613" s="2">
        <v>18</v>
      </c>
      <c r="H1613" t="s">
        <v>580</v>
      </c>
      <c r="I1613" t="s">
        <v>153</v>
      </c>
      <c r="J1613" s="11">
        <v>790.05047368335158</v>
      </c>
      <c r="K1613" t="str">
        <f t="shared" si="50"/>
        <v>Stephen Cohen</v>
      </c>
    </row>
    <row r="1614" spans="1:11" hidden="1" x14ac:dyDescent="0.35">
      <c r="A1614">
        <f t="shared" si="51"/>
        <v>1613</v>
      </c>
      <c r="B1614">
        <v>2010</v>
      </c>
      <c r="C1614" t="s">
        <v>109</v>
      </c>
      <c r="D1614" t="s">
        <v>582</v>
      </c>
      <c r="E1614" t="s">
        <v>1434</v>
      </c>
      <c r="F1614" s="2">
        <v>1890</v>
      </c>
      <c r="G1614" s="2">
        <v>1</v>
      </c>
      <c r="H1614" t="s">
        <v>12</v>
      </c>
      <c r="I1614" t="s">
        <v>13</v>
      </c>
      <c r="J1614" s="11">
        <v>1623.2492903979005</v>
      </c>
      <c r="K1614" t="str">
        <f t="shared" si="50"/>
        <v>Tom Bessoir</v>
      </c>
    </row>
    <row r="1615" spans="1:11" hidden="1" x14ac:dyDescent="0.35">
      <c r="A1615">
        <f t="shared" si="51"/>
        <v>1614</v>
      </c>
      <c r="B1615">
        <v>2010</v>
      </c>
      <c r="C1615" t="s">
        <v>109</v>
      </c>
      <c r="D1615" t="s">
        <v>582</v>
      </c>
      <c r="E1615" t="s">
        <v>1434</v>
      </c>
      <c r="F1615" s="2">
        <v>1050</v>
      </c>
      <c r="G1615" s="2">
        <v>2</v>
      </c>
      <c r="H1615" t="s">
        <v>320</v>
      </c>
      <c r="I1615" t="s">
        <v>321</v>
      </c>
      <c r="J1615" s="11">
        <v>1322.2192947339192</v>
      </c>
      <c r="K1615" t="str">
        <f t="shared" si="50"/>
        <v>Tina Gonzalez</v>
      </c>
    </row>
    <row r="1616" spans="1:11" hidden="1" x14ac:dyDescent="0.35">
      <c r="A1616">
        <f t="shared" si="51"/>
        <v>1615</v>
      </c>
      <c r="B1616">
        <v>2010</v>
      </c>
      <c r="C1616" t="s">
        <v>109</v>
      </c>
      <c r="D1616" t="s">
        <v>582</v>
      </c>
      <c r="E1616" t="s">
        <v>1434</v>
      </c>
      <c r="F1616" s="2">
        <v>630</v>
      </c>
      <c r="G1616" s="2">
        <v>3</v>
      </c>
      <c r="H1616" t="s">
        <v>248</v>
      </c>
      <c r="I1616" t="s">
        <v>249</v>
      </c>
      <c r="J1616" s="11">
        <v>1146.1280356782381</v>
      </c>
      <c r="K1616" t="str">
        <f t="shared" si="50"/>
        <v>Ross Poppel</v>
      </c>
    </row>
    <row r="1617" spans="1:11" hidden="1" x14ac:dyDescent="0.35">
      <c r="A1617">
        <f t="shared" si="51"/>
        <v>1616</v>
      </c>
      <c r="B1617">
        <v>2010</v>
      </c>
      <c r="C1617" t="s">
        <v>109</v>
      </c>
      <c r="D1617" t="s">
        <v>582</v>
      </c>
      <c r="E1617" t="s">
        <v>1434</v>
      </c>
      <c r="F1617" s="2">
        <v>420</v>
      </c>
      <c r="G1617" s="2">
        <v>4</v>
      </c>
      <c r="H1617" t="s">
        <v>2539</v>
      </c>
      <c r="I1617" t="s">
        <v>28</v>
      </c>
      <c r="J1617" s="11">
        <v>1021.1892990699382</v>
      </c>
      <c r="K1617" t="str">
        <f t="shared" si="50"/>
        <v>Chris O’Connor</v>
      </c>
    </row>
    <row r="1618" spans="1:11" hidden="1" x14ac:dyDescent="0.35">
      <c r="A1618">
        <f t="shared" si="51"/>
        <v>1617</v>
      </c>
      <c r="B1618">
        <v>2010</v>
      </c>
      <c r="C1618" t="s">
        <v>109</v>
      </c>
      <c r="D1618" t="s">
        <v>582</v>
      </c>
      <c r="E1618" t="s">
        <v>1434</v>
      </c>
      <c r="F1618" s="2">
        <v>210</v>
      </c>
      <c r="G1618" s="2">
        <v>5</v>
      </c>
      <c r="H1618" t="s">
        <v>16</v>
      </c>
      <c r="I1618" t="s">
        <v>59</v>
      </c>
      <c r="J1618" s="11">
        <v>924.27928606188175</v>
      </c>
      <c r="K1618" t="str">
        <f t="shared" si="50"/>
        <v>Jeanne David</v>
      </c>
    </row>
    <row r="1619" spans="1:11" hidden="1" x14ac:dyDescent="0.35">
      <c r="A1619">
        <f t="shared" si="51"/>
        <v>1618</v>
      </c>
      <c r="B1619">
        <v>2010</v>
      </c>
      <c r="C1619" t="s">
        <v>109</v>
      </c>
      <c r="D1619" t="s">
        <v>582</v>
      </c>
      <c r="E1619" t="s">
        <v>1434</v>
      </c>
      <c r="F1619" s="2">
        <v>120</v>
      </c>
      <c r="G1619" s="2">
        <v>6</v>
      </c>
      <c r="H1619" t="s">
        <v>118</v>
      </c>
      <c r="I1619" t="s">
        <v>415</v>
      </c>
      <c r="J1619" s="11">
        <v>845.09804001425687</v>
      </c>
      <c r="K1619" t="str">
        <f t="shared" si="50"/>
        <v>Pete Segal</v>
      </c>
    </row>
    <row r="1620" spans="1:11" hidden="1" x14ac:dyDescent="0.35">
      <c r="A1620">
        <f t="shared" si="51"/>
        <v>1619</v>
      </c>
      <c r="B1620">
        <v>2010</v>
      </c>
      <c r="C1620" t="s">
        <v>109</v>
      </c>
      <c r="D1620" t="s">
        <v>110</v>
      </c>
      <c r="E1620" t="s">
        <v>1430</v>
      </c>
      <c r="F1620" s="2">
        <v>2664</v>
      </c>
      <c r="G1620" s="1">
        <v>1</v>
      </c>
      <c r="H1620" t="s">
        <v>161</v>
      </c>
      <c r="I1620" t="s">
        <v>162</v>
      </c>
      <c r="J1620" s="11">
        <v>1875.0612633917001</v>
      </c>
      <c r="K1620" t="str">
        <f t="shared" si="50"/>
        <v>Tracy Becker</v>
      </c>
    </row>
    <row r="1621" spans="1:11" hidden="1" x14ac:dyDescent="0.35">
      <c r="A1621">
        <f t="shared" si="51"/>
        <v>1620</v>
      </c>
      <c r="B1621">
        <v>2010</v>
      </c>
      <c r="C1621" t="s">
        <v>109</v>
      </c>
      <c r="D1621" t="s">
        <v>110</v>
      </c>
      <c r="E1621" t="s">
        <v>1430</v>
      </c>
      <c r="F1621" s="2">
        <v>1480</v>
      </c>
      <c r="G1621" s="1">
        <v>2</v>
      </c>
      <c r="H1621" t="s">
        <v>2539</v>
      </c>
      <c r="I1621" t="s">
        <v>28</v>
      </c>
      <c r="J1621" s="11">
        <v>1574.0312677277188</v>
      </c>
      <c r="K1621" t="str">
        <f t="shared" si="50"/>
        <v>Chris O’Connor</v>
      </c>
    </row>
    <row r="1622" spans="1:11" hidden="1" x14ac:dyDescent="0.35">
      <c r="A1622">
        <f t="shared" si="51"/>
        <v>1621</v>
      </c>
      <c r="B1622">
        <v>2010</v>
      </c>
      <c r="C1622" t="s">
        <v>109</v>
      </c>
      <c r="D1622" t="s">
        <v>110</v>
      </c>
      <c r="E1622" t="s">
        <v>1430</v>
      </c>
      <c r="F1622" s="2">
        <v>814</v>
      </c>
      <c r="G1622" s="1">
        <v>3</v>
      </c>
      <c r="H1622" t="s">
        <v>558</v>
      </c>
      <c r="I1622" t="s">
        <v>79</v>
      </c>
      <c r="J1622" s="11">
        <v>1397.9400086720377</v>
      </c>
      <c r="K1622" t="str">
        <f t="shared" si="50"/>
        <v>Kevin Conlon</v>
      </c>
    </row>
    <row r="1623" spans="1:11" hidden="1" x14ac:dyDescent="0.35">
      <c r="A1623">
        <f t="shared" si="51"/>
        <v>1622</v>
      </c>
      <c r="B1623">
        <v>2010</v>
      </c>
      <c r="C1623" t="s">
        <v>109</v>
      </c>
      <c r="D1623" t="s">
        <v>110</v>
      </c>
      <c r="E1623" t="s">
        <v>1430</v>
      </c>
      <c r="F1623" s="2">
        <v>629</v>
      </c>
      <c r="G1623" s="1">
        <v>4</v>
      </c>
      <c r="H1623" t="s">
        <v>27</v>
      </c>
      <c r="I1623" t="s">
        <v>28</v>
      </c>
      <c r="J1623" s="11">
        <v>1273.0012720637376</v>
      </c>
      <c r="K1623" t="str">
        <f t="shared" si="50"/>
        <v>Chris Richards</v>
      </c>
    </row>
    <row r="1624" spans="1:11" hidden="1" x14ac:dyDescent="0.35">
      <c r="A1624">
        <f t="shared" si="51"/>
        <v>1623</v>
      </c>
      <c r="B1624">
        <v>2010</v>
      </c>
      <c r="C1624" t="s">
        <v>109</v>
      </c>
      <c r="D1624" t="s">
        <v>110</v>
      </c>
      <c r="E1624" t="s">
        <v>1430</v>
      </c>
      <c r="F1624" s="2">
        <v>555</v>
      </c>
      <c r="G1624" s="1">
        <v>5</v>
      </c>
      <c r="H1624" t="s">
        <v>436</v>
      </c>
      <c r="I1624" t="s">
        <v>16</v>
      </c>
      <c r="J1624" s="11">
        <v>1176.0912590556813</v>
      </c>
      <c r="K1624" t="str">
        <f t="shared" si="50"/>
        <v>David Coates</v>
      </c>
    </row>
    <row r="1625" spans="1:11" hidden="1" x14ac:dyDescent="0.35">
      <c r="A1625">
        <f t="shared" si="51"/>
        <v>1624</v>
      </c>
      <c r="B1625">
        <v>2010</v>
      </c>
      <c r="C1625" t="s">
        <v>109</v>
      </c>
      <c r="D1625" t="s">
        <v>110</v>
      </c>
      <c r="E1625" t="s">
        <v>1430</v>
      </c>
      <c r="F1625" s="2">
        <v>481</v>
      </c>
      <c r="G1625" s="1">
        <v>6</v>
      </c>
      <c r="H1625" t="s">
        <v>561</v>
      </c>
      <c r="I1625" t="s">
        <v>562</v>
      </c>
      <c r="J1625" s="11">
        <v>1096.9100130080565</v>
      </c>
      <c r="K1625" t="str">
        <f t="shared" si="50"/>
        <v>Kenneth Umansky</v>
      </c>
    </row>
    <row r="1626" spans="1:11" hidden="1" x14ac:dyDescent="0.35">
      <c r="A1626">
        <f t="shared" si="51"/>
        <v>1625</v>
      </c>
      <c r="B1626">
        <v>2010</v>
      </c>
      <c r="C1626" t="s">
        <v>109</v>
      </c>
      <c r="D1626" t="s">
        <v>110</v>
      </c>
      <c r="E1626" t="s">
        <v>1430</v>
      </c>
      <c r="F1626" s="2">
        <v>333</v>
      </c>
      <c r="G1626" s="1">
        <v>7</v>
      </c>
      <c r="H1626" t="s">
        <v>563</v>
      </c>
      <c r="I1626" t="s">
        <v>564</v>
      </c>
      <c r="J1626" s="11">
        <v>1029.9632233774432</v>
      </c>
      <c r="K1626" t="str">
        <f t="shared" si="50"/>
        <v>Leslie Schenkel</v>
      </c>
    </row>
    <row r="1627" spans="1:11" hidden="1" x14ac:dyDescent="0.35">
      <c r="A1627">
        <f t="shared" si="51"/>
        <v>1626</v>
      </c>
      <c r="B1627">
        <v>2010</v>
      </c>
      <c r="C1627" t="s">
        <v>109</v>
      </c>
      <c r="D1627" t="s">
        <v>110</v>
      </c>
      <c r="E1627" t="s">
        <v>1430</v>
      </c>
      <c r="F1627" s="2">
        <v>259</v>
      </c>
      <c r="G1627" s="1">
        <v>8</v>
      </c>
      <c r="H1627" t="s">
        <v>566</v>
      </c>
      <c r="I1627" t="s">
        <v>353</v>
      </c>
      <c r="J1627" s="11">
        <v>971.97127639975656</v>
      </c>
      <c r="K1627" t="str">
        <f t="shared" si="50"/>
        <v>Frank Lorusso</v>
      </c>
    </row>
    <row r="1628" spans="1:11" hidden="1" x14ac:dyDescent="0.35">
      <c r="A1628">
        <f t="shared" si="51"/>
        <v>1627</v>
      </c>
      <c r="B1628">
        <v>2010</v>
      </c>
      <c r="C1628" t="s">
        <v>109</v>
      </c>
      <c r="D1628" t="s">
        <v>110</v>
      </c>
      <c r="E1628" t="s">
        <v>1430</v>
      </c>
      <c r="F1628" s="2">
        <v>185</v>
      </c>
      <c r="G1628" s="1">
        <v>9</v>
      </c>
      <c r="H1628" t="s">
        <v>116</v>
      </c>
      <c r="I1628" t="s">
        <v>489</v>
      </c>
      <c r="J1628" s="11">
        <v>920.81875395237523</v>
      </c>
      <c r="K1628" t="str">
        <f t="shared" si="50"/>
        <v>Donna Kracinovich</v>
      </c>
    </row>
    <row r="1629" spans="1:11" hidden="1" x14ac:dyDescent="0.35">
      <c r="A1629">
        <f t="shared" si="51"/>
        <v>1628</v>
      </c>
      <c r="B1629">
        <v>2010</v>
      </c>
      <c r="C1629" t="s">
        <v>263</v>
      </c>
      <c r="D1629" t="s">
        <v>592</v>
      </c>
      <c r="E1629" t="s">
        <v>1430</v>
      </c>
      <c r="F1629" s="2">
        <v>1800</v>
      </c>
      <c r="G1629" s="2">
        <v>1</v>
      </c>
      <c r="H1629" t="s">
        <v>593</v>
      </c>
      <c r="I1629" t="s">
        <v>139</v>
      </c>
      <c r="J1629" s="11">
        <v>1982.2712330395684</v>
      </c>
      <c r="K1629" t="str">
        <f t="shared" si="50"/>
        <v>Mark Trombley</v>
      </c>
    </row>
    <row r="1630" spans="1:11" hidden="1" x14ac:dyDescent="0.35">
      <c r="A1630">
        <f t="shared" si="51"/>
        <v>1629</v>
      </c>
      <c r="B1630">
        <v>2010</v>
      </c>
      <c r="C1630" t="s">
        <v>263</v>
      </c>
      <c r="D1630" t="s">
        <v>592</v>
      </c>
      <c r="E1630" t="s">
        <v>1430</v>
      </c>
      <c r="F1630" s="2">
        <v>1440</v>
      </c>
      <c r="G1630" s="2">
        <v>2</v>
      </c>
      <c r="H1630" t="s">
        <v>595</v>
      </c>
      <c r="I1630" t="s">
        <v>28</v>
      </c>
      <c r="J1630" s="11">
        <v>1681.2412373755872</v>
      </c>
      <c r="K1630" t="str">
        <f t="shared" si="50"/>
        <v>Chris Straghalis</v>
      </c>
    </row>
    <row r="1631" spans="1:11" hidden="1" x14ac:dyDescent="0.35">
      <c r="A1631">
        <f t="shared" si="51"/>
        <v>1630</v>
      </c>
      <c r="B1631">
        <v>2010</v>
      </c>
      <c r="C1631" t="s">
        <v>263</v>
      </c>
      <c r="D1631" t="s">
        <v>592</v>
      </c>
      <c r="E1631" t="s">
        <v>1430</v>
      </c>
      <c r="F1631" s="2">
        <v>1080</v>
      </c>
      <c r="G1631" s="2">
        <v>3</v>
      </c>
      <c r="H1631" t="s">
        <v>74</v>
      </c>
      <c r="I1631" t="s">
        <v>75</v>
      </c>
      <c r="J1631" s="11">
        <v>1505.149978319906</v>
      </c>
      <c r="K1631" t="str">
        <f t="shared" si="50"/>
        <v>Sabyl Landrum</v>
      </c>
    </row>
    <row r="1632" spans="1:11" hidden="1" x14ac:dyDescent="0.35">
      <c r="A1632">
        <f t="shared" si="51"/>
        <v>1631</v>
      </c>
      <c r="B1632">
        <v>2010</v>
      </c>
      <c r="C1632" t="s">
        <v>263</v>
      </c>
      <c r="D1632" t="s">
        <v>592</v>
      </c>
      <c r="E1632" t="s">
        <v>1430</v>
      </c>
      <c r="F1632" s="2">
        <v>860</v>
      </c>
      <c r="G1632" s="2">
        <v>4</v>
      </c>
      <c r="H1632" t="s">
        <v>326</v>
      </c>
      <c r="I1632" t="s">
        <v>327</v>
      </c>
      <c r="J1632" s="11">
        <v>1380.2112417116059</v>
      </c>
      <c r="K1632" t="str">
        <f t="shared" si="50"/>
        <v>Carol Kline</v>
      </c>
    </row>
    <row r="1633" spans="1:11" hidden="1" x14ac:dyDescent="0.35">
      <c r="A1633">
        <f t="shared" si="51"/>
        <v>1632</v>
      </c>
      <c r="B1633">
        <v>2010</v>
      </c>
      <c r="C1633" t="s">
        <v>263</v>
      </c>
      <c r="D1633" t="s">
        <v>592</v>
      </c>
      <c r="E1633" t="s">
        <v>1430</v>
      </c>
      <c r="F1633" s="2">
        <v>720</v>
      </c>
      <c r="G1633" s="2">
        <v>5</v>
      </c>
      <c r="H1633" t="s">
        <v>597</v>
      </c>
      <c r="I1633" t="s">
        <v>598</v>
      </c>
      <c r="J1633" s="11">
        <v>1283.3012287035497</v>
      </c>
      <c r="K1633" t="str">
        <f t="shared" si="50"/>
        <v>Lou Krieger</v>
      </c>
    </row>
    <row r="1634" spans="1:11" hidden="1" x14ac:dyDescent="0.35">
      <c r="A1634">
        <f t="shared" si="51"/>
        <v>1633</v>
      </c>
      <c r="B1634">
        <v>2010</v>
      </c>
      <c r="C1634" t="s">
        <v>263</v>
      </c>
      <c r="D1634" t="s">
        <v>592</v>
      </c>
      <c r="E1634" t="s">
        <v>1430</v>
      </c>
      <c r="F1634" s="2">
        <v>580</v>
      </c>
      <c r="G1634" s="2">
        <v>6</v>
      </c>
      <c r="H1634" t="s">
        <v>97</v>
      </c>
      <c r="I1634" t="s">
        <v>98</v>
      </c>
      <c r="J1634" s="11">
        <v>1204.1199826559248</v>
      </c>
      <c r="K1634" t="str">
        <f t="shared" si="50"/>
        <v>Ryan Troll</v>
      </c>
    </row>
    <row r="1635" spans="1:11" hidden="1" x14ac:dyDescent="0.35">
      <c r="A1635">
        <f t="shared" si="51"/>
        <v>1634</v>
      </c>
      <c r="B1635">
        <v>2010</v>
      </c>
      <c r="C1635" t="s">
        <v>263</v>
      </c>
      <c r="D1635" t="s">
        <v>592</v>
      </c>
      <c r="E1635" t="s">
        <v>1430</v>
      </c>
      <c r="F1635" s="2">
        <v>430</v>
      </c>
      <c r="G1635" s="2">
        <v>7</v>
      </c>
      <c r="H1635" t="s">
        <v>217</v>
      </c>
      <c r="I1635" t="s">
        <v>218</v>
      </c>
      <c r="J1635" s="11">
        <v>1137.1731930253115</v>
      </c>
      <c r="K1635" t="str">
        <f t="shared" si="50"/>
        <v>Michael Patterson</v>
      </c>
    </row>
    <row r="1636" spans="1:11" hidden="1" x14ac:dyDescent="0.35">
      <c r="A1636">
        <f t="shared" si="51"/>
        <v>1635</v>
      </c>
      <c r="B1636">
        <v>2010</v>
      </c>
      <c r="C1636" t="s">
        <v>263</v>
      </c>
      <c r="D1636" t="s">
        <v>592</v>
      </c>
      <c r="E1636" t="s">
        <v>1430</v>
      </c>
      <c r="F1636" s="2">
        <v>290</v>
      </c>
      <c r="G1636" s="2">
        <v>8</v>
      </c>
      <c r="H1636" t="s">
        <v>1459</v>
      </c>
      <c r="I1636" t="s">
        <v>516</v>
      </c>
      <c r="J1636" s="11">
        <v>1079.1812460476249</v>
      </c>
      <c r="K1636" t="str">
        <f t="shared" si="50"/>
        <v>Erin Ramsay</v>
      </c>
    </row>
    <row r="1637" spans="1:11" hidden="1" x14ac:dyDescent="0.35">
      <c r="A1637">
        <f t="shared" si="51"/>
        <v>1636</v>
      </c>
      <c r="B1637">
        <v>2010</v>
      </c>
      <c r="C1637" t="s">
        <v>263</v>
      </c>
      <c r="D1637" t="s">
        <v>591</v>
      </c>
      <c r="E1637" t="s">
        <v>591</v>
      </c>
      <c r="F1637" s="2">
        <v>950</v>
      </c>
      <c r="G1637" s="2">
        <v>1</v>
      </c>
      <c r="H1637" t="s">
        <v>323</v>
      </c>
      <c r="I1637" t="s">
        <v>324</v>
      </c>
      <c r="J1637" s="11">
        <v>1880.8135922807915</v>
      </c>
      <c r="K1637" t="str">
        <f t="shared" si="50"/>
        <v>Andrew Prock</v>
      </c>
    </row>
    <row r="1638" spans="1:11" hidden="1" x14ac:dyDescent="0.35">
      <c r="A1638">
        <f t="shared" si="51"/>
        <v>1637</v>
      </c>
      <c r="B1638">
        <v>2010</v>
      </c>
      <c r="C1638" t="s">
        <v>263</v>
      </c>
      <c r="D1638" t="s">
        <v>591</v>
      </c>
      <c r="E1638" t="s">
        <v>591</v>
      </c>
      <c r="F1638" s="2">
        <v>760</v>
      </c>
      <c r="G1638" s="2">
        <v>2</v>
      </c>
      <c r="H1638" t="s">
        <v>266</v>
      </c>
      <c r="I1638" t="s">
        <v>28</v>
      </c>
      <c r="J1638" s="11">
        <v>1579.7835966168102</v>
      </c>
      <c r="K1638" t="str">
        <f t="shared" si="50"/>
        <v>Chris Mecklin</v>
      </c>
    </row>
    <row r="1639" spans="1:11" hidden="1" x14ac:dyDescent="0.35">
      <c r="A1639">
        <f t="shared" si="51"/>
        <v>1638</v>
      </c>
      <c r="B1639">
        <v>2010</v>
      </c>
      <c r="C1639" t="s">
        <v>263</v>
      </c>
      <c r="D1639" t="s">
        <v>591</v>
      </c>
      <c r="E1639" t="s">
        <v>591</v>
      </c>
      <c r="F1639" s="2">
        <v>570</v>
      </c>
      <c r="G1639" s="2">
        <v>3</v>
      </c>
      <c r="H1639" t="s">
        <v>21</v>
      </c>
      <c r="I1639" t="s">
        <v>463</v>
      </c>
      <c r="J1639" s="11">
        <v>1403.6923375611291</v>
      </c>
      <c r="K1639" t="str">
        <f t="shared" si="50"/>
        <v>Richard Bremer</v>
      </c>
    </row>
    <row r="1640" spans="1:11" hidden="1" x14ac:dyDescent="0.35">
      <c r="A1640">
        <f t="shared" si="51"/>
        <v>1639</v>
      </c>
      <c r="B1640">
        <v>2010</v>
      </c>
      <c r="C1640" t="s">
        <v>263</v>
      </c>
      <c r="D1640" t="s">
        <v>591</v>
      </c>
      <c r="E1640" t="s">
        <v>591</v>
      </c>
      <c r="F1640" s="2">
        <v>460</v>
      </c>
      <c r="G1640" s="2">
        <v>4</v>
      </c>
      <c r="H1640" t="s">
        <v>74</v>
      </c>
      <c r="I1640" t="s">
        <v>75</v>
      </c>
      <c r="J1640" s="11">
        <v>1278.7536009528289</v>
      </c>
      <c r="K1640" t="str">
        <f t="shared" si="50"/>
        <v>Sabyl Landrum</v>
      </c>
    </row>
    <row r="1641" spans="1:11" hidden="1" x14ac:dyDescent="0.35">
      <c r="A1641">
        <f t="shared" si="51"/>
        <v>1640</v>
      </c>
      <c r="B1641">
        <v>2010</v>
      </c>
      <c r="C1641" t="s">
        <v>263</v>
      </c>
      <c r="D1641" t="s">
        <v>591</v>
      </c>
      <c r="E1641" t="s">
        <v>591</v>
      </c>
      <c r="F1641" s="2">
        <v>380</v>
      </c>
      <c r="G1641" s="2">
        <v>5</v>
      </c>
      <c r="H1641" t="s">
        <v>86</v>
      </c>
      <c r="I1641" t="s">
        <v>510</v>
      </c>
      <c r="J1641" s="11">
        <v>1181.8435879447727</v>
      </c>
      <c r="K1641" t="str">
        <f t="shared" si="50"/>
        <v>Sharon Goldman</v>
      </c>
    </row>
    <row r="1642" spans="1:11" hidden="1" x14ac:dyDescent="0.35">
      <c r="A1642">
        <f t="shared" si="51"/>
        <v>1641</v>
      </c>
      <c r="B1642">
        <v>2010</v>
      </c>
      <c r="C1642" t="s">
        <v>263</v>
      </c>
      <c r="D1642" t="s">
        <v>591</v>
      </c>
      <c r="E1642" t="s">
        <v>591</v>
      </c>
      <c r="F1642" s="2">
        <v>300</v>
      </c>
      <c r="G1642" s="2">
        <v>6</v>
      </c>
      <c r="H1642" t="s">
        <v>43</v>
      </c>
      <c r="I1642" t="s">
        <v>218</v>
      </c>
      <c r="J1642" s="11">
        <v>1102.6623418971478</v>
      </c>
      <c r="K1642" t="str">
        <f t="shared" si="50"/>
        <v>Michael Klein</v>
      </c>
    </row>
    <row r="1643" spans="1:11" hidden="1" x14ac:dyDescent="0.35">
      <c r="A1643">
        <f t="shared" si="51"/>
        <v>1642</v>
      </c>
      <c r="B1643">
        <v>2010</v>
      </c>
      <c r="C1643" t="s">
        <v>263</v>
      </c>
      <c r="D1643" t="s">
        <v>591</v>
      </c>
      <c r="E1643" t="s">
        <v>591</v>
      </c>
      <c r="F1643" s="2">
        <v>230</v>
      </c>
      <c r="G1643" s="2">
        <v>7</v>
      </c>
      <c r="H1643" t="s">
        <v>713</v>
      </c>
      <c r="I1643" t="s">
        <v>28</v>
      </c>
      <c r="J1643" s="11">
        <v>1035.7155522665344</v>
      </c>
      <c r="K1643" t="str">
        <f t="shared" si="50"/>
        <v>Chris Jepsen</v>
      </c>
    </row>
    <row r="1644" spans="1:11" hidden="1" x14ac:dyDescent="0.35">
      <c r="A1644">
        <f t="shared" si="51"/>
        <v>1643</v>
      </c>
      <c r="B1644">
        <v>2010</v>
      </c>
      <c r="C1644" t="s">
        <v>263</v>
      </c>
      <c r="D1644" t="s">
        <v>591</v>
      </c>
      <c r="E1644" t="s">
        <v>591</v>
      </c>
      <c r="F1644" s="2">
        <v>150</v>
      </c>
      <c r="G1644" s="2">
        <v>8</v>
      </c>
      <c r="H1644" t="s">
        <v>15</v>
      </c>
      <c r="I1644" t="s">
        <v>16</v>
      </c>
      <c r="J1644" s="11">
        <v>977.72360528884781</v>
      </c>
      <c r="K1644" t="str">
        <f t="shared" si="50"/>
        <v>David Kluchman</v>
      </c>
    </row>
    <row r="1645" spans="1:11" hidden="1" x14ac:dyDescent="0.35">
      <c r="A1645">
        <f t="shared" si="51"/>
        <v>1644</v>
      </c>
      <c r="B1645">
        <v>2010</v>
      </c>
      <c r="C1645" t="s">
        <v>263</v>
      </c>
      <c r="D1645" t="s">
        <v>607</v>
      </c>
      <c r="E1645" t="s">
        <v>1051</v>
      </c>
      <c r="F1645" s="2">
        <v>1200</v>
      </c>
      <c r="G1645" s="2">
        <v>1</v>
      </c>
      <c r="H1645" t="s">
        <v>21</v>
      </c>
      <c r="I1645" t="s">
        <v>463</v>
      </c>
      <c r="J1645" s="11">
        <v>1903.0899869919435</v>
      </c>
      <c r="K1645" t="str">
        <f t="shared" si="50"/>
        <v>Richard Bremer</v>
      </c>
    </row>
    <row r="1646" spans="1:11" hidden="1" x14ac:dyDescent="0.35">
      <c r="A1646">
        <f t="shared" si="51"/>
        <v>1645</v>
      </c>
      <c r="B1646">
        <v>2010</v>
      </c>
      <c r="C1646" t="s">
        <v>263</v>
      </c>
      <c r="D1646" t="s">
        <v>607</v>
      </c>
      <c r="E1646" t="s">
        <v>1051</v>
      </c>
      <c r="F1646" s="2">
        <v>840</v>
      </c>
      <c r="G1646" s="2">
        <v>2</v>
      </c>
      <c r="H1646" t="s">
        <v>593</v>
      </c>
      <c r="I1646" t="s">
        <v>139</v>
      </c>
      <c r="J1646" s="11">
        <v>1602.0599913279623</v>
      </c>
      <c r="K1646" t="str">
        <f t="shared" si="50"/>
        <v>Mark Trombley</v>
      </c>
    </row>
    <row r="1647" spans="1:11" hidden="1" x14ac:dyDescent="0.35">
      <c r="A1647">
        <f t="shared" si="51"/>
        <v>1646</v>
      </c>
      <c r="B1647">
        <v>2010</v>
      </c>
      <c r="C1647" t="s">
        <v>263</v>
      </c>
      <c r="D1647" t="s">
        <v>607</v>
      </c>
      <c r="E1647" t="s">
        <v>1051</v>
      </c>
      <c r="F1647" s="2">
        <v>840</v>
      </c>
      <c r="G1647" s="2">
        <v>3</v>
      </c>
      <c r="H1647" t="s">
        <v>697</v>
      </c>
      <c r="I1647" t="s">
        <v>200</v>
      </c>
      <c r="J1647" s="11">
        <v>1425.9687322722812</v>
      </c>
      <c r="K1647" t="str">
        <f t="shared" si="50"/>
        <v>Rick Bevan</v>
      </c>
    </row>
    <row r="1648" spans="1:11" hidden="1" x14ac:dyDescent="0.35">
      <c r="A1648">
        <f t="shared" si="51"/>
        <v>1647</v>
      </c>
      <c r="B1648">
        <v>2010</v>
      </c>
      <c r="C1648" t="s">
        <v>263</v>
      </c>
      <c r="D1648" t="s">
        <v>607</v>
      </c>
      <c r="E1648" t="s">
        <v>1051</v>
      </c>
      <c r="F1648" s="2">
        <v>580</v>
      </c>
      <c r="G1648" s="2">
        <v>4</v>
      </c>
      <c r="H1648" t="s">
        <v>608</v>
      </c>
      <c r="I1648" t="s">
        <v>267</v>
      </c>
      <c r="J1648" s="11">
        <v>1301.0299956639813</v>
      </c>
      <c r="K1648" t="str">
        <f t="shared" si="50"/>
        <v>Christopher Kuntz</v>
      </c>
    </row>
    <row r="1649" spans="1:11" hidden="1" x14ac:dyDescent="0.35">
      <c r="A1649">
        <f t="shared" si="51"/>
        <v>1648</v>
      </c>
      <c r="B1649">
        <v>2010</v>
      </c>
      <c r="C1649" t="s">
        <v>263</v>
      </c>
      <c r="D1649" t="s">
        <v>607</v>
      </c>
      <c r="E1649" t="s">
        <v>1051</v>
      </c>
      <c r="F1649" s="2">
        <v>480</v>
      </c>
      <c r="G1649" s="2">
        <v>5</v>
      </c>
      <c r="H1649" t="s">
        <v>537</v>
      </c>
      <c r="I1649" t="s">
        <v>538</v>
      </c>
      <c r="J1649" s="11">
        <v>1204.1199826559246</v>
      </c>
      <c r="K1649" t="str">
        <f t="shared" si="50"/>
        <v>Cliff Matthews</v>
      </c>
    </row>
    <row r="1650" spans="1:11" hidden="1" x14ac:dyDescent="0.35">
      <c r="A1650">
        <f t="shared" si="51"/>
        <v>1649</v>
      </c>
      <c r="B1650">
        <v>2010</v>
      </c>
      <c r="C1650" t="s">
        <v>263</v>
      </c>
      <c r="D1650" t="s">
        <v>607</v>
      </c>
      <c r="E1650" t="s">
        <v>1051</v>
      </c>
      <c r="F1650" s="2">
        <v>380</v>
      </c>
      <c r="G1650" s="2">
        <v>6</v>
      </c>
      <c r="H1650" t="s">
        <v>609</v>
      </c>
      <c r="I1650" t="s">
        <v>610</v>
      </c>
      <c r="J1650" s="11">
        <v>1124.9387366082999</v>
      </c>
      <c r="K1650" t="str">
        <f t="shared" si="50"/>
        <v>Deron Brod</v>
      </c>
    </row>
    <row r="1651" spans="1:11" hidden="1" x14ac:dyDescent="0.35">
      <c r="A1651">
        <f t="shared" si="51"/>
        <v>1650</v>
      </c>
      <c r="B1651">
        <v>2010</v>
      </c>
      <c r="C1651" t="s">
        <v>263</v>
      </c>
      <c r="D1651" t="s">
        <v>607</v>
      </c>
      <c r="E1651" t="s">
        <v>1051</v>
      </c>
      <c r="F1651" s="2">
        <v>290</v>
      </c>
      <c r="G1651" s="2">
        <v>7</v>
      </c>
      <c r="H1651" t="s">
        <v>100</v>
      </c>
      <c r="I1651" t="s">
        <v>52</v>
      </c>
      <c r="J1651" s="11">
        <v>1057.9919469776869</v>
      </c>
      <c r="K1651" t="str">
        <f t="shared" si="50"/>
        <v>Steven Eisenstein</v>
      </c>
    </row>
    <row r="1652" spans="1:11" hidden="1" x14ac:dyDescent="0.35">
      <c r="A1652">
        <f t="shared" si="51"/>
        <v>1651</v>
      </c>
      <c r="B1652">
        <v>2010</v>
      </c>
      <c r="C1652" t="s">
        <v>263</v>
      </c>
      <c r="D1652" t="s">
        <v>607</v>
      </c>
      <c r="E1652" t="s">
        <v>1051</v>
      </c>
      <c r="F1652" s="2">
        <v>190</v>
      </c>
      <c r="G1652" s="2">
        <v>8</v>
      </c>
      <c r="H1652" t="s">
        <v>33</v>
      </c>
      <c r="I1652" t="s">
        <v>34</v>
      </c>
      <c r="J1652" s="11">
        <v>1000</v>
      </c>
      <c r="K1652" t="str">
        <f t="shared" si="50"/>
        <v>Meredith Holtzman</v>
      </c>
    </row>
    <row r="1653" spans="1:11" hidden="1" x14ac:dyDescent="0.35">
      <c r="A1653">
        <f t="shared" si="51"/>
        <v>1652</v>
      </c>
      <c r="B1653">
        <v>2010</v>
      </c>
      <c r="C1653" t="s">
        <v>263</v>
      </c>
      <c r="D1653" t="s">
        <v>45</v>
      </c>
      <c r="E1653" t="s">
        <v>1429</v>
      </c>
      <c r="F1653" s="2">
        <v>4430</v>
      </c>
      <c r="G1653" s="2">
        <v>1</v>
      </c>
      <c r="H1653" t="s">
        <v>387</v>
      </c>
      <c r="I1653" t="s">
        <v>521</v>
      </c>
      <c r="J1653" s="11">
        <v>2252.8530309798934</v>
      </c>
      <c r="K1653" t="str">
        <f t="shared" si="50"/>
        <v>Chuck Humphrey</v>
      </c>
    </row>
    <row r="1654" spans="1:11" hidden="1" x14ac:dyDescent="0.35">
      <c r="A1654">
        <f t="shared" si="51"/>
        <v>1653</v>
      </c>
      <c r="B1654">
        <v>2010</v>
      </c>
      <c r="C1654" t="s">
        <v>263</v>
      </c>
      <c r="D1654" t="s">
        <v>45</v>
      </c>
      <c r="E1654" t="s">
        <v>1429</v>
      </c>
      <c r="F1654" s="2">
        <v>3170</v>
      </c>
      <c r="G1654" s="2">
        <v>2</v>
      </c>
      <c r="H1654" t="s">
        <v>605</v>
      </c>
      <c r="I1654" t="s">
        <v>153</v>
      </c>
      <c r="J1654" s="11">
        <v>1951.823035315912</v>
      </c>
      <c r="K1654" t="str">
        <f t="shared" si="50"/>
        <v>Stephen Winter</v>
      </c>
    </row>
    <row r="1655" spans="1:11" hidden="1" x14ac:dyDescent="0.35">
      <c r="A1655">
        <f t="shared" si="51"/>
        <v>1654</v>
      </c>
      <c r="B1655">
        <v>2010</v>
      </c>
      <c r="C1655" t="s">
        <v>263</v>
      </c>
      <c r="D1655" t="s">
        <v>45</v>
      </c>
      <c r="E1655" t="s">
        <v>1429</v>
      </c>
      <c r="F1655" s="2">
        <v>2330</v>
      </c>
      <c r="G1655" s="2">
        <v>3</v>
      </c>
      <c r="H1655" t="s">
        <v>366</v>
      </c>
      <c r="I1655" t="s">
        <v>61</v>
      </c>
      <c r="J1655" s="11">
        <v>1775.7317762602308</v>
      </c>
      <c r="K1655" t="str">
        <f t="shared" si="50"/>
        <v>Len Greenberg</v>
      </c>
    </row>
    <row r="1656" spans="1:11" hidden="1" x14ac:dyDescent="0.35">
      <c r="A1656">
        <f t="shared" si="51"/>
        <v>1655</v>
      </c>
      <c r="B1656">
        <v>2010</v>
      </c>
      <c r="C1656" t="s">
        <v>263</v>
      </c>
      <c r="D1656" t="s">
        <v>45</v>
      </c>
      <c r="E1656" t="s">
        <v>1429</v>
      </c>
      <c r="F1656" s="2">
        <v>1790</v>
      </c>
      <c r="G1656" s="2">
        <v>4</v>
      </c>
      <c r="H1656" t="s">
        <v>612</v>
      </c>
      <c r="I1656" t="s">
        <v>181</v>
      </c>
      <c r="J1656" s="11">
        <v>1650.7930396519307</v>
      </c>
      <c r="K1656" t="str">
        <f t="shared" si="50"/>
        <v>Aaron Lion</v>
      </c>
    </row>
    <row r="1657" spans="1:11" hidden="1" x14ac:dyDescent="0.35">
      <c r="A1657">
        <f t="shared" si="51"/>
        <v>1656</v>
      </c>
      <c r="B1657">
        <v>2010</v>
      </c>
      <c r="C1657" t="s">
        <v>263</v>
      </c>
      <c r="D1657" t="s">
        <v>45</v>
      </c>
      <c r="E1657" t="s">
        <v>1429</v>
      </c>
      <c r="F1657" s="2">
        <v>1430</v>
      </c>
      <c r="G1657" s="2">
        <v>5</v>
      </c>
      <c r="H1657" t="s">
        <v>614</v>
      </c>
      <c r="I1657" t="s">
        <v>136</v>
      </c>
      <c r="J1657" s="11">
        <v>1553.8830266438745</v>
      </c>
      <c r="K1657" t="str">
        <f t="shared" si="50"/>
        <v>John Foust</v>
      </c>
    </row>
    <row r="1658" spans="1:11" hidden="1" x14ac:dyDescent="0.35">
      <c r="A1658">
        <f t="shared" si="51"/>
        <v>1657</v>
      </c>
      <c r="B1658">
        <v>2010</v>
      </c>
      <c r="C1658" t="s">
        <v>263</v>
      </c>
      <c r="D1658" t="s">
        <v>45</v>
      </c>
      <c r="E1658" t="s">
        <v>1429</v>
      </c>
      <c r="F1658" s="2">
        <v>1070</v>
      </c>
      <c r="G1658" s="2">
        <v>6</v>
      </c>
      <c r="H1658" t="s">
        <v>601</v>
      </c>
      <c r="I1658" t="s">
        <v>58</v>
      </c>
      <c r="J1658" s="11">
        <v>1474.7017805962496</v>
      </c>
      <c r="K1658" t="str">
        <f t="shared" si="50"/>
        <v>Jim Bullard</v>
      </c>
    </row>
    <row r="1659" spans="1:11" hidden="1" x14ac:dyDescent="0.35">
      <c r="A1659">
        <f t="shared" si="51"/>
        <v>1658</v>
      </c>
      <c r="B1659">
        <v>2010</v>
      </c>
      <c r="C1659" t="s">
        <v>263</v>
      </c>
      <c r="D1659" t="s">
        <v>45</v>
      </c>
      <c r="E1659" t="s">
        <v>1429</v>
      </c>
      <c r="F1659" s="2">
        <v>720</v>
      </c>
      <c r="G1659" s="2">
        <v>7</v>
      </c>
      <c r="H1659" t="s">
        <v>326</v>
      </c>
      <c r="I1659" t="s">
        <v>327</v>
      </c>
      <c r="J1659" s="11">
        <v>1407.7549909656364</v>
      </c>
      <c r="K1659" t="str">
        <f t="shared" si="50"/>
        <v>Carol Kline</v>
      </c>
    </row>
    <row r="1660" spans="1:11" hidden="1" x14ac:dyDescent="0.35">
      <c r="A1660">
        <f t="shared" si="51"/>
        <v>1659</v>
      </c>
      <c r="B1660">
        <v>2010</v>
      </c>
      <c r="C1660" t="s">
        <v>263</v>
      </c>
      <c r="D1660" t="s">
        <v>45</v>
      </c>
      <c r="E1660" t="s">
        <v>1429</v>
      </c>
      <c r="F1660" s="2">
        <v>490</v>
      </c>
      <c r="G1660" s="2">
        <v>8</v>
      </c>
      <c r="H1660" t="s">
        <v>616</v>
      </c>
      <c r="I1660" t="s">
        <v>131</v>
      </c>
      <c r="J1660" s="11">
        <v>1349.7630439879497</v>
      </c>
      <c r="K1660" t="str">
        <f t="shared" si="50"/>
        <v>Alan Horn</v>
      </c>
    </row>
    <row r="1661" spans="1:11" hidden="1" x14ac:dyDescent="0.35">
      <c r="A1661">
        <f t="shared" si="51"/>
        <v>1660</v>
      </c>
      <c r="B1661">
        <v>2010</v>
      </c>
      <c r="C1661" t="s">
        <v>263</v>
      </c>
      <c r="D1661" t="s">
        <v>45</v>
      </c>
      <c r="E1661" t="s">
        <v>1429</v>
      </c>
      <c r="F1661" s="2">
        <v>360</v>
      </c>
      <c r="G1661" s="2">
        <v>9</v>
      </c>
      <c r="H1661" t="s">
        <v>618</v>
      </c>
      <c r="I1661" t="s">
        <v>521</v>
      </c>
      <c r="J1661" s="11">
        <v>1298.6105215405685</v>
      </c>
      <c r="K1661" t="str">
        <f t="shared" si="50"/>
        <v>Chuck Weinstock</v>
      </c>
    </row>
    <row r="1662" spans="1:11" hidden="1" x14ac:dyDescent="0.35">
      <c r="A1662">
        <f t="shared" si="51"/>
        <v>1661</v>
      </c>
      <c r="B1662">
        <v>2010</v>
      </c>
      <c r="C1662" t="s">
        <v>263</v>
      </c>
      <c r="D1662" t="s">
        <v>45</v>
      </c>
      <c r="E1662" t="s">
        <v>1429</v>
      </c>
      <c r="F1662" s="2">
        <v>270</v>
      </c>
      <c r="G1662" s="2">
        <v>10</v>
      </c>
      <c r="H1662" t="s">
        <v>105</v>
      </c>
      <c r="I1662" t="s">
        <v>106</v>
      </c>
      <c r="J1662" s="11">
        <v>1252.8530309798932</v>
      </c>
      <c r="K1662" t="str">
        <f t="shared" si="50"/>
        <v>Kenny Shei</v>
      </c>
    </row>
    <row r="1663" spans="1:11" hidden="1" x14ac:dyDescent="0.35">
      <c r="A1663">
        <f t="shared" si="51"/>
        <v>1662</v>
      </c>
      <c r="B1663">
        <v>2010</v>
      </c>
      <c r="C1663" t="s">
        <v>263</v>
      </c>
      <c r="D1663" t="s">
        <v>45</v>
      </c>
      <c r="E1663" t="s">
        <v>1429</v>
      </c>
      <c r="F1663" s="2">
        <v>270</v>
      </c>
      <c r="G1663" s="2">
        <v>11</v>
      </c>
      <c r="H1663" t="s">
        <v>621</v>
      </c>
      <c r="I1663" t="s">
        <v>16</v>
      </c>
      <c r="J1663" s="11">
        <v>1211.4603458216682</v>
      </c>
      <c r="K1663" t="str">
        <f t="shared" si="50"/>
        <v>David Trinidad</v>
      </c>
    </row>
    <row r="1664" spans="1:11" hidden="1" x14ac:dyDescent="0.35">
      <c r="A1664">
        <f t="shared" si="51"/>
        <v>1663</v>
      </c>
      <c r="B1664">
        <v>2010</v>
      </c>
      <c r="C1664" t="s">
        <v>263</v>
      </c>
      <c r="D1664" t="s">
        <v>45</v>
      </c>
      <c r="E1664" t="s">
        <v>1429</v>
      </c>
      <c r="F1664" s="2">
        <v>270</v>
      </c>
      <c r="G1664" s="2">
        <v>12</v>
      </c>
      <c r="H1664" t="s">
        <v>623</v>
      </c>
      <c r="I1664" t="s">
        <v>65</v>
      </c>
      <c r="J1664" s="11">
        <v>1173.6717849322683</v>
      </c>
      <c r="K1664" t="str">
        <f t="shared" si="50"/>
        <v>Steve Forcash</v>
      </c>
    </row>
    <row r="1665" spans="1:11" hidden="1" x14ac:dyDescent="0.35">
      <c r="A1665">
        <f t="shared" si="51"/>
        <v>1664</v>
      </c>
      <c r="B1665">
        <v>2010</v>
      </c>
      <c r="C1665" t="s">
        <v>263</v>
      </c>
      <c r="D1665" t="s">
        <v>45</v>
      </c>
      <c r="E1665" t="s">
        <v>1429</v>
      </c>
      <c r="F1665" s="2">
        <v>220</v>
      </c>
      <c r="G1665" s="2">
        <v>13</v>
      </c>
      <c r="H1665" t="s">
        <v>287</v>
      </c>
      <c r="I1665" t="s">
        <v>125</v>
      </c>
      <c r="J1665" s="11">
        <v>1138.9096786730565</v>
      </c>
      <c r="K1665" t="str">
        <f t="shared" si="50"/>
        <v>Ronald Nutt</v>
      </c>
    </row>
    <row r="1666" spans="1:11" hidden="1" x14ac:dyDescent="0.35">
      <c r="A1666">
        <f t="shared" si="51"/>
        <v>1665</v>
      </c>
      <c r="B1666">
        <v>2010</v>
      </c>
      <c r="C1666" t="s">
        <v>263</v>
      </c>
      <c r="D1666" t="s">
        <v>45</v>
      </c>
      <c r="E1666" t="s">
        <v>1429</v>
      </c>
      <c r="F1666" s="2">
        <v>220</v>
      </c>
      <c r="G1666" s="2">
        <v>14</v>
      </c>
      <c r="H1666" t="s">
        <v>625</v>
      </c>
      <c r="I1666" t="s">
        <v>16</v>
      </c>
      <c r="J1666" s="11">
        <v>1106.7249953016553</v>
      </c>
      <c r="K1666" t="str">
        <f t="shared" ref="K1666:K1729" si="52">I1666&amp;" "&amp;H1666</f>
        <v>David Green</v>
      </c>
    </row>
    <row r="1667" spans="1:11" hidden="1" x14ac:dyDescent="0.35">
      <c r="A1667">
        <f t="shared" si="51"/>
        <v>1666</v>
      </c>
      <c r="B1667">
        <v>2010</v>
      </c>
      <c r="C1667" t="s">
        <v>263</v>
      </c>
      <c r="D1667" t="s">
        <v>45</v>
      </c>
      <c r="E1667" t="s">
        <v>1429</v>
      </c>
      <c r="F1667" s="2">
        <v>220</v>
      </c>
      <c r="G1667" s="2">
        <v>15</v>
      </c>
      <c r="H1667" t="s">
        <v>273</v>
      </c>
      <c r="I1667" t="s">
        <v>218</v>
      </c>
      <c r="J1667" s="11">
        <v>1076.7617719242119</v>
      </c>
      <c r="K1667" t="str">
        <f t="shared" si="52"/>
        <v>Michael Maurer</v>
      </c>
    </row>
    <row r="1668" spans="1:11" hidden="1" x14ac:dyDescent="0.35">
      <c r="A1668">
        <f t="shared" ref="A1668:A1731" si="53">A1667+1</f>
        <v>1667</v>
      </c>
      <c r="B1668">
        <v>2010</v>
      </c>
      <c r="C1668" t="s">
        <v>263</v>
      </c>
      <c r="D1668" t="s">
        <v>45</v>
      </c>
      <c r="E1668" t="s">
        <v>1429</v>
      </c>
      <c r="F1668" s="2">
        <v>180</v>
      </c>
      <c r="G1668" s="2">
        <v>16</v>
      </c>
      <c r="H1668" t="s">
        <v>95</v>
      </c>
      <c r="I1668" t="s">
        <v>71</v>
      </c>
      <c r="J1668" s="11">
        <v>1048.7330483239684</v>
      </c>
      <c r="K1668" t="str">
        <f t="shared" si="52"/>
        <v>Scott Samarel</v>
      </c>
    </row>
    <row r="1669" spans="1:11" hidden="1" x14ac:dyDescent="0.35">
      <c r="A1669">
        <f t="shared" si="53"/>
        <v>1668</v>
      </c>
      <c r="B1669">
        <v>2010</v>
      </c>
      <c r="C1669" t="s">
        <v>263</v>
      </c>
      <c r="D1669" t="s">
        <v>45</v>
      </c>
      <c r="E1669" t="s">
        <v>1429</v>
      </c>
      <c r="F1669" s="2">
        <v>180</v>
      </c>
      <c r="G1669" s="2">
        <v>17</v>
      </c>
      <c r="H1669" t="s">
        <v>220</v>
      </c>
      <c r="I1669" t="s">
        <v>221</v>
      </c>
      <c r="J1669" s="11">
        <v>1022.4041096016194</v>
      </c>
      <c r="K1669" t="str">
        <f t="shared" si="52"/>
        <v>Rodney Chen</v>
      </c>
    </row>
    <row r="1670" spans="1:11" hidden="1" x14ac:dyDescent="0.35">
      <c r="A1670">
        <f t="shared" si="53"/>
        <v>1669</v>
      </c>
      <c r="B1670">
        <v>2010</v>
      </c>
      <c r="C1670" t="s">
        <v>263</v>
      </c>
      <c r="D1670" t="s">
        <v>45</v>
      </c>
      <c r="E1670" t="s">
        <v>1429</v>
      </c>
      <c r="F1670" s="2">
        <v>180</v>
      </c>
      <c r="G1670" s="2">
        <v>18</v>
      </c>
      <c r="H1670" t="s">
        <v>627</v>
      </c>
      <c r="I1670" t="s">
        <v>391</v>
      </c>
      <c r="J1670" s="11">
        <v>997.58052587658733</v>
      </c>
      <c r="K1670" t="str">
        <f t="shared" si="52"/>
        <v>Josh Anderson-Goldman</v>
      </c>
    </row>
    <row r="1671" spans="1:11" hidden="1" x14ac:dyDescent="0.35">
      <c r="A1671">
        <f t="shared" si="53"/>
        <v>1670</v>
      </c>
      <c r="B1671">
        <v>2010</v>
      </c>
      <c r="C1671" t="s">
        <v>263</v>
      </c>
      <c r="D1671" t="s">
        <v>45</v>
      </c>
      <c r="E1671" t="s">
        <v>1429</v>
      </c>
      <c r="F1671" s="2">
        <v>100</v>
      </c>
      <c r="G1671" s="2">
        <v>19</v>
      </c>
      <c r="H1671" t="s">
        <v>629</v>
      </c>
      <c r="I1671" t="s">
        <v>630</v>
      </c>
      <c r="J1671" s="11">
        <v>974.0994300270645</v>
      </c>
      <c r="K1671" t="str">
        <f t="shared" si="52"/>
        <v>Betty Tanenbaum</v>
      </c>
    </row>
    <row r="1672" spans="1:11" hidden="1" x14ac:dyDescent="0.35">
      <c r="A1672">
        <f t="shared" si="53"/>
        <v>1671</v>
      </c>
      <c r="B1672">
        <v>2010</v>
      </c>
      <c r="C1672" t="s">
        <v>263</v>
      </c>
      <c r="D1672" t="s">
        <v>110</v>
      </c>
      <c r="E1672" t="s">
        <v>1430</v>
      </c>
      <c r="F1672" s="2">
        <v>2715</v>
      </c>
      <c r="G1672" s="2">
        <v>1</v>
      </c>
      <c r="H1672" t="s">
        <v>15</v>
      </c>
      <c r="I1672" t="s">
        <v>16</v>
      </c>
      <c r="J1672" s="11">
        <v>2161.3680022349749</v>
      </c>
      <c r="K1672" t="str">
        <f t="shared" si="52"/>
        <v>David Kluchman</v>
      </c>
    </row>
    <row r="1673" spans="1:11" hidden="1" x14ac:dyDescent="0.35">
      <c r="A1673">
        <f t="shared" si="53"/>
        <v>1672</v>
      </c>
      <c r="B1673">
        <v>2010</v>
      </c>
      <c r="C1673" t="s">
        <v>263</v>
      </c>
      <c r="D1673" t="s">
        <v>110</v>
      </c>
      <c r="E1673" t="s">
        <v>1430</v>
      </c>
      <c r="F1673" s="2">
        <v>1955</v>
      </c>
      <c r="G1673" s="2">
        <v>2</v>
      </c>
      <c r="H1673" t="s">
        <v>31</v>
      </c>
      <c r="I1673" t="s">
        <v>16</v>
      </c>
      <c r="J1673" s="11">
        <v>1860.3380065709937</v>
      </c>
      <c r="K1673" t="str">
        <f t="shared" si="52"/>
        <v>David Aronson</v>
      </c>
    </row>
    <row r="1674" spans="1:11" hidden="1" x14ac:dyDescent="0.35">
      <c r="A1674">
        <f t="shared" si="53"/>
        <v>1673</v>
      </c>
      <c r="B1674">
        <v>2010</v>
      </c>
      <c r="C1674" t="s">
        <v>263</v>
      </c>
      <c r="D1674" t="s">
        <v>110</v>
      </c>
      <c r="E1674" t="s">
        <v>1430</v>
      </c>
      <c r="F1674" s="2">
        <v>1405</v>
      </c>
      <c r="G1674" s="2">
        <v>3</v>
      </c>
      <c r="H1674" t="s">
        <v>281</v>
      </c>
      <c r="I1674" t="s">
        <v>282</v>
      </c>
      <c r="J1674" s="11">
        <v>1684.2467475153123</v>
      </c>
      <c r="K1674" t="str">
        <f t="shared" si="52"/>
        <v>Randy Collack</v>
      </c>
    </row>
    <row r="1675" spans="1:11" hidden="1" x14ac:dyDescent="0.35">
      <c r="A1675">
        <f t="shared" si="53"/>
        <v>1674</v>
      </c>
      <c r="B1675">
        <v>2010</v>
      </c>
      <c r="C1675" t="s">
        <v>263</v>
      </c>
      <c r="D1675" t="s">
        <v>110</v>
      </c>
      <c r="E1675" t="s">
        <v>1430</v>
      </c>
      <c r="F1675" s="2">
        <v>1090</v>
      </c>
      <c r="G1675" s="2">
        <v>4</v>
      </c>
      <c r="H1675" t="s">
        <v>273</v>
      </c>
      <c r="I1675" t="s">
        <v>218</v>
      </c>
      <c r="J1675" s="11">
        <v>1559.3080109070124</v>
      </c>
      <c r="K1675" t="str">
        <f t="shared" si="52"/>
        <v>Michael Maurer</v>
      </c>
    </row>
    <row r="1676" spans="1:11" hidden="1" x14ac:dyDescent="0.35">
      <c r="A1676">
        <f t="shared" si="53"/>
        <v>1675</v>
      </c>
      <c r="B1676">
        <v>2010</v>
      </c>
      <c r="C1676" t="s">
        <v>263</v>
      </c>
      <c r="D1676" t="s">
        <v>110</v>
      </c>
      <c r="E1676" t="s">
        <v>1430</v>
      </c>
      <c r="F1676" s="2">
        <v>870</v>
      </c>
      <c r="G1676" s="2">
        <v>5</v>
      </c>
      <c r="H1676" t="s">
        <v>387</v>
      </c>
      <c r="I1676" t="s">
        <v>521</v>
      </c>
      <c r="J1676" s="11">
        <v>1462.3979978989562</v>
      </c>
      <c r="K1676" t="str">
        <f t="shared" si="52"/>
        <v>Chuck Humphrey</v>
      </c>
    </row>
    <row r="1677" spans="1:11" hidden="1" x14ac:dyDescent="0.35">
      <c r="A1677">
        <f t="shared" si="53"/>
        <v>1676</v>
      </c>
      <c r="B1677">
        <v>2010</v>
      </c>
      <c r="C1677" t="s">
        <v>263</v>
      </c>
      <c r="D1677" t="s">
        <v>110</v>
      </c>
      <c r="E1677" t="s">
        <v>1430</v>
      </c>
      <c r="F1677" s="2">
        <v>650</v>
      </c>
      <c r="G1677" s="2">
        <v>6</v>
      </c>
      <c r="H1677" t="s">
        <v>320</v>
      </c>
      <c r="I1677" t="s">
        <v>321</v>
      </c>
      <c r="J1677" s="11">
        <v>1383.2167518513311</v>
      </c>
      <c r="K1677" t="str">
        <f t="shared" si="52"/>
        <v>Tina Gonzalez</v>
      </c>
    </row>
    <row r="1678" spans="1:11" hidden="1" x14ac:dyDescent="0.35">
      <c r="A1678">
        <f t="shared" si="53"/>
        <v>1677</v>
      </c>
      <c r="B1678">
        <v>2010</v>
      </c>
      <c r="C1678" t="s">
        <v>263</v>
      </c>
      <c r="D1678" t="s">
        <v>110</v>
      </c>
      <c r="E1678" t="s">
        <v>1430</v>
      </c>
      <c r="F1678" s="2">
        <v>440</v>
      </c>
      <c r="G1678" s="2">
        <v>7</v>
      </c>
      <c r="H1678" t="s">
        <v>600</v>
      </c>
      <c r="I1678" t="s">
        <v>142</v>
      </c>
      <c r="J1678" s="11">
        <v>1316.2699622207178</v>
      </c>
      <c r="K1678" t="str">
        <f t="shared" si="52"/>
        <v>Matt Grapenthien</v>
      </c>
    </row>
    <row r="1679" spans="1:11" hidden="1" x14ac:dyDescent="0.35">
      <c r="A1679">
        <f t="shared" si="53"/>
        <v>1678</v>
      </c>
      <c r="B1679">
        <v>2010</v>
      </c>
      <c r="C1679" t="s">
        <v>263</v>
      </c>
      <c r="D1679" t="s">
        <v>110</v>
      </c>
      <c r="E1679" t="s">
        <v>1430</v>
      </c>
      <c r="F1679" s="2">
        <v>300</v>
      </c>
      <c r="G1679" s="2">
        <v>8</v>
      </c>
      <c r="H1679" t="s">
        <v>601</v>
      </c>
      <c r="I1679" t="s">
        <v>58</v>
      </c>
      <c r="J1679" s="11">
        <v>1258.2780152430312</v>
      </c>
      <c r="K1679" t="str">
        <f t="shared" si="52"/>
        <v>Jim Bullard</v>
      </c>
    </row>
    <row r="1680" spans="1:11" hidden="1" x14ac:dyDescent="0.35">
      <c r="A1680">
        <f t="shared" si="53"/>
        <v>1679</v>
      </c>
      <c r="B1680">
        <v>2010</v>
      </c>
      <c r="C1680" t="s">
        <v>263</v>
      </c>
      <c r="D1680" t="s">
        <v>110</v>
      </c>
      <c r="E1680" t="s">
        <v>1430</v>
      </c>
      <c r="F1680" s="2">
        <v>220</v>
      </c>
      <c r="G1680" s="2">
        <v>9</v>
      </c>
      <c r="H1680" t="s">
        <v>323</v>
      </c>
      <c r="I1680" t="s">
        <v>324</v>
      </c>
      <c r="J1680" s="11">
        <v>1207.12549279565</v>
      </c>
      <c r="K1680" t="str">
        <f t="shared" si="52"/>
        <v>Andrew Prock</v>
      </c>
    </row>
    <row r="1681" spans="1:11" hidden="1" x14ac:dyDescent="0.35">
      <c r="A1681">
        <f t="shared" si="53"/>
        <v>1680</v>
      </c>
      <c r="B1681">
        <v>2010</v>
      </c>
      <c r="C1681" t="s">
        <v>263</v>
      </c>
      <c r="D1681" t="s">
        <v>110</v>
      </c>
      <c r="E1681" t="s">
        <v>1430</v>
      </c>
      <c r="F1681" s="2">
        <v>160</v>
      </c>
      <c r="G1681" s="2">
        <v>10</v>
      </c>
      <c r="H1681" t="s">
        <v>43</v>
      </c>
      <c r="I1681" t="s">
        <v>218</v>
      </c>
      <c r="J1681" s="11">
        <v>1161.3680022349749</v>
      </c>
      <c r="K1681" t="str">
        <f t="shared" si="52"/>
        <v>Michael Klein</v>
      </c>
    </row>
    <row r="1682" spans="1:11" hidden="1" x14ac:dyDescent="0.35">
      <c r="A1682">
        <f t="shared" si="53"/>
        <v>1681</v>
      </c>
      <c r="B1682">
        <v>2010</v>
      </c>
      <c r="C1682" t="s">
        <v>263</v>
      </c>
      <c r="D1682" t="s">
        <v>110</v>
      </c>
      <c r="E1682" t="s">
        <v>1430</v>
      </c>
      <c r="F1682" s="2">
        <v>160</v>
      </c>
      <c r="G1682" s="2">
        <v>11</v>
      </c>
      <c r="H1682" t="s">
        <v>95</v>
      </c>
      <c r="I1682" t="s">
        <v>71</v>
      </c>
      <c r="J1682" s="11">
        <v>1119.9753170767497</v>
      </c>
      <c r="K1682" t="str">
        <f t="shared" si="52"/>
        <v>Scott Samarel</v>
      </c>
    </row>
    <row r="1683" spans="1:11" hidden="1" x14ac:dyDescent="0.35">
      <c r="A1683">
        <f t="shared" si="53"/>
        <v>1682</v>
      </c>
      <c r="B1683">
        <v>2010</v>
      </c>
      <c r="C1683" t="s">
        <v>263</v>
      </c>
      <c r="D1683" t="s">
        <v>110</v>
      </c>
      <c r="E1683" t="s">
        <v>1430</v>
      </c>
      <c r="F1683" s="2">
        <v>160</v>
      </c>
      <c r="G1683" s="2">
        <v>12</v>
      </c>
      <c r="H1683" t="s">
        <v>14</v>
      </c>
      <c r="I1683" t="s">
        <v>11</v>
      </c>
      <c r="J1683" s="11">
        <v>1082.1867561873498</v>
      </c>
      <c r="K1683" t="str">
        <f t="shared" si="52"/>
        <v>Paul McMullin</v>
      </c>
    </row>
    <row r="1684" spans="1:11" hidden="1" x14ac:dyDescent="0.35">
      <c r="A1684">
        <f t="shared" si="53"/>
        <v>1683</v>
      </c>
      <c r="B1684">
        <v>2010</v>
      </c>
      <c r="C1684" t="s">
        <v>263</v>
      </c>
      <c r="D1684" t="s">
        <v>110</v>
      </c>
      <c r="E1684" t="s">
        <v>1430</v>
      </c>
      <c r="F1684" s="2">
        <v>140</v>
      </c>
      <c r="G1684" s="2">
        <v>13</v>
      </c>
      <c r="H1684" t="s">
        <v>490</v>
      </c>
      <c r="I1684" t="s">
        <v>480</v>
      </c>
      <c r="J1684" s="11">
        <v>1047.424649928138</v>
      </c>
      <c r="K1684" t="str">
        <f t="shared" si="52"/>
        <v>James Hammer</v>
      </c>
    </row>
    <row r="1685" spans="1:11" hidden="1" x14ac:dyDescent="0.35">
      <c r="A1685">
        <f t="shared" si="53"/>
        <v>1684</v>
      </c>
      <c r="B1685">
        <v>2010</v>
      </c>
      <c r="C1685" t="s">
        <v>263</v>
      </c>
      <c r="D1685" t="s">
        <v>110</v>
      </c>
      <c r="E1685" t="s">
        <v>1430</v>
      </c>
      <c r="F1685" s="2">
        <v>140</v>
      </c>
      <c r="G1685" s="2">
        <v>14</v>
      </c>
      <c r="H1685" t="s">
        <v>248</v>
      </c>
      <c r="I1685" t="s">
        <v>249</v>
      </c>
      <c r="J1685" s="11">
        <v>1015.2399665567368</v>
      </c>
      <c r="K1685" t="str">
        <f t="shared" si="52"/>
        <v>Ross Poppel</v>
      </c>
    </row>
    <row r="1686" spans="1:11" hidden="1" x14ac:dyDescent="0.35">
      <c r="A1686">
        <f t="shared" si="53"/>
        <v>1685</v>
      </c>
      <c r="B1686">
        <v>2010</v>
      </c>
      <c r="C1686" t="s">
        <v>263</v>
      </c>
      <c r="D1686" t="s">
        <v>110</v>
      </c>
      <c r="E1686" t="s">
        <v>1430</v>
      </c>
      <c r="F1686" s="2">
        <v>140</v>
      </c>
      <c r="G1686" s="2">
        <v>15</v>
      </c>
      <c r="H1686" t="s">
        <v>21</v>
      </c>
      <c r="I1686" t="s">
        <v>463</v>
      </c>
      <c r="J1686" s="11">
        <v>985.27674317929348</v>
      </c>
      <c r="K1686" t="str">
        <f t="shared" si="52"/>
        <v>Richard Bremer</v>
      </c>
    </row>
    <row r="1687" spans="1:11" hidden="1" x14ac:dyDescent="0.35">
      <c r="A1687">
        <f t="shared" si="53"/>
        <v>1686</v>
      </c>
      <c r="B1687">
        <v>2010</v>
      </c>
      <c r="C1687" t="s">
        <v>263</v>
      </c>
      <c r="D1687" t="s">
        <v>110</v>
      </c>
      <c r="E1687" t="s">
        <v>1430</v>
      </c>
      <c r="F1687" s="2">
        <v>110</v>
      </c>
      <c r="G1687" s="2">
        <v>16</v>
      </c>
      <c r="H1687" t="s">
        <v>33</v>
      </c>
      <c r="I1687" t="s">
        <v>34</v>
      </c>
      <c r="J1687" s="11">
        <v>957.24801957905004</v>
      </c>
      <c r="K1687" t="str">
        <f t="shared" si="52"/>
        <v>Meredith Holtzman</v>
      </c>
    </row>
    <row r="1688" spans="1:11" hidden="1" x14ac:dyDescent="0.35">
      <c r="A1688">
        <f t="shared" si="53"/>
        <v>1687</v>
      </c>
      <c r="B1688">
        <v>2010</v>
      </c>
      <c r="C1688" t="s">
        <v>263</v>
      </c>
      <c r="D1688" t="s">
        <v>110</v>
      </c>
      <c r="E1688" t="s">
        <v>1430</v>
      </c>
      <c r="F1688" s="2">
        <v>110</v>
      </c>
      <c r="G1688" s="2">
        <v>17</v>
      </c>
      <c r="H1688" t="s">
        <v>603</v>
      </c>
      <c r="I1688" t="s">
        <v>604</v>
      </c>
      <c r="J1688" s="11">
        <v>930.91908085670093</v>
      </c>
      <c r="K1688" t="str">
        <f t="shared" si="52"/>
        <v>Jordan Devenport</v>
      </c>
    </row>
    <row r="1689" spans="1:11" hidden="1" x14ac:dyDescent="0.35">
      <c r="A1689">
        <f t="shared" si="53"/>
        <v>1688</v>
      </c>
      <c r="B1689">
        <v>2010</v>
      </c>
      <c r="C1689" t="s">
        <v>263</v>
      </c>
      <c r="D1689" t="s">
        <v>110</v>
      </c>
      <c r="E1689" t="s">
        <v>1430</v>
      </c>
      <c r="F1689" s="2">
        <v>110</v>
      </c>
      <c r="G1689" s="2">
        <v>18</v>
      </c>
      <c r="H1689" t="s">
        <v>605</v>
      </c>
      <c r="I1689" t="s">
        <v>153</v>
      </c>
      <c r="J1689" s="11">
        <v>906.09549713166882</v>
      </c>
      <c r="K1689" t="str">
        <f t="shared" si="52"/>
        <v>Stephen Winter</v>
      </c>
    </row>
    <row r="1690" spans="1:11" hidden="1" x14ac:dyDescent="0.35">
      <c r="A1690">
        <f t="shared" si="53"/>
        <v>1689</v>
      </c>
      <c r="B1690">
        <v>2010</v>
      </c>
      <c r="C1690" t="s">
        <v>8</v>
      </c>
      <c r="D1690" t="s">
        <v>9</v>
      </c>
      <c r="E1690" t="s">
        <v>1429</v>
      </c>
      <c r="F1690" s="2">
        <v>875</v>
      </c>
      <c r="G1690" s="2">
        <v>1</v>
      </c>
      <c r="H1690" t="s">
        <v>549</v>
      </c>
      <c r="I1690" t="s">
        <v>44</v>
      </c>
      <c r="J1690" s="11">
        <v>1505.149978319906</v>
      </c>
      <c r="K1690" t="str">
        <f t="shared" si="52"/>
        <v>Mike Haddad Jr.</v>
      </c>
    </row>
    <row r="1691" spans="1:11" hidden="1" x14ac:dyDescent="0.35">
      <c r="A1691">
        <f t="shared" si="53"/>
        <v>1690</v>
      </c>
      <c r="B1691">
        <v>2010</v>
      </c>
      <c r="C1691" t="s">
        <v>8</v>
      </c>
      <c r="D1691" t="s">
        <v>9</v>
      </c>
      <c r="E1691" t="s">
        <v>1429</v>
      </c>
      <c r="F1691" s="2">
        <v>600</v>
      </c>
      <c r="G1691" s="2">
        <v>2</v>
      </c>
      <c r="H1691" t="s">
        <v>422</v>
      </c>
      <c r="I1691" t="s">
        <v>142</v>
      </c>
      <c r="J1691" s="11">
        <v>1204.1199826559248</v>
      </c>
      <c r="K1691" t="str">
        <f t="shared" si="52"/>
        <v>Matt Vining</v>
      </c>
    </row>
    <row r="1692" spans="1:11" hidden="1" x14ac:dyDescent="0.35">
      <c r="A1692">
        <f t="shared" si="53"/>
        <v>1691</v>
      </c>
      <c r="B1692">
        <v>2010</v>
      </c>
      <c r="C1692" t="s">
        <v>8</v>
      </c>
      <c r="D1692" t="s">
        <v>9</v>
      </c>
      <c r="E1692" t="s">
        <v>1429</v>
      </c>
      <c r="F1692" s="2">
        <v>400</v>
      </c>
      <c r="G1692" s="2">
        <v>3</v>
      </c>
      <c r="H1692" t="s">
        <v>394</v>
      </c>
      <c r="I1692" t="s">
        <v>44</v>
      </c>
      <c r="J1692" s="11">
        <v>1028.0287236002437</v>
      </c>
      <c r="K1692" t="str">
        <f t="shared" si="52"/>
        <v>Mike Miller</v>
      </c>
    </row>
    <row r="1693" spans="1:11" hidden="1" x14ac:dyDescent="0.35">
      <c r="A1693">
        <f t="shared" si="53"/>
        <v>1692</v>
      </c>
      <c r="B1693">
        <v>2010</v>
      </c>
      <c r="C1693" t="s">
        <v>8</v>
      </c>
      <c r="D1693" t="s">
        <v>9</v>
      </c>
      <c r="E1693" t="s">
        <v>1429</v>
      </c>
      <c r="F1693" s="2">
        <v>325</v>
      </c>
      <c r="G1693" s="2">
        <v>4</v>
      </c>
      <c r="H1693" t="s">
        <v>161</v>
      </c>
      <c r="I1693" t="s">
        <v>200</v>
      </c>
      <c r="J1693" s="11">
        <v>903.08998699194365</v>
      </c>
      <c r="K1693" t="str">
        <f t="shared" si="52"/>
        <v>Rick Becker</v>
      </c>
    </row>
    <row r="1694" spans="1:11" hidden="1" x14ac:dyDescent="0.35">
      <c r="A1694">
        <f t="shared" si="53"/>
        <v>1693</v>
      </c>
      <c r="B1694">
        <v>2010</v>
      </c>
      <c r="C1694" t="s">
        <v>8</v>
      </c>
      <c r="D1694" t="s">
        <v>9</v>
      </c>
      <c r="E1694" t="s">
        <v>1429</v>
      </c>
      <c r="F1694" s="2">
        <v>250</v>
      </c>
      <c r="G1694" s="2">
        <v>5</v>
      </c>
      <c r="H1694" t="s">
        <v>86</v>
      </c>
      <c r="I1694" t="s">
        <v>87</v>
      </c>
      <c r="J1694" s="11">
        <v>806.17997398388718</v>
      </c>
      <c r="K1694" t="str">
        <f t="shared" si="52"/>
        <v>Stevan Goldman</v>
      </c>
    </row>
    <row r="1695" spans="1:11" hidden="1" x14ac:dyDescent="0.35">
      <c r="A1695">
        <f t="shared" si="53"/>
        <v>1694</v>
      </c>
      <c r="B1695">
        <v>2010</v>
      </c>
      <c r="C1695" t="s">
        <v>8</v>
      </c>
      <c r="D1695" t="s">
        <v>9</v>
      </c>
      <c r="E1695" t="s">
        <v>1429</v>
      </c>
      <c r="F1695" s="2">
        <v>250</v>
      </c>
      <c r="G1695" s="2">
        <v>6.5</v>
      </c>
      <c r="H1695" t="s">
        <v>452</v>
      </c>
      <c r="I1695" t="s">
        <v>334</v>
      </c>
      <c r="J1695" s="11">
        <v>692.23662167705049</v>
      </c>
      <c r="K1695" t="str">
        <f t="shared" si="52"/>
        <v>Todd Bergmann</v>
      </c>
    </row>
    <row r="1696" spans="1:11" hidden="1" x14ac:dyDescent="0.35">
      <c r="A1696">
        <f t="shared" si="53"/>
        <v>1695</v>
      </c>
      <c r="B1696">
        <v>2010</v>
      </c>
      <c r="C1696" t="s">
        <v>8</v>
      </c>
      <c r="D1696" t="s">
        <v>9</v>
      </c>
      <c r="E1696" t="s">
        <v>1429</v>
      </c>
      <c r="F1696" s="2">
        <v>250</v>
      </c>
      <c r="G1696" s="2">
        <v>6.5</v>
      </c>
      <c r="H1696" t="s">
        <v>10</v>
      </c>
      <c r="I1696" t="s">
        <v>11</v>
      </c>
      <c r="J1696" s="11">
        <v>692.23662167705049</v>
      </c>
      <c r="K1696" t="str">
        <f t="shared" si="52"/>
        <v>Paul Chakoian</v>
      </c>
    </row>
    <row r="1697" spans="1:11" hidden="1" x14ac:dyDescent="0.35">
      <c r="A1697">
        <f t="shared" si="53"/>
        <v>1696</v>
      </c>
      <c r="B1697">
        <v>2010</v>
      </c>
      <c r="C1697" t="s">
        <v>8</v>
      </c>
      <c r="D1697" t="s">
        <v>9</v>
      </c>
      <c r="E1697" t="s">
        <v>1429</v>
      </c>
      <c r="F1697" s="2">
        <v>250</v>
      </c>
      <c r="G1697" s="2">
        <v>6.5</v>
      </c>
      <c r="H1697" t="s">
        <v>550</v>
      </c>
      <c r="I1697" t="s">
        <v>44</v>
      </c>
      <c r="J1697" s="11">
        <v>692.23662167705049</v>
      </c>
      <c r="K1697" t="str">
        <f t="shared" si="52"/>
        <v>Mike Haddad Sr.</v>
      </c>
    </row>
    <row r="1698" spans="1:11" hidden="1" x14ac:dyDescent="0.35">
      <c r="A1698">
        <f t="shared" si="53"/>
        <v>1697</v>
      </c>
      <c r="B1698">
        <v>2010</v>
      </c>
      <c r="C1698" t="s">
        <v>8</v>
      </c>
      <c r="D1698" t="s">
        <v>557</v>
      </c>
      <c r="E1698" t="s">
        <v>1430</v>
      </c>
      <c r="F1698" s="2">
        <v>1314</v>
      </c>
      <c r="G1698" s="2">
        <v>1</v>
      </c>
      <c r="H1698" t="s">
        <v>448</v>
      </c>
      <c r="I1698" t="s">
        <v>421</v>
      </c>
      <c r="J1698" s="11">
        <v>1672.0978579357175</v>
      </c>
      <c r="K1698" t="str">
        <f t="shared" si="52"/>
        <v>Bill Keenan</v>
      </c>
    </row>
    <row r="1699" spans="1:11" hidden="1" x14ac:dyDescent="0.35">
      <c r="A1699">
        <f t="shared" si="53"/>
        <v>1698</v>
      </c>
      <c r="B1699">
        <v>2010</v>
      </c>
      <c r="C1699" t="s">
        <v>8</v>
      </c>
      <c r="D1699" t="s">
        <v>557</v>
      </c>
      <c r="E1699" t="s">
        <v>1430</v>
      </c>
      <c r="F1699" s="2">
        <v>1000</v>
      </c>
      <c r="G1699" s="2">
        <v>2</v>
      </c>
      <c r="H1699" t="s">
        <v>195</v>
      </c>
      <c r="I1699" t="s">
        <v>196</v>
      </c>
      <c r="J1699" s="11">
        <v>1371.0678622717362</v>
      </c>
      <c r="K1699" t="str">
        <f t="shared" si="52"/>
        <v>Dave Tahajian</v>
      </c>
    </row>
    <row r="1700" spans="1:11" hidden="1" x14ac:dyDescent="0.35">
      <c r="A1700">
        <f t="shared" si="53"/>
        <v>1699</v>
      </c>
      <c r="B1700">
        <v>2010</v>
      </c>
      <c r="C1700" t="s">
        <v>8</v>
      </c>
      <c r="D1700" t="s">
        <v>557</v>
      </c>
      <c r="E1700" t="s">
        <v>1430</v>
      </c>
      <c r="F1700" s="2">
        <v>638</v>
      </c>
      <c r="G1700" s="2">
        <v>3</v>
      </c>
      <c r="H1700" t="s">
        <v>128</v>
      </c>
      <c r="I1700" t="s">
        <v>443</v>
      </c>
      <c r="J1700" s="11">
        <v>1194.9766032160551</v>
      </c>
      <c r="K1700" t="str">
        <f t="shared" si="52"/>
        <v>Ming Lee</v>
      </c>
    </row>
    <row r="1701" spans="1:11" hidden="1" x14ac:dyDescent="0.35">
      <c r="A1701">
        <f t="shared" si="53"/>
        <v>1700</v>
      </c>
      <c r="B1701">
        <v>2010</v>
      </c>
      <c r="C1701" t="s">
        <v>8</v>
      </c>
      <c r="D1701" t="s">
        <v>557</v>
      </c>
      <c r="E1701" t="s">
        <v>1430</v>
      </c>
      <c r="F1701" s="2">
        <v>547</v>
      </c>
      <c r="G1701" s="2">
        <v>4</v>
      </c>
      <c r="H1701" t="s">
        <v>51</v>
      </c>
      <c r="I1701" t="s">
        <v>153</v>
      </c>
      <c r="J1701" s="11">
        <v>1070.0378666077549</v>
      </c>
      <c r="K1701" t="str">
        <f t="shared" si="52"/>
        <v>Stephen Rosenblatt</v>
      </c>
    </row>
    <row r="1702" spans="1:11" hidden="1" x14ac:dyDescent="0.35">
      <c r="A1702">
        <f t="shared" si="53"/>
        <v>1701</v>
      </c>
      <c r="B1702">
        <v>2010</v>
      </c>
      <c r="C1702" t="s">
        <v>8</v>
      </c>
      <c r="D1702" t="s">
        <v>557</v>
      </c>
      <c r="E1702" t="s">
        <v>1430</v>
      </c>
      <c r="F1702" s="2">
        <v>456</v>
      </c>
      <c r="G1702" s="2">
        <v>5</v>
      </c>
      <c r="H1702" t="s">
        <v>475</v>
      </c>
      <c r="I1702" t="s">
        <v>887</v>
      </c>
      <c r="J1702" s="11">
        <v>973.12785359969871</v>
      </c>
      <c r="K1702" t="str">
        <f t="shared" si="52"/>
        <v>Chic Natkins</v>
      </c>
    </row>
    <row r="1703" spans="1:11" hidden="1" x14ac:dyDescent="0.35">
      <c r="A1703">
        <f t="shared" si="53"/>
        <v>1702</v>
      </c>
      <c r="B1703">
        <v>2010</v>
      </c>
      <c r="C1703" t="s">
        <v>8</v>
      </c>
      <c r="D1703" t="s">
        <v>557</v>
      </c>
      <c r="E1703" t="s">
        <v>1430</v>
      </c>
      <c r="F1703" s="2">
        <v>364</v>
      </c>
      <c r="G1703" s="2">
        <v>6</v>
      </c>
      <c r="H1703" t="s">
        <v>114</v>
      </c>
      <c r="I1703" t="s">
        <v>187</v>
      </c>
      <c r="J1703" s="11">
        <v>893.94660755207394</v>
      </c>
      <c r="K1703" t="str">
        <f t="shared" si="52"/>
        <v>Joe Morrissette</v>
      </c>
    </row>
    <row r="1704" spans="1:11" hidden="1" x14ac:dyDescent="0.35">
      <c r="A1704">
        <f t="shared" si="53"/>
        <v>1703</v>
      </c>
      <c r="B1704">
        <v>2010</v>
      </c>
      <c r="C1704" t="s">
        <v>8</v>
      </c>
      <c r="D1704" t="s">
        <v>557</v>
      </c>
      <c r="E1704" t="s">
        <v>1430</v>
      </c>
      <c r="F1704" s="2">
        <v>120</v>
      </c>
      <c r="G1704" s="2">
        <v>7</v>
      </c>
      <c r="H1704" t="s">
        <v>53</v>
      </c>
      <c r="I1704" t="s">
        <v>54</v>
      </c>
      <c r="J1704" s="11">
        <v>826.9998179214607</v>
      </c>
      <c r="K1704" t="str">
        <f t="shared" si="52"/>
        <v>Joyce Ciotti</v>
      </c>
    </row>
    <row r="1705" spans="1:11" hidden="1" x14ac:dyDescent="0.35">
      <c r="A1705">
        <f t="shared" si="53"/>
        <v>1704</v>
      </c>
      <c r="B1705">
        <v>2010</v>
      </c>
      <c r="C1705" t="s">
        <v>8</v>
      </c>
      <c r="D1705" t="s">
        <v>557</v>
      </c>
      <c r="E1705" t="s">
        <v>1430</v>
      </c>
      <c r="F1705" s="2">
        <v>120</v>
      </c>
      <c r="G1705" s="2">
        <v>8</v>
      </c>
      <c r="H1705" t="s">
        <v>202</v>
      </c>
      <c r="I1705" t="s">
        <v>205</v>
      </c>
      <c r="J1705" s="11">
        <v>769.00787094377404</v>
      </c>
      <c r="K1705" t="str">
        <f t="shared" si="52"/>
        <v>Ron Lyons</v>
      </c>
    </row>
    <row r="1706" spans="1:11" hidden="1" x14ac:dyDescent="0.35">
      <c r="A1706">
        <f t="shared" si="53"/>
        <v>1705</v>
      </c>
      <c r="B1706">
        <v>2010</v>
      </c>
      <c r="C1706" t="s">
        <v>8</v>
      </c>
      <c r="D1706" t="s">
        <v>45</v>
      </c>
      <c r="E1706" t="s">
        <v>1429</v>
      </c>
      <c r="F1706" s="2">
        <v>2573</v>
      </c>
      <c r="G1706" s="2">
        <v>1</v>
      </c>
      <c r="H1706" t="s">
        <v>57</v>
      </c>
      <c r="I1706" t="s">
        <v>370</v>
      </c>
      <c r="J1706" s="11">
        <v>1924.2792860618815</v>
      </c>
      <c r="K1706" t="str">
        <f t="shared" si="52"/>
        <v>Sally Rogers</v>
      </c>
    </row>
    <row r="1707" spans="1:11" hidden="1" x14ac:dyDescent="0.35">
      <c r="A1707">
        <f t="shared" si="53"/>
        <v>1706</v>
      </c>
      <c r="B1707">
        <v>2010</v>
      </c>
      <c r="C1707" t="s">
        <v>8</v>
      </c>
      <c r="D1707" t="s">
        <v>45</v>
      </c>
      <c r="E1707" t="s">
        <v>1429</v>
      </c>
      <c r="F1707" s="2">
        <v>1589</v>
      </c>
      <c r="G1707" s="2">
        <v>2</v>
      </c>
      <c r="H1707" t="s">
        <v>343</v>
      </c>
      <c r="I1707" t="s">
        <v>344</v>
      </c>
      <c r="J1707" s="11">
        <v>1623.2492903979003</v>
      </c>
      <c r="K1707" t="str">
        <f t="shared" si="52"/>
        <v>Candy Koepke</v>
      </c>
    </row>
    <row r="1708" spans="1:11" hidden="1" x14ac:dyDescent="0.35">
      <c r="A1708">
        <f t="shared" si="53"/>
        <v>1707</v>
      </c>
      <c r="B1708">
        <v>2010</v>
      </c>
      <c r="C1708" t="s">
        <v>8</v>
      </c>
      <c r="D1708" t="s">
        <v>45</v>
      </c>
      <c r="E1708" t="s">
        <v>1429</v>
      </c>
      <c r="F1708" s="2">
        <v>978</v>
      </c>
      <c r="G1708" s="2">
        <v>3</v>
      </c>
      <c r="H1708" t="s">
        <v>161</v>
      </c>
      <c r="I1708" t="s">
        <v>162</v>
      </c>
      <c r="J1708" s="11">
        <v>1447.1580313422191</v>
      </c>
      <c r="K1708" t="str">
        <f t="shared" si="52"/>
        <v>Tracy Becker</v>
      </c>
    </row>
    <row r="1709" spans="1:11" hidden="1" x14ac:dyDescent="0.35">
      <c r="A1709">
        <f t="shared" si="53"/>
        <v>1708</v>
      </c>
      <c r="B1709">
        <v>2010</v>
      </c>
      <c r="C1709" t="s">
        <v>8</v>
      </c>
      <c r="D1709" t="s">
        <v>45</v>
      </c>
      <c r="E1709" t="s">
        <v>1429</v>
      </c>
      <c r="F1709" s="2">
        <v>704</v>
      </c>
      <c r="G1709" s="2">
        <v>4</v>
      </c>
      <c r="H1709" t="s">
        <v>472</v>
      </c>
      <c r="I1709" t="s">
        <v>473</v>
      </c>
      <c r="J1709" s="11">
        <v>1322.219294733919</v>
      </c>
      <c r="K1709" t="str">
        <f t="shared" si="52"/>
        <v>Noah Daiell</v>
      </c>
    </row>
    <row r="1710" spans="1:11" hidden="1" x14ac:dyDescent="0.35">
      <c r="A1710">
        <f t="shared" si="53"/>
        <v>1709</v>
      </c>
      <c r="B1710">
        <v>2010</v>
      </c>
      <c r="C1710" t="s">
        <v>8</v>
      </c>
      <c r="D1710" t="s">
        <v>45</v>
      </c>
      <c r="E1710" t="s">
        <v>1429</v>
      </c>
      <c r="F1710" s="2">
        <v>587</v>
      </c>
      <c r="G1710" s="2">
        <v>5</v>
      </c>
      <c r="H1710" t="s">
        <v>452</v>
      </c>
      <c r="I1710" t="s">
        <v>334</v>
      </c>
      <c r="J1710" s="11">
        <v>1225.3092817258628</v>
      </c>
      <c r="K1710" t="str">
        <f t="shared" si="52"/>
        <v>Todd Bergmann</v>
      </c>
    </row>
    <row r="1711" spans="1:11" hidden="1" x14ac:dyDescent="0.35">
      <c r="A1711">
        <f t="shared" si="53"/>
        <v>1710</v>
      </c>
      <c r="B1711">
        <v>2010</v>
      </c>
      <c r="C1711" t="s">
        <v>8</v>
      </c>
      <c r="D1711" t="s">
        <v>45</v>
      </c>
      <c r="E1711" t="s">
        <v>1429</v>
      </c>
      <c r="F1711" s="2">
        <v>489</v>
      </c>
      <c r="G1711" s="2">
        <v>6</v>
      </c>
      <c r="H1711" t="s">
        <v>66</v>
      </c>
      <c r="I1711" t="s">
        <v>67</v>
      </c>
      <c r="J1711" s="11">
        <v>1146.1280356782379</v>
      </c>
      <c r="K1711" t="str">
        <f t="shared" si="52"/>
        <v>Bob Lauria</v>
      </c>
    </row>
    <row r="1712" spans="1:11" hidden="1" x14ac:dyDescent="0.35">
      <c r="A1712">
        <f t="shared" si="53"/>
        <v>1711</v>
      </c>
      <c r="B1712">
        <v>2010</v>
      </c>
      <c r="C1712" t="s">
        <v>8</v>
      </c>
      <c r="D1712" t="s">
        <v>45</v>
      </c>
      <c r="E1712" t="s">
        <v>1429</v>
      </c>
      <c r="F1712" s="2">
        <v>399</v>
      </c>
      <c r="G1712" s="2">
        <v>7</v>
      </c>
      <c r="H1712" t="s">
        <v>158</v>
      </c>
      <c r="I1712" t="s">
        <v>159</v>
      </c>
      <c r="J1712" s="11">
        <v>1079.1812460476247</v>
      </c>
      <c r="K1712" t="str">
        <f t="shared" si="52"/>
        <v>Brian Hackett</v>
      </c>
    </row>
    <row r="1713" spans="1:11" hidden="1" x14ac:dyDescent="0.35">
      <c r="A1713">
        <f t="shared" si="53"/>
        <v>1712</v>
      </c>
      <c r="B1713">
        <v>2010</v>
      </c>
      <c r="C1713" t="s">
        <v>8</v>
      </c>
      <c r="D1713" t="s">
        <v>45</v>
      </c>
      <c r="E1713" t="s">
        <v>1429</v>
      </c>
      <c r="F1713" s="2">
        <v>306</v>
      </c>
      <c r="G1713" s="2">
        <v>8</v>
      </c>
      <c r="H1713" t="s">
        <v>12</v>
      </c>
      <c r="I1713" t="s">
        <v>13</v>
      </c>
      <c r="J1713" s="11">
        <v>1021.1892990699381</v>
      </c>
      <c r="K1713" t="str">
        <f t="shared" si="52"/>
        <v>Tom Bessoir</v>
      </c>
    </row>
    <row r="1714" spans="1:11" hidden="1" x14ac:dyDescent="0.35">
      <c r="A1714">
        <f t="shared" si="53"/>
        <v>1713</v>
      </c>
      <c r="B1714">
        <v>2010</v>
      </c>
      <c r="C1714" t="s">
        <v>8</v>
      </c>
      <c r="D1714" t="s">
        <v>45</v>
      </c>
      <c r="E1714" t="s">
        <v>1429</v>
      </c>
      <c r="F1714" s="2">
        <v>224</v>
      </c>
      <c r="G1714" s="2">
        <v>9</v>
      </c>
      <c r="H1714" t="s">
        <v>436</v>
      </c>
      <c r="I1714" t="s">
        <v>16</v>
      </c>
      <c r="J1714" s="11">
        <v>970.03677662255677</v>
      </c>
      <c r="K1714" t="str">
        <f t="shared" si="52"/>
        <v>David Coates</v>
      </c>
    </row>
    <row r="1715" spans="1:11" hidden="1" x14ac:dyDescent="0.35">
      <c r="A1715">
        <f t="shared" si="53"/>
        <v>1714</v>
      </c>
      <c r="B1715">
        <v>2010</v>
      </c>
      <c r="C1715" t="s">
        <v>8</v>
      </c>
      <c r="D1715" t="s">
        <v>45</v>
      </c>
      <c r="E1715" t="s">
        <v>1429</v>
      </c>
      <c r="F1715" s="2">
        <v>199</v>
      </c>
      <c r="G1715" s="2">
        <v>10</v>
      </c>
      <c r="H1715" t="s">
        <v>114</v>
      </c>
      <c r="I1715" t="s">
        <v>187</v>
      </c>
      <c r="J1715" s="11">
        <v>924.27928606188163</v>
      </c>
      <c r="K1715" t="str">
        <f t="shared" si="52"/>
        <v>Joe Morrissette</v>
      </c>
    </row>
    <row r="1716" spans="1:11" hidden="1" x14ac:dyDescent="0.35">
      <c r="A1716">
        <f t="shared" si="53"/>
        <v>1715</v>
      </c>
      <c r="B1716">
        <v>2010</v>
      </c>
      <c r="C1716" t="s">
        <v>8</v>
      </c>
      <c r="D1716" t="s">
        <v>45</v>
      </c>
      <c r="E1716" t="s">
        <v>1429</v>
      </c>
      <c r="F1716" s="2">
        <v>100</v>
      </c>
      <c r="G1716" s="2">
        <v>11</v>
      </c>
      <c r="H1716" t="s">
        <v>2539</v>
      </c>
      <c r="I1716" t="s">
        <v>28</v>
      </c>
      <c r="J1716" s="11">
        <v>882.88660090365647</v>
      </c>
      <c r="K1716" t="str">
        <f t="shared" si="52"/>
        <v>Chris O’Connor</v>
      </c>
    </row>
    <row r="1717" spans="1:11" hidden="1" x14ac:dyDescent="0.35">
      <c r="A1717">
        <f t="shared" si="53"/>
        <v>1716</v>
      </c>
      <c r="B1717">
        <v>2010</v>
      </c>
      <c r="C1717" t="s">
        <v>8</v>
      </c>
      <c r="D1717" t="s">
        <v>348</v>
      </c>
      <c r="E1717" t="s">
        <v>1432</v>
      </c>
      <c r="F1717" s="2">
        <v>429</v>
      </c>
      <c r="G1717" s="2">
        <v>1</v>
      </c>
      <c r="H1717" t="s">
        <v>43</v>
      </c>
      <c r="I1717" t="s">
        <v>218</v>
      </c>
      <c r="J1717" s="11">
        <v>772.03402217513781</v>
      </c>
      <c r="K1717" t="str">
        <f t="shared" si="52"/>
        <v>Michael Klein</v>
      </c>
    </row>
    <row r="1718" spans="1:11" hidden="1" x14ac:dyDescent="0.35">
      <c r="A1718">
        <f t="shared" si="53"/>
        <v>1717</v>
      </c>
      <c r="B1718">
        <v>2010</v>
      </c>
      <c r="C1718" t="s">
        <v>8</v>
      </c>
      <c r="D1718" t="s">
        <v>348</v>
      </c>
      <c r="E1718" t="s">
        <v>1432</v>
      </c>
      <c r="F1718" s="2">
        <v>429</v>
      </c>
      <c r="G1718" s="2">
        <v>1</v>
      </c>
      <c r="H1718" t="s">
        <v>130</v>
      </c>
      <c r="I1718" t="s">
        <v>131</v>
      </c>
      <c r="J1718" s="11">
        <v>772.03402217513781</v>
      </c>
      <c r="K1718" t="str">
        <f t="shared" si="52"/>
        <v>Alan Stuart</v>
      </c>
    </row>
    <row r="1719" spans="1:11" hidden="1" x14ac:dyDescent="0.35">
      <c r="A1719">
        <f t="shared" si="53"/>
        <v>1718</v>
      </c>
      <c r="B1719">
        <v>2010</v>
      </c>
      <c r="C1719" t="s">
        <v>8</v>
      </c>
      <c r="D1719" t="s">
        <v>348</v>
      </c>
      <c r="E1719" t="s">
        <v>1432</v>
      </c>
      <c r="F1719" s="2">
        <v>429</v>
      </c>
      <c r="G1719" s="2">
        <v>2</v>
      </c>
      <c r="H1719" t="s">
        <v>320</v>
      </c>
      <c r="I1719" t="s">
        <v>321</v>
      </c>
      <c r="J1719" s="11">
        <v>621.51902434314718</v>
      </c>
      <c r="K1719" t="str">
        <f t="shared" si="52"/>
        <v>Tina Gonzalez</v>
      </c>
    </row>
    <row r="1720" spans="1:11" hidden="1" x14ac:dyDescent="0.35">
      <c r="A1720">
        <f t="shared" si="53"/>
        <v>1719</v>
      </c>
      <c r="B1720">
        <v>2010</v>
      </c>
      <c r="C1720" t="s">
        <v>8</v>
      </c>
      <c r="D1720" t="s">
        <v>348</v>
      </c>
      <c r="E1720" t="s">
        <v>1432</v>
      </c>
      <c r="F1720" s="2">
        <v>429</v>
      </c>
      <c r="G1720" s="2">
        <v>2</v>
      </c>
      <c r="H1720" t="s">
        <v>19</v>
      </c>
      <c r="I1720" t="s">
        <v>20</v>
      </c>
      <c r="J1720" s="11">
        <v>621.51902434314718</v>
      </c>
      <c r="K1720" t="str">
        <f t="shared" si="52"/>
        <v>Barry Kornspan</v>
      </c>
    </row>
    <row r="1721" spans="1:11" hidden="1" x14ac:dyDescent="0.35">
      <c r="A1721">
        <f t="shared" si="53"/>
        <v>1720</v>
      </c>
      <c r="B1721">
        <v>2010</v>
      </c>
      <c r="C1721" t="s">
        <v>8</v>
      </c>
      <c r="D1721" t="s">
        <v>348</v>
      </c>
      <c r="E1721" t="s">
        <v>1432</v>
      </c>
      <c r="F1721" s="2">
        <v>429</v>
      </c>
      <c r="G1721" s="2">
        <v>3</v>
      </c>
      <c r="H1721" t="s">
        <v>57</v>
      </c>
      <c r="I1721" t="s">
        <v>58</v>
      </c>
      <c r="J1721" s="11">
        <v>533.47339481530662</v>
      </c>
      <c r="K1721" t="str">
        <f t="shared" si="52"/>
        <v>Jim Rogers</v>
      </c>
    </row>
    <row r="1722" spans="1:11" hidden="1" x14ac:dyDescent="0.35">
      <c r="A1722">
        <f t="shared" si="53"/>
        <v>1721</v>
      </c>
      <c r="B1722">
        <v>2010</v>
      </c>
      <c r="C1722" t="s">
        <v>8</v>
      </c>
      <c r="D1722" t="s">
        <v>348</v>
      </c>
      <c r="E1722" t="s">
        <v>1432</v>
      </c>
      <c r="F1722" s="2">
        <v>429</v>
      </c>
      <c r="G1722" s="2">
        <v>3</v>
      </c>
      <c r="H1722" t="s">
        <v>57</v>
      </c>
      <c r="I1722" t="s">
        <v>350</v>
      </c>
      <c r="J1722" s="11">
        <v>533.47339481530662</v>
      </c>
      <c r="K1722" t="str">
        <f t="shared" si="52"/>
        <v>Helen Rogers</v>
      </c>
    </row>
    <row r="1723" spans="1:11" hidden="1" x14ac:dyDescent="0.35">
      <c r="A1723">
        <f t="shared" si="53"/>
        <v>1722</v>
      </c>
      <c r="B1723">
        <v>2010</v>
      </c>
      <c r="C1723" t="s">
        <v>8</v>
      </c>
      <c r="D1723" t="s">
        <v>348</v>
      </c>
      <c r="E1723" t="s">
        <v>1432</v>
      </c>
      <c r="F1723" s="2">
        <v>429</v>
      </c>
      <c r="G1723" s="2">
        <v>4</v>
      </c>
      <c r="H1723" t="s">
        <v>553</v>
      </c>
      <c r="I1723" t="s">
        <v>410</v>
      </c>
      <c r="J1723" s="11">
        <v>471.00402651115661</v>
      </c>
      <c r="K1723" t="str">
        <f t="shared" si="52"/>
        <v>Larry Khirallah</v>
      </c>
    </row>
    <row r="1724" spans="1:11" hidden="1" x14ac:dyDescent="0.35">
      <c r="A1724">
        <f t="shared" si="53"/>
        <v>1723</v>
      </c>
      <c r="B1724">
        <v>2010</v>
      </c>
      <c r="C1724" t="s">
        <v>8</v>
      </c>
      <c r="D1724" t="s">
        <v>348</v>
      </c>
      <c r="E1724" t="s">
        <v>1432</v>
      </c>
      <c r="F1724" s="2">
        <v>429</v>
      </c>
      <c r="G1724" s="2">
        <v>4</v>
      </c>
      <c r="H1724" t="s">
        <v>551</v>
      </c>
      <c r="I1724" t="s">
        <v>552</v>
      </c>
      <c r="J1724" s="11">
        <v>471.00402651115661</v>
      </c>
      <c r="K1724" t="str">
        <f t="shared" si="52"/>
        <v>Rocco Scavetta</v>
      </c>
    </row>
    <row r="1725" spans="1:11" hidden="1" x14ac:dyDescent="0.35">
      <c r="A1725">
        <f t="shared" si="53"/>
        <v>1724</v>
      </c>
      <c r="B1725">
        <v>2010</v>
      </c>
      <c r="C1725" t="s">
        <v>8</v>
      </c>
      <c r="D1725" t="s">
        <v>348</v>
      </c>
      <c r="E1725" t="s">
        <v>1432</v>
      </c>
      <c r="F1725" s="2">
        <v>429</v>
      </c>
      <c r="G1725" s="2">
        <v>5</v>
      </c>
      <c r="H1725" t="s">
        <v>80</v>
      </c>
      <c r="I1725" t="s">
        <v>156</v>
      </c>
      <c r="J1725" s="11">
        <v>422.54902000712843</v>
      </c>
      <c r="K1725" t="str">
        <f t="shared" si="52"/>
        <v>Ashley Adams</v>
      </c>
    </row>
    <row r="1726" spans="1:11" hidden="1" x14ac:dyDescent="0.35">
      <c r="A1726">
        <f t="shared" si="53"/>
        <v>1725</v>
      </c>
      <c r="B1726">
        <v>2010</v>
      </c>
      <c r="C1726" t="s">
        <v>8</v>
      </c>
      <c r="D1726" t="s">
        <v>348</v>
      </c>
      <c r="E1726" t="s">
        <v>1432</v>
      </c>
      <c r="F1726" s="2">
        <v>429</v>
      </c>
      <c r="G1726" s="2">
        <v>5</v>
      </c>
      <c r="H1726" t="s">
        <v>158</v>
      </c>
      <c r="I1726" t="s">
        <v>159</v>
      </c>
      <c r="J1726" s="11">
        <v>422.54902000712843</v>
      </c>
      <c r="K1726" t="str">
        <f t="shared" si="52"/>
        <v>Brian Hackett</v>
      </c>
    </row>
    <row r="1727" spans="1:11" hidden="1" x14ac:dyDescent="0.35">
      <c r="A1727">
        <f t="shared" si="53"/>
        <v>1726</v>
      </c>
      <c r="B1727">
        <v>2010</v>
      </c>
      <c r="C1727" t="s">
        <v>8</v>
      </c>
      <c r="D1727" t="s">
        <v>348</v>
      </c>
      <c r="E1727" t="s">
        <v>1432</v>
      </c>
      <c r="F1727" s="2">
        <v>250</v>
      </c>
      <c r="G1727" s="2">
        <v>6</v>
      </c>
      <c r="H1727" t="s">
        <v>174</v>
      </c>
      <c r="I1727" t="s">
        <v>175</v>
      </c>
      <c r="J1727" s="11">
        <v>382.95839698331599</v>
      </c>
      <c r="K1727" t="str">
        <f t="shared" si="52"/>
        <v>Claude Carlson</v>
      </c>
    </row>
    <row r="1728" spans="1:11" hidden="1" x14ac:dyDescent="0.35">
      <c r="A1728">
        <f t="shared" si="53"/>
        <v>1727</v>
      </c>
      <c r="B1728">
        <v>2010</v>
      </c>
      <c r="C1728" t="s">
        <v>8</v>
      </c>
      <c r="D1728" t="s">
        <v>348</v>
      </c>
      <c r="E1728" t="s">
        <v>1432</v>
      </c>
      <c r="F1728" s="2">
        <v>250</v>
      </c>
      <c r="G1728" s="2">
        <v>6</v>
      </c>
      <c r="H1728" t="s">
        <v>51</v>
      </c>
      <c r="I1728" t="s">
        <v>153</v>
      </c>
      <c r="J1728" s="11">
        <v>382.95839698331599</v>
      </c>
      <c r="K1728" t="str">
        <f t="shared" si="52"/>
        <v>Stephen Rosenblatt</v>
      </c>
    </row>
    <row r="1729" spans="1:11" hidden="1" x14ac:dyDescent="0.35">
      <c r="A1729">
        <f t="shared" si="53"/>
        <v>1728</v>
      </c>
      <c r="B1729">
        <v>2010</v>
      </c>
      <c r="C1729" t="s">
        <v>8</v>
      </c>
      <c r="D1729" t="s">
        <v>348</v>
      </c>
      <c r="E1729" t="s">
        <v>1432</v>
      </c>
      <c r="F1729" s="2">
        <v>250</v>
      </c>
      <c r="G1729" s="2">
        <v>7</v>
      </c>
      <c r="H1729" t="s">
        <v>366</v>
      </c>
      <c r="I1729" t="s">
        <v>61</v>
      </c>
      <c r="J1729" s="11">
        <v>349.48500216800943</v>
      </c>
      <c r="K1729" t="str">
        <f t="shared" si="52"/>
        <v>Len Greenberg</v>
      </c>
    </row>
    <row r="1730" spans="1:11" hidden="1" x14ac:dyDescent="0.35">
      <c r="A1730">
        <f t="shared" si="53"/>
        <v>1729</v>
      </c>
      <c r="B1730">
        <v>2010</v>
      </c>
      <c r="C1730" t="s">
        <v>8</v>
      </c>
      <c r="D1730" t="s">
        <v>348</v>
      </c>
      <c r="E1730" t="s">
        <v>1432</v>
      </c>
      <c r="F1730" s="2">
        <v>250</v>
      </c>
      <c r="G1730" s="2">
        <v>7</v>
      </c>
      <c r="H1730" t="s">
        <v>118</v>
      </c>
      <c r="I1730" t="s">
        <v>415</v>
      </c>
      <c r="J1730" s="11">
        <v>349.48500216800943</v>
      </c>
      <c r="K1730" t="str">
        <f t="shared" ref="K1730:K1793" si="54">I1730&amp;" "&amp;H1730</f>
        <v>Pete Segal</v>
      </c>
    </row>
    <row r="1731" spans="1:11" hidden="1" x14ac:dyDescent="0.35">
      <c r="A1731">
        <f t="shared" si="53"/>
        <v>1730</v>
      </c>
      <c r="B1731">
        <v>2010</v>
      </c>
      <c r="C1731" t="s">
        <v>8</v>
      </c>
      <c r="D1731" t="s">
        <v>348</v>
      </c>
      <c r="E1731" t="s">
        <v>1432</v>
      </c>
      <c r="F1731" s="2">
        <v>250</v>
      </c>
      <c r="G1731" s="2">
        <v>8</v>
      </c>
      <c r="H1731" t="s">
        <v>141</v>
      </c>
      <c r="I1731" t="s">
        <v>142</v>
      </c>
      <c r="J1731" s="11">
        <v>320.48902867916604</v>
      </c>
      <c r="K1731" t="str">
        <f t="shared" si="54"/>
        <v>Matt Ivester</v>
      </c>
    </row>
    <row r="1732" spans="1:11" hidden="1" x14ac:dyDescent="0.35">
      <c r="A1732">
        <f t="shared" ref="A1732:A1795" si="55">A1731+1</f>
        <v>1731</v>
      </c>
      <c r="B1732">
        <v>2010</v>
      </c>
      <c r="C1732" t="s">
        <v>8</v>
      </c>
      <c r="D1732" t="s">
        <v>348</v>
      </c>
      <c r="E1732" t="s">
        <v>1432</v>
      </c>
      <c r="F1732" s="2">
        <v>250</v>
      </c>
      <c r="G1732" s="2">
        <v>8</v>
      </c>
      <c r="H1732" t="s">
        <v>352</v>
      </c>
      <c r="I1732" t="s">
        <v>353</v>
      </c>
      <c r="J1732" s="11">
        <v>320.48902867916604</v>
      </c>
      <c r="K1732" t="str">
        <f t="shared" si="54"/>
        <v>Frank Sordi</v>
      </c>
    </row>
    <row r="1733" spans="1:11" hidden="1" x14ac:dyDescent="0.35">
      <c r="A1733">
        <f t="shared" si="55"/>
        <v>1732</v>
      </c>
      <c r="B1733">
        <v>2010</v>
      </c>
      <c r="C1733" t="s">
        <v>8</v>
      </c>
      <c r="D1733" t="s">
        <v>348</v>
      </c>
      <c r="E1733" t="s">
        <v>1432</v>
      </c>
      <c r="F1733" s="2">
        <v>250</v>
      </c>
      <c r="G1733" s="2">
        <v>9</v>
      </c>
      <c r="H1733" t="s">
        <v>555</v>
      </c>
      <c r="I1733" t="s">
        <v>556</v>
      </c>
      <c r="J1733" s="11">
        <v>294.91276745547538</v>
      </c>
      <c r="K1733" t="str">
        <f t="shared" si="54"/>
        <v>Anne Barylick</v>
      </c>
    </row>
    <row r="1734" spans="1:11" hidden="1" x14ac:dyDescent="0.35">
      <c r="A1734">
        <f t="shared" si="55"/>
        <v>1733</v>
      </c>
      <c r="B1734">
        <v>2010</v>
      </c>
      <c r="C1734" t="s">
        <v>8</v>
      </c>
      <c r="D1734" t="s">
        <v>348</v>
      </c>
      <c r="E1734" t="s">
        <v>1432</v>
      </c>
      <c r="F1734" s="2">
        <v>250</v>
      </c>
      <c r="G1734" s="2">
        <v>9</v>
      </c>
      <c r="H1734" t="s">
        <v>554</v>
      </c>
      <c r="I1734" t="s">
        <v>846</v>
      </c>
      <c r="J1734" s="11">
        <v>294.91276745547538</v>
      </c>
      <c r="K1734" t="str">
        <f t="shared" si="54"/>
        <v>Donald Hemstock</v>
      </c>
    </row>
    <row r="1735" spans="1:11" hidden="1" x14ac:dyDescent="0.35">
      <c r="A1735">
        <f t="shared" si="55"/>
        <v>1734</v>
      </c>
      <c r="B1735">
        <v>2010</v>
      </c>
      <c r="C1735" t="s">
        <v>8</v>
      </c>
      <c r="D1735" t="s">
        <v>348</v>
      </c>
      <c r="E1735" t="s">
        <v>1432</v>
      </c>
      <c r="F1735" s="2">
        <v>250</v>
      </c>
      <c r="G1735" s="2">
        <v>10</v>
      </c>
      <c r="H1735" t="s">
        <v>53</v>
      </c>
      <c r="I1735" t="s">
        <v>54</v>
      </c>
      <c r="J1735" s="11">
        <v>272.03402217513781</v>
      </c>
      <c r="K1735" t="str">
        <f t="shared" si="54"/>
        <v>Joyce Ciotti</v>
      </c>
    </row>
    <row r="1736" spans="1:11" hidden="1" x14ac:dyDescent="0.35">
      <c r="A1736">
        <f t="shared" si="55"/>
        <v>1735</v>
      </c>
      <c r="B1736">
        <v>2010</v>
      </c>
      <c r="C1736" t="s">
        <v>8</v>
      </c>
      <c r="D1736" t="s">
        <v>348</v>
      </c>
      <c r="E1736" t="s">
        <v>1432</v>
      </c>
      <c r="F1736" s="2">
        <v>250</v>
      </c>
      <c r="G1736" s="2">
        <v>10</v>
      </c>
      <c r="H1736" t="s">
        <v>66</v>
      </c>
      <c r="I1736" t="s">
        <v>67</v>
      </c>
      <c r="J1736" s="11">
        <v>272.03402217513781</v>
      </c>
      <c r="K1736" t="str">
        <f t="shared" si="54"/>
        <v>Bob Lauria</v>
      </c>
    </row>
    <row r="1737" spans="1:11" hidden="1" x14ac:dyDescent="0.35">
      <c r="A1737">
        <f t="shared" si="55"/>
        <v>1736</v>
      </c>
      <c r="B1737">
        <v>2010</v>
      </c>
      <c r="C1737" t="s">
        <v>583</v>
      </c>
      <c r="D1737" t="s">
        <v>45</v>
      </c>
      <c r="E1737" t="s">
        <v>1429</v>
      </c>
      <c r="F1737" s="2">
        <v>425</v>
      </c>
      <c r="G1737" s="2">
        <v>1</v>
      </c>
      <c r="H1737" t="s">
        <v>183</v>
      </c>
      <c r="I1737" t="s">
        <v>528</v>
      </c>
      <c r="J1737" s="11">
        <v>1230.4489213782738</v>
      </c>
      <c r="K1737" t="str">
        <f t="shared" si="54"/>
        <v>Tim White</v>
      </c>
    </row>
    <row r="1738" spans="1:11" hidden="1" x14ac:dyDescent="0.35">
      <c r="A1738">
        <f t="shared" si="55"/>
        <v>1737</v>
      </c>
      <c r="B1738">
        <v>2010</v>
      </c>
      <c r="C1738" t="s">
        <v>583</v>
      </c>
      <c r="D1738" t="s">
        <v>45</v>
      </c>
      <c r="E1738" t="s">
        <v>1429</v>
      </c>
      <c r="F1738" s="2">
        <v>255</v>
      </c>
      <c r="G1738" s="2">
        <v>2</v>
      </c>
      <c r="H1738" t="s">
        <v>585</v>
      </c>
      <c r="I1738" t="s">
        <v>136</v>
      </c>
      <c r="J1738" s="11">
        <v>929.41892571429264</v>
      </c>
      <c r="K1738" t="str">
        <f t="shared" si="54"/>
        <v>John Pickels</v>
      </c>
    </row>
    <row r="1739" spans="1:11" hidden="1" x14ac:dyDescent="0.35">
      <c r="A1739">
        <f t="shared" si="55"/>
        <v>1738</v>
      </c>
      <c r="B1739">
        <v>2010</v>
      </c>
      <c r="C1739" t="s">
        <v>583</v>
      </c>
      <c r="D1739" t="s">
        <v>45</v>
      </c>
      <c r="E1739" t="s">
        <v>1429</v>
      </c>
      <c r="F1739" s="2">
        <v>170</v>
      </c>
      <c r="G1739" s="2">
        <v>3</v>
      </c>
      <c r="H1739" t="s">
        <v>266</v>
      </c>
      <c r="I1739" t="s">
        <v>28</v>
      </c>
      <c r="J1739" s="11">
        <v>753.32766665861152</v>
      </c>
      <c r="K1739" t="str">
        <f t="shared" si="54"/>
        <v>Chris Mecklin</v>
      </c>
    </row>
    <row r="1740" spans="1:11" hidden="1" x14ac:dyDescent="0.35">
      <c r="A1740">
        <f t="shared" si="55"/>
        <v>1739</v>
      </c>
      <c r="B1740">
        <v>2010</v>
      </c>
      <c r="C1740" t="s">
        <v>583</v>
      </c>
      <c r="D1740" t="s">
        <v>45</v>
      </c>
      <c r="E1740" t="s">
        <v>1429</v>
      </c>
      <c r="F1740" s="2">
        <v>85</v>
      </c>
      <c r="G1740" s="2">
        <v>4</v>
      </c>
      <c r="H1740" t="s">
        <v>265</v>
      </c>
      <c r="I1740" t="s">
        <v>139</v>
      </c>
      <c r="J1740" s="11">
        <v>628.3889300503115</v>
      </c>
      <c r="K1740" t="str">
        <f t="shared" si="54"/>
        <v>Mark Hughes</v>
      </c>
    </row>
    <row r="1741" spans="1:11" hidden="1" x14ac:dyDescent="0.35">
      <c r="A1741">
        <f t="shared" si="55"/>
        <v>1740</v>
      </c>
      <c r="B1741">
        <v>2010</v>
      </c>
      <c r="C1741" t="s">
        <v>583</v>
      </c>
      <c r="D1741" t="s">
        <v>584</v>
      </c>
      <c r="E1741" t="s">
        <v>133</v>
      </c>
      <c r="F1741" s="2">
        <v>300</v>
      </c>
      <c r="G1741" s="2">
        <v>1</v>
      </c>
      <c r="H1741" t="s">
        <v>266</v>
      </c>
      <c r="I1741" t="s">
        <v>28</v>
      </c>
      <c r="J1741" s="11">
        <v>903.08998699194353</v>
      </c>
      <c r="K1741" t="str">
        <f t="shared" si="54"/>
        <v>Chris Mecklin</v>
      </c>
    </row>
    <row r="1742" spans="1:11" hidden="1" x14ac:dyDescent="0.35">
      <c r="A1742">
        <f t="shared" si="55"/>
        <v>1741</v>
      </c>
      <c r="B1742">
        <v>2010</v>
      </c>
      <c r="C1742" t="s">
        <v>583</v>
      </c>
      <c r="D1742" t="s">
        <v>584</v>
      </c>
      <c r="E1742" t="s">
        <v>133</v>
      </c>
      <c r="F1742" s="2">
        <v>180</v>
      </c>
      <c r="G1742" s="2">
        <v>2</v>
      </c>
      <c r="H1742" t="s">
        <v>585</v>
      </c>
      <c r="I1742" t="s">
        <v>136</v>
      </c>
      <c r="J1742" s="11">
        <v>602.05999132796228</v>
      </c>
      <c r="K1742" t="str">
        <f t="shared" si="54"/>
        <v>John Pickels</v>
      </c>
    </row>
    <row r="1743" spans="1:11" hidden="1" x14ac:dyDescent="0.35">
      <c r="A1743">
        <f t="shared" si="55"/>
        <v>1742</v>
      </c>
      <c r="B1743">
        <v>2010</v>
      </c>
      <c r="C1743" t="s">
        <v>583</v>
      </c>
      <c r="D1743" t="s">
        <v>584</v>
      </c>
      <c r="E1743" t="s">
        <v>133</v>
      </c>
      <c r="F1743" s="2">
        <v>120</v>
      </c>
      <c r="G1743" s="2">
        <v>3</v>
      </c>
      <c r="H1743" t="s">
        <v>183</v>
      </c>
      <c r="I1743" t="s">
        <v>13</v>
      </c>
      <c r="J1743" s="11">
        <v>425.9687322722811</v>
      </c>
      <c r="K1743" t="str">
        <f t="shared" si="54"/>
        <v>Tom White</v>
      </c>
    </row>
    <row r="1744" spans="1:11" hidden="1" x14ac:dyDescent="0.35">
      <c r="A1744">
        <f t="shared" si="55"/>
        <v>1743</v>
      </c>
      <c r="B1744">
        <v>2010</v>
      </c>
      <c r="C1744" t="s">
        <v>583</v>
      </c>
      <c r="D1744" t="s">
        <v>110</v>
      </c>
      <c r="E1744" t="s">
        <v>1430</v>
      </c>
      <c r="F1744" s="2">
        <v>200</v>
      </c>
      <c r="G1744" s="2">
        <v>1</v>
      </c>
      <c r="H1744" t="s">
        <v>265</v>
      </c>
      <c r="I1744" t="s">
        <v>139</v>
      </c>
      <c r="J1744" s="11">
        <v>903.08998699194353</v>
      </c>
      <c r="K1744" t="str">
        <f t="shared" si="54"/>
        <v>Mark Hughes</v>
      </c>
    </row>
    <row r="1745" spans="1:11" hidden="1" x14ac:dyDescent="0.35">
      <c r="A1745">
        <f t="shared" si="55"/>
        <v>1744</v>
      </c>
      <c r="B1745">
        <v>2010</v>
      </c>
      <c r="C1745" t="s">
        <v>583</v>
      </c>
      <c r="D1745" t="s">
        <v>110</v>
      </c>
      <c r="E1745" t="s">
        <v>1430</v>
      </c>
      <c r="F1745" s="2">
        <v>200</v>
      </c>
      <c r="G1745" s="2">
        <v>2</v>
      </c>
      <c r="H1745" t="s">
        <v>585</v>
      </c>
      <c r="I1745" t="s">
        <v>136</v>
      </c>
      <c r="J1745" s="11">
        <v>602.05999132796228</v>
      </c>
      <c r="K1745" t="str">
        <f t="shared" si="54"/>
        <v>John Pickels</v>
      </c>
    </row>
    <row r="1746" spans="1:11" hidden="1" x14ac:dyDescent="0.35">
      <c r="A1746">
        <f t="shared" si="55"/>
        <v>1745</v>
      </c>
      <c r="B1746">
        <v>2010</v>
      </c>
      <c r="C1746" t="s">
        <v>583</v>
      </c>
      <c r="D1746" t="s">
        <v>110</v>
      </c>
      <c r="E1746" t="s">
        <v>1430</v>
      </c>
      <c r="F1746" s="2">
        <v>200</v>
      </c>
      <c r="G1746" s="2">
        <v>3</v>
      </c>
      <c r="H1746" t="s">
        <v>588</v>
      </c>
      <c r="I1746" t="s">
        <v>353</v>
      </c>
      <c r="J1746" s="11">
        <v>425.9687322722811</v>
      </c>
      <c r="K1746" t="str">
        <f t="shared" si="54"/>
        <v>Frank Bruegger</v>
      </c>
    </row>
    <row r="1747" spans="1:11" hidden="1" x14ac:dyDescent="0.35">
      <c r="A1747">
        <f t="shared" si="55"/>
        <v>1746</v>
      </c>
      <c r="B1747">
        <v>2011</v>
      </c>
      <c r="C1747" s="4" t="s">
        <v>109</v>
      </c>
      <c r="D1747" s="4" t="s">
        <v>45</v>
      </c>
      <c r="E1747" t="s">
        <v>1429</v>
      </c>
      <c r="F1747" s="17">
        <v>3740</v>
      </c>
      <c r="G1747" s="17">
        <v>1</v>
      </c>
      <c r="H1747" t="s">
        <v>66</v>
      </c>
      <c r="I1747" t="s">
        <v>67</v>
      </c>
      <c r="J1747" s="13">
        <v>2041.3926851582248</v>
      </c>
      <c r="K1747" t="str">
        <f t="shared" si="54"/>
        <v>Bob Lauria</v>
      </c>
    </row>
    <row r="1748" spans="1:11" hidden="1" x14ac:dyDescent="0.35">
      <c r="A1748">
        <f t="shared" si="55"/>
        <v>1747</v>
      </c>
      <c r="B1748">
        <v>2011</v>
      </c>
      <c r="C1748" s="4" t="s">
        <v>109</v>
      </c>
      <c r="D1748" s="4" t="s">
        <v>45</v>
      </c>
      <c r="E1748" t="s">
        <v>1429</v>
      </c>
      <c r="F1748" s="17">
        <v>1870</v>
      </c>
      <c r="G1748" s="17">
        <v>2</v>
      </c>
      <c r="H1748" t="s">
        <v>496</v>
      </c>
      <c r="I1748" t="s">
        <v>218</v>
      </c>
      <c r="J1748" s="13">
        <v>1740.3626894942436</v>
      </c>
      <c r="K1748" t="str">
        <f t="shared" si="54"/>
        <v>Michael Cegielski</v>
      </c>
    </row>
    <row r="1749" spans="1:11" hidden="1" x14ac:dyDescent="0.35">
      <c r="A1749">
        <f t="shared" si="55"/>
        <v>1748</v>
      </c>
      <c r="B1749">
        <v>2011</v>
      </c>
      <c r="C1749" s="4" t="s">
        <v>109</v>
      </c>
      <c r="D1749" s="4" t="s">
        <v>45</v>
      </c>
      <c r="E1749" t="s">
        <v>1429</v>
      </c>
      <c r="F1749" s="17">
        <v>1100</v>
      </c>
      <c r="G1749" s="17">
        <v>3</v>
      </c>
      <c r="H1749" t="s">
        <v>16</v>
      </c>
      <c r="I1749" t="s">
        <v>59</v>
      </c>
      <c r="J1749" s="13">
        <v>1564.2714304385624</v>
      </c>
      <c r="K1749" t="str">
        <f t="shared" si="54"/>
        <v>Jeanne David</v>
      </c>
    </row>
    <row r="1750" spans="1:11" hidden="1" x14ac:dyDescent="0.35">
      <c r="A1750">
        <f t="shared" si="55"/>
        <v>1749</v>
      </c>
      <c r="B1750">
        <v>2011</v>
      </c>
      <c r="C1750" s="4" t="s">
        <v>109</v>
      </c>
      <c r="D1750" s="4" t="s">
        <v>45</v>
      </c>
      <c r="E1750" t="s">
        <v>1429</v>
      </c>
      <c r="F1750" s="17">
        <v>880</v>
      </c>
      <c r="G1750" s="17">
        <v>4</v>
      </c>
      <c r="H1750" t="s">
        <v>452</v>
      </c>
      <c r="I1750" t="s">
        <v>334</v>
      </c>
      <c r="J1750" s="13">
        <v>1439.3326938302623</v>
      </c>
      <c r="K1750" t="str">
        <f t="shared" si="54"/>
        <v>Todd Bergmann</v>
      </c>
    </row>
    <row r="1751" spans="1:11" hidden="1" x14ac:dyDescent="0.35">
      <c r="A1751">
        <f t="shared" si="55"/>
        <v>1750</v>
      </c>
      <c r="B1751">
        <v>2011</v>
      </c>
      <c r="C1751" s="4" t="s">
        <v>109</v>
      </c>
      <c r="D1751" s="4" t="s">
        <v>45</v>
      </c>
      <c r="E1751" t="s">
        <v>1429</v>
      </c>
      <c r="F1751" s="17">
        <v>660</v>
      </c>
      <c r="G1751" s="17">
        <v>5</v>
      </c>
      <c r="H1751" t="s">
        <v>498</v>
      </c>
      <c r="I1751" t="s">
        <v>28</v>
      </c>
      <c r="J1751" s="13">
        <v>1342.4226808222061</v>
      </c>
      <c r="K1751" t="str">
        <f t="shared" si="54"/>
        <v>Chris Alaura</v>
      </c>
    </row>
    <row r="1752" spans="1:11" hidden="1" x14ac:dyDescent="0.35">
      <c r="A1752">
        <f t="shared" si="55"/>
        <v>1751</v>
      </c>
      <c r="B1752">
        <v>2011</v>
      </c>
      <c r="C1752" s="4" t="s">
        <v>109</v>
      </c>
      <c r="D1752" s="4" t="s">
        <v>45</v>
      </c>
      <c r="E1752" t="s">
        <v>1429</v>
      </c>
      <c r="F1752" s="17">
        <v>440</v>
      </c>
      <c r="G1752" s="17">
        <v>6</v>
      </c>
      <c r="H1752" t="s">
        <v>407</v>
      </c>
      <c r="I1752" t="s">
        <v>406</v>
      </c>
      <c r="J1752" s="13">
        <v>1263.2414347745812</v>
      </c>
      <c r="K1752" t="str">
        <f t="shared" si="54"/>
        <v>Howard Jackson</v>
      </c>
    </row>
    <row r="1753" spans="1:11" hidden="1" x14ac:dyDescent="0.35">
      <c r="A1753">
        <f t="shared" si="55"/>
        <v>1752</v>
      </c>
      <c r="B1753">
        <v>2011</v>
      </c>
      <c r="C1753" s="4" t="s">
        <v>109</v>
      </c>
      <c r="D1753" s="4" t="s">
        <v>45</v>
      </c>
      <c r="E1753" t="s">
        <v>1429</v>
      </c>
      <c r="F1753" s="17">
        <v>330</v>
      </c>
      <c r="G1753" s="17">
        <v>7</v>
      </c>
      <c r="H1753" t="s">
        <v>501</v>
      </c>
      <c r="I1753" t="s">
        <v>502</v>
      </c>
      <c r="J1753" s="13">
        <v>1196.294645143968</v>
      </c>
      <c r="K1753" t="str">
        <f t="shared" si="54"/>
        <v>Erik Seltzer</v>
      </c>
    </row>
    <row r="1754" spans="1:11" hidden="1" x14ac:dyDescent="0.35">
      <c r="A1754">
        <f t="shared" si="55"/>
        <v>1753</v>
      </c>
      <c r="B1754">
        <v>2011</v>
      </c>
      <c r="C1754" s="4" t="s">
        <v>109</v>
      </c>
      <c r="D1754" s="4" t="s">
        <v>45</v>
      </c>
      <c r="E1754" t="s">
        <v>1429</v>
      </c>
      <c r="F1754" s="17">
        <v>275</v>
      </c>
      <c r="G1754" s="17">
        <v>8</v>
      </c>
      <c r="H1754" t="s">
        <v>504</v>
      </c>
      <c r="I1754" t="s">
        <v>946</v>
      </c>
      <c r="J1754" s="13">
        <v>1138.3026981662813</v>
      </c>
      <c r="K1754" t="str">
        <f t="shared" si="54"/>
        <v>Ray Didonato</v>
      </c>
    </row>
    <row r="1755" spans="1:11" hidden="1" x14ac:dyDescent="0.35">
      <c r="A1755">
        <f t="shared" si="55"/>
        <v>1754</v>
      </c>
      <c r="B1755">
        <v>2011</v>
      </c>
      <c r="C1755" s="4" t="s">
        <v>109</v>
      </c>
      <c r="D1755" s="4" t="s">
        <v>45</v>
      </c>
      <c r="E1755" t="s">
        <v>1429</v>
      </c>
      <c r="F1755" s="17">
        <v>220</v>
      </c>
      <c r="G1755" s="17">
        <v>9</v>
      </c>
      <c r="H1755" t="s">
        <v>281</v>
      </c>
      <c r="I1755" t="s">
        <v>282</v>
      </c>
      <c r="J1755" s="13">
        <v>1087.1501757189001</v>
      </c>
      <c r="K1755" t="str">
        <f t="shared" si="54"/>
        <v>Randy Collack</v>
      </c>
    </row>
    <row r="1756" spans="1:11" hidden="1" x14ac:dyDescent="0.35">
      <c r="A1756">
        <f t="shared" si="55"/>
        <v>1755</v>
      </c>
      <c r="B1756">
        <v>2011</v>
      </c>
      <c r="C1756" s="4" t="s">
        <v>109</v>
      </c>
      <c r="D1756" s="4" t="s">
        <v>45</v>
      </c>
      <c r="E1756" t="s">
        <v>1429</v>
      </c>
      <c r="F1756" s="17">
        <v>165</v>
      </c>
      <c r="G1756" s="17">
        <v>10</v>
      </c>
      <c r="H1756" t="s">
        <v>505</v>
      </c>
      <c r="I1756" t="s">
        <v>282</v>
      </c>
      <c r="J1756" s="13">
        <v>1041.3926851582248</v>
      </c>
      <c r="K1756" t="str">
        <f t="shared" si="54"/>
        <v>Randy Trubow</v>
      </c>
    </row>
    <row r="1757" spans="1:11" hidden="1" x14ac:dyDescent="0.35">
      <c r="A1757">
        <f t="shared" si="55"/>
        <v>1756</v>
      </c>
      <c r="B1757">
        <v>2011</v>
      </c>
      <c r="C1757" s="4" t="s">
        <v>109</v>
      </c>
      <c r="D1757" s="4" t="s">
        <v>45</v>
      </c>
      <c r="E1757" t="s">
        <v>1429</v>
      </c>
      <c r="F1757" s="17">
        <v>165</v>
      </c>
      <c r="G1757" s="17">
        <v>11</v>
      </c>
      <c r="H1757" t="s">
        <v>39</v>
      </c>
      <c r="I1757" t="s">
        <v>40</v>
      </c>
      <c r="J1757" s="13">
        <v>1000</v>
      </c>
      <c r="K1757" t="str">
        <f t="shared" si="54"/>
        <v>Katie Baxter</v>
      </c>
    </row>
    <row r="1758" spans="1:11" hidden="1" x14ac:dyDescent="0.35">
      <c r="A1758">
        <f t="shared" si="55"/>
        <v>1757</v>
      </c>
      <c r="B1758">
        <v>2011</v>
      </c>
      <c r="C1758" s="4" t="s">
        <v>109</v>
      </c>
      <c r="D1758" s="4" t="s">
        <v>45</v>
      </c>
      <c r="E1758" t="s">
        <v>1429</v>
      </c>
      <c r="F1758" s="17">
        <v>165</v>
      </c>
      <c r="G1758" s="17">
        <v>12</v>
      </c>
      <c r="H1758" t="s">
        <v>486</v>
      </c>
      <c r="I1758" t="s">
        <v>487</v>
      </c>
      <c r="J1758" s="13">
        <v>962.21143911060005</v>
      </c>
      <c r="K1758" t="str">
        <f t="shared" si="54"/>
        <v>Margaret Pilchman</v>
      </c>
    </row>
    <row r="1759" spans="1:11" hidden="1" x14ac:dyDescent="0.35">
      <c r="A1759">
        <f t="shared" si="55"/>
        <v>1758</v>
      </c>
      <c r="B1759">
        <v>2011</v>
      </c>
      <c r="C1759" s="4" t="s">
        <v>109</v>
      </c>
      <c r="D1759" s="4" t="s">
        <v>45</v>
      </c>
      <c r="E1759" t="s">
        <v>1429</v>
      </c>
      <c r="F1759" s="17">
        <v>165</v>
      </c>
      <c r="G1759" s="17">
        <v>13</v>
      </c>
      <c r="H1759" t="s">
        <v>507</v>
      </c>
      <c r="I1759" t="s">
        <v>25</v>
      </c>
      <c r="J1759" s="13">
        <v>927.44933285138825</v>
      </c>
      <c r="K1759" t="str">
        <f t="shared" si="54"/>
        <v>Russell Lopez</v>
      </c>
    </row>
    <row r="1760" spans="1:11" hidden="1" x14ac:dyDescent="0.35">
      <c r="A1760">
        <f t="shared" si="55"/>
        <v>1759</v>
      </c>
      <c r="B1760">
        <v>2011</v>
      </c>
      <c r="C1760" s="4" t="s">
        <v>109</v>
      </c>
      <c r="D1760" s="4" t="s">
        <v>45</v>
      </c>
      <c r="E1760" t="s">
        <v>1429</v>
      </c>
      <c r="F1760" s="17">
        <v>165</v>
      </c>
      <c r="G1760" s="17">
        <v>14</v>
      </c>
      <c r="H1760" t="s">
        <v>692</v>
      </c>
      <c r="I1760" t="s">
        <v>200</v>
      </c>
      <c r="J1760" s="13">
        <v>895.26464947998693</v>
      </c>
      <c r="K1760" t="str">
        <f t="shared" si="54"/>
        <v>Rick Monbourquette</v>
      </c>
    </row>
    <row r="1761" spans="1:11" hidden="1" x14ac:dyDescent="0.35">
      <c r="A1761">
        <f t="shared" si="55"/>
        <v>1760</v>
      </c>
      <c r="B1761">
        <v>2011</v>
      </c>
      <c r="C1761" s="4" t="s">
        <v>109</v>
      </c>
      <c r="D1761" s="4" t="s">
        <v>45</v>
      </c>
      <c r="E1761" t="s">
        <v>1429</v>
      </c>
      <c r="F1761" s="17">
        <v>165</v>
      </c>
      <c r="G1761" s="17">
        <v>15</v>
      </c>
      <c r="H1761" t="s">
        <v>161</v>
      </c>
      <c r="I1761" t="s">
        <v>162</v>
      </c>
      <c r="J1761" s="13">
        <v>865.30142610254359</v>
      </c>
      <c r="K1761" t="str">
        <f t="shared" si="54"/>
        <v>Tracy Becker</v>
      </c>
    </row>
    <row r="1762" spans="1:11" hidden="1" x14ac:dyDescent="0.35">
      <c r="A1762">
        <f t="shared" si="55"/>
        <v>1761</v>
      </c>
      <c r="B1762">
        <v>2011</v>
      </c>
      <c r="C1762" s="4" t="s">
        <v>109</v>
      </c>
      <c r="D1762" s="4" t="s">
        <v>45</v>
      </c>
      <c r="E1762" t="s">
        <v>1429</v>
      </c>
      <c r="F1762" s="17">
        <v>165</v>
      </c>
      <c r="G1762" s="17">
        <v>16</v>
      </c>
      <c r="H1762" t="s">
        <v>285</v>
      </c>
      <c r="I1762" t="s">
        <v>119</v>
      </c>
      <c r="J1762" s="13">
        <v>837.27270250230015</v>
      </c>
      <c r="K1762" t="str">
        <f t="shared" si="54"/>
        <v>Peter Secor</v>
      </c>
    </row>
    <row r="1763" spans="1:11" hidden="1" x14ac:dyDescent="0.35">
      <c r="A1763">
        <f t="shared" si="55"/>
        <v>1762</v>
      </c>
      <c r="B1763">
        <v>2011</v>
      </c>
      <c r="C1763" s="4" t="s">
        <v>109</v>
      </c>
      <c r="D1763" s="4" t="s">
        <v>133</v>
      </c>
      <c r="E1763" t="s">
        <v>133</v>
      </c>
      <c r="F1763" s="17">
        <v>1400</v>
      </c>
      <c r="G1763" s="17">
        <v>1</v>
      </c>
      <c r="H1763" t="s">
        <v>366</v>
      </c>
      <c r="I1763" t="s">
        <v>61</v>
      </c>
      <c r="J1763" s="13">
        <v>1462.3979978989562</v>
      </c>
      <c r="K1763" t="str">
        <f t="shared" si="54"/>
        <v>Len Greenberg</v>
      </c>
    </row>
    <row r="1764" spans="1:11" hidden="1" x14ac:dyDescent="0.35">
      <c r="A1764">
        <f t="shared" si="55"/>
        <v>1763</v>
      </c>
      <c r="B1764">
        <v>2011</v>
      </c>
      <c r="C1764" s="4" t="s">
        <v>109</v>
      </c>
      <c r="D1764" s="4" t="s">
        <v>133</v>
      </c>
      <c r="E1764" t="s">
        <v>133</v>
      </c>
      <c r="F1764" s="17">
        <v>870</v>
      </c>
      <c r="G1764" s="17">
        <v>2</v>
      </c>
      <c r="H1764" t="s">
        <v>498</v>
      </c>
      <c r="I1764" t="s">
        <v>28</v>
      </c>
      <c r="J1764" s="13">
        <v>1161.3680022349749</v>
      </c>
      <c r="K1764" t="str">
        <f t="shared" si="54"/>
        <v>Chris Alaura</v>
      </c>
    </row>
    <row r="1765" spans="1:11" hidden="1" x14ac:dyDescent="0.35">
      <c r="A1765">
        <f t="shared" si="55"/>
        <v>1764</v>
      </c>
      <c r="B1765">
        <v>2011</v>
      </c>
      <c r="C1765" s="4" t="s">
        <v>109</v>
      </c>
      <c r="D1765" s="4" t="s">
        <v>133</v>
      </c>
      <c r="E1765" t="s">
        <v>133</v>
      </c>
      <c r="F1765" s="17">
        <v>435</v>
      </c>
      <c r="G1765" s="17">
        <v>3</v>
      </c>
      <c r="H1765" t="s">
        <v>39</v>
      </c>
      <c r="I1765" t="s">
        <v>40</v>
      </c>
      <c r="J1765" s="13">
        <v>985.2767431792937</v>
      </c>
      <c r="K1765" t="str">
        <f t="shared" si="54"/>
        <v>Katie Baxter</v>
      </c>
    </row>
    <row r="1766" spans="1:11" hidden="1" x14ac:dyDescent="0.35">
      <c r="A1766">
        <f t="shared" si="55"/>
        <v>1765</v>
      </c>
      <c r="B1766">
        <v>2011</v>
      </c>
      <c r="C1766" s="4" t="s">
        <v>109</v>
      </c>
      <c r="D1766" s="4" t="s">
        <v>133</v>
      </c>
      <c r="E1766" t="s">
        <v>133</v>
      </c>
      <c r="F1766" s="17">
        <v>195</v>
      </c>
      <c r="G1766" s="17">
        <v>4</v>
      </c>
      <c r="H1766" t="s">
        <v>64</v>
      </c>
      <c r="I1766" t="s">
        <v>65</v>
      </c>
      <c r="J1766" s="13">
        <v>860.33800657099368</v>
      </c>
      <c r="K1766" t="str">
        <f t="shared" si="54"/>
        <v>Steve Daniel</v>
      </c>
    </row>
    <row r="1767" spans="1:11" hidden="1" x14ac:dyDescent="0.35">
      <c r="A1767">
        <f t="shared" si="55"/>
        <v>1766</v>
      </c>
      <c r="B1767">
        <v>2011</v>
      </c>
      <c r="C1767" s="4" t="s">
        <v>109</v>
      </c>
      <c r="D1767" s="4" t="s">
        <v>110</v>
      </c>
      <c r="E1767" t="s">
        <v>1430</v>
      </c>
      <c r="F1767" s="17">
        <v>2556</v>
      </c>
      <c r="G1767" s="17">
        <v>1</v>
      </c>
      <c r="H1767" t="s">
        <v>66</v>
      </c>
      <c r="I1767" t="s">
        <v>67</v>
      </c>
      <c r="J1767" s="13">
        <v>1851.2583487190752</v>
      </c>
      <c r="K1767" t="str">
        <f t="shared" si="54"/>
        <v>Bob Lauria</v>
      </c>
    </row>
    <row r="1768" spans="1:11" hidden="1" x14ac:dyDescent="0.35">
      <c r="A1768">
        <f t="shared" si="55"/>
        <v>1767</v>
      </c>
      <c r="B1768">
        <v>2011</v>
      </c>
      <c r="C1768" s="4" t="s">
        <v>109</v>
      </c>
      <c r="D1768" s="4" t="s">
        <v>110</v>
      </c>
      <c r="E1768" t="s">
        <v>1430</v>
      </c>
      <c r="F1768" s="17">
        <v>1420</v>
      </c>
      <c r="G1768" s="17">
        <v>2</v>
      </c>
      <c r="H1768" t="s">
        <v>486</v>
      </c>
      <c r="I1768" t="s">
        <v>487</v>
      </c>
      <c r="J1768" s="13">
        <v>1550.228353055094</v>
      </c>
      <c r="K1768" t="str">
        <f t="shared" si="54"/>
        <v>Margaret Pilchman</v>
      </c>
    </row>
    <row r="1769" spans="1:11" hidden="1" x14ac:dyDescent="0.35">
      <c r="A1769">
        <f t="shared" si="55"/>
        <v>1768</v>
      </c>
      <c r="B1769">
        <v>2011</v>
      </c>
      <c r="C1769" s="4" t="s">
        <v>109</v>
      </c>
      <c r="D1769" s="4" t="s">
        <v>110</v>
      </c>
      <c r="E1769" t="s">
        <v>1430</v>
      </c>
      <c r="F1769" s="17">
        <v>781</v>
      </c>
      <c r="G1769" s="17">
        <v>3</v>
      </c>
      <c r="H1769" t="s">
        <v>116</v>
      </c>
      <c r="I1769" t="s">
        <v>489</v>
      </c>
      <c r="J1769" s="13">
        <v>1374.1370939994129</v>
      </c>
      <c r="K1769" t="str">
        <f t="shared" si="54"/>
        <v>Donna Kracinovich</v>
      </c>
    </row>
    <row r="1770" spans="1:11" hidden="1" x14ac:dyDescent="0.35">
      <c r="A1770">
        <f t="shared" si="55"/>
        <v>1769</v>
      </c>
      <c r="B1770">
        <v>2011</v>
      </c>
      <c r="C1770" s="4" t="s">
        <v>109</v>
      </c>
      <c r="D1770" s="4" t="s">
        <v>110</v>
      </c>
      <c r="E1770" t="s">
        <v>1430</v>
      </c>
      <c r="F1770" s="17">
        <v>603</v>
      </c>
      <c r="G1770" s="17">
        <v>4</v>
      </c>
      <c r="H1770" t="s">
        <v>490</v>
      </c>
      <c r="I1770" t="s">
        <v>480</v>
      </c>
      <c r="J1770" s="13">
        <v>1249.1983573911129</v>
      </c>
      <c r="K1770" t="str">
        <f t="shared" si="54"/>
        <v>James Hammer</v>
      </c>
    </row>
    <row r="1771" spans="1:11" hidden="1" x14ac:dyDescent="0.35">
      <c r="A1771">
        <f t="shared" si="55"/>
        <v>1770</v>
      </c>
      <c r="B1771">
        <v>2011</v>
      </c>
      <c r="C1771" s="4" t="s">
        <v>109</v>
      </c>
      <c r="D1771" s="4" t="s">
        <v>110</v>
      </c>
      <c r="E1771" t="s">
        <v>1430</v>
      </c>
      <c r="F1771" s="17">
        <v>532</v>
      </c>
      <c r="G1771" s="17">
        <v>5</v>
      </c>
      <c r="H1771" t="s">
        <v>491</v>
      </c>
      <c r="I1771" t="s">
        <v>492</v>
      </c>
      <c r="J1771" s="13">
        <v>1152.2883443830563</v>
      </c>
      <c r="K1771" t="str">
        <f t="shared" si="54"/>
        <v>William Lenox</v>
      </c>
    </row>
    <row r="1772" spans="1:11" hidden="1" x14ac:dyDescent="0.35">
      <c r="A1772">
        <f t="shared" si="55"/>
        <v>1771</v>
      </c>
      <c r="B1772">
        <v>2011</v>
      </c>
      <c r="C1772" s="4" t="s">
        <v>109</v>
      </c>
      <c r="D1772" s="4" t="s">
        <v>110</v>
      </c>
      <c r="E1772" t="s">
        <v>1430</v>
      </c>
      <c r="F1772" s="17">
        <v>461</v>
      </c>
      <c r="G1772" s="17">
        <v>6</v>
      </c>
      <c r="H1772" t="s">
        <v>418</v>
      </c>
      <c r="I1772" t="s">
        <v>117</v>
      </c>
      <c r="J1772" s="13">
        <v>1073.1070983354316</v>
      </c>
      <c r="K1772" t="str">
        <f t="shared" si="54"/>
        <v>Thomas Valledolmo</v>
      </c>
    </row>
    <row r="1773" spans="1:11" hidden="1" x14ac:dyDescent="0.35">
      <c r="A1773">
        <f t="shared" si="55"/>
        <v>1772</v>
      </c>
      <c r="B1773">
        <v>2011</v>
      </c>
      <c r="C1773" s="4" t="s">
        <v>109</v>
      </c>
      <c r="D1773" s="4" t="s">
        <v>110</v>
      </c>
      <c r="E1773" t="s">
        <v>1430</v>
      </c>
      <c r="F1773" s="17">
        <v>320</v>
      </c>
      <c r="G1773" s="17">
        <v>7</v>
      </c>
      <c r="H1773" t="s">
        <v>285</v>
      </c>
      <c r="I1773" t="s">
        <v>119</v>
      </c>
      <c r="J1773" s="13">
        <v>1006.1603087048186</v>
      </c>
      <c r="K1773" t="str">
        <f t="shared" si="54"/>
        <v>Peter Secor</v>
      </c>
    </row>
    <row r="1774" spans="1:11" hidden="1" x14ac:dyDescent="0.35">
      <c r="A1774">
        <f t="shared" si="55"/>
        <v>1773</v>
      </c>
      <c r="B1774">
        <v>2011</v>
      </c>
      <c r="C1774" s="4" t="s">
        <v>109</v>
      </c>
      <c r="D1774" s="4" t="s">
        <v>110</v>
      </c>
      <c r="E1774" t="s">
        <v>1430</v>
      </c>
      <c r="F1774" s="17">
        <v>249</v>
      </c>
      <c r="G1774" s="17">
        <v>8</v>
      </c>
      <c r="H1774" t="s">
        <v>118</v>
      </c>
      <c r="I1774" t="s">
        <v>415</v>
      </c>
      <c r="J1774" s="13">
        <v>948.1683617271317</v>
      </c>
      <c r="K1774" t="str">
        <f t="shared" si="54"/>
        <v>Pete Segal</v>
      </c>
    </row>
    <row r="1775" spans="1:11" hidden="1" x14ac:dyDescent="0.35">
      <c r="A1775">
        <f t="shared" si="55"/>
        <v>1774</v>
      </c>
      <c r="B1775">
        <v>2011</v>
      </c>
      <c r="C1775" s="4" t="s">
        <v>109</v>
      </c>
      <c r="D1775" s="4" t="s">
        <v>110</v>
      </c>
      <c r="E1775" t="s">
        <v>1430</v>
      </c>
      <c r="F1775" s="17">
        <v>178</v>
      </c>
      <c r="G1775" s="17">
        <v>9</v>
      </c>
      <c r="H1775" t="s">
        <v>494</v>
      </c>
      <c r="I1775" t="s">
        <v>495</v>
      </c>
      <c r="J1775" s="13">
        <v>897.01583927975037</v>
      </c>
      <c r="K1775" t="str">
        <f t="shared" si="54"/>
        <v>Travis Williams</v>
      </c>
    </row>
    <row r="1776" spans="1:11" hidden="1" x14ac:dyDescent="0.35">
      <c r="A1776">
        <f t="shared" si="55"/>
        <v>1775</v>
      </c>
      <c r="B1776">
        <v>2011</v>
      </c>
      <c r="C1776" s="4" t="s">
        <v>263</v>
      </c>
      <c r="D1776" s="4" t="s">
        <v>509</v>
      </c>
      <c r="E1776" t="s">
        <v>509</v>
      </c>
      <c r="F1776" s="17">
        <v>950</v>
      </c>
      <c r="G1776" s="17">
        <v>1</v>
      </c>
      <c r="H1776" t="s">
        <v>15</v>
      </c>
      <c r="I1776" t="s">
        <v>16</v>
      </c>
      <c r="J1776" s="13">
        <v>1944.4826721501686</v>
      </c>
      <c r="K1776" t="str">
        <f t="shared" si="54"/>
        <v>David Kluchman</v>
      </c>
    </row>
    <row r="1777" spans="1:11" hidden="1" x14ac:dyDescent="0.35">
      <c r="A1777">
        <f t="shared" si="55"/>
        <v>1776</v>
      </c>
      <c r="B1777">
        <v>2011</v>
      </c>
      <c r="C1777" s="4" t="s">
        <v>263</v>
      </c>
      <c r="D1777" s="4" t="s">
        <v>509</v>
      </c>
      <c r="E1777" t="s">
        <v>509</v>
      </c>
      <c r="F1777" s="17">
        <v>950</v>
      </c>
      <c r="G1777" s="17">
        <v>2</v>
      </c>
      <c r="H1777" t="s">
        <v>366</v>
      </c>
      <c r="I1777" t="s">
        <v>61</v>
      </c>
      <c r="J1777" s="13">
        <v>1643.4526764861873</v>
      </c>
      <c r="K1777" t="str">
        <f t="shared" si="54"/>
        <v>Len Greenberg</v>
      </c>
    </row>
    <row r="1778" spans="1:11" hidden="1" x14ac:dyDescent="0.35">
      <c r="A1778">
        <f t="shared" si="55"/>
        <v>1777</v>
      </c>
      <c r="B1778">
        <v>2011</v>
      </c>
      <c r="C1778" s="4" t="s">
        <v>263</v>
      </c>
      <c r="D1778" s="4" t="s">
        <v>509</v>
      </c>
      <c r="E1778" t="s">
        <v>509</v>
      </c>
      <c r="F1778" s="17">
        <v>640</v>
      </c>
      <c r="G1778" s="17">
        <v>3</v>
      </c>
      <c r="H1778" t="s">
        <v>86</v>
      </c>
      <c r="I1778" t="s">
        <v>510</v>
      </c>
      <c r="J1778" s="13">
        <v>1467.3614174305062</v>
      </c>
      <c r="K1778" t="str">
        <f t="shared" si="54"/>
        <v>Sharon Goldman</v>
      </c>
    </row>
    <row r="1779" spans="1:11" hidden="1" x14ac:dyDescent="0.35">
      <c r="A1779">
        <f t="shared" si="55"/>
        <v>1778</v>
      </c>
      <c r="B1779">
        <v>2011</v>
      </c>
      <c r="C1779" s="4" t="s">
        <v>263</v>
      </c>
      <c r="D1779" s="4" t="s">
        <v>509</v>
      </c>
      <c r="E1779" t="s">
        <v>509</v>
      </c>
      <c r="F1779" s="17">
        <v>530</v>
      </c>
      <c r="G1779" s="17">
        <v>4</v>
      </c>
      <c r="H1779" t="s">
        <v>512</v>
      </c>
      <c r="I1779" t="s">
        <v>67</v>
      </c>
      <c r="J1779" s="13">
        <v>1342.4226808222061</v>
      </c>
      <c r="K1779" t="str">
        <f t="shared" si="54"/>
        <v>Bob Irons</v>
      </c>
    </row>
    <row r="1780" spans="1:11" hidden="1" x14ac:dyDescent="0.35">
      <c r="A1780">
        <f t="shared" si="55"/>
        <v>1779</v>
      </c>
      <c r="B1780">
        <v>2011</v>
      </c>
      <c r="C1780" s="4" t="s">
        <v>263</v>
      </c>
      <c r="D1780" s="4" t="s">
        <v>509</v>
      </c>
      <c r="E1780" t="s">
        <v>509</v>
      </c>
      <c r="F1780" s="17">
        <v>440</v>
      </c>
      <c r="G1780" s="17">
        <v>5</v>
      </c>
      <c r="H1780" t="s">
        <v>204</v>
      </c>
      <c r="I1780" t="s">
        <v>205</v>
      </c>
      <c r="J1780" s="13">
        <v>1245.5126678141498</v>
      </c>
      <c r="K1780" t="str">
        <f t="shared" si="54"/>
        <v>Ron Grossberg</v>
      </c>
    </row>
    <row r="1781" spans="1:11" hidden="1" x14ac:dyDescent="0.35">
      <c r="A1781">
        <f t="shared" si="55"/>
        <v>1780</v>
      </c>
      <c r="B1781">
        <v>2011</v>
      </c>
      <c r="C1781" s="4" t="s">
        <v>263</v>
      </c>
      <c r="D1781" s="4" t="s">
        <v>509</v>
      </c>
      <c r="E1781" t="s">
        <v>509</v>
      </c>
      <c r="F1781" s="17">
        <v>350</v>
      </c>
      <c r="G1781" s="17">
        <v>6</v>
      </c>
      <c r="H1781" t="s">
        <v>35</v>
      </c>
      <c r="I1781" t="s">
        <v>36</v>
      </c>
      <c r="J1781" s="13">
        <v>1166.331421766525</v>
      </c>
      <c r="K1781" t="str">
        <f t="shared" si="54"/>
        <v>Nolan Dalla</v>
      </c>
    </row>
    <row r="1782" spans="1:11" hidden="1" x14ac:dyDescent="0.35">
      <c r="A1782">
        <f t="shared" si="55"/>
        <v>1781</v>
      </c>
      <c r="B1782">
        <v>2011</v>
      </c>
      <c r="C1782" s="4" t="s">
        <v>263</v>
      </c>
      <c r="D1782" s="4" t="s">
        <v>509</v>
      </c>
      <c r="E1782" t="s">
        <v>509</v>
      </c>
      <c r="F1782" s="17">
        <v>260</v>
      </c>
      <c r="G1782" s="17">
        <v>7</v>
      </c>
      <c r="H1782" t="s">
        <v>514</v>
      </c>
      <c r="I1782" t="s">
        <v>515</v>
      </c>
      <c r="J1782" s="13">
        <v>1099.3846321359117</v>
      </c>
      <c r="K1782" t="str">
        <f t="shared" si="54"/>
        <v>Darlene Springman</v>
      </c>
    </row>
    <row r="1783" spans="1:11" hidden="1" x14ac:dyDescent="0.35">
      <c r="A1783">
        <f t="shared" si="55"/>
        <v>1782</v>
      </c>
      <c r="B1783">
        <v>2011</v>
      </c>
      <c r="C1783" s="4" t="s">
        <v>263</v>
      </c>
      <c r="D1783" s="4" t="s">
        <v>509</v>
      </c>
      <c r="E1783" t="s">
        <v>509</v>
      </c>
      <c r="F1783" s="17">
        <v>180</v>
      </c>
      <c r="G1783" s="17">
        <v>8</v>
      </c>
      <c r="H1783" t="s">
        <v>1459</v>
      </c>
      <c r="I1783" t="s">
        <v>516</v>
      </c>
      <c r="J1783" s="13">
        <v>1041.392685158225</v>
      </c>
      <c r="K1783" t="str">
        <f t="shared" si="54"/>
        <v>Erin Ramsay</v>
      </c>
    </row>
    <row r="1784" spans="1:11" hidden="1" x14ac:dyDescent="0.35">
      <c r="A1784">
        <f t="shared" si="55"/>
        <v>1783</v>
      </c>
      <c r="B1784">
        <v>2011</v>
      </c>
      <c r="C1784" s="4" t="s">
        <v>263</v>
      </c>
      <c r="D1784" s="4" t="s">
        <v>509</v>
      </c>
      <c r="E1784" t="s">
        <v>509</v>
      </c>
      <c r="F1784" s="17">
        <v>100</v>
      </c>
      <c r="G1784" s="17">
        <v>9</v>
      </c>
      <c r="H1784" t="s">
        <v>2323</v>
      </c>
      <c r="I1784" t="s">
        <v>2383</v>
      </c>
      <c r="J1784" s="13">
        <v>990.24016271084383</v>
      </c>
      <c r="K1784" t="str">
        <f t="shared" si="54"/>
        <v>Lynsy Higgs-Iwamoto</v>
      </c>
    </row>
    <row r="1785" spans="1:11" hidden="1" x14ac:dyDescent="0.35">
      <c r="A1785">
        <f t="shared" si="55"/>
        <v>1784</v>
      </c>
      <c r="B1785">
        <v>2011</v>
      </c>
      <c r="C1785" s="4" t="s">
        <v>263</v>
      </c>
      <c r="D1785" s="4" t="s">
        <v>523</v>
      </c>
      <c r="E1785" t="s">
        <v>1430</v>
      </c>
      <c r="F1785" s="2">
        <v>2047</v>
      </c>
      <c r="G1785" s="2">
        <v>1</v>
      </c>
      <c r="H1785" t="s">
        <v>484</v>
      </c>
      <c r="I1785" t="s">
        <v>2448</v>
      </c>
      <c r="J1785" s="13">
        <v>2041.3926851582248</v>
      </c>
      <c r="K1785" t="str">
        <f t="shared" si="54"/>
        <v>Spenser Sun</v>
      </c>
    </row>
    <row r="1786" spans="1:11" hidden="1" x14ac:dyDescent="0.35">
      <c r="A1786">
        <f t="shared" si="55"/>
        <v>1785</v>
      </c>
      <c r="B1786">
        <v>2011</v>
      </c>
      <c r="C1786" s="4" t="s">
        <v>263</v>
      </c>
      <c r="D1786" s="4" t="s">
        <v>523</v>
      </c>
      <c r="E1786" t="s">
        <v>1430</v>
      </c>
      <c r="F1786" s="2">
        <v>1557</v>
      </c>
      <c r="G1786" s="2">
        <v>2</v>
      </c>
      <c r="H1786" t="s">
        <v>294</v>
      </c>
      <c r="I1786" t="s">
        <v>16</v>
      </c>
      <c r="J1786" s="13">
        <v>1740.3626894942436</v>
      </c>
      <c r="K1786" t="str">
        <f t="shared" si="54"/>
        <v>David Low</v>
      </c>
    </row>
    <row r="1787" spans="1:11" hidden="1" x14ac:dyDescent="0.35">
      <c r="A1787">
        <f t="shared" si="55"/>
        <v>1786</v>
      </c>
      <c r="B1787">
        <v>2011</v>
      </c>
      <c r="C1787" s="4" t="s">
        <v>263</v>
      </c>
      <c r="D1787" s="4" t="s">
        <v>523</v>
      </c>
      <c r="E1787" t="s">
        <v>1430</v>
      </c>
      <c r="F1787" s="2">
        <v>1152</v>
      </c>
      <c r="G1787" s="2">
        <v>3</v>
      </c>
      <c r="H1787" t="s">
        <v>398</v>
      </c>
      <c r="I1787" t="s">
        <v>399</v>
      </c>
      <c r="J1787" s="13">
        <v>1564.2714304385624</v>
      </c>
      <c r="K1787" t="str">
        <f t="shared" si="54"/>
        <v>Arthur Goltz</v>
      </c>
    </row>
    <row r="1788" spans="1:11" hidden="1" x14ac:dyDescent="0.35">
      <c r="A1788">
        <f t="shared" si="55"/>
        <v>1787</v>
      </c>
      <c r="B1788">
        <v>2011</v>
      </c>
      <c r="C1788" s="4" t="s">
        <v>263</v>
      </c>
      <c r="D1788" s="4" t="s">
        <v>523</v>
      </c>
      <c r="E1788" t="s">
        <v>1430</v>
      </c>
      <c r="F1788" s="2">
        <v>902</v>
      </c>
      <c r="G1788" s="2">
        <v>4</v>
      </c>
      <c r="H1788" t="s">
        <v>281</v>
      </c>
      <c r="I1788" t="s">
        <v>282</v>
      </c>
      <c r="J1788" s="13">
        <v>1439.3326938302623</v>
      </c>
      <c r="K1788" t="str">
        <f t="shared" si="54"/>
        <v>Randy Collack</v>
      </c>
    </row>
    <row r="1789" spans="1:11" hidden="1" x14ac:dyDescent="0.35">
      <c r="A1789">
        <f t="shared" si="55"/>
        <v>1788</v>
      </c>
      <c r="B1789">
        <v>2011</v>
      </c>
      <c r="C1789" s="4" t="s">
        <v>263</v>
      </c>
      <c r="D1789" s="4" t="s">
        <v>523</v>
      </c>
      <c r="E1789" t="s">
        <v>1430</v>
      </c>
      <c r="F1789" s="2">
        <v>732</v>
      </c>
      <c r="G1789" s="2">
        <v>5</v>
      </c>
      <c r="H1789" t="s">
        <v>74</v>
      </c>
      <c r="I1789" t="s">
        <v>75</v>
      </c>
      <c r="J1789" s="13">
        <v>1342.4226808222061</v>
      </c>
      <c r="K1789" t="str">
        <f t="shared" si="54"/>
        <v>Sabyl Landrum</v>
      </c>
    </row>
    <row r="1790" spans="1:11" hidden="1" x14ac:dyDescent="0.35">
      <c r="A1790">
        <f t="shared" si="55"/>
        <v>1789</v>
      </c>
      <c r="B1790">
        <v>2011</v>
      </c>
      <c r="C1790" s="4" t="s">
        <v>263</v>
      </c>
      <c r="D1790" s="4" t="s">
        <v>523</v>
      </c>
      <c r="E1790" t="s">
        <v>1430</v>
      </c>
      <c r="F1790" s="2">
        <v>572</v>
      </c>
      <c r="G1790" s="2">
        <v>6</v>
      </c>
      <c r="H1790" t="s">
        <v>1719</v>
      </c>
      <c r="I1790" t="s">
        <v>524</v>
      </c>
      <c r="J1790" s="13">
        <v>1263.2414347745812</v>
      </c>
      <c r="K1790" t="str">
        <f t="shared" si="54"/>
        <v>Guy Berentsen</v>
      </c>
    </row>
    <row r="1791" spans="1:11" hidden="1" x14ac:dyDescent="0.35">
      <c r="A1791">
        <f t="shared" si="55"/>
        <v>1790</v>
      </c>
      <c r="B1791">
        <v>2011</v>
      </c>
      <c r="C1791" s="4" t="s">
        <v>263</v>
      </c>
      <c r="D1791" s="4" t="s">
        <v>523</v>
      </c>
      <c r="E1791" t="s">
        <v>1430</v>
      </c>
      <c r="F1791" s="2">
        <v>402</v>
      </c>
      <c r="G1791" s="2">
        <v>7</v>
      </c>
      <c r="H1791" t="s">
        <v>43</v>
      </c>
      <c r="I1791" t="s">
        <v>218</v>
      </c>
      <c r="J1791" s="13">
        <v>1196.294645143968</v>
      </c>
      <c r="K1791" t="str">
        <f t="shared" si="54"/>
        <v>Michael Klein</v>
      </c>
    </row>
    <row r="1792" spans="1:11" hidden="1" x14ac:dyDescent="0.35">
      <c r="A1792">
        <f t="shared" si="55"/>
        <v>1791</v>
      </c>
      <c r="B1792">
        <v>2011</v>
      </c>
      <c r="C1792" s="4" t="s">
        <v>263</v>
      </c>
      <c r="D1792" s="4" t="s">
        <v>523</v>
      </c>
      <c r="E1792" t="s">
        <v>1430</v>
      </c>
      <c r="F1792" s="2">
        <v>242</v>
      </c>
      <c r="G1792" s="2">
        <v>8</v>
      </c>
      <c r="H1792" t="s">
        <v>128</v>
      </c>
      <c r="I1792" t="s">
        <v>443</v>
      </c>
      <c r="J1792" s="13">
        <v>1138.3026981662813</v>
      </c>
      <c r="K1792" t="str">
        <f t="shared" si="54"/>
        <v>Ming Lee</v>
      </c>
    </row>
    <row r="1793" spans="1:11" hidden="1" x14ac:dyDescent="0.35">
      <c r="A1793">
        <f t="shared" si="55"/>
        <v>1792</v>
      </c>
      <c r="B1793">
        <v>2011</v>
      </c>
      <c r="C1793" s="4" t="s">
        <v>263</v>
      </c>
      <c r="D1793" s="4" t="s">
        <v>523</v>
      </c>
      <c r="E1793" t="s">
        <v>1430</v>
      </c>
      <c r="F1793" s="2">
        <v>162</v>
      </c>
      <c r="G1793" s="2">
        <v>9</v>
      </c>
      <c r="H1793" t="s">
        <v>585</v>
      </c>
      <c r="I1793" t="s">
        <v>136</v>
      </c>
      <c r="J1793" s="13">
        <v>1087.1501757189001</v>
      </c>
      <c r="K1793" t="str">
        <f t="shared" si="54"/>
        <v>John Pickels</v>
      </c>
    </row>
    <row r="1794" spans="1:11" hidden="1" x14ac:dyDescent="0.35">
      <c r="A1794">
        <f t="shared" si="55"/>
        <v>1793</v>
      </c>
      <c r="B1794">
        <v>2011</v>
      </c>
      <c r="C1794" s="4" t="s">
        <v>263</v>
      </c>
      <c r="D1794" s="4" t="s">
        <v>523</v>
      </c>
      <c r="E1794" t="s">
        <v>1430</v>
      </c>
      <c r="F1794" s="2">
        <v>162</v>
      </c>
      <c r="G1794" s="2">
        <v>10</v>
      </c>
      <c r="H1794" t="s">
        <v>306</v>
      </c>
      <c r="I1794" t="s">
        <v>694</v>
      </c>
      <c r="J1794" s="13">
        <v>1041.3926851582248</v>
      </c>
      <c r="K1794" t="str">
        <f t="shared" ref="K1794:K1857" si="56">I1794&amp;" "&amp;H1794</f>
        <v>J P Massar</v>
      </c>
    </row>
    <row r="1795" spans="1:11" hidden="1" x14ac:dyDescent="0.35">
      <c r="A1795">
        <f t="shared" si="55"/>
        <v>1794</v>
      </c>
      <c r="B1795">
        <v>2011</v>
      </c>
      <c r="C1795" s="4" t="s">
        <v>263</v>
      </c>
      <c r="D1795" s="4" t="s">
        <v>523</v>
      </c>
      <c r="E1795" t="s">
        <v>1430</v>
      </c>
      <c r="F1795" s="2">
        <v>112</v>
      </c>
      <c r="G1795" s="2">
        <v>11</v>
      </c>
      <c r="H1795" t="s">
        <v>48</v>
      </c>
      <c r="I1795" t="s">
        <v>49</v>
      </c>
      <c r="J1795" s="13">
        <v>999.99999999999977</v>
      </c>
      <c r="K1795" t="str">
        <f t="shared" si="56"/>
        <v>Regis Donovan</v>
      </c>
    </row>
    <row r="1796" spans="1:11" hidden="1" x14ac:dyDescent="0.35">
      <c r="A1796">
        <f t="shared" ref="A1796:A1859" si="57">A1795+1</f>
        <v>1795</v>
      </c>
      <c r="B1796">
        <v>2011</v>
      </c>
      <c r="C1796" s="4" t="s">
        <v>263</v>
      </c>
      <c r="D1796" s="4" t="s">
        <v>523</v>
      </c>
      <c r="E1796" t="s">
        <v>1430</v>
      </c>
      <c r="F1796" s="2">
        <v>112</v>
      </c>
      <c r="G1796" s="2">
        <v>12</v>
      </c>
      <c r="H1796" t="s">
        <v>525</v>
      </c>
      <c r="I1796" t="s">
        <v>136</v>
      </c>
      <c r="J1796" s="13">
        <v>962.21143911060005</v>
      </c>
      <c r="K1796" t="str">
        <f t="shared" si="56"/>
        <v>John Anderson</v>
      </c>
    </row>
    <row r="1797" spans="1:11" hidden="1" x14ac:dyDescent="0.35">
      <c r="A1797">
        <f t="shared" si="57"/>
        <v>1796</v>
      </c>
      <c r="B1797">
        <v>2011</v>
      </c>
      <c r="C1797" s="4" t="s">
        <v>263</v>
      </c>
      <c r="D1797" s="4" t="s">
        <v>523</v>
      </c>
      <c r="E1797" t="s">
        <v>1430</v>
      </c>
      <c r="F1797" s="2">
        <v>96</v>
      </c>
      <c r="G1797" s="2">
        <v>13</v>
      </c>
      <c r="H1797" t="s">
        <v>107</v>
      </c>
      <c r="I1797" t="s">
        <v>108</v>
      </c>
      <c r="J1797" s="13">
        <v>927.44933285138825</v>
      </c>
      <c r="K1797" t="str">
        <f t="shared" si="56"/>
        <v>Kyle Minnis</v>
      </c>
    </row>
    <row r="1798" spans="1:11" hidden="1" x14ac:dyDescent="0.35">
      <c r="A1798">
        <f t="shared" si="57"/>
        <v>1797</v>
      </c>
      <c r="B1798">
        <v>2011</v>
      </c>
      <c r="C1798" s="4" t="s">
        <v>263</v>
      </c>
      <c r="D1798" s="4" t="s">
        <v>264</v>
      </c>
      <c r="E1798" t="s">
        <v>1051</v>
      </c>
      <c r="F1798" s="2">
        <v>1065</v>
      </c>
      <c r="G1798" s="2">
        <v>1</v>
      </c>
      <c r="H1798" t="s">
        <v>266</v>
      </c>
      <c r="I1798" t="s">
        <v>28</v>
      </c>
      <c r="J1798" s="13">
        <v>1851.2583487190752</v>
      </c>
      <c r="K1798" t="str">
        <f t="shared" si="56"/>
        <v>Chris Mecklin</v>
      </c>
    </row>
    <row r="1799" spans="1:11" hidden="1" x14ac:dyDescent="0.35">
      <c r="A1799">
        <f t="shared" si="57"/>
        <v>1798</v>
      </c>
      <c r="B1799">
        <v>2011</v>
      </c>
      <c r="C1799" s="4" t="s">
        <v>263</v>
      </c>
      <c r="D1799" s="4" t="s">
        <v>264</v>
      </c>
      <c r="E1799" t="s">
        <v>1051</v>
      </c>
      <c r="F1799" s="2">
        <v>845</v>
      </c>
      <c r="G1799" s="2">
        <v>2</v>
      </c>
      <c r="H1799" t="s">
        <v>70</v>
      </c>
      <c r="I1799" t="s">
        <v>71</v>
      </c>
      <c r="J1799" s="13">
        <v>1550.228353055094</v>
      </c>
      <c r="K1799" t="str">
        <f t="shared" si="56"/>
        <v>Scott Byron</v>
      </c>
    </row>
    <row r="1800" spans="1:11" hidden="1" x14ac:dyDescent="0.35">
      <c r="A1800">
        <f t="shared" si="57"/>
        <v>1799</v>
      </c>
      <c r="B1800">
        <v>2011</v>
      </c>
      <c r="C1800" s="4" t="s">
        <v>263</v>
      </c>
      <c r="D1800" s="4" t="s">
        <v>264</v>
      </c>
      <c r="E1800" t="s">
        <v>1051</v>
      </c>
      <c r="F1800" s="2">
        <v>640</v>
      </c>
      <c r="G1800" s="2">
        <v>3</v>
      </c>
      <c r="H1800" t="s">
        <v>211</v>
      </c>
      <c r="I1800" t="s">
        <v>187</v>
      </c>
      <c r="J1800" s="13">
        <v>1374.1370939994129</v>
      </c>
      <c r="K1800" t="str">
        <f t="shared" si="56"/>
        <v>Joe Long</v>
      </c>
    </row>
    <row r="1801" spans="1:11" hidden="1" x14ac:dyDescent="0.35">
      <c r="A1801">
        <f t="shared" si="57"/>
        <v>1800</v>
      </c>
      <c r="B1801">
        <v>2011</v>
      </c>
      <c r="C1801" s="4" t="s">
        <v>263</v>
      </c>
      <c r="D1801" s="4" t="s">
        <v>264</v>
      </c>
      <c r="E1801" t="s">
        <v>1051</v>
      </c>
      <c r="F1801" s="2">
        <v>510</v>
      </c>
      <c r="G1801" s="2">
        <v>4</v>
      </c>
      <c r="H1801" t="s">
        <v>519</v>
      </c>
      <c r="I1801" t="s">
        <v>520</v>
      </c>
      <c r="J1801" s="13">
        <v>1249.1983573911129</v>
      </c>
      <c r="K1801" t="str">
        <f t="shared" si="56"/>
        <v>Drew Boyett</v>
      </c>
    </row>
    <row r="1802" spans="1:11" hidden="1" x14ac:dyDescent="0.35">
      <c r="A1802">
        <f t="shared" si="57"/>
        <v>1801</v>
      </c>
      <c r="B1802">
        <v>2011</v>
      </c>
      <c r="C1802" s="4" t="s">
        <v>263</v>
      </c>
      <c r="D1802" s="4" t="s">
        <v>264</v>
      </c>
      <c r="E1802" t="s">
        <v>1051</v>
      </c>
      <c r="F1802" s="2">
        <v>430</v>
      </c>
      <c r="G1802" s="2">
        <v>5</v>
      </c>
      <c r="H1802" t="s">
        <v>306</v>
      </c>
      <c r="I1802" t="s">
        <v>694</v>
      </c>
      <c r="J1802" s="13">
        <v>1152.2883443830563</v>
      </c>
      <c r="K1802" t="str">
        <f t="shared" si="56"/>
        <v>J P Massar</v>
      </c>
    </row>
    <row r="1803" spans="1:11" hidden="1" x14ac:dyDescent="0.35">
      <c r="A1803">
        <f t="shared" si="57"/>
        <v>1802</v>
      </c>
      <c r="B1803">
        <v>2011</v>
      </c>
      <c r="C1803" s="4" t="s">
        <v>263</v>
      </c>
      <c r="D1803" s="4" t="s">
        <v>264</v>
      </c>
      <c r="E1803" t="s">
        <v>1051</v>
      </c>
      <c r="F1803" s="2">
        <v>340</v>
      </c>
      <c r="G1803" s="2">
        <v>6</v>
      </c>
      <c r="H1803" t="s">
        <v>268</v>
      </c>
      <c r="I1803" t="s">
        <v>269</v>
      </c>
      <c r="J1803" s="13">
        <v>1073.1070983354316</v>
      </c>
      <c r="K1803" t="str">
        <f t="shared" si="56"/>
        <v>Keith Fichtemaier</v>
      </c>
    </row>
    <row r="1804" spans="1:11" hidden="1" x14ac:dyDescent="0.35">
      <c r="A1804">
        <f t="shared" si="57"/>
        <v>1803</v>
      </c>
      <c r="B1804">
        <v>2011</v>
      </c>
      <c r="C1804" s="4" t="s">
        <v>263</v>
      </c>
      <c r="D1804" s="4" t="s">
        <v>264</v>
      </c>
      <c r="E1804" t="s">
        <v>1051</v>
      </c>
      <c r="F1804" s="2">
        <v>260</v>
      </c>
      <c r="G1804" s="2">
        <v>7</v>
      </c>
      <c r="H1804" t="s">
        <v>387</v>
      </c>
      <c r="I1804" t="s">
        <v>521</v>
      </c>
      <c r="J1804" s="13">
        <v>1006.1603087048186</v>
      </c>
      <c r="K1804" t="str">
        <f t="shared" si="56"/>
        <v>Chuck Humphrey</v>
      </c>
    </row>
    <row r="1805" spans="1:11" hidden="1" x14ac:dyDescent="0.35">
      <c r="A1805">
        <f t="shared" si="57"/>
        <v>1804</v>
      </c>
      <c r="B1805">
        <v>2011</v>
      </c>
      <c r="C1805" s="4" t="s">
        <v>263</v>
      </c>
      <c r="D1805" s="4" t="s">
        <v>264</v>
      </c>
      <c r="E1805" t="s">
        <v>1051</v>
      </c>
      <c r="F1805" s="2">
        <v>170</v>
      </c>
      <c r="G1805" s="2">
        <v>8</v>
      </c>
      <c r="H1805" t="s">
        <v>72</v>
      </c>
      <c r="I1805" t="s">
        <v>73</v>
      </c>
      <c r="J1805" s="13">
        <v>948.1683617271317</v>
      </c>
      <c r="K1805" t="str">
        <f t="shared" si="56"/>
        <v>Corey Imsdahl</v>
      </c>
    </row>
    <row r="1806" spans="1:11" hidden="1" x14ac:dyDescent="0.35">
      <c r="A1806">
        <f t="shared" si="57"/>
        <v>1805</v>
      </c>
      <c r="B1806">
        <v>2011</v>
      </c>
      <c r="C1806" s="4" t="s">
        <v>263</v>
      </c>
      <c r="D1806" s="4" t="s">
        <v>45</v>
      </c>
      <c r="E1806" t="s">
        <v>1429</v>
      </c>
      <c r="F1806" s="2">
        <v>4290</v>
      </c>
      <c r="G1806" s="2">
        <v>1</v>
      </c>
      <c r="H1806" t="s">
        <v>21</v>
      </c>
      <c r="I1806" t="s">
        <v>463</v>
      </c>
      <c r="J1806" s="13">
        <v>2235.5284469075486</v>
      </c>
      <c r="K1806" t="str">
        <f t="shared" si="56"/>
        <v>Richard Bremer</v>
      </c>
    </row>
    <row r="1807" spans="1:11" hidden="1" x14ac:dyDescent="0.35">
      <c r="A1807">
        <f t="shared" si="57"/>
        <v>1806</v>
      </c>
      <c r="B1807">
        <v>2011</v>
      </c>
      <c r="C1807" s="4" t="s">
        <v>263</v>
      </c>
      <c r="D1807" s="4" t="s">
        <v>45</v>
      </c>
      <c r="E1807" t="s">
        <v>1429</v>
      </c>
      <c r="F1807" s="2">
        <v>3090</v>
      </c>
      <c r="G1807" s="2">
        <v>2</v>
      </c>
      <c r="H1807" t="s">
        <v>220</v>
      </c>
      <c r="I1807" t="s">
        <v>221</v>
      </c>
      <c r="J1807" s="13">
        <v>1934.4984512435674</v>
      </c>
      <c r="K1807" t="str">
        <f t="shared" si="56"/>
        <v>Rodney Chen</v>
      </c>
    </row>
    <row r="1808" spans="1:11" hidden="1" x14ac:dyDescent="0.35">
      <c r="A1808">
        <f t="shared" si="57"/>
        <v>1807</v>
      </c>
      <c r="B1808">
        <v>2011</v>
      </c>
      <c r="C1808" s="4" t="s">
        <v>263</v>
      </c>
      <c r="D1808" s="4" t="s">
        <v>45</v>
      </c>
      <c r="E1808" t="s">
        <v>1429</v>
      </c>
      <c r="F1808" s="2">
        <v>2230</v>
      </c>
      <c r="G1808" s="2">
        <v>3</v>
      </c>
      <c r="H1808" t="s">
        <v>195</v>
      </c>
      <c r="I1808" t="s">
        <v>196</v>
      </c>
      <c r="J1808" s="13">
        <v>1758.4071921878863</v>
      </c>
      <c r="K1808" t="str">
        <f t="shared" si="56"/>
        <v>Dave Tahajian</v>
      </c>
    </row>
    <row r="1809" spans="1:11" hidden="1" x14ac:dyDescent="0.35">
      <c r="A1809">
        <f t="shared" si="57"/>
        <v>1808</v>
      </c>
      <c r="B1809">
        <v>2011</v>
      </c>
      <c r="C1809" s="4" t="s">
        <v>263</v>
      </c>
      <c r="D1809" s="4" t="s">
        <v>45</v>
      </c>
      <c r="E1809" t="s">
        <v>1429</v>
      </c>
      <c r="F1809" s="2">
        <v>1710</v>
      </c>
      <c r="G1809" s="2">
        <v>4</v>
      </c>
      <c r="H1809" t="s">
        <v>540</v>
      </c>
      <c r="I1809" t="s">
        <v>65</v>
      </c>
      <c r="J1809" s="13">
        <v>1633.4684555795861</v>
      </c>
      <c r="K1809" t="str">
        <f t="shared" si="56"/>
        <v>Steve Sherman</v>
      </c>
    </row>
    <row r="1810" spans="1:11" hidden="1" x14ac:dyDescent="0.35">
      <c r="A1810">
        <f t="shared" si="57"/>
        <v>1809</v>
      </c>
      <c r="B1810">
        <v>2011</v>
      </c>
      <c r="C1810" s="4" t="s">
        <v>263</v>
      </c>
      <c r="D1810" s="4" t="s">
        <v>45</v>
      </c>
      <c r="E1810" t="s">
        <v>1429</v>
      </c>
      <c r="F1810" s="2">
        <v>1375</v>
      </c>
      <c r="G1810" s="2">
        <v>5</v>
      </c>
      <c r="H1810" t="s">
        <v>542</v>
      </c>
      <c r="I1810" t="s">
        <v>196</v>
      </c>
      <c r="J1810" s="13">
        <v>1536.5584425715299</v>
      </c>
      <c r="K1810" t="str">
        <f t="shared" si="56"/>
        <v>Dave O'Grady</v>
      </c>
    </row>
    <row r="1811" spans="1:11" hidden="1" x14ac:dyDescent="0.35">
      <c r="A1811">
        <f t="shared" si="57"/>
        <v>1810</v>
      </c>
      <c r="B1811">
        <v>2011</v>
      </c>
      <c r="C1811" s="4" t="s">
        <v>263</v>
      </c>
      <c r="D1811" s="4" t="s">
        <v>45</v>
      </c>
      <c r="E1811" t="s">
        <v>1429</v>
      </c>
      <c r="F1811" s="2">
        <v>1025</v>
      </c>
      <c r="G1811" s="2">
        <v>6</v>
      </c>
      <c r="H1811" t="s">
        <v>377</v>
      </c>
      <c r="I1811" t="s">
        <v>119</v>
      </c>
      <c r="J1811" s="13">
        <v>1457.377196523905</v>
      </c>
      <c r="K1811" t="str">
        <f t="shared" si="56"/>
        <v>Peter Stephenson</v>
      </c>
    </row>
    <row r="1812" spans="1:11" hidden="1" x14ac:dyDescent="0.35">
      <c r="A1812">
        <f t="shared" si="57"/>
        <v>1811</v>
      </c>
      <c r="B1812">
        <v>2011</v>
      </c>
      <c r="C1812" s="4" t="s">
        <v>263</v>
      </c>
      <c r="D1812" s="4" t="s">
        <v>45</v>
      </c>
      <c r="E1812" t="s">
        <v>1429</v>
      </c>
      <c r="F1812" s="2">
        <v>685</v>
      </c>
      <c r="G1812" s="2">
        <v>7</v>
      </c>
      <c r="H1812" t="s">
        <v>383</v>
      </c>
      <c r="I1812" t="s">
        <v>384</v>
      </c>
      <c r="J1812" s="13">
        <v>1390.4304068932918</v>
      </c>
      <c r="K1812" t="str">
        <f t="shared" si="56"/>
        <v>Jeff Deitch</v>
      </c>
    </row>
    <row r="1813" spans="1:11" hidden="1" x14ac:dyDescent="0.35">
      <c r="A1813">
        <f t="shared" si="57"/>
        <v>1812</v>
      </c>
      <c r="B1813">
        <v>2011</v>
      </c>
      <c r="C1813" s="4" t="s">
        <v>263</v>
      </c>
      <c r="D1813" s="4" t="s">
        <v>45</v>
      </c>
      <c r="E1813" t="s">
        <v>1429</v>
      </c>
      <c r="F1813" s="2">
        <v>465</v>
      </c>
      <c r="G1813" s="2">
        <v>8</v>
      </c>
      <c r="H1813" t="s">
        <v>543</v>
      </c>
      <c r="I1813" t="s">
        <v>67</v>
      </c>
      <c r="J1813" s="13">
        <v>1332.4384599156051</v>
      </c>
      <c r="K1813" t="str">
        <f t="shared" si="56"/>
        <v>Bob Herlien</v>
      </c>
    </row>
    <row r="1814" spans="1:11" hidden="1" x14ac:dyDescent="0.35">
      <c r="A1814">
        <f t="shared" si="57"/>
        <v>1813</v>
      </c>
      <c r="B1814">
        <v>2011</v>
      </c>
      <c r="C1814" s="4" t="s">
        <v>263</v>
      </c>
      <c r="D1814" s="4" t="s">
        <v>45</v>
      </c>
      <c r="E1814" t="s">
        <v>1429</v>
      </c>
      <c r="F1814" s="2">
        <v>335</v>
      </c>
      <c r="G1814" s="2">
        <v>9</v>
      </c>
      <c r="H1814" t="s">
        <v>273</v>
      </c>
      <c r="I1814" t="s">
        <v>218</v>
      </c>
      <c r="J1814" s="13">
        <v>1281.2859374682239</v>
      </c>
      <c r="K1814" t="str">
        <f t="shared" si="56"/>
        <v>Michael Maurer</v>
      </c>
    </row>
    <row r="1815" spans="1:11" hidden="1" x14ac:dyDescent="0.35">
      <c r="A1815">
        <f t="shared" si="57"/>
        <v>1814</v>
      </c>
      <c r="B1815">
        <v>2011</v>
      </c>
      <c r="C1815" s="4" t="s">
        <v>263</v>
      </c>
      <c r="D1815" s="4" t="s">
        <v>45</v>
      </c>
      <c r="E1815" t="s">
        <v>1429</v>
      </c>
      <c r="F1815" s="2">
        <v>255</v>
      </c>
      <c r="G1815" s="2">
        <v>10</v>
      </c>
      <c r="H1815" t="s">
        <v>183</v>
      </c>
      <c r="I1815" t="s">
        <v>13</v>
      </c>
      <c r="J1815" s="13">
        <v>1235.5284469075486</v>
      </c>
      <c r="K1815" t="str">
        <f t="shared" si="56"/>
        <v>Tom White</v>
      </c>
    </row>
    <row r="1816" spans="1:11" hidden="1" x14ac:dyDescent="0.35">
      <c r="A1816">
        <f t="shared" si="57"/>
        <v>1815</v>
      </c>
      <c r="B1816">
        <v>2011</v>
      </c>
      <c r="C1816" s="4" t="s">
        <v>263</v>
      </c>
      <c r="D1816" s="4" t="s">
        <v>45</v>
      </c>
      <c r="E1816" t="s">
        <v>1429</v>
      </c>
      <c r="F1816" s="2">
        <v>255</v>
      </c>
      <c r="G1816" s="2">
        <v>11</v>
      </c>
      <c r="H1816" t="s">
        <v>211</v>
      </c>
      <c r="I1816" t="s">
        <v>187</v>
      </c>
      <c r="J1816" s="13">
        <v>1194.1357617493236</v>
      </c>
      <c r="K1816" t="str">
        <f t="shared" si="56"/>
        <v>Joe Long</v>
      </c>
    </row>
    <row r="1817" spans="1:11" hidden="1" x14ac:dyDescent="0.35">
      <c r="A1817">
        <f t="shared" si="57"/>
        <v>1816</v>
      </c>
      <c r="B1817">
        <v>2011</v>
      </c>
      <c r="C1817" s="4" t="s">
        <v>263</v>
      </c>
      <c r="D1817" s="4" t="s">
        <v>45</v>
      </c>
      <c r="E1817" t="s">
        <v>1429</v>
      </c>
      <c r="F1817" s="2">
        <v>255</v>
      </c>
      <c r="G1817" s="2">
        <v>12</v>
      </c>
      <c r="H1817" t="s">
        <v>545</v>
      </c>
      <c r="I1817" t="s">
        <v>159</v>
      </c>
      <c r="J1817" s="13">
        <v>1156.3472008599238</v>
      </c>
      <c r="K1817" t="str">
        <f t="shared" si="56"/>
        <v>Brian Goldstein</v>
      </c>
    </row>
    <row r="1818" spans="1:11" hidden="1" x14ac:dyDescent="0.35">
      <c r="A1818">
        <f t="shared" si="57"/>
        <v>1817</v>
      </c>
      <c r="B1818">
        <v>2011</v>
      </c>
      <c r="C1818" s="4" t="s">
        <v>263</v>
      </c>
      <c r="D1818" s="4" t="s">
        <v>45</v>
      </c>
      <c r="E1818" t="s">
        <v>1429</v>
      </c>
      <c r="F1818" s="2">
        <v>215</v>
      </c>
      <c r="G1818" s="2">
        <v>13</v>
      </c>
      <c r="H1818" t="s">
        <v>135</v>
      </c>
      <c r="I1818" t="s">
        <v>136</v>
      </c>
      <c r="J1818" s="13">
        <v>1121.585094600712</v>
      </c>
      <c r="K1818" t="str">
        <f t="shared" si="56"/>
        <v>John Scheinberg</v>
      </c>
    </row>
    <row r="1819" spans="1:11" hidden="1" x14ac:dyDescent="0.35">
      <c r="A1819">
        <f t="shared" si="57"/>
        <v>1818</v>
      </c>
      <c r="B1819">
        <v>2011</v>
      </c>
      <c r="C1819" s="4" t="s">
        <v>263</v>
      </c>
      <c r="D1819" s="4" t="s">
        <v>45</v>
      </c>
      <c r="E1819" t="s">
        <v>1429</v>
      </c>
      <c r="F1819" s="2">
        <v>215</v>
      </c>
      <c r="G1819" s="2">
        <v>14</v>
      </c>
      <c r="H1819" t="s">
        <v>306</v>
      </c>
      <c r="I1819" t="s">
        <v>694</v>
      </c>
      <c r="J1819" s="13">
        <v>1089.4004112293107</v>
      </c>
      <c r="K1819" t="str">
        <f t="shared" si="56"/>
        <v>J P Massar</v>
      </c>
    </row>
    <row r="1820" spans="1:11" hidden="1" x14ac:dyDescent="0.35">
      <c r="A1820">
        <f t="shared" si="57"/>
        <v>1819</v>
      </c>
      <c r="B1820">
        <v>2011</v>
      </c>
      <c r="C1820" s="4" t="s">
        <v>263</v>
      </c>
      <c r="D1820" s="4" t="s">
        <v>45</v>
      </c>
      <c r="E1820" t="s">
        <v>1429</v>
      </c>
      <c r="F1820" s="2">
        <v>215</v>
      </c>
      <c r="G1820" s="2">
        <v>15</v>
      </c>
      <c r="H1820" t="s">
        <v>547</v>
      </c>
      <c r="I1820" t="s">
        <v>136</v>
      </c>
      <c r="J1820" s="13">
        <v>1059.4371878518673</v>
      </c>
      <c r="K1820" t="str">
        <f t="shared" si="56"/>
        <v>John Moser</v>
      </c>
    </row>
    <row r="1821" spans="1:11" hidden="1" x14ac:dyDescent="0.35">
      <c r="A1821">
        <f t="shared" si="57"/>
        <v>1820</v>
      </c>
      <c r="B1821">
        <v>2011</v>
      </c>
      <c r="C1821" s="4" t="s">
        <v>263</v>
      </c>
      <c r="D1821" s="4" t="s">
        <v>45</v>
      </c>
      <c r="E1821" t="s">
        <v>1429</v>
      </c>
      <c r="F1821" s="2">
        <v>165</v>
      </c>
      <c r="G1821" s="2">
        <v>16</v>
      </c>
      <c r="H1821" t="s">
        <v>266</v>
      </c>
      <c r="I1821" t="s">
        <v>28</v>
      </c>
      <c r="J1821" s="13">
        <v>1031.4084642516239</v>
      </c>
      <c r="K1821" t="str">
        <f t="shared" si="56"/>
        <v>Chris Mecklin</v>
      </c>
    </row>
    <row r="1822" spans="1:11" hidden="1" x14ac:dyDescent="0.35">
      <c r="A1822">
        <f t="shared" si="57"/>
        <v>1821</v>
      </c>
      <c r="B1822">
        <v>2011</v>
      </c>
      <c r="C1822" s="4" t="s">
        <v>263</v>
      </c>
      <c r="D1822" s="4" t="s">
        <v>45</v>
      </c>
      <c r="E1822" t="s">
        <v>1429</v>
      </c>
      <c r="F1822" s="2">
        <v>165</v>
      </c>
      <c r="G1822" s="2">
        <v>17</v>
      </c>
      <c r="H1822" t="s">
        <v>206</v>
      </c>
      <c r="I1822" t="s">
        <v>207</v>
      </c>
      <c r="J1822" s="13">
        <v>1005.0795255292749</v>
      </c>
      <c r="K1822" t="str">
        <f t="shared" si="56"/>
        <v>Nick Christenson</v>
      </c>
    </row>
    <row r="1823" spans="1:11" x14ac:dyDescent="0.35">
      <c r="A1823">
        <f t="shared" si="57"/>
        <v>1822</v>
      </c>
      <c r="B1823">
        <v>2011</v>
      </c>
      <c r="C1823" s="4" t="s">
        <v>263</v>
      </c>
      <c r="D1823" s="4" t="s">
        <v>45</v>
      </c>
      <c r="E1823" t="s">
        <v>1429</v>
      </c>
      <c r="F1823" s="2">
        <v>165</v>
      </c>
      <c r="G1823" s="2">
        <v>18</v>
      </c>
      <c r="H1823" t="s">
        <v>313</v>
      </c>
      <c r="I1823" t="s">
        <v>314</v>
      </c>
      <c r="J1823" s="13">
        <v>980.25594180424264</v>
      </c>
      <c r="K1823" t="str">
        <f t="shared" si="56"/>
        <v>Gerald Petersen</v>
      </c>
    </row>
    <row r="1824" spans="1:11" hidden="1" x14ac:dyDescent="0.35">
      <c r="A1824">
        <f t="shared" si="57"/>
        <v>1823</v>
      </c>
      <c r="B1824">
        <v>2011</v>
      </c>
      <c r="C1824" s="4" t="s">
        <v>263</v>
      </c>
      <c r="D1824" s="4" t="s">
        <v>45</v>
      </c>
      <c r="E1824" t="s">
        <v>1429</v>
      </c>
      <c r="F1824" s="2">
        <v>90</v>
      </c>
      <c r="G1824" s="2">
        <v>19</v>
      </c>
      <c r="H1824" t="s">
        <v>279</v>
      </c>
      <c r="I1824" t="s">
        <v>16</v>
      </c>
      <c r="J1824" s="13">
        <v>956.77484595471981</v>
      </c>
      <c r="K1824" t="str">
        <f t="shared" si="56"/>
        <v>David Soussan</v>
      </c>
    </row>
    <row r="1825" spans="1:11" hidden="1" x14ac:dyDescent="0.35">
      <c r="A1825">
        <f t="shared" si="57"/>
        <v>1824</v>
      </c>
      <c r="B1825">
        <v>2011</v>
      </c>
      <c r="C1825" s="4" t="s">
        <v>263</v>
      </c>
      <c r="D1825" s="4" t="s">
        <v>110</v>
      </c>
      <c r="E1825" t="s">
        <v>1430</v>
      </c>
      <c r="F1825" s="2">
        <v>2215</v>
      </c>
      <c r="G1825" s="2">
        <v>1</v>
      </c>
      <c r="H1825" t="s">
        <v>351</v>
      </c>
      <c r="I1825" t="s">
        <v>153</v>
      </c>
      <c r="J1825" s="13">
        <v>2127.1047983648077</v>
      </c>
      <c r="K1825" t="str">
        <f t="shared" si="56"/>
        <v>Stephen Lewin-Berlin</v>
      </c>
    </row>
    <row r="1826" spans="1:11" hidden="1" x14ac:dyDescent="0.35">
      <c r="A1826">
        <f t="shared" si="57"/>
        <v>1825</v>
      </c>
      <c r="B1826">
        <v>2011</v>
      </c>
      <c r="C1826" s="4" t="s">
        <v>263</v>
      </c>
      <c r="D1826" s="4" t="s">
        <v>110</v>
      </c>
      <c r="E1826" t="s">
        <v>1430</v>
      </c>
      <c r="F1826" s="2">
        <v>2215</v>
      </c>
      <c r="G1826" s="2">
        <v>2</v>
      </c>
      <c r="H1826" t="s">
        <v>526</v>
      </c>
      <c r="I1826" t="s">
        <v>136</v>
      </c>
      <c r="J1826" s="13">
        <v>1826.0748027008265</v>
      </c>
      <c r="K1826" t="str">
        <f t="shared" si="56"/>
        <v>John Reed</v>
      </c>
    </row>
    <row r="1827" spans="1:11" hidden="1" x14ac:dyDescent="0.35">
      <c r="A1827">
        <f t="shared" si="57"/>
        <v>1826</v>
      </c>
      <c r="B1827">
        <v>2011</v>
      </c>
      <c r="C1827" s="4" t="s">
        <v>263</v>
      </c>
      <c r="D1827" s="4" t="s">
        <v>110</v>
      </c>
      <c r="E1827" t="s">
        <v>1430</v>
      </c>
      <c r="F1827" s="2">
        <v>1410</v>
      </c>
      <c r="G1827" s="2">
        <v>3</v>
      </c>
      <c r="H1827" t="s">
        <v>527</v>
      </c>
      <c r="I1827" t="s">
        <v>528</v>
      </c>
      <c r="J1827" s="13">
        <v>1649.9835436451453</v>
      </c>
      <c r="K1827" t="str">
        <f t="shared" si="56"/>
        <v>Tim Stine</v>
      </c>
    </row>
    <row r="1828" spans="1:11" hidden="1" x14ac:dyDescent="0.35">
      <c r="A1828">
        <f t="shared" si="57"/>
        <v>1827</v>
      </c>
      <c r="B1828">
        <v>2011</v>
      </c>
      <c r="C1828" s="4" t="s">
        <v>263</v>
      </c>
      <c r="D1828" s="4" t="s">
        <v>110</v>
      </c>
      <c r="E1828" t="s">
        <v>1430</v>
      </c>
      <c r="F1828" s="2">
        <v>1110</v>
      </c>
      <c r="G1828" s="2">
        <v>4</v>
      </c>
      <c r="H1828" t="s">
        <v>529</v>
      </c>
      <c r="I1828" t="s">
        <v>530</v>
      </c>
      <c r="J1828" s="13">
        <v>1525.0448070368452</v>
      </c>
      <c r="K1828" t="str">
        <f t="shared" si="56"/>
        <v>Leonard Pisciotta</v>
      </c>
    </row>
    <row r="1829" spans="1:11" hidden="1" x14ac:dyDescent="0.35">
      <c r="A1829">
        <f t="shared" si="57"/>
        <v>1828</v>
      </c>
      <c r="B1829">
        <v>2011</v>
      </c>
      <c r="C1829" s="4" t="s">
        <v>263</v>
      </c>
      <c r="D1829" s="4" t="s">
        <v>110</v>
      </c>
      <c r="E1829" t="s">
        <v>1430</v>
      </c>
      <c r="F1829" s="2">
        <v>800</v>
      </c>
      <c r="G1829" s="2">
        <v>5</v>
      </c>
      <c r="H1829" t="s">
        <v>248</v>
      </c>
      <c r="I1829" t="s">
        <v>249</v>
      </c>
      <c r="J1829" s="13">
        <v>1428.134794028789</v>
      </c>
      <c r="K1829" t="str">
        <f t="shared" si="56"/>
        <v>Ross Poppel</v>
      </c>
    </row>
    <row r="1830" spans="1:11" hidden="1" x14ac:dyDescent="0.35">
      <c r="A1830">
        <f t="shared" si="57"/>
        <v>1829</v>
      </c>
      <c r="B1830">
        <v>2011</v>
      </c>
      <c r="C1830" s="4" t="s">
        <v>263</v>
      </c>
      <c r="D1830" s="4" t="s">
        <v>110</v>
      </c>
      <c r="E1830" t="s">
        <v>1430</v>
      </c>
      <c r="F1830" s="2">
        <v>600</v>
      </c>
      <c r="G1830" s="2">
        <v>6</v>
      </c>
      <c r="H1830" t="s">
        <v>531</v>
      </c>
      <c r="I1830" t="s">
        <v>271</v>
      </c>
      <c r="J1830" s="13">
        <v>1348.9535479811641</v>
      </c>
      <c r="K1830" t="str">
        <f t="shared" si="56"/>
        <v>Dan Nussbaum</v>
      </c>
    </row>
    <row r="1831" spans="1:11" hidden="1" x14ac:dyDescent="0.35">
      <c r="A1831">
        <f t="shared" si="57"/>
        <v>1830</v>
      </c>
      <c r="B1831">
        <v>2011</v>
      </c>
      <c r="C1831" s="4" t="s">
        <v>263</v>
      </c>
      <c r="D1831" s="4" t="s">
        <v>110</v>
      </c>
      <c r="E1831" t="s">
        <v>1430</v>
      </c>
      <c r="F1831" s="2">
        <v>400</v>
      </c>
      <c r="G1831" s="2">
        <v>7</v>
      </c>
      <c r="H1831" t="s">
        <v>50</v>
      </c>
      <c r="I1831" t="s">
        <v>25</v>
      </c>
      <c r="J1831" s="13">
        <v>1282.0067583505509</v>
      </c>
      <c r="K1831" t="str">
        <f t="shared" si="56"/>
        <v>Russell Fox</v>
      </c>
    </row>
    <row r="1832" spans="1:11" hidden="1" x14ac:dyDescent="0.35">
      <c r="A1832">
        <f t="shared" si="57"/>
        <v>1831</v>
      </c>
      <c r="B1832">
        <v>2011</v>
      </c>
      <c r="C1832" s="4" t="s">
        <v>263</v>
      </c>
      <c r="D1832" s="4" t="s">
        <v>110</v>
      </c>
      <c r="E1832" t="s">
        <v>1430</v>
      </c>
      <c r="F1832" s="2">
        <v>300</v>
      </c>
      <c r="G1832" s="2">
        <v>8</v>
      </c>
      <c r="H1832" t="s">
        <v>484</v>
      </c>
      <c r="I1832" t="s">
        <v>2448</v>
      </c>
      <c r="J1832" s="13">
        <v>1224.0148113728642</v>
      </c>
      <c r="K1832" t="str">
        <f t="shared" si="56"/>
        <v>Spenser Sun</v>
      </c>
    </row>
    <row r="1833" spans="1:11" hidden="1" x14ac:dyDescent="0.35">
      <c r="A1833">
        <f t="shared" si="57"/>
        <v>1832</v>
      </c>
      <c r="B1833">
        <v>2011</v>
      </c>
      <c r="C1833" s="4" t="s">
        <v>263</v>
      </c>
      <c r="D1833" s="4" t="s">
        <v>110</v>
      </c>
      <c r="E1833" t="s">
        <v>1430</v>
      </c>
      <c r="F1833" s="2">
        <v>200</v>
      </c>
      <c r="G1833" s="2">
        <v>9</v>
      </c>
      <c r="H1833" t="s">
        <v>533</v>
      </c>
      <c r="I1833" t="s">
        <v>534</v>
      </c>
      <c r="J1833" s="13">
        <v>1172.862288925483</v>
      </c>
      <c r="K1833" t="str">
        <f t="shared" si="56"/>
        <v>Edmund Hack</v>
      </c>
    </row>
    <row r="1834" spans="1:11" hidden="1" x14ac:dyDescent="0.35">
      <c r="A1834">
        <f t="shared" si="57"/>
        <v>1833</v>
      </c>
      <c r="B1834">
        <v>2011</v>
      </c>
      <c r="C1834" s="4" t="s">
        <v>263</v>
      </c>
      <c r="D1834" s="4" t="s">
        <v>110</v>
      </c>
      <c r="E1834" t="s">
        <v>1430</v>
      </c>
      <c r="F1834" s="2">
        <v>200</v>
      </c>
      <c r="G1834" s="2">
        <v>10</v>
      </c>
      <c r="H1834" t="s">
        <v>268</v>
      </c>
      <c r="I1834" t="s">
        <v>269</v>
      </c>
      <c r="J1834" s="13">
        <v>1127.1047983648077</v>
      </c>
      <c r="K1834" t="str">
        <f t="shared" si="56"/>
        <v>Keith Fichtemaier</v>
      </c>
    </row>
    <row r="1835" spans="1:11" hidden="1" x14ac:dyDescent="0.35">
      <c r="A1835">
        <f t="shared" si="57"/>
        <v>1834</v>
      </c>
      <c r="B1835">
        <v>2011</v>
      </c>
      <c r="C1835" s="4" t="s">
        <v>263</v>
      </c>
      <c r="D1835" s="4" t="s">
        <v>110</v>
      </c>
      <c r="E1835" t="s">
        <v>1430</v>
      </c>
      <c r="F1835" s="2">
        <v>150</v>
      </c>
      <c r="G1835" s="2">
        <v>11</v>
      </c>
      <c r="H1835" t="s">
        <v>536</v>
      </c>
      <c r="I1835" t="s">
        <v>52</v>
      </c>
      <c r="J1835" s="13">
        <v>1085.7121132065827</v>
      </c>
      <c r="K1835" t="str">
        <f t="shared" si="56"/>
        <v>Steven McLaughlin</v>
      </c>
    </row>
    <row r="1836" spans="1:11" hidden="1" x14ac:dyDescent="0.35">
      <c r="A1836">
        <f t="shared" si="57"/>
        <v>1835</v>
      </c>
      <c r="B1836">
        <v>2011</v>
      </c>
      <c r="C1836" s="4" t="s">
        <v>263</v>
      </c>
      <c r="D1836" s="4" t="s">
        <v>110</v>
      </c>
      <c r="E1836" t="s">
        <v>1430</v>
      </c>
      <c r="F1836" s="2">
        <v>150</v>
      </c>
      <c r="G1836" s="2">
        <v>12</v>
      </c>
      <c r="H1836" t="s">
        <v>519</v>
      </c>
      <c r="I1836" t="s">
        <v>520</v>
      </c>
      <c r="J1836" s="13">
        <v>1047.9235523171828</v>
      </c>
      <c r="K1836" t="str">
        <f t="shared" si="56"/>
        <v>Drew Boyett</v>
      </c>
    </row>
    <row r="1837" spans="1:11" hidden="1" x14ac:dyDescent="0.35">
      <c r="A1837">
        <f t="shared" si="57"/>
        <v>1836</v>
      </c>
      <c r="B1837">
        <v>2011</v>
      </c>
      <c r="C1837" s="4" t="s">
        <v>263</v>
      </c>
      <c r="D1837" s="4" t="s">
        <v>110</v>
      </c>
      <c r="E1837" t="s">
        <v>1430</v>
      </c>
      <c r="F1837" s="2">
        <v>100</v>
      </c>
      <c r="G1837" s="2">
        <v>13</v>
      </c>
      <c r="H1837" t="s">
        <v>226</v>
      </c>
      <c r="I1837" t="s">
        <v>227</v>
      </c>
      <c r="J1837" s="13">
        <v>1013.161446057971</v>
      </c>
      <c r="K1837" t="str">
        <f t="shared" si="56"/>
        <v>Patti Beadles</v>
      </c>
    </row>
    <row r="1838" spans="1:11" hidden="1" x14ac:dyDescent="0.35">
      <c r="A1838">
        <f t="shared" si="57"/>
        <v>1837</v>
      </c>
      <c r="B1838">
        <v>2011</v>
      </c>
      <c r="C1838" s="4" t="s">
        <v>263</v>
      </c>
      <c r="D1838" s="4" t="s">
        <v>110</v>
      </c>
      <c r="E1838" t="s">
        <v>1430</v>
      </c>
      <c r="F1838" s="2">
        <v>100</v>
      </c>
      <c r="G1838" s="2">
        <v>14</v>
      </c>
      <c r="H1838" t="s">
        <v>537</v>
      </c>
      <c r="I1838" t="s">
        <v>538</v>
      </c>
      <c r="J1838" s="13">
        <v>980.97676268656971</v>
      </c>
      <c r="K1838" t="str">
        <f t="shared" si="56"/>
        <v>Cliff Matthews</v>
      </c>
    </row>
    <row r="1839" spans="1:11" hidden="1" x14ac:dyDescent="0.35">
      <c r="A1839">
        <f t="shared" si="57"/>
        <v>1838</v>
      </c>
      <c r="B1839">
        <v>2011</v>
      </c>
      <c r="C1839" s="4" t="s">
        <v>263</v>
      </c>
      <c r="D1839" s="4" t="s">
        <v>110</v>
      </c>
      <c r="E1839" t="s">
        <v>1430</v>
      </c>
      <c r="F1839" s="2">
        <v>100</v>
      </c>
      <c r="G1839" s="2">
        <v>15</v>
      </c>
      <c r="H1839" t="s">
        <v>332</v>
      </c>
      <c r="I1839" t="s">
        <v>451</v>
      </c>
      <c r="J1839" s="13">
        <v>951.01353930912637</v>
      </c>
      <c r="K1839" t="str">
        <f t="shared" si="56"/>
        <v>Connie Kellers</v>
      </c>
    </row>
    <row r="1840" spans="1:11" hidden="1" x14ac:dyDescent="0.35">
      <c r="A1840">
        <f t="shared" si="57"/>
        <v>1839</v>
      </c>
      <c r="B1840">
        <v>2011</v>
      </c>
      <c r="C1840" t="s">
        <v>68</v>
      </c>
      <c r="D1840" t="s">
        <v>483</v>
      </c>
      <c r="E1840" t="s">
        <v>1429</v>
      </c>
      <c r="F1840" s="2">
        <v>2295</v>
      </c>
      <c r="G1840" s="1">
        <v>1</v>
      </c>
      <c r="H1840" t="s">
        <v>86</v>
      </c>
      <c r="I1840" t="s">
        <v>271</v>
      </c>
      <c r="J1840" s="11">
        <v>1732.3937598229686</v>
      </c>
      <c r="K1840" t="str">
        <f t="shared" si="56"/>
        <v>Dan Goldman</v>
      </c>
    </row>
    <row r="1841" spans="1:11" hidden="1" x14ac:dyDescent="0.35">
      <c r="A1841">
        <f t="shared" si="57"/>
        <v>1840</v>
      </c>
      <c r="B1841">
        <v>2011</v>
      </c>
      <c r="C1841" t="s">
        <v>68</v>
      </c>
      <c r="D1841" t="s">
        <v>483</v>
      </c>
      <c r="E1841" t="s">
        <v>1429</v>
      </c>
      <c r="F1841" s="2">
        <v>1350</v>
      </c>
      <c r="G1841" s="1">
        <v>2</v>
      </c>
      <c r="H1841" t="s">
        <v>484</v>
      </c>
      <c r="I1841" t="s">
        <v>2448</v>
      </c>
      <c r="J1841" s="11">
        <v>1431.3637641589874</v>
      </c>
      <c r="K1841" t="str">
        <f t="shared" si="56"/>
        <v>Spenser Sun</v>
      </c>
    </row>
    <row r="1842" spans="1:11" hidden="1" x14ac:dyDescent="0.35">
      <c r="A1842">
        <f t="shared" si="57"/>
        <v>1841</v>
      </c>
      <c r="B1842">
        <v>2011</v>
      </c>
      <c r="C1842" t="s">
        <v>68</v>
      </c>
      <c r="D1842" t="s">
        <v>483</v>
      </c>
      <c r="E1842" t="s">
        <v>1429</v>
      </c>
      <c r="F1842" s="2">
        <v>810</v>
      </c>
      <c r="G1842" s="1">
        <v>3</v>
      </c>
      <c r="H1842" t="s">
        <v>100</v>
      </c>
      <c r="I1842" t="s">
        <v>52</v>
      </c>
      <c r="J1842" s="11">
        <v>1255.2725051033062</v>
      </c>
      <c r="K1842" t="str">
        <f t="shared" si="56"/>
        <v>Steven Eisenstein</v>
      </c>
    </row>
    <row r="1843" spans="1:11" hidden="1" x14ac:dyDescent="0.35">
      <c r="A1843">
        <f t="shared" si="57"/>
        <v>1842</v>
      </c>
      <c r="B1843">
        <v>2011</v>
      </c>
      <c r="C1843" t="s">
        <v>68</v>
      </c>
      <c r="D1843" t="s">
        <v>483</v>
      </c>
      <c r="E1843" t="s">
        <v>1429</v>
      </c>
      <c r="F1843" s="2">
        <v>540</v>
      </c>
      <c r="G1843" s="1">
        <v>4</v>
      </c>
      <c r="H1843" t="s">
        <v>35</v>
      </c>
      <c r="I1843" t="s">
        <v>36</v>
      </c>
      <c r="J1843" s="11">
        <v>1130.3337684950061</v>
      </c>
      <c r="K1843" t="str">
        <f t="shared" si="56"/>
        <v>Nolan Dalla</v>
      </c>
    </row>
    <row r="1844" spans="1:11" hidden="1" x14ac:dyDescent="0.35">
      <c r="A1844">
        <f t="shared" si="57"/>
        <v>1843</v>
      </c>
      <c r="B1844">
        <v>2011</v>
      </c>
      <c r="C1844" t="s">
        <v>68</v>
      </c>
      <c r="D1844" t="s">
        <v>483</v>
      </c>
      <c r="E1844" t="s">
        <v>1429</v>
      </c>
      <c r="F1844" s="2">
        <v>270</v>
      </c>
      <c r="G1844" s="1">
        <v>5</v>
      </c>
      <c r="H1844" t="s">
        <v>72</v>
      </c>
      <c r="I1844" t="s">
        <v>73</v>
      </c>
      <c r="J1844" s="11">
        <v>1033.4237554869499</v>
      </c>
      <c r="K1844" t="str">
        <f t="shared" si="56"/>
        <v>Corey Imsdahl</v>
      </c>
    </row>
    <row r="1845" spans="1:11" hidden="1" x14ac:dyDescent="0.35">
      <c r="A1845">
        <f t="shared" si="57"/>
        <v>1844</v>
      </c>
      <c r="B1845">
        <v>2011</v>
      </c>
      <c r="C1845" t="s">
        <v>68</v>
      </c>
      <c r="D1845" t="s">
        <v>483</v>
      </c>
      <c r="E1845" t="s">
        <v>1429</v>
      </c>
      <c r="F1845" s="2">
        <v>135</v>
      </c>
      <c r="G1845" s="1">
        <v>6</v>
      </c>
      <c r="H1845" t="s">
        <v>211</v>
      </c>
      <c r="I1845" t="s">
        <v>187</v>
      </c>
      <c r="J1845" s="11">
        <v>954.24250943932498</v>
      </c>
      <c r="K1845" t="str">
        <f t="shared" si="56"/>
        <v>Joe Long</v>
      </c>
    </row>
    <row r="1846" spans="1:11" hidden="1" x14ac:dyDescent="0.35">
      <c r="A1846">
        <f t="shared" si="57"/>
        <v>1845</v>
      </c>
      <c r="B1846">
        <v>2011</v>
      </c>
      <c r="C1846" t="s">
        <v>68</v>
      </c>
      <c r="D1846" t="s">
        <v>203</v>
      </c>
      <c r="E1846" t="s">
        <v>1430</v>
      </c>
      <c r="F1846" s="2">
        <v>1200</v>
      </c>
      <c r="G1846" s="1">
        <v>1</v>
      </c>
      <c r="H1846" t="s">
        <v>16</v>
      </c>
      <c r="I1846" t="s">
        <v>59</v>
      </c>
      <c r="J1846" s="11">
        <v>1681.2412373755872</v>
      </c>
      <c r="K1846" t="str">
        <f t="shared" si="56"/>
        <v>Jeanne David</v>
      </c>
    </row>
    <row r="1847" spans="1:11" hidden="1" x14ac:dyDescent="0.35">
      <c r="A1847">
        <f t="shared" si="57"/>
        <v>1846</v>
      </c>
      <c r="B1847">
        <v>2011</v>
      </c>
      <c r="C1847" t="s">
        <v>68</v>
      </c>
      <c r="D1847" t="s">
        <v>203</v>
      </c>
      <c r="E1847" t="s">
        <v>1430</v>
      </c>
      <c r="F1847" s="2">
        <v>720</v>
      </c>
      <c r="G1847" s="1">
        <v>2</v>
      </c>
      <c r="H1847" t="s">
        <v>477</v>
      </c>
      <c r="I1847" t="s">
        <v>136</v>
      </c>
      <c r="J1847" s="11">
        <v>1380.2112417116059</v>
      </c>
      <c r="K1847" t="str">
        <f t="shared" si="56"/>
        <v>John Lloyd</v>
      </c>
    </row>
    <row r="1848" spans="1:11" hidden="1" x14ac:dyDescent="0.35">
      <c r="A1848">
        <f t="shared" si="57"/>
        <v>1847</v>
      </c>
      <c r="B1848">
        <v>2011</v>
      </c>
      <c r="C1848" t="s">
        <v>68</v>
      </c>
      <c r="D1848" t="s">
        <v>203</v>
      </c>
      <c r="E1848" t="s">
        <v>1430</v>
      </c>
      <c r="F1848" s="2">
        <v>430</v>
      </c>
      <c r="G1848" s="1">
        <v>3</v>
      </c>
      <c r="H1848" t="s">
        <v>21</v>
      </c>
      <c r="I1848" t="s">
        <v>463</v>
      </c>
      <c r="J1848" s="11">
        <v>1204.1199826559248</v>
      </c>
      <c r="K1848" t="str">
        <f t="shared" si="56"/>
        <v>Richard Bremer</v>
      </c>
    </row>
    <row r="1849" spans="1:11" hidden="1" x14ac:dyDescent="0.35">
      <c r="A1849">
        <f t="shared" si="57"/>
        <v>1848</v>
      </c>
      <c r="B1849">
        <v>2011</v>
      </c>
      <c r="C1849" t="s">
        <v>68</v>
      </c>
      <c r="D1849" t="s">
        <v>203</v>
      </c>
      <c r="E1849" t="s">
        <v>1430</v>
      </c>
      <c r="F1849" s="2">
        <v>290</v>
      </c>
      <c r="G1849" s="1">
        <v>4</v>
      </c>
      <c r="H1849" t="s">
        <v>479</v>
      </c>
      <c r="I1849" t="s">
        <v>480</v>
      </c>
      <c r="J1849" s="11">
        <v>1079.1812460476247</v>
      </c>
      <c r="K1849" t="str">
        <f t="shared" si="56"/>
        <v>James Kittock</v>
      </c>
    </row>
    <row r="1850" spans="1:11" hidden="1" x14ac:dyDescent="0.35">
      <c r="A1850">
        <f t="shared" si="57"/>
        <v>1849</v>
      </c>
      <c r="B1850">
        <v>2011</v>
      </c>
      <c r="C1850" t="s">
        <v>68</v>
      </c>
      <c r="D1850" t="s">
        <v>203</v>
      </c>
      <c r="E1850" t="s">
        <v>1430</v>
      </c>
      <c r="F1850" s="2">
        <v>145</v>
      </c>
      <c r="G1850" s="1">
        <v>5</v>
      </c>
      <c r="H1850" t="s">
        <v>383</v>
      </c>
      <c r="I1850" t="s">
        <v>384</v>
      </c>
      <c r="J1850" s="11">
        <v>982.2712330395683</v>
      </c>
      <c r="K1850" t="str">
        <f t="shared" si="56"/>
        <v>Jeff Deitch</v>
      </c>
    </row>
    <row r="1851" spans="1:11" hidden="1" x14ac:dyDescent="0.35">
      <c r="A1851">
        <f t="shared" si="57"/>
        <v>1850</v>
      </c>
      <c r="B1851">
        <v>2011</v>
      </c>
      <c r="C1851" t="s">
        <v>68</v>
      </c>
      <c r="D1851" t="s">
        <v>203</v>
      </c>
      <c r="E1851" t="s">
        <v>1430</v>
      </c>
      <c r="F1851" s="2">
        <v>95</v>
      </c>
      <c r="G1851" s="1">
        <v>6</v>
      </c>
      <c r="H1851" t="s">
        <v>66</v>
      </c>
      <c r="I1851" t="s">
        <v>67</v>
      </c>
      <c r="J1851" s="11">
        <v>903.08998699194353</v>
      </c>
      <c r="K1851" t="str">
        <f t="shared" si="56"/>
        <v>Bob Lauria</v>
      </c>
    </row>
    <row r="1852" spans="1:11" hidden="1" x14ac:dyDescent="0.35">
      <c r="A1852">
        <f t="shared" si="57"/>
        <v>1851</v>
      </c>
      <c r="B1852">
        <v>2011</v>
      </c>
      <c r="C1852" t="s">
        <v>68</v>
      </c>
      <c r="D1852" t="s">
        <v>213</v>
      </c>
      <c r="E1852" t="s">
        <v>1432</v>
      </c>
      <c r="F1852" s="2">
        <v>455</v>
      </c>
      <c r="G1852" s="1">
        <v>1</v>
      </c>
      <c r="H1852" t="s">
        <v>307</v>
      </c>
      <c r="I1852" t="s">
        <v>67</v>
      </c>
      <c r="J1852" s="11">
        <v>1690.1960800285137</v>
      </c>
      <c r="K1852" t="str">
        <f t="shared" si="56"/>
        <v>Bob Ogus</v>
      </c>
    </row>
    <row r="1853" spans="1:11" hidden="1" x14ac:dyDescent="0.35">
      <c r="A1853">
        <f t="shared" si="57"/>
        <v>1852</v>
      </c>
      <c r="B1853">
        <v>2011</v>
      </c>
      <c r="C1853" t="s">
        <v>68</v>
      </c>
      <c r="D1853" t="s">
        <v>213</v>
      </c>
      <c r="E1853" t="s">
        <v>1432</v>
      </c>
      <c r="F1853" s="2">
        <v>1100</v>
      </c>
      <c r="G1853" s="1">
        <v>2</v>
      </c>
      <c r="H1853" t="s">
        <v>90</v>
      </c>
      <c r="I1853" t="s">
        <v>22</v>
      </c>
      <c r="J1853" s="11">
        <v>1389.1660843645325</v>
      </c>
      <c r="K1853" t="str">
        <f t="shared" si="56"/>
        <v>Rich Strauss</v>
      </c>
    </row>
    <row r="1854" spans="1:11" hidden="1" x14ac:dyDescent="0.35">
      <c r="A1854">
        <f t="shared" si="57"/>
        <v>1853</v>
      </c>
      <c r="B1854">
        <v>2011</v>
      </c>
      <c r="C1854" t="s">
        <v>68</v>
      </c>
      <c r="D1854" t="s">
        <v>213</v>
      </c>
      <c r="E1854" t="s">
        <v>1432</v>
      </c>
      <c r="F1854" s="2">
        <v>640</v>
      </c>
      <c r="G1854" s="1">
        <v>3</v>
      </c>
      <c r="H1854" t="s">
        <v>482</v>
      </c>
      <c r="I1854" t="s">
        <v>410</v>
      </c>
      <c r="J1854" s="11">
        <v>1213.0748253088514</v>
      </c>
      <c r="K1854" t="str">
        <f t="shared" si="56"/>
        <v>Larry Bierman</v>
      </c>
    </row>
    <row r="1855" spans="1:11" hidden="1" x14ac:dyDescent="0.35">
      <c r="A1855">
        <f t="shared" si="57"/>
        <v>1854</v>
      </c>
      <c r="B1855">
        <v>2011</v>
      </c>
      <c r="C1855" t="s">
        <v>68</v>
      </c>
      <c r="D1855" t="s">
        <v>213</v>
      </c>
      <c r="E1855" t="s">
        <v>1432</v>
      </c>
      <c r="F1855" s="2">
        <v>400</v>
      </c>
      <c r="G1855" s="1">
        <v>4</v>
      </c>
      <c r="H1855" t="s">
        <v>35</v>
      </c>
      <c r="I1855" t="s">
        <v>36</v>
      </c>
      <c r="J1855" s="11">
        <v>1088.1360887005512</v>
      </c>
      <c r="K1855" t="str">
        <f t="shared" si="56"/>
        <v>Nolan Dalla</v>
      </c>
    </row>
    <row r="1856" spans="1:11" hidden="1" x14ac:dyDescent="0.35">
      <c r="A1856">
        <f t="shared" si="57"/>
        <v>1855</v>
      </c>
      <c r="B1856">
        <v>2011</v>
      </c>
      <c r="C1856" t="s">
        <v>68</v>
      </c>
      <c r="D1856" t="s">
        <v>213</v>
      </c>
      <c r="E1856" t="s">
        <v>1432</v>
      </c>
      <c r="F1856" s="2">
        <v>260</v>
      </c>
      <c r="G1856" s="1">
        <v>5</v>
      </c>
      <c r="H1856" t="s">
        <v>50</v>
      </c>
      <c r="I1856" t="s">
        <v>25</v>
      </c>
      <c r="J1856" s="11">
        <v>991.22607569249476</v>
      </c>
      <c r="K1856" t="str">
        <f t="shared" si="56"/>
        <v>Russell Fox</v>
      </c>
    </row>
    <row r="1857" spans="1:11" hidden="1" x14ac:dyDescent="0.35">
      <c r="A1857">
        <f t="shared" si="57"/>
        <v>1856</v>
      </c>
      <c r="B1857">
        <v>2011</v>
      </c>
      <c r="C1857" t="s">
        <v>68</v>
      </c>
      <c r="D1857" t="s">
        <v>213</v>
      </c>
      <c r="E1857" t="s">
        <v>1432</v>
      </c>
      <c r="F1857" s="2">
        <v>85</v>
      </c>
      <c r="G1857" s="1">
        <v>6</v>
      </c>
      <c r="H1857" t="s">
        <v>411</v>
      </c>
      <c r="I1857" t="s">
        <v>737</v>
      </c>
      <c r="J1857" s="11">
        <v>912.04482964486999</v>
      </c>
      <c r="K1857" t="str">
        <f t="shared" si="56"/>
        <v>Lawrence Larson</v>
      </c>
    </row>
    <row r="1858" spans="1:11" hidden="1" x14ac:dyDescent="0.35">
      <c r="A1858">
        <f t="shared" si="57"/>
        <v>1857</v>
      </c>
      <c r="B1858">
        <v>2011</v>
      </c>
      <c r="C1858" t="s">
        <v>8</v>
      </c>
      <c r="D1858" t="s">
        <v>9</v>
      </c>
      <c r="E1858" t="s">
        <v>1429</v>
      </c>
      <c r="F1858" s="2">
        <v>1200</v>
      </c>
      <c r="G1858" s="2">
        <v>1</v>
      </c>
      <c r="H1858" t="s">
        <v>422</v>
      </c>
      <c r="I1858" t="s">
        <v>142</v>
      </c>
      <c r="J1858" s="11">
        <v>1681.2412373755872</v>
      </c>
      <c r="K1858" t="str">
        <f t="shared" ref="K1858:K1921" si="58">I1858&amp;" "&amp;H1858</f>
        <v>Matt Vining</v>
      </c>
    </row>
    <row r="1859" spans="1:11" hidden="1" x14ac:dyDescent="0.35">
      <c r="A1859">
        <f t="shared" si="57"/>
        <v>1858</v>
      </c>
      <c r="B1859">
        <v>2011</v>
      </c>
      <c r="C1859" t="s">
        <v>8</v>
      </c>
      <c r="D1859" t="s">
        <v>9</v>
      </c>
      <c r="E1859" t="s">
        <v>1429</v>
      </c>
      <c r="F1859" s="2">
        <v>900</v>
      </c>
      <c r="G1859" s="2">
        <v>2</v>
      </c>
      <c r="H1859" t="s">
        <v>424</v>
      </c>
      <c r="I1859" t="s">
        <v>425</v>
      </c>
      <c r="J1859" s="11">
        <v>1380.2112417116059</v>
      </c>
      <c r="K1859" t="str">
        <f t="shared" si="58"/>
        <v>Tony D'Anna</v>
      </c>
    </row>
    <row r="1860" spans="1:11" hidden="1" x14ac:dyDescent="0.35">
      <c r="A1860">
        <f t="shared" ref="A1860:A1923" si="59">A1859+1</f>
        <v>1859</v>
      </c>
      <c r="B1860">
        <v>2011</v>
      </c>
      <c r="C1860" t="s">
        <v>8</v>
      </c>
      <c r="D1860" t="s">
        <v>9</v>
      </c>
      <c r="E1860" t="s">
        <v>1429</v>
      </c>
      <c r="F1860" s="2">
        <v>600</v>
      </c>
      <c r="G1860" s="2">
        <v>3</v>
      </c>
      <c r="H1860" t="s">
        <v>12</v>
      </c>
      <c r="I1860" t="s">
        <v>13</v>
      </c>
      <c r="J1860" s="11">
        <v>1204.1199826559248</v>
      </c>
      <c r="K1860" t="str">
        <f t="shared" si="58"/>
        <v>Tom Bessoir</v>
      </c>
    </row>
    <row r="1861" spans="1:11" hidden="1" x14ac:dyDescent="0.35">
      <c r="A1861">
        <f t="shared" si="59"/>
        <v>1860</v>
      </c>
      <c r="B1861">
        <v>2011</v>
      </c>
      <c r="C1861" t="s">
        <v>8</v>
      </c>
      <c r="D1861" t="s">
        <v>9</v>
      </c>
      <c r="E1861" t="s">
        <v>1429</v>
      </c>
      <c r="F1861" s="2">
        <v>500</v>
      </c>
      <c r="G1861" s="2">
        <v>4</v>
      </c>
      <c r="H1861" t="s">
        <v>64</v>
      </c>
      <c r="I1861" t="s">
        <v>65</v>
      </c>
      <c r="J1861" s="11">
        <v>1079.1812460476247</v>
      </c>
      <c r="K1861" t="str">
        <f t="shared" si="58"/>
        <v>Steve Daniel</v>
      </c>
    </row>
    <row r="1862" spans="1:11" hidden="1" x14ac:dyDescent="0.35">
      <c r="A1862">
        <f t="shared" si="59"/>
        <v>1861</v>
      </c>
      <c r="B1862">
        <v>2011</v>
      </c>
      <c r="C1862" t="s">
        <v>8</v>
      </c>
      <c r="D1862" t="s">
        <v>9</v>
      </c>
      <c r="E1862" t="s">
        <v>1429</v>
      </c>
      <c r="F1862" s="2">
        <v>400</v>
      </c>
      <c r="G1862" s="2">
        <v>65</v>
      </c>
      <c r="H1862" t="s">
        <v>431</v>
      </c>
      <c r="I1862" t="s">
        <v>44</v>
      </c>
      <c r="J1862" s="11">
        <v>868.32788073273161</v>
      </c>
      <c r="K1862" t="str">
        <f t="shared" si="58"/>
        <v>Mike Buono</v>
      </c>
    </row>
    <row r="1863" spans="1:11" hidden="1" x14ac:dyDescent="0.35">
      <c r="A1863">
        <f t="shared" si="59"/>
        <v>1862</v>
      </c>
      <c r="B1863">
        <v>2011</v>
      </c>
      <c r="C1863" t="s">
        <v>8</v>
      </c>
      <c r="D1863" t="s">
        <v>9</v>
      </c>
      <c r="E1863" t="s">
        <v>1429</v>
      </c>
      <c r="F1863" s="2">
        <v>400</v>
      </c>
      <c r="G1863" s="2">
        <v>65</v>
      </c>
      <c r="H1863" t="s">
        <v>158</v>
      </c>
      <c r="I1863" t="s">
        <v>159</v>
      </c>
      <c r="J1863" s="11">
        <v>868.32788073273161</v>
      </c>
      <c r="K1863" t="str">
        <f t="shared" si="58"/>
        <v>Brian Hackett</v>
      </c>
    </row>
    <row r="1864" spans="1:11" hidden="1" x14ac:dyDescent="0.35">
      <c r="A1864">
        <f t="shared" si="59"/>
        <v>1863</v>
      </c>
      <c r="B1864">
        <v>2011</v>
      </c>
      <c r="C1864" t="s">
        <v>8</v>
      </c>
      <c r="D1864" t="s">
        <v>9</v>
      </c>
      <c r="E1864" t="s">
        <v>1429</v>
      </c>
      <c r="F1864" s="2">
        <v>400</v>
      </c>
      <c r="G1864" s="2">
        <v>65</v>
      </c>
      <c r="H1864" t="s">
        <v>428</v>
      </c>
      <c r="I1864" t="s">
        <v>429</v>
      </c>
      <c r="J1864" s="11">
        <v>868.32788073273161</v>
      </c>
      <c r="K1864" t="str">
        <f t="shared" si="58"/>
        <v>Mary Hall</v>
      </c>
    </row>
    <row r="1865" spans="1:11" hidden="1" x14ac:dyDescent="0.35">
      <c r="A1865">
        <f t="shared" si="59"/>
        <v>1864</v>
      </c>
      <c r="B1865">
        <v>2011</v>
      </c>
      <c r="C1865" t="s">
        <v>8</v>
      </c>
      <c r="D1865" t="s">
        <v>9</v>
      </c>
      <c r="E1865" t="s">
        <v>1429</v>
      </c>
      <c r="F1865" s="2">
        <v>400</v>
      </c>
      <c r="G1865" s="2">
        <v>65</v>
      </c>
      <c r="H1865" t="s">
        <v>351</v>
      </c>
      <c r="I1865" t="s">
        <v>153</v>
      </c>
      <c r="J1865" s="11">
        <v>868.32788073273161</v>
      </c>
      <c r="K1865" t="str">
        <f t="shared" si="58"/>
        <v>Stephen Lewin-Berlin</v>
      </c>
    </row>
    <row r="1866" spans="1:11" hidden="1" x14ac:dyDescent="0.35">
      <c r="A1866">
        <f t="shared" si="59"/>
        <v>1865</v>
      </c>
      <c r="B1866">
        <v>2011</v>
      </c>
      <c r="C1866" t="s">
        <v>8</v>
      </c>
      <c r="D1866" t="s">
        <v>45</v>
      </c>
      <c r="E1866" t="s">
        <v>1429</v>
      </c>
      <c r="F1866" s="2">
        <v>1889</v>
      </c>
      <c r="G1866" s="2">
        <v>1</v>
      </c>
      <c r="H1866" t="s">
        <v>366</v>
      </c>
      <c r="I1866" t="s">
        <v>61</v>
      </c>
      <c r="J1866" s="11">
        <v>2000</v>
      </c>
      <c r="K1866" t="str">
        <f t="shared" si="58"/>
        <v>Len Greenberg</v>
      </c>
    </row>
    <row r="1867" spans="1:11" hidden="1" x14ac:dyDescent="0.35">
      <c r="A1867">
        <f t="shared" si="59"/>
        <v>1866</v>
      </c>
      <c r="B1867">
        <v>2011</v>
      </c>
      <c r="C1867" t="s">
        <v>8</v>
      </c>
      <c r="D1867" t="s">
        <v>45</v>
      </c>
      <c r="E1867" t="s">
        <v>1429</v>
      </c>
      <c r="F1867" s="2">
        <v>1889</v>
      </c>
      <c r="G1867" s="2">
        <v>2</v>
      </c>
      <c r="H1867" t="s">
        <v>51</v>
      </c>
      <c r="I1867" t="s">
        <v>153</v>
      </c>
      <c r="J1867" s="11">
        <v>1698.9700043360187</v>
      </c>
      <c r="K1867" t="str">
        <f t="shared" si="58"/>
        <v>Stephen Rosenblatt</v>
      </c>
    </row>
    <row r="1868" spans="1:11" hidden="1" x14ac:dyDescent="0.35">
      <c r="A1868">
        <f t="shared" si="59"/>
        <v>1867</v>
      </c>
      <c r="B1868">
        <v>2011</v>
      </c>
      <c r="C1868" t="s">
        <v>8</v>
      </c>
      <c r="D1868" t="s">
        <v>45</v>
      </c>
      <c r="E1868" t="s">
        <v>1429</v>
      </c>
      <c r="F1868" s="2">
        <v>1490</v>
      </c>
      <c r="G1868" s="2">
        <v>3</v>
      </c>
      <c r="H1868" t="s">
        <v>15</v>
      </c>
      <c r="I1868" t="s">
        <v>16</v>
      </c>
      <c r="J1868" s="11">
        <v>1522.8787452803376</v>
      </c>
      <c r="K1868" t="str">
        <f t="shared" si="58"/>
        <v>David Kluchman</v>
      </c>
    </row>
    <row r="1869" spans="1:11" hidden="1" x14ac:dyDescent="0.35">
      <c r="A1869">
        <f t="shared" si="59"/>
        <v>1868</v>
      </c>
      <c r="B1869">
        <v>2011</v>
      </c>
      <c r="C1869" t="s">
        <v>8</v>
      </c>
      <c r="D1869" t="s">
        <v>45</v>
      </c>
      <c r="E1869" t="s">
        <v>1429</v>
      </c>
      <c r="F1869" s="2">
        <v>775</v>
      </c>
      <c r="G1869" s="2">
        <v>4</v>
      </c>
      <c r="H1869" t="s">
        <v>455</v>
      </c>
      <c r="I1869" t="s">
        <v>136</v>
      </c>
      <c r="J1869" s="11">
        <v>1397.9400086720375</v>
      </c>
      <c r="K1869" t="str">
        <f t="shared" si="58"/>
        <v>John Segovia</v>
      </c>
    </row>
    <row r="1870" spans="1:11" hidden="1" x14ac:dyDescent="0.35">
      <c r="A1870">
        <f t="shared" si="59"/>
        <v>1869</v>
      </c>
      <c r="B1870">
        <v>2011</v>
      </c>
      <c r="C1870" t="s">
        <v>8</v>
      </c>
      <c r="D1870" t="s">
        <v>45</v>
      </c>
      <c r="E1870" t="s">
        <v>1429</v>
      </c>
      <c r="F1870" s="2">
        <v>620</v>
      </c>
      <c r="G1870" s="2">
        <v>5</v>
      </c>
      <c r="H1870" t="s">
        <v>238</v>
      </c>
      <c r="I1870" t="s">
        <v>16</v>
      </c>
      <c r="J1870" s="11">
        <v>1301.0299956639813</v>
      </c>
      <c r="K1870" t="str">
        <f t="shared" si="58"/>
        <v>David Kuznick</v>
      </c>
    </row>
    <row r="1871" spans="1:11" hidden="1" x14ac:dyDescent="0.35">
      <c r="A1871">
        <f t="shared" si="59"/>
        <v>1870</v>
      </c>
      <c r="B1871">
        <v>2011</v>
      </c>
      <c r="C1871" t="s">
        <v>8</v>
      </c>
      <c r="D1871" t="s">
        <v>45</v>
      </c>
      <c r="E1871" t="s">
        <v>1429</v>
      </c>
      <c r="F1871" s="2">
        <v>495</v>
      </c>
      <c r="G1871" s="2">
        <v>6</v>
      </c>
      <c r="H1871" t="s">
        <v>457</v>
      </c>
      <c r="I1871" t="s">
        <v>384</v>
      </c>
      <c r="J1871" s="11">
        <v>1221.8487496163564</v>
      </c>
      <c r="K1871" t="str">
        <f t="shared" si="58"/>
        <v>Jeff Behrens</v>
      </c>
    </row>
    <row r="1872" spans="1:11" hidden="1" x14ac:dyDescent="0.35">
      <c r="A1872">
        <f t="shared" si="59"/>
        <v>1871</v>
      </c>
      <c r="B1872">
        <v>2011</v>
      </c>
      <c r="C1872" t="s">
        <v>8</v>
      </c>
      <c r="D1872" t="s">
        <v>45</v>
      </c>
      <c r="E1872" t="s">
        <v>1429</v>
      </c>
      <c r="F1872" s="2">
        <v>407</v>
      </c>
      <c r="G1872" s="2">
        <v>7</v>
      </c>
      <c r="H1872" t="s">
        <v>459</v>
      </c>
      <c r="I1872" t="s">
        <v>136</v>
      </c>
      <c r="J1872" s="11">
        <v>1154.9019599857431</v>
      </c>
      <c r="K1872" t="str">
        <f t="shared" si="58"/>
        <v>John Bonaguro</v>
      </c>
    </row>
    <row r="1873" spans="1:11" hidden="1" x14ac:dyDescent="0.35">
      <c r="A1873">
        <f t="shared" si="59"/>
        <v>1872</v>
      </c>
      <c r="B1873">
        <v>2011</v>
      </c>
      <c r="C1873" t="s">
        <v>8</v>
      </c>
      <c r="D1873" t="s">
        <v>45</v>
      </c>
      <c r="E1873" t="s">
        <v>1429</v>
      </c>
      <c r="F1873" s="2">
        <v>340</v>
      </c>
      <c r="G1873" s="2">
        <v>8</v>
      </c>
      <c r="H1873" t="s">
        <v>360</v>
      </c>
      <c r="I1873" t="s">
        <v>361</v>
      </c>
      <c r="J1873" s="11">
        <v>1096.9100130080565</v>
      </c>
      <c r="K1873" t="str">
        <f t="shared" si="58"/>
        <v>Jon Maren</v>
      </c>
    </row>
    <row r="1874" spans="1:11" hidden="1" x14ac:dyDescent="0.35">
      <c r="A1874">
        <f t="shared" si="59"/>
        <v>1873</v>
      </c>
      <c r="B1874">
        <v>2011</v>
      </c>
      <c r="C1874" t="s">
        <v>8</v>
      </c>
      <c r="D1874" t="s">
        <v>45</v>
      </c>
      <c r="E1874" t="s">
        <v>1429</v>
      </c>
      <c r="F1874" s="2">
        <v>295</v>
      </c>
      <c r="G1874" s="2">
        <v>9</v>
      </c>
      <c r="H1874" t="s">
        <v>66</v>
      </c>
      <c r="I1874" t="s">
        <v>67</v>
      </c>
      <c r="J1874" s="11">
        <v>1045.7574905606753</v>
      </c>
      <c r="K1874" t="str">
        <f t="shared" si="58"/>
        <v>Bob Lauria</v>
      </c>
    </row>
    <row r="1875" spans="1:11" hidden="1" x14ac:dyDescent="0.35">
      <c r="A1875">
        <f t="shared" si="59"/>
        <v>1874</v>
      </c>
      <c r="B1875">
        <v>2011</v>
      </c>
      <c r="C1875" t="s">
        <v>8</v>
      </c>
      <c r="D1875" t="s">
        <v>45</v>
      </c>
      <c r="E1875" t="s">
        <v>1429</v>
      </c>
      <c r="F1875" s="2">
        <v>242</v>
      </c>
      <c r="G1875" s="2">
        <v>10</v>
      </c>
      <c r="H1875" t="s">
        <v>256</v>
      </c>
      <c r="I1875" t="s">
        <v>257</v>
      </c>
      <c r="J1875" s="11">
        <v>1000</v>
      </c>
      <c r="K1875" t="str">
        <f t="shared" si="58"/>
        <v>Stephanie Wasserman</v>
      </c>
    </row>
    <row r="1876" spans="1:11" hidden="1" x14ac:dyDescent="0.35">
      <c r="A1876">
        <f t="shared" si="59"/>
        <v>1875</v>
      </c>
      <c r="B1876">
        <v>2011</v>
      </c>
      <c r="C1876" t="s">
        <v>8</v>
      </c>
      <c r="D1876" t="s">
        <v>45</v>
      </c>
      <c r="E1876" t="s">
        <v>1429</v>
      </c>
      <c r="F1876" s="2">
        <v>242</v>
      </c>
      <c r="G1876" s="2">
        <v>11</v>
      </c>
      <c r="H1876" t="s">
        <v>461</v>
      </c>
      <c r="I1876" t="s">
        <v>128</v>
      </c>
      <c r="J1876" s="11">
        <v>958.60731484177484</v>
      </c>
      <c r="K1876" t="str">
        <f t="shared" si="58"/>
        <v>Lee Jones</v>
      </c>
    </row>
    <row r="1877" spans="1:11" hidden="1" x14ac:dyDescent="0.35">
      <c r="A1877">
        <f t="shared" si="59"/>
        <v>1876</v>
      </c>
      <c r="B1877">
        <v>2011</v>
      </c>
      <c r="C1877" t="s">
        <v>8</v>
      </c>
      <c r="D1877" t="s">
        <v>45</v>
      </c>
      <c r="E1877" t="s">
        <v>1429</v>
      </c>
      <c r="F1877" s="2">
        <v>242</v>
      </c>
      <c r="G1877" s="2">
        <v>12</v>
      </c>
      <c r="H1877" t="s">
        <v>346</v>
      </c>
      <c r="I1877" t="s">
        <v>200</v>
      </c>
      <c r="J1877" s="11">
        <v>920.81875395237512</v>
      </c>
      <c r="K1877" t="str">
        <f t="shared" si="58"/>
        <v>Rick Sysko</v>
      </c>
    </row>
    <row r="1878" spans="1:11" hidden="1" x14ac:dyDescent="0.35">
      <c r="A1878">
        <f t="shared" si="59"/>
        <v>1877</v>
      </c>
      <c r="B1878">
        <v>2011</v>
      </c>
      <c r="C1878" t="s">
        <v>8</v>
      </c>
      <c r="D1878" t="s">
        <v>45</v>
      </c>
      <c r="E1878" t="s">
        <v>1429</v>
      </c>
      <c r="F1878" s="2">
        <v>208</v>
      </c>
      <c r="G1878" s="2">
        <v>13</v>
      </c>
      <c r="H1878" t="s">
        <v>357</v>
      </c>
      <c r="I1878" t="s">
        <v>463</v>
      </c>
      <c r="J1878" s="11">
        <v>886.05664769316331</v>
      </c>
      <c r="K1878" t="str">
        <f t="shared" si="58"/>
        <v>Richard Goodridge</v>
      </c>
    </row>
    <row r="1879" spans="1:11" hidden="1" x14ac:dyDescent="0.35">
      <c r="A1879">
        <f t="shared" si="59"/>
        <v>1878</v>
      </c>
      <c r="B1879">
        <v>2011</v>
      </c>
      <c r="C1879" t="s">
        <v>8</v>
      </c>
      <c r="D1879" t="s">
        <v>45</v>
      </c>
      <c r="E1879" t="s">
        <v>1429</v>
      </c>
      <c r="F1879" s="2">
        <v>208</v>
      </c>
      <c r="G1879" s="2">
        <v>14</v>
      </c>
      <c r="H1879" t="s">
        <v>465</v>
      </c>
      <c r="I1879" t="s">
        <v>11</v>
      </c>
      <c r="J1879" s="11">
        <v>853.87196432176199</v>
      </c>
      <c r="K1879" t="str">
        <f t="shared" si="58"/>
        <v>Paul Sikorski</v>
      </c>
    </row>
    <row r="1880" spans="1:11" hidden="1" x14ac:dyDescent="0.35">
      <c r="A1880">
        <f t="shared" si="59"/>
        <v>1879</v>
      </c>
      <c r="B1880">
        <v>2011</v>
      </c>
      <c r="C1880" t="s">
        <v>8</v>
      </c>
      <c r="D1880" t="s">
        <v>45</v>
      </c>
      <c r="E1880" t="s">
        <v>1429</v>
      </c>
      <c r="F1880" s="2">
        <v>208</v>
      </c>
      <c r="G1880" s="2">
        <v>15</v>
      </c>
      <c r="H1880" t="s">
        <v>266</v>
      </c>
      <c r="I1880" t="s">
        <v>28</v>
      </c>
      <c r="J1880" s="11">
        <v>823.90874094431865</v>
      </c>
      <c r="K1880" t="str">
        <f t="shared" si="58"/>
        <v>Chris Mecklin</v>
      </c>
    </row>
    <row r="1881" spans="1:11" hidden="1" x14ac:dyDescent="0.35">
      <c r="A1881">
        <f t="shared" si="59"/>
        <v>1880</v>
      </c>
      <c r="B1881">
        <v>2011</v>
      </c>
      <c r="C1881" t="s">
        <v>8</v>
      </c>
      <c r="D1881" t="s">
        <v>45</v>
      </c>
      <c r="E1881" t="s">
        <v>1429</v>
      </c>
      <c r="F1881" s="2">
        <v>150</v>
      </c>
      <c r="G1881" s="2">
        <v>16</v>
      </c>
      <c r="H1881" t="s">
        <v>433</v>
      </c>
      <c r="I1881" t="s">
        <v>434</v>
      </c>
      <c r="J1881" s="11">
        <v>795.88001734407521</v>
      </c>
      <c r="K1881" t="str">
        <f t="shared" si="58"/>
        <v>AJ Evangelista</v>
      </c>
    </row>
    <row r="1882" spans="1:11" hidden="1" x14ac:dyDescent="0.35">
      <c r="A1882">
        <f t="shared" si="59"/>
        <v>1881</v>
      </c>
      <c r="B1882">
        <v>2011</v>
      </c>
      <c r="C1882" t="s">
        <v>8</v>
      </c>
      <c r="D1882" t="s">
        <v>348</v>
      </c>
      <c r="E1882" t="s">
        <v>1432</v>
      </c>
      <c r="F1882" s="2">
        <v>1110</v>
      </c>
      <c r="G1882" s="2">
        <v>1</v>
      </c>
      <c r="H1882" t="s">
        <v>436</v>
      </c>
      <c r="I1882" t="s">
        <v>16</v>
      </c>
      <c r="J1882" s="11">
        <v>826.60625688767186</v>
      </c>
      <c r="K1882" t="str">
        <f t="shared" si="58"/>
        <v>David Coates</v>
      </c>
    </row>
    <row r="1883" spans="1:11" hidden="1" x14ac:dyDescent="0.35">
      <c r="A1883">
        <f t="shared" si="59"/>
        <v>1882</v>
      </c>
      <c r="B1883">
        <v>2011</v>
      </c>
      <c r="C1883" t="s">
        <v>8</v>
      </c>
      <c r="D1883" t="s">
        <v>348</v>
      </c>
      <c r="E1883" t="s">
        <v>1432</v>
      </c>
      <c r="F1883" s="2">
        <v>1110</v>
      </c>
      <c r="G1883" s="2">
        <v>1</v>
      </c>
      <c r="H1883" t="s">
        <v>433</v>
      </c>
      <c r="I1883" t="s">
        <v>434</v>
      </c>
      <c r="J1883" s="11">
        <v>826.60625688767186</v>
      </c>
      <c r="K1883" t="str">
        <f t="shared" si="58"/>
        <v>AJ Evangelista</v>
      </c>
    </row>
    <row r="1884" spans="1:11" hidden="1" x14ac:dyDescent="0.35">
      <c r="A1884">
        <f t="shared" si="59"/>
        <v>1883</v>
      </c>
      <c r="B1884">
        <v>2011</v>
      </c>
      <c r="C1884" t="s">
        <v>8</v>
      </c>
      <c r="D1884" t="s">
        <v>348</v>
      </c>
      <c r="E1884" t="s">
        <v>1432</v>
      </c>
      <c r="F1884" s="2">
        <v>1110</v>
      </c>
      <c r="G1884" s="2">
        <v>2</v>
      </c>
      <c r="H1884" t="s">
        <v>437</v>
      </c>
      <c r="I1884" t="s">
        <v>438</v>
      </c>
      <c r="J1884" s="11">
        <v>676.09125905568123</v>
      </c>
      <c r="K1884" t="str">
        <f t="shared" si="58"/>
        <v>Judith Gendron</v>
      </c>
    </row>
    <row r="1885" spans="1:11" hidden="1" x14ac:dyDescent="0.35">
      <c r="A1885">
        <f t="shared" si="59"/>
        <v>1884</v>
      </c>
      <c r="B1885">
        <v>2011</v>
      </c>
      <c r="C1885" t="s">
        <v>8</v>
      </c>
      <c r="D1885" t="s">
        <v>348</v>
      </c>
      <c r="E1885" t="s">
        <v>1432</v>
      </c>
      <c r="F1885" s="2">
        <v>1110</v>
      </c>
      <c r="G1885" s="2">
        <v>2</v>
      </c>
      <c r="H1885" t="s">
        <v>439</v>
      </c>
      <c r="I1885" t="s">
        <v>136</v>
      </c>
      <c r="J1885" s="11">
        <v>676.09125905568123</v>
      </c>
      <c r="K1885" t="str">
        <f t="shared" si="58"/>
        <v>John Hallyburton</v>
      </c>
    </row>
    <row r="1886" spans="1:11" hidden="1" x14ac:dyDescent="0.35">
      <c r="A1886">
        <f t="shared" si="59"/>
        <v>1885</v>
      </c>
      <c r="B1886">
        <v>2011</v>
      </c>
      <c r="C1886" t="s">
        <v>8</v>
      </c>
      <c r="D1886" t="s">
        <v>348</v>
      </c>
      <c r="E1886" t="s">
        <v>1432</v>
      </c>
      <c r="F1886" s="2">
        <v>555</v>
      </c>
      <c r="G1886" s="2">
        <v>3</v>
      </c>
      <c r="H1886" t="s">
        <v>441</v>
      </c>
      <c r="I1886" t="s">
        <v>58</v>
      </c>
      <c r="J1886" s="11">
        <v>588.04562952784067</v>
      </c>
      <c r="K1886" t="str">
        <f t="shared" si="58"/>
        <v>Jim Hexter</v>
      </c>
    </row>
    <row r="1887" spans="1:11" hidden="1" x14ac:dyDescent="0.35">
      <c r="A1887">
        <f t="shared" si="59"/>
        <v>1886</v>
      </c>
      <c r="B1887">
        <v>2011</v>
      </c>
      <c r="C1887" t="s">
        <v>8</v>
      </c>
      <c r="D1887" t="s">
        <v>348</v>
      </c>
      <c r="E1887" t="s">
        <v>1432</v>
      </c>
      <c r="F1887" s="2">
        <v>555</v>
      </c>
      <c r="G1887" s="2">
        <v>3</v>
      </c>
      <c r="H1887" t="s">
        <v>141</v>
      </c>
      <c r="I1887" t="s">
        <v>142</v>
      </c>
      <c r="J1887" s="11">
        <v>588.04562952784067</v>
      </c>
      <c r="K1887" t="str">
        <f t="shared" si="58"/>
        <v>Matt Ivester</v>
      </c>
    </row>
    <row r="1888" spans="1:11" hidden="1" x14ac:dyDescent="0.35">
      <c r="A1888">
        <f t="shared" si="59"/>
        <v>1887</v>
      </c>
      <c r="B1888">
        <v>2011</v>
      </c>
      <c r="C1888" t="s">
        <v>8</v>
      </c>
      <c r="D1888" t="s">
        <v>348</v>
      </c>
      <c r="E1888" t="s">
        <v>1432</v>
      </c>
      <c r="F1888" s="2">
        <v>476</v>
      </c>
      <c r="G1888" s="2">
        <v>4</v>
      </c>
      <c r="H1888" t="s">
        <v>251</v>
      </c>
      <c r="I1888" t="s">
        <v>252</v>
      </c>
      <c r="J1888" s="11">
        <v>525.57626122369072</v>
      </c>
      <c r="K1888" t="str">
        <f t="shared" si="58"/>
        <v>Linda Lewis</v>
      </c>
    </row>
    <row r="1889" spans="1:11" hidden="1" x14ac:dyDescent="0.35">
      <c r="A1889">
        <f t="shared" si="59"/>
        <v>1888</v>
      </c>
      <c r="B1889">
        <v>2011</v>
      </c>
      <c r="C1889" t="s">
        <v>8</v>
      </c>
      <c r="D1889" t="s">
        <v>348</v>
      </c>
      <c r="E1889" t="s">
        <v>1432</v>
      </c>
      <c r="F1889" s="2">
        <v>476</v>
      </c>
      <c r="G1889" s="2">
        <v>4</v>
      </c>
      <c r="H1889" t="s">
        <v>442</v>
      </c>
      <c r="I1889" t="s">
        <v>429</v>
      </c>
      <c r="J1889" s="11">
        <v>525.57626122369072</v>
      </c>
      <c r="K1889" t="str">
        <f t="shared" si="58"/>
        <v>Mary Massey</v>
      </c>
    </row>
    <row r="1890" spans="1:11" hidden="1" x14ac:dyDescent="0.35">
      <c r="A1890">
        <f t="shared" si="59"/>
        <v>1889</v>
      </c>
      <c r="B1890">
        <v>2011</v>
      </c>
      <c r="C1890" t="s">
        <v>8</v>
      </c>
      <c r="D1890" t="s">
        <v>348</v>
      </c>
      <c r="E1890" t="s">
        <v>1432</v>
      </c>
      <c r="F1890" s="2">
        <v>397</v>
      </c>
      <c r="G1890" s="2">
        <v>5</v>
      </c>
      <c r="H1890" t="s">
        <v>360</v>
      </c>
      <c r="I1890" t="s">
        <v>361</v>
      </c>
      <c r="J1890" s="11">
        <v>477.12125471966243</v>
      </c>
      <c r="K1890" t="str">
        <f t="shared" si="58"/>
        <v>Jon Maren</v>
      </c>
    </row>
    <row r="1891" spans="1:11" hidden="1" x14ac:dyDescent="0.35">
      <c r="A1891">
        <f t="shared" si="59"/>
        <v>1890</v>
      </c>
      <c r="B1891">
        <v>2011</v>
      </c>
      <c r="C1891" t="s">
        <v>8</v>
      </c>
      <c r="D1891" t="s">
        <v>348</v>
      </c>
      <c r="E1891" t="s">
        <v>1432</v>
      </c>
      <c r="F1891" s="2">
        <v>397</v>
      </c>
      <c r="G1891" s="2">
        <v>5</v>
      </c>
      <c r="H1891" t="s">
        <v>358</v>
      </c>
      <c r="I1891" t="s">
        <v>359</v>
      </c>
      <c r="J1891" s="11">
        <v>477.12125471966243</v>
      </c>
      <c r="K1891" t="str">
        <f t="shared" si="58"/>
        <v>Chip Rosenberg</v>
      </c>
    </row>
    <row r="1892" spans="1:11" hidden="1" x14ac:dyDescent="0.35">
      <c r="A1892">
        <f t="shared" si="59"/>
        <v>1891</v>
      </c>
      <c r="B1892">
        <v>2011</v>
      </c>
      <c r="C1892" t="s">
        <v>8</v>
      </c>
      <c r="D1892" t="s">
        <v>348</v>
      </c>
      <c r="E1892" t="s">
        <v>1432</v>
      </c>
      <c r="F1892" s="2">
        <v>317</v>
      </c>
      <c r="G1892" s="2">
        <v>6</v>
      </c>
      <c r="H1892" t="s">
        <v>128</v>
      </c>
      <c r="I1892" t="s">
        <v>443</v>
      </c>
      <c r="J1892" s="11">
        <v>437.53063169585005</v>
      </c>
      <c r="K1892" t="str">
        <f t="shared" si="58"/>
        <v>Ming Lee</v>
      </c>
    </row>
    <row r="1893" spans="1:11" hidden="1" x14ac:dyDescent="0.35">
      <c r="A1893">
        <f t="shared" si="59"/>
        <v>1892</v>
      </c>
      <c r="B1893">
        <v>2011</v>
      </c>
      <c r="C1893" t="s">
        <v>8</v>
      </c>
      <c r="D1893" t="s">
        <v>348</v>
      </c>
      <c r="E1893" t="s">
        <v>1432</v>
      </c>
      <c r="F1893" s="2">
        <v>317</v>
      </c>
      <c r="G1893" s="2">
        <v>6</v>
      </c>
      <c r="H1893" t="s">
        <v>445</v>
      </c>
      <c r="I1893" t="s">
        <v>446</v>
      </c>
      <c r="J1893" s="11">
        <v>437.53063169585005</v>
      </c>
      <c r="K1893" t="str">
        <f t="shared" si="58"/>
        <v>Edson Pap</v>
      </c>
    </row>
    <row r="1894" spans="1:11" hidden="1" x14ac:dyDescent="0.35">
      <c r="A1894">
        <f t="shared" si="59"/>
        <v>1893</v>
      </c>
      <c r="B1894">
        <v>2011</v>
      </c>
      <c r="C1894" t="s">
        <v>8</v>
      </c>
      <c r="D1894" t="s">
        <v>348</v>
      </c>
      <c r="E1894" t="s">
        <v>1432</v>
      </c>
      <c r="F1894" s="2">
        <v>100</v>
      </c>
      <c r="G1894" s="2">
        <v>7</v>
      </c>
      <c r="H1894" t="s">
        <v>449</v>
      </c>
      <c r="I1894" t="s">
        <v>450</v>
      </c>
      <c r="J1894" s="11">
        <v>404.05723688054348</v>
      </c>
      <c r="K1894" t="str">
        <f t="shared" si="58"/>
        <v>Leo Cusson</v>
      </c>
    </row>
    <row r="1895" spans="1:11" hidden="1" x14ac:dyDescent="0.35">
      <c r="A1895">
        <f t="shared" si="59"/>
        <v>1894</v>
      </c>
      <c r="B1895">
        <v>2011</v>
      </c>
      <c r="C1895" t="s">
        <v>8</v>
      </c>
      <c r="D1895" t="s">
        <v>348</v>
      </c>
      <c r="E1895" t="s">
        <v>1432</v>
      </c>
      <c r="F1895" s="2">
        <v>100</v>
      </c>
      <c r="G1895" s="2">
        <v>7</v>
      </c>
      <c r="H1895" t="s">
        <v>448</v>
      </c>
      <c r="I1895" t="s">
        <v>421</v>
      </c>
      <c r="J1895" s="11">
        <v>404.05723688054348</v>
      </c>
      <c r="K1895" t="str">
        <f t="shared" si="58"/>
        <v>Bill Keenan</v>
      </c>
    </row>
    <row r="1896" spans="1:11" hidden="1" x14ac:dyDescent="0.35">
      <c r="A1896">
        <f t="shared" si="59"/>
        <v>1895</v>
      </c>
      <c r="B1896">
        <v>2011</v>
      </c>
      <c r="C1896" t="s">
        <v>8</v>
      </c>
      <c r="D1896" t="s">
        <v>348</v>
      </c>
      <c r="E1896" t="s">
        <v>1432</v>
      </c>
      <c r="F1896" s="2">
        <v>100</v>
      </c>
      <c r="G1896" s="2">
        <v>8</v>
      </c>
      <c r="H1896" t="s">
        <v>114</v>
      </c>
      <c r="I1896" t="s">
        <v>187</v>
      </c>
      <c r="J1896" s="11">
        <v>375.06126339170009</v>
      </c>
      <c r="K1896" t="str">
        <f t="shared" si="58"/>
        <v>Joe Morrissette</v>
      </c>
    </row>
    <row r="1897" spans="1:11" hidden="1" x14ac:dyDescent="0.35">
      <c r="A1897">
        <f t="shared" si="59"/>
        <v>1896</v>
      </c>
      <c r="B1897">
        <v>2011</v>
      </c>
      <c r="C1897" t="s">
        <v>8</v>
      </c>
      <c r="D1897" t="s">
        <v>348</v>
      </c>
      <c r="E1897" t="s">
        <v>1432</v>
      </c>
      <c r="F1897" s="2">
        <v>100</v>
      </c>
      <c r="G1897" s="2">
        <v>8</v>
      </c>
      <c r="H1897" t="s">
        <v>27</v>
      </c>
      <c r="I1897" t="s">
        <v>28</v>
      </c>
      <c r="J1897" s="11">
        <v>375.06126339170009</v>
      </c>
      <c r="K1897" t="str">
        <f t="shared" si="58"/>
        <v>Chris Richards</v>
      </c>
    </row>
    <row r="1898" spans="1:11" hidden="1" x14ac:dyDescent="0.35">
      <c r="A1898">
        <f t="shared" si="59"/>
        <v>1897</v>
      </c>
      <c r="B1898">
        <v>2011</v>
      </c>
      <c r="C1898" t="s">
        <v>8</v>
      </c>
      <c r="D1898" t="s">
        <v>348</v>
      </c>
      <c r="E1898" t="s">
        <v>1432</v>
      </c>
      <c r="F1898" s="2">
        <v>100</v>
      </c>
      <c r="G1898" s="2">
        <v>9</v>
      </c>
      <c r="H1898" t="s">
        <v>158</v>
      </c>
      <c r="I1898" t="s">
        <v>451</v>
      </c>
      <c r="J1898" s="11">
        <v>349.48500216800943</v>
      </c>
      <c r="K1898" t="str">
        <f t="shared" si="58"/>
        <v>Connie Hackett</v>
      </c>
    </row>
    <row r="1899" spans="1:11" hidden="1" x14ac:dyDescent="0.35">
      <c r="A1899">
        <f t="shared" si="59"/>
        <v>1898</v>
      </c>
      <c r="B1899">
        <v>2011</v>
      </c>
      <c r="C1899" t="s">
        <v>8</v>
      </c>
      <c r="D1899" t="s">
        <v>348</v>
      </c>
      <c r="E1899" t="s">
        <v>1432</v>
      </c>
      <c r="F1899" s="2">
        <v>100</v>
      </c>
      <c r="G1899" s="2">
        <v>9</v>
      </c>
      <c r="H1899" t="s">
        <v>151</v>
      </c>
      <c r="I1899" t="s">
        <v>16</v>
      </c>
      <c r="J1899" s="11">
        <v>349.48500216800943</v>
      </c>
      <c r="K1899" t="str">
        <f t="shared" si="58"/>
        <v>David Kent</v>
      </c>
    </row>
    <row r="1900" spans="1:11" hidden="1" x14ac:dyDescent="0.35">
      <c r="A1900">
        <f t="shared" si="59"/>
        <v>1899</v>
      </c>
      <c r="B1900">
        <v>2011</v>
      </c>
      <c r="C1900" t="s">
        <v>8</v>
      </c>
      <c r="D1900" t="s">
        <v>348</v>
      </c>
      <c r="E1900" t="s">
        <v>1432</v>
      </c>
      <c r="F1900" s="2">
        <v>100</v>
      </c>
      <c r="G1900" s="2">
        <v>10</v>
      </c>
      <c r="H1900" t="s">
        <v>39</v>
      </c>
      <c r="I1900" t="s">
        <v>40</v>
      </c>
      <c r="J1900" s="11">
        <v>326.60625688767186</v>
      </c>
      <c r="K1900" t="str">
        <f t="shared" si="58"/>
        <v>Katie Baxter</v>
      </c>
    </row>
    <row r="1901" spans="1:11" hidden="1" x14ac:dyDescent="0.35">
      <c r="A1901">
        <f t="shared" si="59"/>
        <v>1900</v>
      </c>
      <c r="B1901">
        <v>2011</v>
      </c>
      <c r="C1901" t="s">
        <v>8</v>
      </c>
      <c r="D1901" t="s">
        <v>348</v>
      </c>
      <c r="E1901" t="s">
        <v>1432</v>
      </c>
      <c r="F1901" s="2">
        <v>100</v>
      </c>
      <c r="G1901" s="2">
        <v>10</v>
      </c>
      <c r="H1901" t="s">
        <v>452</v>
      </c>
      <c r="I1901" t="s">
        <v>334</v>
      </c>
      <c r="J1901" s="11">
        <v>326.60625688767186</v>
      </c>
      <c r="K1901" t="str">
        <f t="shared" si="58"/>
        <v>Todd Bergmann</v>
      </c>
    </row>
    <row r="1902" spans="1:11" hidden="1" x14ac:dyDescent="0.35">
      <c r="A1902">
        <f t="shared" si="59"/>
        <v>1901</v>
      </c>
      <c r="B1902">
        <v>2011</v>
      </c>
      <c r="C1902" t="s">
        <v>8</v>
      </c>
      <c r="D1902" t="s">
        <v>468</v>
      </c>
      <c r="E1902" t="s">
        <v>133</v>
      </c>
      <c r="F1902" s="2">
        <v>1004</v>
      </c>
      <c r="G1902" s="1">
        <v>1</v>
      </c>
      <c r="H1902" t="s">
        <v>39</v>
      </c>
      <c r="I1902" t="s">
        <v>40</v>
      </c>
      <c r="J1902" s="11">
        <v>1505.149978319906</v>
      </c>
      <c r="K1902" t="str">
        <f t="shared" si="58"/>
        <v>Katie Baxter</v>
      </c>
    </row>
    <row r="1903" spans="1:11" hidden="1" x14ac:dyDescent="0.35">
      <c r="A1903">
        <f t="shared" si="59"/>
        <v>1902</v>
      </c>
      <c r="B1903">
        <v>2011</v>
      </c>
      <c r="C1903" t="s">
        <v>8</v>
      </c>
      <c r="D1903" t="s">
        <v>468</v>
      </c>
      <c r="E1903" t="s">
        <v>133</v>
      </c>
      <c r="F1903" s="2">
        <v>600</v>
      </c>
      <c r="G1903" s="1">
        <v>2</v>
      </c>
      <c r="H1903" t="s">
        <v>202</v>
      </c>
      <c r="I1903" t="s">
        <v>205</v>
      </c>
      <c r="J1903" s="11">
        <v>1204.1199826559248</v>
      </c>
      <c r="K1903" t="str">
        <f t="shared" si="58"/>
        <v>Ron Lyons</v>
      </c>
    </row>
    <row r="1904" spans="1:11" hidden="1" x14ac:dyDescent="0.35">
      <c r="A1904">
        <f t="shared" si="59"/>
        <v>1903</v>
      </c>
      <c r="B1904">
        <v>2011</v>
      </c>
      <c r="C1904" t="s">
        <v>8</v>
      </c>
      <c r="D1904" t="s">
        <v>468</v>
      </c>
      <c r="E1904" t="s">
        <v>133</v>
      </c>
      <c r="F1904" s="2">
        <v>415</v>
      </c>
      <c r="G1904" s="1">
        <v>3</v>
      </c>
      <c r="H1904" t="s">
        <v>29</v>
      </c>
      <c r="I1904" t="s">
        <v>30</v>
      </c>
      <c r="J1904" s="11">
        <v>1028.0287236002437</v>
      </c>
      <c r="K1904" t="str">
        <f t="shared" si="58"/>
        <v>Tedford Armistead</v>
      </c>
    </row>
    <row r="1905" spans="1:11" hidden="1" x14ac:dyDescent="0.35">
      <c r="A1905">
        <f t="shared" si="59"/>
        <v>1904</v>
      </c>
      <c r="B1905">
        <v>2011</v>
      </c>
      <c r="C1905" t="s">
        <v>8</v>
      </c>
      <c r="D1905" t="s">
        <v>468</v>
      </c>
      <c r="E1905" t="s">
        <v>133</v>
      </c>
      <c r="F1905" s="2">
        <v>345</v>
      </c>
      <c r="G1905" s="1">
        <v>4</v>
      </c>
      <c r="H1905" t="s">
        <v>470</v>
      </c>
      <c r="I1905" t="s">
        <v>471</v>
      </c>
      <c r="J1905" s="11">
        <v>903.08998699194365</v>
      </c>
      <c r="K1905" t="str">
        <f t="shared" si="58"/>
        <v>Greg Josephson</v>
      </c>
    </row>
    <row r="1906" spans="1:11" hidden="1" x14ac:dyDescent="0.35">
      <c r="A1906">
        <f t="shared" si="59"/>
        <v>1905</v>
      </c>
      <c r="B1906">
        <v>2011</v>
      </c>
      <c r="C1906" t="s">
        <v>8</v>
      </c>
      <c r="D1906" t="s">
        <v>468</v>
      </c>
      <c r="E1906" t="s">
        <v>133</v>
      </c>
      <c r="F1906" s="2">
        <v>280</v>
      </c>
      <c r="G1906" s="1">
        <v>5</v>
      </c>
      <c r="H1906" t="s">
        <v>161</v>
      </c>
      <c r="I1906" t="s">
        <v>162</v>
      </c>
      <c r="J1906" s="11">
        <v>806.17997398388718</v>
      </c>
      <c r="K1906" t="str">
        <f t="shared" si="58"/>
        <v>Tracy Becker</v>
      </c>
    </row>
    <row r="1907" spans="1:11" hidden="1" x14ac:dyDescent="0.35">
      <c r="A1907">
        <f t="shared" si="59"/>
        <v>1906</v>
      </c>
      <c r="B1907">
        <v>2011</v>
      </c>
      <c r="C1907" t="s">
        <v>8</v>
      </c>
      <c r="D1907" t="s">
        <v>468</v>
      </c>
      <c r="E1907" t="s">
        <v>133</v>
      </c>
      <c r="F1907" s="2">
        <v>220</v>
      </c>
      <c r="G1907" s="1">
        <v>6</v>
      </c>
      <c r="H1907" t="s">
        <v>141</v>
      </c>
      <c r="I1907" t="s">
        <v>142</v>
      </c>
      <c r="J1907" s="11">
        <v>726.99872793626241</v>
      </c>
      <c r="K1907" t="str">
        <f t="shared" si="58"/>
        <v>Matt Ivester</v>
      </c>
    </row>
    <row r="1908" spans="1:11" hidden="1" x14ac:dyDescent="0.35">
      <c r="A1908">
        <f t="shared" si="59"/>
        <v>1907</v>
      </c>
      <c r="B1908">
        <v>2011</v>
      </c>
      <c r="C1908" t="s">
        <v>8</v>
      </c>
      <c r="D1908" t="s">
        <v>468</v>
      </c>
      <c r="E1908" t="s">
        <v>133</v>
      </c>
      <c r="F1908" s="2">
        <v>120</v>
      </c>
      <c r="G1908" s="1">
        <v>7</v>
      </c>
      <c r="H1908" t="s">
        <v>472</v>
      </c>
      <c r="I1908" t="s">
        <v>473</v>
      </c>
      <c r="J1908" s="11">
        <v>660.05193830564929</v>
      </c>
      <c r="K1908" t="str">
        <f t="shared" si="58"/>
        <v>Noah Daiell</v>
      </c>
    </row>
    <row r="1909" spans="1:11" hidden="1" x14ac:dyDescent="0.35">
      <c r="A1909">
        <f t="shared" si="59"/>
        <v>1908</v>
      </c>
      <c r="B1909">
        <v>2011</v>
      </c>
      <c r="C1909" t="s">
        <v>8</v>
      </c>
      <c r="D1909" t="s">
        <v>468</v>
      </c>
      <c r="E1909" t="s">
        <v>133</v>
      </c>
      <c r="F1909" s="2">
        <v>120</v>
      </c>
      <c r="G1909" s="1">
        <v>8</v>
      </c>
      <c r="H1909" t="s">
        <v>475</v>
      </c>
      <c r="I1909" t="s">
        <v>887</v>
      </c>
      <c r="J1909" s="11">
        <v>602.05999132796251</v>
      </c>
      <c r="K1909" t="str">
        <f t="shared" si="58"/>
        <v>Chic Natkins</v>
      </c>
    </row>
    <row r="1910" spans="1:11" hidden="1" x14ac:dyDescent="0.35">
      <c r="A1910">
        <f t="shared" si="59"/>
        <v>1909</v>
      </c>
      <c r="B1910">
        <v>2012</v>
      </c>
      <c r="C1910" t="s">
        <v>109</v>
      </c>
      <c r="D1910" t="s">
        <v>45</v>
      </c>
      <c r="E1910" t="s">
        <v>1429</v>
      </c>
      <c r="F1910" s="2">
        <v>0</v>
      </c>
      <c r="G1910" s="2">
        <v>1</v>
      </c>
      <c r="H1910" t="s">
        <v>409</v>
      </c>
      <c r="I1910" t="s">
        <v>408</v>
      </c>
      <c r="J1910" s="11">
        <v>2149.2191126553798</v>
      </c>
      <c r="K1910" t="str">
        <f t="shared" si="58"/>
        <v>Ike Porter</v>
      </c>
    </row>
    <row r="1911" spans="1:11" hidden="1" x14ac:dyDescent="0.35">
      <c r="A1911">
        <f t="shared" si="59"/>
        <v>1910</v>
      </c>
      <c r="B1911">
        <v>2012</v>
      </c>
      <c r="C1911" t="s">
        <v>109</v>
      </c>
      <c r="D1911" t="s">
        <v>45</v>
      </c>
      <c r="E1911" t="s">
        <v>1429</v>
      </c>
      <c r="F1911" s="2">
        <v>0</v>
      </c>
      <c r="G1911" s="2">
        <v>2</v>
      </c>
      <c r="H1911" t="s">
        <v>411</v>
      </c>
      <c r="I1911" t="s">
        <v>737</v>
      </c>
      <c r="J1911" s="11">
        <v>1848.1891169913984</v>
      </c>
      <c r="K1911" t="str">
        <f t="shared" si="58"/>
        <v>Lawrence Larson</v>
      </c>
    </row>
    <row r="1912" spans="1:11" hidden="1" x14ac:dyDescent="0.35">
      <c r="A1912">
        <f t="shared" si="59"/>
        <v>1911</v>
      </c>
      <c r="B1912">
        <v>2012</v>
      </c>
      <c r="C1912" t="s">
        <v>109</v>
      </c>
      <c r="D1912" t="s">
        <v>45</v>
      </c>
      <c r="E1912" t="s">
        <v>1429</v>
      </c>
      <c r="F1912" s="2">
        <v>0</v>
      </c>
      <c r="G1912" s="2">
        <v>3</v>
      </c>
      <c r="H1912" t="s">
        <v>412</v>
      </c>
      <c r="I1912" t="s">
        <v>77</v>
      </c>
      <c r="J1912" s="11">
        <v>1672.0978579357172</v>
      </c>
      <c r="K1912" t="str">
        <f t="shared" si="58"/>
        <v>Eric Selzer</v>
      </c>
    </row>
    <row r="1913" spans="1:11" hidden="1" x14ac:dyDescent="0.35">
      <c r="A1913">
        <f t="shared" si="59"/>
        <v>1912</v>
      </c>
      <c r="B1913">
        <v>2012</v>
      </c>
      <c r="C1913" t="s">
        <v>109</v>
      </c>
      <c r="D1913" t="s">
        <v>45</v>
      </c>
      <c r="E1913" t="s">
        <v>1429</v>
      </c>
      <c r="F1913" s="2">
        <v>0</v>
      </c>
      <c r="G1913" s="2">
        <v>4</v>
      </c>
      <c r="H1913" t="s">
        <v>414</v>
      </c>
      <c r="I1913" t="s">
        <v>413</v>
      </c>
      <c r="J1913" s="11">
        <v>1547.1591213274171</v>
      </c>
      <c r="K1913" t="str">
        <f t="shared" si="58"/>
        <v>Bruce Kramer</v>
      </c>
    </row>
    <row r="1914" spans="1:11" hidden="1" x14ac:dyDescent="0.35">
      <c r="A1914">
        <f t="shared" si="59"/>
        <v>1913</v>
      </c>
      <c r="B1914">
        <v>2012</v>
      </c>
      <c r="C1914" t="s">
        <v>109</v>
      </c>
      <c r="D1914" t="s">
        <v>45</v>
      </c>
      <c r="E1914" t="s">
        <v>1429</v>
      </c>
      <c r="F1914" s="2">
        <v>0</v>
      </c>
      <c r="G1914" s="2">
        <v>5</v>
      </c>
      <c r="H1914" t="s">
        <v>111</v>
      </c>
      <c r="I1914" t="s">
        <v>16</v>
      </c>
      <c r="J1914" s="11">
        <v>1450.2491083193609</v>
      </c>
      <c r="K1914" t="str">
        <f t="shared" si="58"/>
        <v>David Fruchter</v>
      </c>
    </row>
    <row r="1915" spans="1:11" hidden="1" x14ac:dyDescent="0.35">
      <c r="A1915">
        <f t="shared" si="59"/>
        <v>1914</v>
      </c>
      <c r="B1915">
        <v>2012</v>
      </c>
      <c r="C1915" t="s">
        <v>109</v>
      </c>
      <c r="D1915" t="s">
        <v>45</v>
      </c>
      <c r="E1915" t="s">
        <v>1429</v>
      </c>
      <c r="F1915" s="2">
        <v>0</v>
      </c>
      <c r="G1915" s="2">
        <v>6</v>
      </c>
      <c r="H1915" t="s">
        <v>183</v>
      </c>
      <c r="I1915" t="s">
        <v>101</v>
      </c>
      <c r="J1915" s="11">
        <v>1371.067862271736</v>
      </c>
      <c r="K1915" t="str">
        <f t="shared" si="58"/>
        <v>Dean White</v>
      </c>
    </row>
    <row r="1916" spans="1:11" hidden="1" x14ac:dyDescent="0.35">
      <c r="A1916">
        <f t="shared" si="59"/>
        <v>1915</v>
      </c>
      <c r="B1916">
        <v>2012</v>
      </c>
      <c r="C1916" t="s">
        <v>109</v>
      </c>
      <c r="D1916" t="s">
        <v>45</v>
      </c>
      <c r="E1916" t="s">
        <v>1429</v>
      </c>
      <c r="F1916" s="2">
        <v>0</v>
      </c>
      <c r="G1916" s="2">
        <v>7</v>
      </c>
      <c r="H1916" t="s">
        <v>118</v>
      </c>
      <c r="I1916" t="s">
        <v>415</v>
      </c>
      <c r="J1916" s="11">
        <v>1304.1210726411227</v>
      </c>
      <c r="K1916" t="str">
        <f t="shared" si="58"/>
        <v>Pete Segal</v>
      </c>
    </row>
    <row r="1917" spans="1:11" hidden="1" x14ac:dyDescent="0.35">
      <c r="A1917">
        <f t="shared" si="59"/>
        <v>1916</v>
      </c>
      <c r="B1917">
        <v>2012</v>
      </c>
      <c r="C1917" t="s">
        <v>109</v>
      </c>
      <c r="D1917" t="s">
        <v>45</v>
      </c>
      <c r="E1917" t="s">
        <v>1429</v>
      </c>
      <c r="F1917" s="2">
        <v>0</v>
      </c>
      <c r="G1917" s="2">
        <v>8</v>
      </c>
      <c r="H1917" t="s">
        <v>237</v>
      </c>
      <c r="I1917" t="s">
        <v>13</v>
      </c>
      <c r="J1917" s="11">
        <v>1246.1291256634361</v>
      </c>
      <c r="K1917" t="str">
        <f t="shared" si="58"/>
        <v>Tom Goodwin</v>
      </c>
    </row>
    <row r="1918" spans="1:11" hidden="1" x14ac:dyDescent="0.35">
      <c r="A1918">
        <f t="shared" si="59"/>
        <v>1917</v>
      </c>
      <c r="B1918">
        <v>2012</v>
      </c>
      <c r="C1918" t="s">
        <v>109</v>
      </c>
      <c r="D1918" t="s">
        <v>45</v>
      </c>
      <c r="E1918" t="s">
        <v>1429</v>
      </c>
      <c r="F1918" s="2">
        <v>0</v>
      </c>
      <c r="G1918" s="2">
        <v>9</v>
      </c>
      <c r="H1918" t="s">
        <v>248</v>
      </c>
      <c r="I1918" t="s">
        <v>249</v>
      </c>
      <c r="J1918" s="11">
        <v>1194.9766032160549</v>
      </c>
      <c r="K1918" t="str">
        <f t="shared" si="58"/>
        <v>Ross Poppel</v>
      </c>
    </row>
    <row r="1919" spans="1:11" hidden="1" x14ac:dyDescent="0.35">
      <c r="A1919">
        <f t="shared" si="59"/>
        <v>1918</v>
      </c>
      <c r="B1919">
        <v>2012</v>
      </c>
      <c r="C1919" t="s">
        <v>109</v>
      </c>
      <c r="D1919" t="s">
        <v>45</v>
      </c>
      <c r="E1919" t="s">
        <v>1429</v>
      </c>
      <c r="F1919" s="2">
        <v>0</v>
      </c>
      <c r="G1919" s="2">
        <v>10</v>
      </c>
      <c r="H1919" t="s">
        <v>74</v>
      </c>
      <c r="I1919" t="s">
        <v>153</v>
      </c>
      <c r="J1919" s="11">
        <v>1149.2191126553796</v>
      </c>
      <c r="K1919" t="str">
        <f t="shared" si="58"/>
        <v>Stephen Landrum</v>
      </c>
    </row>
    <row r="1920" spans="1:11" hidden="1" x14ac:dyDescent="0.35">
      <c r="A1920">
        <f t="shared" si="59"/>
        <v>1919</v>
      </c>
      <c r="B1920">
        <v>2012</v>
      </c>
      <c r="C1920" t="s">
        <v>109</v>
      </c>
      <c r="D1920" t="s">
        <v>45</v>
      </c>
      <c r="E1920" t="s">
        <v>1429</v>
      </c>
      <c r="F1920" s="2">
        <v>0</v>
      </c>
      <c r="G1920" s="2">
        <v>11</v>
      </c>
      <c r="H1920" t="s">
        <v>174</v>
      </c>
      <c r="I1920" t="s">
        <v>175</v>
      </c>
      <c r="J1920" s="11">
        <v>1107.8264274971546</v>
      </c>
      <c r="K1920" t="str">
        <f t="shared" si="58"/>
        <v>Claude Carlson</v>
      </c>
    </row>
    <row r="1921" spans="1:11" hidden="1" x14ac:dyDescent="0.35">
      <c r="A1921">
        <f t="shared" si="59"/>
        <v>1920</v>
      </c>
      <c r="B1921">
        <v>2012</v>
      </c>
      <c r="C1921" t="s">
        <v>109</v>
      </c>
      <c r="D1921" t="s">
        <v>45</v>
      </c>
      <c r="E1921" t="s">
        <v>1429</v>
      </c>
      <c r="F1921" s="2">
        <v>0</v>
      </c>
      <c r="G1921" s="2">
        <v>12</v>
      </c>
      <c r="H1921" t="s">
        <v>251</v>
      </c>
      <c r="I1921" t="s">
        <v>252</v>
      </c>
      <c r="J1921" s="11">
        <v>1070.0378666077547</v>
      </c>
      <c r="K1921" t="str">
        <f t="shared" si="58"/>
        <v>Linda Lewis</v>
      </c>
    </row>
    <row r="1922" spans="1:11" hidden="1" x14ac:dyDescent="0.35">
      <c r="A1922">
        <f t="shared" si="59"/>
        <v>1921</v>
      </c>
      <c r="B1922">
        <v>2012</v>
      </c>
      <c r="C1922" t="s">
        <v>109</v>
      </c>
      <c r="D1922" t="s">
        <v>45</v>
      </c>
      <c r="E1922" t="s">
        <v>1429</v>
      </c>
      <c r="F1922" s="2">
        <v>0</v>
      </c>
      <c r="G1922" s="2">
        <v>13</v>
      </c>
      <c r="H1922" t="s">
        <v>417</v>
      </c>
      <c r="I1922" t="s">
        <v>416</v>
      </c>
      <c r="J1922" s="11">
        <v>1035.2757603485429</v>
      </c>
      <c r="K1922" t="str">
        <f t="shared" ref="K1922:K1985" si="60">I1922&amp;" "&amp;H1922</f>
        <v>Jody Dunne</v>
      </c>
    </row>
    <row r="1923" spans="1:11" hidden="1" x14ac:dyDescent="0.35">
      <c r="A1923">
        <f t="shared" si="59"/>
        <v>1922</v>
      </c>
      <c r="B1923">
        <v>2012</v>
      </c>
      <c r="C1923" t="s">
        <v>109</v>
      </c>
      <c r="D1923" t="s">
        <v>45</v>
      </c>
      <c r="E1923" t="s">
        <v>1429</v>
      </c>
      <c r="F1923" s="2">
        <v>0</v>
      </c>
      <c r="G1923" s="2">
        <v>14</v>
      </c>
      <c r="H1923" t="s">
        <v>2330</v>
      </c>
      <c r="I1923" t="s">
        <v>109</v>
      </c>
      <c r="J1923" s="11">
        <v>1003.0910769771417</v>
      </c>
      <c r="K1923" t="str">
        <f t="shared" si="60"/>
        <v>ATLARGE NLHE 14th</v>
      </c>
    </row>
    <row r="1924" spans="1:11" hidden="1" x14ac:dyDescent="0.35">
      <c r="A1924">
        <f t="shared" ref="A1924:A1987" si="61">A1923+1</f>
        <v>1923</v>
      </c>
      <c r="B1924">
        <v>2012</v>
      </c>
      <c r="C1924" t="s">
        <v>109</v>
      </c>
      <c r="D1924" t="s">
        <v>45</v>
      </c>
      <c r="E1924" t="s">
        <v>1429</v>
      </c>
      <c r="F1924" s="2">
        <v>0</v>
      </c>
      <c r="G1924" s="2">
        <v>15</v>
      </c>
      <c r="H1924" t="s">
        <v>2331</v>
      </c>
      <c r="I1924" t="s">
        <v>109</v>
      </c>
      <c r="J1924" s="11">
        <v>973.12785359969837</v>
      </c>
      <c r="K1924" t="str">
        <f t="shared" si="60"/>
        <v>ATLARGE NLHE 15th</v>
      </c>
    </row>
    <row r="1925" spans="1:11" hidden="1" x14ac:dyDescent="0.35">
      <c r="A1925">
        <f t="shared" si="61"/>
        <v>1924</v>
      </c>
      <c r="B1925">
        <v>2012</v>
      </c>
      <c r="C1925" t="s">
        <v>109</v>
      </c>
      <c r="D1925" t="s">
        <v>45</v>
      </c>
      <c r="E1925" t="s">
        <v>1429</v>
      </c>
      <c r="F1925" s="2">
        <v>0</v>
      </c>
      <c r="G1925" s="2">
        <v>16</v>
      </c>
      <c r="H1925" t="s">
        <v>2332</v>
      </c>
      <c r="I1925" t="s">
        <v>109</v>
      </c>
      <c r="J1925" s="11">
        <v>945.09912999945493</v>
      </c>
      <c r="K1925" t="str">
        <f t="shared" si="60"/>
        <v>ATLARGE NLHE 16th</v>
      </c>
    </row>
    <row r="1926" spans="1:11" hidden="1" x14ac:dyDescent="0.35">
      <c r="A1926">
        <f t="shared" si="61"/>
        <v>1925</v>
      </c>
      <c r="B1926">
        <v>2012</v>
      </c>
      <c r="C1926" t="s">
        <v>109</v>
      </c>
      <c r="D1926" t="s">
        <v>45</v>
      </c>
      <c r="E1926" t="s">
        <v>1429</v>
      </c>
      <c r="F1926" s="2">
        <v>0</v>
      </c>
      <c r="G1926" s="2">
        <v>17</v>
      </c>
      <c r="H1926" t="s">
        <v>238</v>
      </c>
      <c r="I1926" t="s">
        <v>16</v>
      </c>
      <c r="J1926" s="11">
        <v>918.77019127710582</v>
      </c>
      <c r="K1926" t="str">
        <f t="shared" si="60"/>
        <v>David Kuznick</v>
      </c>
    </row>
    <row r="1927" spans="1:11" hidden="1" x14ac:dyDescent="0.35">
      <c r="A1927">
        <f t="shared" si="61"/>
        <v>1926</v>
      </c>
      <c r="B1927">
        <v>2012</v>
      </c>
      <c r="C1927" t="s">
        <v>109</v>
      </c>
      <c r="D1927" t="s">
        <v>45</v>
      </c>
      <c r="E1927" t="s">
        <v>1429</v>
      </c>
      <c r="F1927" s="2">
        <v>0</v>
      </c>
      <c r="G1927" s="2">
        <v>18</v>
      </c>
      <c r="H1927" t="s">
        <v>418</v>
      </c>
      <c r="I1927" t="s">
        <v>117</v>
      </c>
      <c r="J1927" s="11">
        <v>893.94660755207371</v>
      </c>
      <c r="K1927" t="str">
        <f t="shared" si="60"/>
        <v>Thomas Valledolmo</v>
      </c>
    </row>
    <row r="1928" spans="1:11" hidden="1" x14ac:dyDescent="0.35">
      <c r="A1928">
        <f t="shared" si="61"/>
        <v>1927</v>
      </c>
      <c r="B1928">
        <v>2012</v>
      </c>
      <c r="C1928" t="s">
        <v>109</v>
      </c>
      <c r="D1928" t="s">
        <v>419</v>
      </c>
      <c r="E1928" t="s">
        <v>1051</v>
      </c>
      <c r="F1928" s="2">
        <v>0</v>
      </c>
      <c r="G1928" s="2">
        <v>1</v>
      </c>
      <c r="H1928" t="s">
        <v>19</v>
      </c>
      <c r="I1928" t="s">
        <v>20</v>
      </c>
      <c r="J1928" s="11">
        <v>1681.2412373755872</v>
      </c>
      <c r="K1928" t="str">
        <f t="shared" si="60"/>
        <v>Barry Kornspan</v>
      </c>
    </row>
    <row r="1929" spans="1:11" hidden="1" x14ac:dyDescent="0.35">
      <c r="A1929">
        <f t="shared" si="61"/>
        <v>1928</v>
      </c>
      <c r="B1929">
        <v>2012</v>
      </c>
      <c r="C1929" t="s">
        <v>109</v>
      </c>
      <c r="D1929" t="s">
        <v>419</v>
      </c>
      <c r="E1929" t="s">
        <v>1051</v>
      </c>
      <c r="F1929" s="2">
        <v>0</v>
      </c>
      <c r="G1929" s="2">
        <v>2</v>
      </c>
      <c r="H1929" t="s">
        <v>33</v>
      </c>
      <c r="I1929" t="s">
        <v>34</v>
      </c>
      <c r="J1929" s="11">
        <v>1380.2112417116059</v>
      </c>
      <c r="K1929" t="str">
        <f t="shared" si="60"/>
        <v>Meredith Holtzman</v>
      </c>
    </row>
    <row r="1930" spans="1:11" hidden="1" x14ac:dyDescent="0.35">
      <c r="A1930">
        <f t="shared" si="61"/>
        <v>1929</v>
      </c>
      <c r="B1930">
        <v>2012</v>
      </c>
      <c r="C1930" t="s">
        <v>109</v>
      </c>
      <c r="D1930" t="s">
        <v>419</v>
      </c>
      <c r="E1930" t="s">
        <v>1051</v>
      </c>
      <c r="F1930" s="2">
        <v>0</v>
      </c>
      <c r="G1930" s="2">
        <v>3</v>
      </c>
      <c r="H1930" t="s">
        <v>420</v>
      </c>
      <c r="I1930" t="s">
        <v>153</v>
      </c>
      <c r="J1930" s="11">
        <v>1204.1199826559248</v>
      </c>
      <c r="K1930" t="str">
        <f t="shared" si="60"/>
        <v>Stephen Jacobs</v>
      </c>
    </row>
    <row r="1931" spans="1:11" hidden="1" x14ac:dyDescent="0.35">
      <c r="A1931">
        <f t="shared" si="61"/>
        <v>1930</v>
      </c>
      <c r="B1931">
        <v>2012</v>
      </c>
      <c r="C1931" t="s">
        <v>109</v>
      </c>
      <c r="D1931" t="s">
        <v>419</v>
      </c>
      <c r="E1931" t="s">
        <v>1051</v>
      </c>
      <c r="F1931" s="2">
        <v>0</v>
      </c>
      <c r="G1931" s="2">
        <v>4</v>
      </c>
      <c r="H1931" t="s">
        <v>2333</v>
      </c>
      <c r="I1931" t="s">
        <v>109</v>
      </c>
      <c r="J1931" s="11">
        <v>1079.1812460476247</v>
      </c>
      <c r="K1931" t="str">
        <f t="shared" si="60"/>
        <v>ATLARGE Razz/Lowball 5th</v>
      </c>
    </row>
    <row r="1932" spans="1:11" hidden="1" x14ac:dyDescent="0.35">
      <c r="A1932">
        <f t="shared" si="61"/>
        <v>1931</v>
      </c>
      <c r="B1932">
        <v>2012</v>
      </c>
      <c r="C1932" t="s">
        <v>109</v>
      </c>
      <c r="D1932" t="s">
        <v>419</v>
      </c>
      <c r="E1932" t="s">
        <v>1051</v>
      </c>
      <c r="F1932" s="2">
        <v>0</v>
      </c>
      <c r="G1932" s="2">
        <v>5</v>
      </c>
      <c r="H1932" t="s">
        <v>220</v>
      </c>
      <c r="I1932" t="s">
        <v>421</v>
      </c>
      <c r="J1932" s="11">
        <v>982.2712330395683</v>
      </c>
      <c r="K1932" t="str">
        <f t="shared" si="60"/>
        <v>Bill Chen</v>
      </c>
    </row>
    <row r="1933" spans="1:11" hidden="1" x14ac:dyDescent="0.35">
      <c r="A1933">
        <f t="shared" si="61"/>
        <v>1932</v>
      </c>
      <c r="B1933">
        <v>2012</v>
      </c>
      <c r="C1933" t="s">
        <v>109</v>
      </c>
      <c r="D1933" t="s">
        <v>110</v>
      </c>
      <c r="E1933" t="s">
        <v>1430</v>
      </c>
      <c r="F1933" s="2">
        <v>0</v>
      </c>
      <c r="G1933" s="2">
        <v>1</v>
      </c>
      <c r="H1933" t="s">
        <v>251</v>
      </c>
      <c r="I1933" t="s">
        <v>252</v>
      </c>
      <c r="J1933" s="11">
        <v>1857.3324964312685</v>
      </c>
      <c r="K1933" t="str">
        <f t="shared" si="60"/>
        <v>Linda Lewis</v>
      </c>
    </row>
    <row r="1934" spans="1:11" hidden="1" x14ac:dyDescent="0.35">
      <c r="A1934">
        <f t="shared" si="61"/>
        <v>1933</v>
      </c>
      <c r="B1934">
        <v>2012</v>
      </c>
      <c r="C1934" t="s">
        <v>109</v>
      </c>
      <c r="D1934" t="s">
        <v>110</v>
      </c>
      <c r="E1934" t="s">
        <v>1430</v>
      </c>
      <c r="F1934" s="2">
        <v>0</v>
      </c>
      <c r="G1934" s="2">
        <v>2</v>
      </c>
      <c r="H1934" t="s">
        <v>402</v>
      </c>
      <c r="I1934" t="s">
        <v>401</v>
      </c>
      <c r="J1934" s="11">
        <v>1556.3025007672873</v>
      </c>
      <c r="K1934" t="str">
        <f t="shared" si="60"/>
        <v>Patricia Yannuzzi</v>
      </c>
    </row>
    <row r="1935" spans="1:11" hidden="1" x14ac:dyDescent="0.35">
      <c r="A1935">
        <f t="shared" si="61"/>
        <v>1934</v>
      </c>
      <c r="B1935">
        <v>2012</v>
      </c>
      <c r="C1935" t="s">
        <v>109</v>
      </c>
      <c r="D1935" t="s">
        <v>110</v>
      </c>
      <c r="E1935" t="s">
        <v>1430</v>
      </c>
      <c r="F1935" s="2">
        <v>0</v>
      </c>
      <c r="G1935" s="2">
        <v>3</v>
      </c>
      <c r="H1935" t="s">
        <v>281</v>
      </c>
      <c r="I1935" t="s">
        <v>282</v>
      </c>
      <c r="J1935" s="11">
        <v>1380.2112417116061</v>
      </c>
      <c r="K1935" t="str">
        <f t="shared" si="60"/>
        <v>Randy Collack</v>
      </c>
    </row>
    <row r="1936" spans="1:11" hidden="1" x14ac:dyDescent="0.35">
      <c r="A1936">
        <f t="shared" si="61"/>
        <v>1935</v>
      </c>
      <c r="B1936">
        <v>2012</v>
      </c>
      <c r="C1936" t="s">
        <v>109</v>
      </c>
      <c r="D1936" t="s">
        <v>110</v>
      </c>
      <c r="E1936" t="s">
        <v>1430</v>
      </c>
      <c r="F1936" s="2">
        <v>0</v>
      </c>
      <c r="G1936" s="2">
        <v>4</v>
      </c>
      <c r="H1936" t="s">
        <v>2539</v>
      </c>
      <c r="I1936" t="s">
        <v>28</v>
      </c>
      <c r="J1936" s="11">
        <v>1255.272505103306</v>
      </c>
      <c r="K1936" t="str">
        <f t="shared" si="60"/>
        <v>Chris O’Connor</v>
      </c>
    </row>
    <row r="1937" spans="1:11" hidden="1" x14ac:dyDescent="0.35">
      <c r="A1937">
        <f t="shared" si="61"/>
        <v>1936</v>
      </c>
      <c r="B1937">
        <v>2012</v>
      </c>
      <c r="C1937" t="s">
        <v>109</v>
      </c>
      <c r="D1937" t="s">
        <v>110</v>
      </c>
      <c r="E1937" t="s">
        <v>1430</v>
      </c>
      <c r="F1937" s="2">
        <v>0</v>
      </c>
      <c r="G1937" s="2">
        <v>5</v>
      </c>
      <c r="H1937" t="s">
        <v>403</v>
      </c>
      <c r="I1937" t="s">
        <v>98</v>
      </c>
      <c r="J1937" s="11">
        <v>1158.3624920952498</v>
      </c>
      <c r="K1937" t="str">
        <f t="shared" si="60"/>
        <v>Ryan Ohu</v>
      </c>
    </row>
    <row r="1938" spans="1:11" hidden="1" x14ac:dyDescent="0.35">
      <c r="A1938">
        <f t="shared" si="61"/>
        <v>1937</v>
      </c>
      <c r="B1938">
        <v>2012</v>
      </c>
      <c r="C1938" t="s">
        <v>109</v>
      </c>
      <c r="D1938" t="s">
        <v>110</v>
      </c>
      <c r="E1938" t="s">
        <v>1430</v>
      </c>
      <c r="F1938" s="2">
        <v>0</v>
      </c>
      <c r="G1938" s="2">
        <v>6</v>
      </c>
      <c r="H1938" t="s">
        <v>138</v>
      </c>
      <c r="I1938" t="s">
        <v>139</v>
      </c>
      <c r="J1938" s="11">
        <v>1079.1812460476249</v>
      </c>
      <c r="K1938" t="str">
        <f t="shared" si="60"/>
        <v>Mark Wileczek</v>
      </c>
    </row>
    <row r="1939" spans="1:11" hidden="1" x14ac:dyDescent="0.35">
      <c r="A1939">
        <f t="shared" si="61"/>
        <v>1938</v>
      </c>
      <c r="B1939">
        <v>2012</v>
      </c>
      <c r="C1939" t="s">
        <v>109</v>
      </c>
      <c r="D1939" t="s">
        <v>110</v>
      </c>
      <c r="E1939" t="s">
        <v>1430</v>
      </c>
      <c r="F1939" s="2">
        <v>0</v>
      </c>
      <c r="G1939" s="2">
        <v>7</v>
      </c>
      <c r="H1939" t="s">
        <v>405</v>
      </c>
      <c r="I1939" t="s">
        <v>404</v>
      </c>
      <c r="J1939" s="11">
        <v>1012.2344564170116</v>
      </c>
      <c r="K1939" t="str">
        <f t="shared" si="60"/>
        <v>George Wattman</v>
      </c>
    </row>
    <row r="1940" spans="1:11" hidden="1" x14ac:dyDescent="0.35">
      <c r="A1940">
        <f t="shared" si="61"/>
        <v>1939</v>
      </c>
      <c r="B1940">
        <v>2012</v>
      </c>
      <c r="C1940" t="s">
        <v>109</v>
      </c>
      <c r="D1940" t="s">
        <v>110</v>
      </c>
      <c r="E1940" t="s">
        <v>1430</v>
      </c>
      <c r="F1940" s="2">
        <v>0</v>
      </c>
      <c r="G1940" s="2">
        <v>8</v>
      </c>
      <c r="H1940" t="s">
        <v>234</v>
      </c>
      <c r="I1940" t="s">
        <v>235</v>
      </c>
      <c r="J1940" s="11">
        <v>954.24250943932498</v>
      </c>
      <c r="K1940" t="str">
        <f t="shared" si="60"/>
        <v>Cary Flynn</v>
      </c>
    </row>
    <row r="1941" spans="1:11" hidden="1" x14ac:dyDescent="0.35">
      <c r="A1941">
        <f t="shared" si="61"/>
        <v>1940</v>
      </c>
      <c r="B1941">
        <v>2012</v>
      </c>
      <c r="C1941" t="s">
        <v>109</v>
      </c>
      <c r="D1941" t="s">
        <v>110</v>
      </c>
      <c r="E1941" t="s">
        <v>1430</v>
      </c>
      <c r="F1941" s="2">
        <v>0</v>
      </c>
      <c r="G1941" s="2">
        <v>9</v>
      </c>
      <c r="H1941" t="s">
        <v>189</v>
      </c>
      <c r="I1941" t="s">
        <v>190</v>
      </c>
      <c r="J1941" s="11">
        <v>903.08998699194365</v>
      </c>
      <c r="K1941" t="str">
        <f t="shared" si="60"/>
        <v>Gary Starr</v>
      </c>
    </row>
    <row r="1942" spans="1:11" hidden="1" x14ac:dyDescent="0.35">
      <c r="A1942">
        <f t="shared" si="61"/>
        <v>1941</v>
      </c>
      <c r="B1942">
        <v>2012</v>
      </c>
      <c r="C1942" t="s">
        <v>109</v>
      </c>
      <c r="D1942" t="s">
        <v>110</v>
      </c>
      <c r="E1942" t="s">
        <v>1430</v>
      </c>
      <c r="F1942" s="2">
        <v>0</v>
      </c>
      <c r="G1942" s="2">
        <v>10</v>
      </c>
      <c r="H1942" t="s">
        <v>407</v>
      </c>
      <c r="I1942" t="s">
        <v>406</v>
      </c>
      <c r="J1942" s="11">
        <v>857.33249643126851</v>
      </c>
      <c r="K1942" t="str">
        <f t="shared" si="60"/>
        <v>Howard Jackson</v>
      </c>
    </row>
    <row r="1943" spans="1:11" hidden="1" x14ac:dyDescent="0.35">
      <c r="A1943">
        <f t="shared" si="61"/>
        <v>1942</v>
      </c>
      <c r="B1943">
        <v>2012</v>
      </c>
      <c r="C1943" t="s">
        <v>263</v>
      </c>
      <c r="D1943" t="s">
        <v>276</v>
      </c>
      <c r="E1943" t="s">
        <v>1430</v>
      </c>
      <c r="F1943" s="2">
        <v>1670</v>
      </c>
      <c r="G1943" s="2">
        <v>1</v>
      </c>
      <c r="H1943" t="s">
        <v>323</v>
      </c>
      <c r="I1943" t="s">
        <v>324</v>
      </c>
      <c r="J1943" s="11">
        <v>1934.4984512435676</v>
      </c>
      <c r="K1943" t="str">
        <f t="shared" si="60"/>
        <v>Andrew Prock</v>
      </c>
    </row>
    <row r="1944" spans="1:11" hidden="1" x14ac:dyDescent="0.35">
      <c r="A1944">
        <f t="shared" si="61"/>
        <v>1943</v>
      </c>
      <c r="B1944">
        <v>2012</v>
      </c>
      <c r="C1944" t="s">
        <v>263</v>
      </c>
      <c r="D1944" t="s">
        <v>276</v>
      </c>
      <c r="E1944" t="s">
        <v>1430</v>
      </c>
      <c r="F1944" s="2">
        <v>1225</v>
      </c>
      <c r="G1944" s="2">
        <v>2</v>
      </c>
      <c r="H1944" t="s">
        <v>21</v>
      </c>
      <c r="I1944" t="s">
        <v>463</v>
      </c>
      <c r="J1944" s="11">
        <v>1633.4684555795864</v>
      </c>
      <c r="K1944" t="str">
        <f t="shared" si="60"/>
        <v>Richard Bremer</v>
      </c>
    </row>
    <row r="1945" spans="1:11" hidden="1" x14ac:dyDescent="0.35">
      <c r="A1945">
        <f t="shared" si="61"/>
        <v>1944</v>
      </c>
      <c r="B1945">
        <v>2012</v>
      </c>
      <c r="C1945" t="s">
        <v>263</v>
      </c>
      <c r="D1945" t="s">
        <v>276</v>
      </c>
      <c r="E1945" t="s">
        <v>1430</v>
      </c>
      <c r="F1945" s="2">
        <v>970</v>
      </c>
      <c r="G1945" s="2">
        <v>3</v>
      </c>
      <c r="H1945" t="s">
        <v>2334</v>
      </c>
      <c r="I1945" t="s">
        <v>399</v>
      </c>
      <c r="J1945" s="11">
        <v>1457.3771965239052</v>
      </c>
      <c r="K1945" t="str">
        <f t="shared" si="60"/>
        <v>Arthur Reber</v>
      </c>
    </row>
    <row r="1946" spans="1:11" hidden="1" x14ac:dyDescent="0.35">
      <c r="A1946">
        <f t="shared" si="61"/>
        <v>1945</v>
      </c>
      <c r="B1946">
        <v>2012</v>
      </c>
      <c r="C1946" t="s">
        <v>263</v>
      </c>
      <c r="D1946" t="s">
        <v>276</v>
      </c>
      <c r="E1946" t="s">
        <v>1430</v>
      </c>
      <c r="F1946" s="2">
        <v>775</v>
      </c>
      <c r="G1946" s="2">
        <v>4</v>
      </c>
      <c r="H1946" t="s">
        <v>898</v>
      </c>
      <c r="I1946" t="s">
        <v>899</v>
      </c>
      <c r="J1946" s="11">
        <v>1332.4384599156053</v>
      </c>
      <c r="K1946" t="str">
        <f t="shared" si="60"/>
        <v>Harry Baldwin</v>
      </c>
    </row>
    <row r="1947" spans="1:11" hidden="1" x14ac:dyDescent="0.35">
      <c r="A1947">
        <f t="shared" si="61"/>
        <v>1946</v>
      </c>
      <c r="B1947">
        <v>2012</v>
      </c>
      <c r="C1947" t="s">
        <v>263</v>
      </c>
      <c r="D1947" t="s">
        <v>276</v>
      </c>
      <c r="E1947" t="s">
        <v>1430</v>
      </c>
      <c r="F1947" s="2">
        <v>580</v>
      </c>
      <c r="G1947" s="2">
        <v>5</v>
      </c>
      <c r="H1947" t="s">
        <v>35</v>
      </c>
      <c r="I1947" t="s">
        <v>36</v>
      </c>
      <c r="J1947" s="11">
        <v>1235.5284469075486</v>
      </c>
      <c r="K1947" t="str">
        <f t="shared" si="60"/>
        <v>Nolan Dalla</v>
      </c>
    </row>
    <row r="1948" spans="1:11" hidden="1" x14ac:dyDescent="0.35">
      <c r="A1948">
        <f t="shared" si="61"/>
        <v>1947</v>
      </c>
      <c r="B1948">
        <v>2012</v>
      </c>
      <c r="C1948" t="s">
        <v>263</v>
      </c>
      <c r="D1948" t="s">
        <v>276</v>
      </c>
      <c r="E1948" t="s">
        <v>1430</v>
      </c>
      <c r="F1948" s="2">
        <v>450</v>
      </c>
      <c r="G1948" s="2">
        <v>6</v>
      </c>
      <c r="H1948" t="s">
        <v>890</v>
      </c>
      <c r="I1948" t="s">
        <v>2335</v>
      </c>
      <c r="J1948" s="11">
        <v>1156.347200859924</v>
      </c>
      <c r="K1948" t="str">
        <f t="shared" si="60"/>
        <v>Tad Perry</v>
      </c>
    </row>
    <row r="1949" spans="1:11" hidden="1" x14ac:dyDescent="0.35">
      <c r="A1949">
        <f t="shared" si="61"/>
        <v>1948</v>
      </c>
      <c r="B1949">
        <v>2012</v>
      </c>
      <c r="C1949" t="s">
        <v>263</v>
      </c>
      <c r="D1949" t="s">
        <v>276</v>
      </c>
      <c r="E1949" t="s">
        <v>1430</v>
      </c>
      <c r="F1949" s="2">
        <v>325</v>
      </c>
      <c r="G1949" s="2">
        <v>7</v>
      </c>
      <c r="H1949" t="s">
        <v>537</v>
      </c>
      <c r="I1949" t="s">
        <v>538</v>
      </c>
      <c r="J1949" s="11">
        <v>1089.400411229311</v>
      </c>
      <c r="K1949" t="str">
        <f t="shared" si="60"/>
        <v>Cliff Matthews</v>
      </c>
    </row>
    <row r="1950" spans="1:11" hidden="1" x14ac:dyDescent="0.35">
      <c r="A1950">
        <f t="shared" si="61"/>
        <v>1949</v>
      </c>
      <c r="B1950">
        <v>2012</v>
      </c>
      <c r="C1950" t="s">
        <v>263</v>
      </c>
      <c r="D1950" t="s">
        <v>276</v>
      </c>
      <c r="E1950" t="s">
        <v>1430</v>
      </c>
      <c r="F1950" s="2">
        <v>195</v>
      </c>
      <c r="G1950" s="2">
        <v>8</v>
      </c>
      <c r="H1950" t="s">
        <v>16</v>
      </c>
      <c r="I1950" t="s">
        <v>59</v>
      </c>
      <c r="J1950" s="11">
        <v>1031.4084642516241</v>
      </c>
      <c r="K1950" t="str">
        <f t="shared" si="60"/>
        <v>Jeanne David</v>
      </c>
    </row>
    <row r="1951" spans="1:11" hidden="1" x14ac:dyDescent="0.35">
      <c r="A1951">
        <f t="shared" si="61"/>
        <v>1950</v>
      </c>
      <c r="B1951">
        <v>2012</v>
      </c>
      <c r="C1951" t="s">
        <v>263</v>
      </c>
      <c r="D1951" t="s">
        <v>276</v>
      </c>
      <c r="E1951" t="s">
        <v>1430</v>
      </c>
      <c r="F1951" s="2">
        <v>130</v>
      </c>
      <c r="G1951" s="2">
        <v>9</v>
      </c>
      <c r="H1951" t="s">
        <v>306</v>
      </c>
      <c r="I1951" t="s">
        <v>694</v>
      </c>
      <c r="J1951" s="11">
        <v>980.25594180424275</v>
      </c>
      <c r="K1951" t="str">
        <f t="shared" si="60"/>
        <v>J P Massar</v>
      </c>
    </row>
    <row r="1952" spans="1:11" hidden="1" x14ac:dyDescent="0.35">
      <c r="A1952">
        <f t="shared" si="61"/>
        <v>1951</v>
      </c>
      <c r="B1952">
        <v>2012</v>
      </c>
      <c r="C1952" t="s">
        <v>263</v>
      </c>
      <c r="D1952" t="s">
        <v>276</v>
      </c>
      <c r="E1952" t="s">
        <v>1430</v>
      </c>
      <c r="F1952" s="2">
        <v>130</v>
      </c>
      <c r="G1952" s="2">
        <v>10</v>
      </c>
      <c r="H1952" t="s">
        <v>383</v>
      </c>
      <c r="I1952" t="s">
        <v>384</v>
      </c>
      <c r="J1952" s="11">
        <v>934.49845124356773</v>
      </c>
      <c r="K1952" t="str">
        <f t="shared" si="60"/>
        <v>Jeff Deitch</v>
      </c>
    </row>
    <row r="1953" spans="1:11" hidden="1" x14ac:dyDescent="0.35">
      <c r="A1953">
        <f t="shared" si="61"/>
        <v>1952</v>
      </c>
      <c r="B1953">
        <v>2012</v>
      </c>
      <c r="C1953" t="s">
        <v>263</v>
      </c>
      <c r="D1953" t="s">
        <v>264</v>
      </c>
      <c r="E1953" t="s">
        <v>1051</v>
      </c>
      <c r="F1953" s="2">
        <v>825</v>
      </c>
      <c r="G1953" s="2">
        <v>1</v>
      </c>
      <c r="H1953" t="s">
        <v>268</v>
      </c>
      <c r="I1953" t="s">
        <v>269</v>
      </c>
      <c r="J1953" s="11">
        <v>1770.8520116421441</v>
      </c>
      <c r="K1953" t="str">
        <f t="shared" si="60"/>
        <v>Keith Fichtemaier</v>
      </c>
    </row>
    <row r="1954" spans="1:11" hidden="1" x14ac:dyDescent="0.35">
      <c r="A1954">
        <f t="shared" si="61"/>
        <v>1953</v>
      </c>
      <c r="B1954">
        <v>2012</v>
      </c>
      <c r="C1954" t="s">
        <v>263</v>
      </c>
      <c r="D1954" t="s">
        <v>264</v>
      </c>
      <c r="E1954" t="s">
        <v>1051</v>
      </c>
      <c r="F1954" s="2">
        <v>620</v>
      </c>
      <c r="G1954" s="2">
        <v>2</v>
      </c>
      <c r="H1954" t="s">
        <v>97</v>
      </c>
      <c r="I1954" t="s">
        <v>98</v>
      </c>
      <c r="J1954" s="11">
        <v>1469.8220159781629</v>
      </c>
      <c r="K1954" t="str">
        <f t="shared" si="60"/>
        <v>Ryan Troll</v>
      </c>
    </row>
    <row r="1955" spans="1:11" hidden="1" x14ac:dyDescent="0.35">
      <c r="A1955">
        <f t="shared" si="61"/>
        <v>1954</v>
      </c>
      <c r="B1955">
        <v>2012</v>
      </c>
      <c r="C1955" t="s">
        <v>263</v>
      </c>
      <c r="D1955" t="s">
        <v>264</v>
      </c>
      <c r="E1955" t="s">
        <v>1051</v>
      </c>
      <c r="F1955" s="2">
        <v>470</v>
      </c>
      <c r="G1955" s="2">
        <v>3</v>
      </c>
      <c r="H1955" t="s">
        <v>90</v>
      </c>
      <c r="I1955" t="s">
        <v>22</v>
      </c>
      <c r="J1955" s="11">
        <v>1293.7307569224818</v>
      </c>
      <c r="K1955" t="str">
        <f t="shared" si="60"/>
        <v>Rich Strauss</v>
      </c>
    </row>
    <row r="1956" spans="1:11" hidden="1" x14ac:dyDescent="0.35">
      <c r="A1956">
        <f t="shared" si="61"/>
        <v>1955</v>
      </c>
      <c r="B1956">
        <v>2012</v>
      </c>
      <c r="C1956" t="s">
        <v>263</v>
      </c>
      <c r="D1956" t="s">
        <v>264</v>
      </c>
      <c r="E1956" t="s">
        <v>1051</v>
      </c>
      <c r="F1956" s="2">
        <v>385</v>
      </c>
      <c r="G1956" s="2">
        <v>4</v>
      </c>
      <c r="H1956" t="s">
        <v>697</v>
      </c>
      <c r="I1956" t="s">
        <v>200</v>
      </c>
      <c r="J1956" s="11">
        <v>1168.7920203141816</v>
      </c>
      <c r="K1956" t="str">
        <f t="shared" si="60"/>
        <v>Rick Bevan</v>
      </c>
    </row>
    <row r="1957" spans="1:11" hidden="1" x14ac:dyDescent="0.35">
      <c r="A1957">
        <f t="shared" si="61"/>
        <v>1956</v>
      </c>
      <c r="B1957">
        <v>2012</v>
      </c>
      <c r="C1957" t="s">
        <v>263</v>
      </c>
      <c r="D1957" t="s">
        <v>264</v>
      </c>
      <c r="E1957" t="s">
        <v>1051</v>
      </c>
      <c r="F1957" s="2">
        <v>295</v>
      </c>
      <c r="G1957" s="2">
        <v>5</v>
      </c>
      <c r="H1957" t="s">
        <v>107</v>
      </c>
      <c r="I1957" t="s">
        <v>108</v>
      </c>
      <c r="J1957" s="11">
        <v>1071.8820073061254</v>
      </c>
      <c r="K1957" t="str">
        <f t="shared" si="60"/>
        <v>Kyle Minnis</v>
      </c>
    </row>
    <row r="1958" spans="1:11" hidden="1" x14ac:dyDescent="0.35">
      <c r="A1958">
        <f t="shared" si="61"/>
        <v>1957</v>
      </c>
      <c r="B1958">
        <v>2012</v>
      </c>
      <c r="C1958" t="s">
        <v>263</v>
      </c>
      <c r="D1958" t="s">
        <v>264</v>
      </c>
      <c r="E1958" t="s">
        <v>1051</v>
      </c>
      <c r="F1958" s="2">
        <v>205</v>
      </c>
      <c r="G1958" s="2">
        <v>6</v>
      </c>
      <c r="H1958" t="s">
        <v>220</v>
      </c>
      <c r="I1958" t="s">
        <v>221</v>
      </c>
      <c r="J1958" s="11">
        <v>992.70076125850062</v>
      </c>
      <c r="K1958" t="str">
        <f t="shared" si="60"/>
        <v>Rodney Chen</v>
      </c>
    </row>
    <row r="1959" spans="1:11" hidden="1" x14ac:dyDescent="0.35">
      <c r="A1959">
        <f t="shared" si="61"/>
        <v>1958</v>
      </c>
      <c r="B1959">
        <v>2012</v>
      </c>
      <c r="C1959" t="s">
        <v>263</v>
      </c>
      <c r="D1959" t="s">
        <v>264</v>
      </c>
      <c r="E1959" t="s">
        <v>1051</v>
      </c>
      <c r="F1959" s="2">
        <v>150</v>
      </c>
      <c r="G1959" s="2">
        <v>7</v>
      </c>
      <c r="H1959" t="s">
        <v>895</v>
      </c>
      <c r="I1959" t="s">
        <v>38</v>
      </c>
      <c r="J1959" s="11">
        <v>925.75397162788738</v>
      </c>
      <c r="K1959" t="str">
        <f t="shared" si="60"/>
        <v>Doug Maher</v>
      </c>
    </row>
    <row r="1960" spans="1:11" hidden="1" x14ac:dyDescent="0.35">
      <c r="A1960">
        <f t="shared" si="61"/>
        <v>1959</v>
      </c>
      <c r="B1960">
        <v>2012</v>
      </c>
      <c r="C1960" t="s">
        <v>263</v>
      </c>
      <c r="D1960" t="s">
        <v>45</v>
      </c>
      <c r="E1960" t="s">
        <v>1429</v>
      </c>
      <c r="F1960" s="2">
        <v>3945</v>
      </c>
      <c r="G1960" s="2">
        <v>1</v>
      </c>
      <c r="H1960" t="s">
        <v>14</v>
      </c>
      <c r="I1960" t="s">
        <v>11</v>
      </c>
      <c r="J1960" s="11">
        <v>2198.6570869544225</v>
      </c>
      <c r="K1960" t="str">
        <f t="shared" si="60"/>
        <v>Paul McMullin</v>
      </c>
    </row>
    <row r="1961" spans="1:11" hidden="1" x14ac:dyDescent="0.35">
      <c r="A1961">
        <f t="shared" si="61"/>
        <v>1960</v>
      </c>
      <c r="B1961">
        <v>2012</v>
      </c>
      <c r="C1961" t="s">
        <v>263</v>
      </c>
      <c r="D1961" t="s">
        <v>45</v>
      </c>
      <c r="E1961" t="s">
        <v>1429</v>
      </c>
      <c r="F1961" s="2">
        <v>2845</v>
      </c>
      <c r="G1961" s="2">
        <v>2</v>
      </c>
      <c r="H1961" t="s">
        <v>206</v>
      </c>
      <c r="I1961" t="s">
        <v>207</v>
      </c>
      <c r="J1961" s="11">
        <v>1897.6270912904413</v>
      </c>
      <c r="K1961" t="str">
        <f t="shared" si="60"/>
        <v>Nick Christenson</v>
      </c>
    </row>
    <row r="1962" spans="1:11" hidden="1" x14ac:dyDescent="0.35">
      <c r="A1962">
        <f t="shared" si="61"/>
        <v>1961</v>
      </c>
      <c r="B1962">
        <v>2012</v>
      </c>
      <c r="C1962" t="s">
        <v>263</v>
      </c>
      <c r="D1962" t="s">
        <v>45</v>
      </c>
      <c r="E1962" t="s">
        <v>1429</v>
      </c>
      <c r="F1962" s="2">
        <v>2210</v>
      </c>
      <c r="G1962" s="2">
        <v>3</v>
      </c>
      <c r="H1962" t="s">
        <v>2336</v>
      </c>
      <c r="I1962" t="s">
        <v>2337</v>
      </c>
      <c r="J1962" s="11">
        <v>1721.5358322347602</v>
      </c>
      <c r="K1962" t="str">
        <f t="shared" si="60"/>
        <v>Randall Hennenuth</v>
      </c>
    </row>
    <row r="1963" spans="1:11" hidden="1" x14ac:dyDescent="0.35">
      <c r="A1963">
        <f t="shared" si="61"/>
        <v>1962</v>
      </c>
      <c r="B1963">
        <v>2012</v>
      </c>
      <c r="C1963" t="s">
        <v>263</v>
      </c>
      <c r="D1963" t="s">
        <v>45</v>
      </c>
      <c r="E1963" t="s">
        <v>1429</v>
      </c>
      <c r="F1963" s="2">
        <v>1740</v>
      </c>
      <c r="G1963" s="2">
        <v>4</v>
      </c>
      <c r="H1963" t="s">
        <v>320</v>
      </c>
      <c r="I1963" t="s">
        <v>321</v>
      </c>
      <c r="J1963" s="11">
        <v>1596.59709562646</v>
      </c>
      <c r="K1963" t="str">
        <f t="shared" si="60"/>
        <v>Tina Gonzalez</v>
      </c>
    </row>
    <row r="1964" spans="1:11" hidden="1" x14ac:dyDescent="0.35">
      <c r="A1964">
        <f t="shared" si="61"/>
        <v>1963</v>
      </c>
      <c r="B1964">
        <v>2012</v>
      </c>
      <c r="C1964" t="s">
        <v>263</v>
      </c>
      <c r="D1964" t="s">
        <v>45</v>
      </c>
      <c r="E1964" t="s">
        <v>1429</v>
      </c>
      <c r="F1964" s="2">
        <v>1265</v>
      </c>
      <c r="G1964" s="2">
        <v>5</v>
      </c>
      <c r="H1964" t="s">
        <v>118</v>
      </c>
      <c r="I1964" t="s">
        <v>415</v>
      </c>
      <c r="J1964" s="11">
        <v>1499.6870826184038</v>
      </c>
      <c r="K1964" t="str">
        <f t="shared" si="60"/>
        <v>Pete Segal</v>
      </c>
    </row>
    <row r="1965" spans="1:11" hidden="1" x14ac:dyDescent="0.35">
      <c r="A1965">
        <f t="shared" si="61"/>
        <v>1964</v>
      </c>
      <c r="B1965">
        <v>2012</v>
      </c>
      <c r="C1965" t="s">
        <v>263</v>
      </c>
      <c r="D1965" t="s">
        <v>45</v>
      </c>
      <c r="E1965" t="s">
        <v>1429</v>
      </c>
      <c r="F1965" s="2">
        <v>950</v>
      </c>
      <c r="G1965" s="2">
        <v>6</v>
      </c>
      <c r="H1965" t="s">
        <v>195</v>
      </c>
      <c r="I1965" t="s">
        <v>196</v>
      </c>
      <c r="J1965" s="11">
        <v>1420.5058365707789</v>
      </c>
      <c r="K1965" t="str">
        <f t="shared" si="60"/>
        <v>Dave Tahajian</v>
      </c>
    </row>
    <row r="1966" spans="1:11" hidden="1" x14ac:dyDescent="0.35">
      <c r="A1966">
        <f t="shared" si="61"/>
        <v>1965</v>
      </c>
      <c r="B1966">
        <v>2012</v>
      </c>
      <c r="C1966" t="s">
        <v>263</v>
      </c>
      <c r="D1966" t="s">
        <v>45</v>
      </c>
      <c r="E1966" t="s">
        <v>1429</v>
      </c>
      <c r="F1966" s="2">
        <v>630</v>
      </c>
      <c r="G1966" s="2">
        <v>7</v>
      </c>
      <c r="H1966" t="s">
        <v>585</v>
      </c>
      <c r="I1966" t="s">
        <v>136</v>
      </c>
      <c r="J1966" s="11">
        <v>1353.5590469401657</v>
      </c>
      <c r="K1966" t="str">
        <f t="shared" si="60"/>
        <v>John Pickels</v>
      </c>
    </row>
    <row r="1967" spans="1:11" hidden="1" x14ac:dyDescent="0.35">
      <c r="A1967">
        <f t="shared" si="61"/>
        <v>1966</v>
      </c>
      <c r="B1967">
        <v>2012</v>
      </c>
      <c r="C1967" t="s">
        <v>263</v>
      </c>
      <c r="D1967" t="s">
        <v>45</v>
      </c>
      <c r="E1967" t="s">
        <v>1429</v>
      </c>
      <c r="F1967" s="2">
        <v>475</v>
      </c>
      <c r="G1967" s="2">
        <v>8</v>
      </c>
      <c r="H1967" t="s">
        <v>719</v>
      </c>
      <c r="I1967" t="s">
        <v>410</v>
      </c>
      <c r="J1967" s="11">
        <v>1295.567099962479</v>
      </c>
      <c r="K1967" t="str">
        <f t="shared" si="60"/>
        <v>Larry Stone</v>
      </c>
    </row>
    <row r="1968" spans="1:11" hidden="1" x14ac:dyDescent="0.35">
      <c r="A1968">
        <f t="shared" si="61"/>
        <v>1967</v>
      </c>
      <c r="B1968">
        <v>2012</v>
      </c>
      <c r="C1968" t="s">
        <v>263</v>
      </c>
      <c r="D1968" t="s">
        <v>45</v>
      </c>
      <c r="E1968" t="s">
        <v>1429</v>
      </c>
      <c r="F1968" s="2">
        <v>315</v>
      </c>
      <c r="G1968" s="2">
        <v>9</v>
      </c>
      <c r="H1968" t="s">
        <v>1504</v>
      </c>
      <c r="I1968" t="s">
        <v>85</v>
      </c>
      <c r="J1968" s="11">
        <v>1244.4145775150978</v>
      </c>
      <c r="K1968" t="str">
        <f t="shared" si="60"/>
        <v>Patrick Milligan</v>
      </c>
    </row>
    <row r="1969" spans="1:11" hidden="1" x14ac:dyDescent="0.35">
      <c r="A1969">
        <f t="shared" si="61"/>
        <v>1968</v>
      </c>
      <c r="B1969">
        <v>2012</v>
      </c>
      <c r="C1969" t="s">
        <v>263</v>
      </c>
      <c r="D1969" t="s">
        <v>45</v>
      </c>
      <c r="E1969" t="s">
        <v>1429</v>
      </c>
      <c r="F1969" s="2">
        <v>315</v>
      </c>
      <c r="G1969" s="2">
        <v>10</v>
      </c>
      <c r="H1969" t="s">
        <v>388</v>
      </c>
      <c r="I1969" t="s">
        <v>200</v>
      </c>
      <c r="J1969" s="11">
        <v>1198.6570869544225</v>
      </c>
      <c r="K1969" t="str">
        <f t="shared" si="60"/>
        <v>Rick Charles</v>
      </c>
    </row>
    <row r="1970" spans="1:11" hidden="1" x14ac:dyDescent="0.35">
      <c r="A1970">
        <f t="shared" si="61"/>
        <v>1969</v>
      </c>
      <c r="B1970">
        <v>2012</v>
      </c>
      <c r="C1970" t="s">
        <v>263</v>
      </c>
      <c r="D1970" t="s">
        <v>45</v>
      </c>
      <c r="E1970" t="s">
        <v>1429</v>
      </c>
      <c r="F1970" s="2">
        <v>235</v>
      </c>
      <c r="G1970" s="2">
        <v>11</v>
      </c>
      <c r="H1970" t="s">
        <v>612</v>
      </c>
      <c r="I1970" t="s">
        <v>181</v>
      </c>
      <c r="J1970" s="11">
        <v>1157.2644017961975</v>
      </c>
      <c r="K1970" t="str">
        <f t="shared" si="60"/>
        <v>Aaron Lion</v>
      </c>
    </row>
    <row r="1971" spans="1:11" hidden="1" x14ac:dyDescent="0.35">
      <c r="A1971">
        <f t="shared" si="61"/>
        <v>1970</v>
      </c>
      <c r="B1971">
        <v>2012</v>
      </c>
      <c r="C1971" t="s">
        <v>263</v>
      </c>
      <c r="D1971" t="s">
        <v>45</v>
      </c>
      <c r="E1971" t="s">
        <v>1429</v>
      </c>
      <c r="F1971" s="2">
        <v>235</v>
      </c>
      <c r="G1971" s="2">
        <v>12</v>
      </c>
      <c r="H1971" t="s">
        <v>304</v>
      </c>
      <c r="I1971" t="s">
        <v>65</v>
      </c>
      <c r="J1971" s="11">
        <v>1119.4758409067977</v>
      </c>
      <c r="K1971" t="str">
        <f t="shared" si="60"/>
        <v>Steve Pierce</v>
      </c>
    </row>
    <row r="1972" spans="1:11" hidden="1" x14ac:dyDescent="0.35">
      <c r="A1972">
        <f t="shared" si="61"/>
        <v>1971</v>
      </c>
      <c r="B1972">
        <v>2012</v>
      </c>
      <c r="C1972" t="s">
        <v>263</v>
      </c>
      <c r="D1972" t="s">
        <v>45</v>
      </c>
      <c r="E1972" t="s">
        <v>1429</v>
      </c>
      <c r="F1972" s="2">
        <v>160</v>
      </c>
      <c r="G1972" s="2">
        <v>13</v>
      </c>
      <c r="H1972" t="s">
        <v>281</v>
      </c>
      <c r="I1972" t="s">
        <v>282</v>
      </c>
      <c r="J1972" s="11">
        <v>1084.7137346475859</v>
      </c>
      <c r="K1972" t="str">
        <f t="shared" si="60"/>
        <v>Randy Collack</v>
      </c>
    </row>
    <row r="1973" spans="1:11" hidden="1" x14ac:dyDescent="0.35">
      <c r="A1973">
        <f t="shared" si="61"/>
        <v>1972</v>
      </c>
      <c r="B1973">
        <v>2012</v>
      </c>
      <c r="C1973" t="s">
        <v>263</v>
      </c>
      <c r="D1973" t="s">
        <v>45</v>
      </c>
      <c r="E1973" t="s">
        <v>1429</v>
      </c>
      <c r="F1973" s="2">
        <v>160</v>
      </c>
      <c r="G1973" s="2">
        <v>14</v>
      </c>
      <c r="H1973" t="s">
        <v>16</v>
      </c>
      <c r="I1973" t="s">
        <v>59</v>
      </c>
      <c r="J1973" s="11">
        <v>1052.5290512761846</v>
      </c>
      <c r="K1973" t="str">
        <f t="shared" si="60"/>
        <v>Jeanne David</v>
      </c>
    </row>
    <row r="1974" spans="1:11" hidden="1" x14ac:dyDescent="0.35">
      <c r="A1974">
        <f t="shared" si="61"/>
        <v>1973</v>
      </c>
      <c r="B1974">
        <v>2012</v>
      </c>
      <c r="C1974" t="s">
        <v>263</v>
      </c>
      <c r="D1974" t="s">
        <v>45</v>
      </c>
      <c r="E1974" t="s">
        <v>1429</v>
      </c>
      <c r="F1974" s="2">
        <v>160</v>
      </c>
      <c r="G1974" s="2">
        <v>15</v>
      </c>
      <c r="H1974" t="s">
        <v>50</v>
      </c>
      <c r="I1974" t="s">
        <v>25</v>
      </c>
      <c r="J1974" s="11">
        <v>1022.5658278987413</v>
      </c>
      <c r="K1974" t="str">
        <f t="shared" si="60"/>
        <v>Russell Fox</v>
      </c>
    </row>
    <row r="1975" spans="1:11" hidden="1" x14ac:dyDescent="0.35">
      <c r="A1975">
        <f t="shared" si="61"/>
        <v>1974</v>
      </c>
      <c r="B1975">
        <v>2012</v>
      </c>
      <c r="C1975" t="s">
        <v>263</v>
      </c>
      <c r="D1975" t="s">
        <v>45</v>
      </c>
      <c r="E1975" t="s">
        <v>1429</v>
      </c>
      <c r="F1975" s="2">
        <v>160</v>
      </c>
      <c r="G1975" s="2">
        <v>16</v>
      </c>
      <c r="H1975" t="s">
        <v>1445</v>
      </c>
      <c r="I1975" t="s">
        <v>1746</v>
      </c>
      <c r="J1975" s="11">
        <v>994.53710429849787</v>
      </c>
      <c r="K1975" t="str">
        <f t="shared" si="60"/>
        <v>Kevan Garrett</v>
      </c>
    </row>
    <row r="1976" spans="1:11" hidden="1" x14ac:dyDescent="0.35">
      <c r="A1976">
        <f t="shared" si="61"/>
        <v>1975</v>
      </c>
      <c r="B1976">
        <v>2012</v>
      </c>
      <c r="C1976" t="s">
        <v>263</v>
      </c>
      <c r="D1976" t="s">
        <v>45</v>
      </c>
      <c r="E1976" t="s">
        <v>1429</v>
      </c>
      <c r="F1976" s="2">
        <v>160</v>
      </c>
      <c r="G1976" s="2">
        <v>17</v>
      </c>
      <c r="H1976" t="s">
        <v>99</v>
      </c>
      <c r="I1976" t="s">
        <v>2500</v>
      </c>
      <c r="J1976" s="11">
        <v>968.20816557614876</v>
      </c>
      <c r="K1976" t="str">
        <f t="shared" si="60"/>
        <v>Bex Kerl</v>
      </c>
    </row>
    <row r="1977" spans="1:11" hidden="1" x14ac:dyDescent="0.35">
      <c r="A1977">
        <f t="shared" si="61"/>
        <v>1976</v>
      </c>
      <c r="B1977">
        <v>2012</v>
      </c>
      <c r="C1977" t="s">
        <v>263</v>
      </c>
      <c r="D1977" t="s">
        <v>2329</v>
      </c>
      <c r="E1977" t="s">
        <v>133</v>
      </c>
      <c r="F1977" s="2">
        <v>1023</v>
      </c>
      <c r="G1977" s="2">
        <v>1</v>
      </c>
      <c r="H1977" t="s">
        <v>31</v>
      </c>
      <c r="I1977" t="s">
        <v>32</v>
      </c>
      <c r="J1977" s="11">
        <v>1880.8135922807915</v>
      </c>
      <c r="K1977" t="str">
        <f t="shared" si="60"/>
        <v>Caryl Aronson</v>
      </c>
    </row>
    <row r="1978" spans="1:11" hidden="1" x14ac:dyDescent="0.35">
      <c r="A1978">
        <f t="shared" si="61"/>
        <v>1977</v>
      </c>
      <c r="B1978">
        <v>2012</v>
      </c>
      <c r="C1978" t="s">
        <v>263</v>
      </c>
      <c r="D1978" t="s">
        <v>2329</v>
      </c>
      <c r="E1978" t="s">
        <v>133</v>
      </c>
      <c r="F1978" s="2">
        <v>1022</v>
      </c>
      <c r="G1978" s="2">
        <v>2</v>
      </c>
      <c r="H1978" t="s">
        <v>316</v>
      </c>
      <c r="I1978" t="s">
        <v>269</v>
      </c>
      <c r="J1978" s="11">
        <v>1579.7835966168102</v>
      </c>
      <c r="K1978" t="str">
        <f t="shared" si="60"/>
        <v>Keith Troell</v>
      </c>
    </row>
    <row r="1979" spans="1:11" hidden="1" x14ac:dyDescent="0.35">
      <c r="A1979">
        <f t="shared" si="61"/>
        <v>1978</v>
      </c>
      <c r="B1979">
        <v>2012</v>
      </c>
      <c r="C1979" t="s">
        <v>263</v>
      </c>
      <c r="D1979" t="s">
        <v>2329</v>
      </c>
      <c r="E1979" t="s">
        <v>133</v>
      </c>
      <c r="F1979" s="2">
        <v>685</v>
      </c>
      <c r="G1979" s="2">
        <v>3</v>
      </c>
      <c r="H1979" t="s">
        <v>86</v>
      </c>
      <c r="I1979" t="s">
        <v>393</v>
      </c>
      <c r="J1979" s="11">
        <v>1403.6923375611291</v>
      </c>
      <c r="K1979" t="str">
        <f t="shared" si="60"/>
        <v>Bree Goldman</v>
      </c>
    </row>
    <row r="1980" spans="1:11" hidden="1" x14ac:dyDescent="0.35">
      <c r="A1980">
        <f t="shared" si="61"/>
        <v>1979</v>
      </c>
      <c r="B1980">
        <v>2012</v>
      </c>
      <c r="C1980" t="s">
        <v>263</v>
      </c>
      <c r="D1980" t="s">
        <v>2329</v>
      </c>
      <c r="E1980" t="s">
        <v>133</v>
      </c>
      <c r="F1980" s="2">
        <v>545</v>
      </c>
      <c r="G1980" s="2">
        <v>4</v>
      </c>
      <c r="H1980" t="s">
        <v>294</v>
      </c>
      <c r="I1980" t="s">
        <v>16</v>
      </c>
      <c r="J1980" s="11">
        <v>1278.7536009528289</v>
      </c>
      <c r="K1980" t="str">
        <f t="shared" si="60"/>
        <v>David Low</v>
      </c>
    </row>
    <row r="1981" spans="1:11" hidden="1" x14ac:dyDescent="0.35">
      <c r="A1981">
        <f t="shared" si="61"/>
        <v>1980</v>
      </c>
      <c r="B1981">
        <v>2012</v>
      </c>
      <c r="C1981" t="s">
        <v>263</v>
      </c>
      <c r="D1981" t="s">
        <v>2329</v>
      </c>
      <c r="E1981" t="s">
        <v>133</v>
      </c>
      <c r="F1981" s="2">
        <v>455</v>
      </c>
      <c r="G1981" s="2">
        <v>5</v>
      </c>
      <c r="H1981" t="s">
        <v>387</v>
      </c>
      <c r="I1981" t="s">
        <v>521</v>
      </c>
      <c r="J1981" s="11">
        <v>1181.8435879447727</v>
      </c>
      <c r="K1981" t="str">
        <f t="shared" si="60"/>
        <v>Chuck Humphrey</v>
      </c>
    </row>
    <row r="1982" spans="1:11" hidden="1" x14ac:dyDescent="0.35">
      <c r="A1982">
        <f t="shared" si="61"/>
        <v>1981</v>
      </c>
      <c r="B1982">
        <v>2012</v>
      </c>
      <c r="C1982" t="s">
        <v>263</v>
      </c>
      <c r="D1982" t="s">
        <v>2329</v>
      </c>
      <c r="E1982" t="s">
        <v>133</v>
      </c>
      <c r="F1982" s="2">
        <v>320</v>
      </c>
      <c r="G1982" s="2">
        <v>6</v>
      </c>
      <c r="H1982" t="s">
        <v>86</v>
      </c>
      <c r="I1982" t="s">
        <v>271</v>
      </c>
      <c r="J1982" s="11">
        <v>1102.6623418971478</v>
      </c>
      <c r="K1982" t="str">
        <f t="shared" si="60"/>
        <v>Dan Goldman</v>
      </c>
    </row>
    <row r="1983" spans="1:11" hidden="1" x14ac:dyDescent="0.35">
      <c r="A1983">
        <f t="shared" si="61"/>
        <v>1982</v>
      </c>
      <c r="B1983">
        <v>2012</v>
      </c>
      <c r="C1983" t="s">
        <v>263</v>
      </c>
      <c r="D1983" t="s">
        <v>2329</v>
      </c>
      <c r="E1983" t="s">
        <v>133</v>
      </c>
      <c r="F1983" s="2">
        <v>230</v>
      </c>
      <c r="G1983" s="2">
        <v>7</v>
      </c>
      <c r="H1983" t="s">
        <v>220</v>
      </c>
      <c r="I1983" t="s">
        <v>221</v>
      </c>
      <c r="J1983" s="11">
        <v>1035.7155522665344</v>
      </c>
      <c r="K1983" t="str">
        <f t="shared" si="60"/>
        <v>Rodney Chen</v>
      </c>
    </row>
    <row r="1984" spans="1:11" hidden="1" x14ac:dyDescent="0.35">
      <c r="A1984">
        <f t="shared" si="61"/>
        <v>1983</v>
      </c>
      <c r="B1984">
        <v>2012</v>
      </c>
      <c r="C1984" t="s">
        <v>263</v>
      </c>
      <c r="D1984" t="s">
        <v>2329</v>
      </c>
      <c r="E1984" t="s">
        <v>133</v>
      </c>
      <c r="F1984" s="2">
        <v>180</v>
      </c>
      <c r="G1984" s="2">
        <v>8</v>
      </c>
      <c r="H1984" t="s">
        <v>70</v>
      </c>
      <c r="I1984" t="s">
        <v>71</v>
      </c>
      <c r="J1984" s="11">
        <v>977.72360528884781</v>
      </c>
      <c r="K1984" t="str">
        <f t="shared" si="60"/>
        <v>Scott Byron</v>
      </c>
    </row>
    <row r="1985" spans="1:11" hidden="1" x14ac:dyDescent="0.35">
      <c r="A1985">
        <f t="shared" si="61"/>
        <v>1984</v>
      </c>
      <c r="B1985">
        <v>2012</v>
      </c>
      <c r="C1985" t="s">
        <v>263</v>
      </c>
      <c r="D1985" t="s">
        <v>2329</v>
      </c>
      <c r="E1985" t="s">
        <v>133</v>
      </c>
      <c r="F1985" s="2">
        <v>100</v>
      </c>
      <c r="G1985" s="2">
        <v>9</v>
      </c>
      <c r="H1985" t="s">
        <v>318</v>
      </c>
      <c r="I1985" t="s">
        <v>44</v>
      </c>
      <c r="J1985" s="11">
        <v>926.57108284146648</v>
      </c>
      <c r="K1985" t="str">
        <f t="shared" si="60"/>
        <v>Mike McManus</v>
      </c>
    </row>
    <row r="1986" spans="1:11" hidden="1" x14ac:dyDescent="0.35">
      <c r="A1986">
        <f t="shared" si="61"/>
        <v>1985</v>
      </c>
      <c r="B1986">
        <v>2012</v>
      </c>
      <c r="C1986" t="s">
        <v>263</v>
      </c>
      <c r="D1986" t="s">
        <v>110</v>
      </c>
      <c r="E1986" t="s">
        <v>1430</v>
      </c>
      <c r="F1986" s="2">
        <v>2435</v>
      </c>
      <c r="G1986" s="2">
        <v>1</v>
      </c>
      <c r="H1986" t="s">
        <v>351</v>
      </c>
      <c r="I1986" t="s">
        <v>153</v>
      </c>
      <c r="J1986" s="11">
        <v>2113.9433523068369</v>
      </c>
      <c r="K1986" t="str">
        <f t="shared" ref="K1986:K2049" si="62">I1986&amp;" "&amp;H1986</f>
        <v>Stephen Lewin-Berlin</v>
      </c>
    </row>
    <row r="1987" spans="1:11" hidden="1" x14ac:dyDescent="0.35">
      <c r="A1987">
        <f t="shared" si="61"/>
        <v>1986</v>
      </c>
      <c r="B1987">
        <v>2012</v>
      </c>
      <c r="C1987" t="s">
        <v>263</v>
      </c>
      <c r="D1987" t="s">
        <v>110</v>
      </c>
      <c r="E1987" t="s">
        <v>1430</v>
      </c>
      <c r="F1987" s="2">
        <v>1850</v>
      </c>
      <c r="G1987" s="2">
        <v>2</v>
      </c>
      <c r="H1987" t="s">
        <v>585</v>
      </c>
      <c r="I1987" t="s">
        <v>136</v>
      </c>
      <c r="J1987" s="11">
        <v>1812.9133566428557</v>
      </c>
      <c r="K1987" t="str">
        <f t="shared" si="62"/>
        <v>John Pickels</v>
      </c>
    </row>
    <row r="1988" spans="1:11" hidden="1" x14ac:dyDescent="0.35">
      <c r="A1988">
        <f t="shared" ref="A1988:A2051" si="63">A1987+1</f>
        <v>1987</v>
      </c>
      <c r="B1988">
        <v>2012</v>
      </c>
      <c r="C1988" t="s">
        <v>263</v>
      </c>
      <c r="D1988" t="s">
        <v>110</v>
      </c>
      <c r="E1988" t="s">
        <v>1430</v>
      </c>
      <c r="F1988" s="2">
        <v>1360</v>
      </c>
      <c r="G1988" s="2">
        <v>3</v>
      </c>
      <c r="H1988" t="s">
        <v>692</v>
      </c>
      <c r="I1988" t="s">
        <v>200</v>
      </c>
      <c r="J1988" s="11">
        <v>1636.8220975871745</v>
      </c>
      <c r="K1988" t="str">
        <f t="shared" si="62"/>
        <v>Rick Monbourquette</v>
      </c>
    </row>
    <row r="1989" spans="1:11" hidden="1" x14ac:dyDescent="0.35">
      <c r="A1989">
        <f t="shared" si="63"/>
        <v>1988</v>
      </c>
      <c r="B1989">
        <v>2012</v>
      </c>
      <c r="C1989" t="s">
        <v>263</v>
      </c>
      <c r="D1989" t="s">
        <v>110</v>
      </c>
      <c r="E1989" t="s">
        <v>1430</v>
      </c>
      <c r="F1989" s="2">
        <v>1075</v>
      </c>
      <c r="G1989" s="2">
        <v>4</v>
      </c>
      <c r="H1989" t="s">
        <v>231</v>
      </c>
      <c r="I1989" t="s">
        <v>232</v>
      </c>
      <c r="J1989" s="11">
        <v>1511.8833609788744</v>
      </c>
      <c r="K1989" t="str">
        <f t="shared" si="62"/>
        <v>Adam Bachrach</v>
      </c>
    </row>
    <row r="1990" spans="1:11" hidden="1" x14ac:dyDescent="0.35">
      <c r="A1990">
        <f t="shared" si="63"/>
        <v>1989</v>
      </c>
      <c r="B1990">
        <v>2012</v>
      </c>
      <c r="C1990" t="s">
        <v>263</v>
      </c>
      <c r="D1990" t="s">
        <v>110</v>
      </c>
      <c r="E1990" t="s">
        <v>1430</v>
      </c>
      <c r="F1990" s="2">
        <v>780</v>
      </c>
      <c r="G1990" s="2">
        <v>5</v>
      </c>
      <c r="H1990" t="s">
        <v>266</v>
      </c>
      <c r="I1990" t="s">
        <v>28</v>
      </c>
      <c r="J1990" s="11">
        <v>1414.9733479708182</v>
      </c>
      <c r="K1990" t="str">
        <f t="shared" si="62"/>
        <v>Chris Mecklin</v>
      </c>
    </row>
    <row r="1991" spans="1:11" hidden="1" x14ac:dyDescent="0.35">
      <c r="A1991">
        <f t="shared" si="63"/>
        <v>1990</v>
      </c>
      <c r="B1991">
        <v>2012</v>
      </c>
      <c r="C1991" t="s">
        <v>263</v>
      </c>
      <c r="D1991" t="s">
        <v>110</v>
      </c>
      <c r="E1991" t="s">
        <v>1430</v>
      </c>
      <c r="F1991" s="2">
        <v>585</v>
      </c>
      <c r="G1991" s="2">
        <v>6</v>
      </c>
      <c r="H1991" t="s">
        <v>533</v>
      </c>
      <c r="I1991" t="s">
        <v>534</v>
      </c>
      <c r="J1991" s="11">
        <v>1335.7921019231933</v>
      </c>
      <c r="K1991" t="str">
        <f t="shared" si="62"/>
        <v>Edmund Hack</v>
      </c>
    </row>
    <row r="1992" spans="1:11" hidden="1" x14ac:dyDescent="0.35">
      <c r="A1992">
        <f t="shared" si="63"/>
        <v>1991</v>
      </c>
      <c r="B1992">
        <v>2012</v>
      </c>
      <c r="C1992" t="s">
        <v>263</v>
      </c>
      <c r="D1992" t="s">
        <v>110</v>
      </c>
      <c r="E1992" t="s">
        <v>1430</v>
      </c>
      <c r="F1992" s="2">
        <v>390</v>
      </c>
      <c r="G1992" s="2">
        <v>7</v>
      </c>
      <c r="H1992" t="s">
        <v>890</v>
      </c>
      <c r="I1992" t="s">
        <v>2335</v>
      </c>
      <c r="J1992" s="11">
        <v>1268.84531229258</v>
      </c>
      <c r="K1992" t="str">
        <f t="shared" si="62"/>
        <v>Tad Perry</v>
      </c>
    </row>
    <row r="1993" spans="1:11" hidden="1" x14ac:dyDescent="0.35">
      <c r="A1993">
        <f t="shared" si="63"/>
        <v>1992</v>
      </c>
      <c r="B1993">
        <v>2012</v>
      </c>
      <c r="C1993" t="s">
        <v>263</v>
      </c>
      <c r="D1993" t="s">
        <v>110</v>
      </c>
      <c r="E1993" t="s">
        <v>1430</v>
      </c>
      <c r="F1993" s="2">
        <v>295</v>
      </c>
      <c r="G1993" s="2">
        <v>8</v>
      </c>
      <c r="H1993" t="s">
        <v>204</v>
      </c>
      <c r="I1993" t="s">
        <v>205</v>
      </c>
      <c r="J1993" s="11">
        <v>1210.8533653148934</v>
      </c>
      <c r="K1993" t="str">
        <f t="shared" si="62"/>
        <v>Ron Grossberg</v>
      </c>
    </row>
    <row r="1994" spans="1:11" hidden="1" x14ac:dyDescent="0.35">
      <c r="A1994">
        <f t="shared" si="63"/>
        <v>1993</v>
      </c>
      <c r="B1994">
        <v>2012</v>
      </c>
      <c r="C1994" t="s">
        <v>263</v>
      </c>
      <c r="D1994" t="s">
        <v>110</v>
      </c>
      <c r="E1994" t="s">
        <v>1430</v>
      </c>
      <c r="F1994" s="2">
        <v>195</v>
      </c>
      <c r="G1994" s="2">
        <v>9</v>
      </c>
      <c r="H1994" t="s">
        <v>118</v>
      </c>
      <c r="I1994" t="s">
        <v>415</v>
      </c>
      <c r="J1994" s="11">
        <v>1159.7008428675122</v>
      </c>
      <c r="K1994" t="str">
        <f t="shared" si="62"/>
        <v>Pete Segal</v>
      </c>
    </row>
    <row r="1995" spans="1:11" hidden="1" x14ac:dyDescent="0.35">
      <c r="A1995">
        <f t="shared" si="63"/>
        <v>1994</v>
      </c>
      <c r="B1995">
        <v>2012</v>
      </c>
      <c r="C1995" t="s">
        <v>263</v>
      </c>
      <c r="D1995" t="s">
        <v>110</v>
      </c>
      <c r="E1995" t="s">
        <v>1430</v>
      </c>
      <c r="F1995" s="2">
        <v>195</v>
      </c>
      <c r="G1995" s="2">
        <v>10</v>
      </c>
      <c r="H1995" t="s">
        <v>299</v>
      </c>
      <c r="I1995" t="s">
        <v>300</v>
      </c>
      <c r="J1995" s="11">
        <v>1113.9433523068369</v>
      </c>
      <c r="K1995" t="str">
        <f t="shared" si="62"/>
        <v>Gillian Groves</v>
      </c>
    </row>
    <row r="1996" spans="1:11" hidden="1" x14ac:dyDescent="0.35">
      <c r="A1996">
        <f t="shared" si="63"/>
        <v>1995</v>
      </c>
      <c r="B1996">
        <v>2012</v>
      </c>
      <c r="C1996" t="s">
        <v>263</v>
      </c>
      <c r="D1996" t="s">
        <v>110</v>
      </c>
      <c r="E1996" t="s">
        <v>1430</v>
      </c>
      <c r="F1996" s="2">
        <v>145</v>
      </c>
      <c r="G1996" s="2">
        <v>11</v>
      </c>
      <c r="H1996" t="s">
        <v>99</v>
      </c>
      <c r="I1996" t="s">
        <v>101</v>
      </c>
      <c r="J1996" s="11">
        <v>1072.5506671486119</v>
      </c>
      <c r="K1996" t="str">
        <f t="shared" si="62"/>
        <v>Dean Kerl</v>
      </c>
    </row>
    <row r="1997" spans="1:11" hidden="1" x14ac:dyDescent="0.35">
      <c r="A1997">
        <f t="shared" si="63"/>
        <v>1996</v>
      </c>
      <c r="B1997">
        <v>2012</v>
      </c>
      <c r="C1997" t="s">
        <v>263</v>
      </c>
      <c r="D1997" t="s">
        <v>110</v>
      </c>
      <c r="E1997" t="s">
        <v>1430</v>
      </c>
      <c r="F1997" s="2">
        <v>145</v>
      </c>
      <c r="G1997" s="2">
        <v>12</v>
      </c>
      <c r="H1997" t="s">
        <v>43</v>
      </c>
      <c r="I1997" t="s">
        <v>218</v>
      </c>
      <c r="J1997" s="11">
        <v>1034.762106259212</v>
      </c>
      <c r="K1997" t="str">
        <f t="shared" si="62"/>
        <v>Michael Klein</v>
      </c>
    </row>
    <row r="1998" spans="1:11" hidden="1" x14ac:dyDescent="0.35">
      <c r="A1998">
        <f t="shared" si="63"/>
        <v>1997</v>
      </c>
      <c r="B1998">
        <v>2012</v>
      </c>
      <c r="C1998" t="s">
        <v>263</v>
      </c>
      <c r="D1998" t="s">
        <v>110</v>
      </c>
      <c r="E1998" t="s">
        <v>1430</v>
      </c>
      <c r="F1998" s="2">
        <v>100</v>
      </c>
      <c r="G1998" s="2">
        <v>13</v>
      </c>
      <c r="H1998" t="s">
        <v>323</v>
      </c>
      <c r="I1998" t="s">
        <v>324</v>
      </c>
      <c r="J1998" s="11">
        <v>1000.0000000000002</v>
      </c>
      <c r="K1998" t="str">
        <f t="shared" si="62"/>
        <v>Andrew Prock</v>
      </c>
    </row>
    <row r="1999" spans="1:11" hidden="1" x14ac:dyDescent="0.35">
      <c r="A1999">
        <f t="shared" si="63"/>
        <v>1998</v>
      </c>
      <c r="B1999">
        <v>2012</v>
      </c>
      <c r="C1999" t="s">
        <v>263</v>
      </c>
      <c r="D1999" t="s">
        <v>110</v>
      </c>
      <c r="E1999" t="s">
        <v>1430</v>
      </c>
      <c r="F1999" s="2">
        <v>100</v>
      </c>
      <c r="G1999" s="2">
        <v>14</v>
      </c>
      <c r="H1999" t="s">
        <v>86</v>
      </c>
      <c r="I1999" t="s">
        <v>271</v>
      </c>
      <c r="J1999" s="11">
        <v>967.81531662859902</v>
      </c>
      <c r="K1999" t="str">
        <f t="shared" si="62"/>
        <v>Dan Goldman</v>
      </c>
    </row>
    <row r="2000" spans="1:11" hidden="1" x14ac:dyDescent="0.35">
      <c r="A2000">
        <f t="shared" si="63"/>
        <v>1999</v>
      </c>
      <c r="B2000">
        <v>2012</v>
      </c>
      <c r="C2000" t="s">
        <v>263</v>
      </c>
      <c r="D2000" t="s">
        <v>110</v>
      </c>
      <c r="E2000" t="s">
        <v>1430</v>
      </c>
      <c r="F2000" s="2">
        <v>100</v>
      </c>
      <c r="G2000" s="2">
        <v>15</v>
      </c>
      <c r="H2000" t="s">
        <v>1807</v>
      </c>
      <c r="I2000" t="s">
        <v>11</v>
      </c>
      <c r="J2000" s="11">
        <v>937.85209325115557</v>
      </c>
      <c r="K2000" t="str">
        <f t="shared" si="62"/>
        <v>Paul Swiencicki</v>
      </c>
    </row>
    <row r="2001" spans="1:11" hidden="1" x14ac:dyDescent="0.35">
      <c r="A2001">
        <f t="shared" si="63"/>
        <v>2000</v>
      </c>
      <c r="B2001">
        <v>2012</v>
      </c>
      <c r="C2001" t="s">
        <v>68</v>
      </c>
      <c r="D2001" t="s">
        <v>203</v>
      </c>
      <c r="E2001" t="s">
        <v>1430</v>
      </c>
      <c r="F2001" s="2">
        <v>846</v>
      </c>
      <c r="G2001" s="2">
        <v>1</v>
      </c>
      <c r="H2001" t="s">
        <v>217</v>
      </c>
      <c r="I2001" t="s">
        <v>218</v>
      </c>
      <c r="J2001" s="11">
        <v>1707.5701760979362</v>
      </c>
      <c r="K2001" t="str">
        <f t="shared" si="62"/>
        <v>Michael Patterson</v>
      </c>
    </row>
    <row r="2002" spans="1:11" hidden="1" x14ac:dyDescent="0.35">
      <c r="A2002">
        <f t="shared" si="63"/>
        <v>2001</v>
      </c>
      <c r="B2002">
        <v>2012</v>
      </c>
      <c r="C2002" t="s">
        <v>68</v>
      </c>
      <c r="D2002" t="s">
        <v>203</v>
      </c>
      <c r="E2002" t="s">
        <v>1430</v>
      </c>
      <c r="F2002" s="2">
        <v>633</v>
      </c>
      <c r="G2002" s="2">
        <v>2</v>
      </c>
      <c r="H2002" t="s">
        <v>100</v>
      </c>
      <c r="I2002" t="s">
        <v>52</v>
      </c>
      <c r="J2002" s="11">
        <v>1406.5401804339549</v>
      </c>
      <c r="K2002" t="str">
        <f t="shared" si="62"/>
        <v>Steven Eisenstein</v>
      </c>
    </row>
    <row r="2003" spans="1:11" hidden="1" x14ac:dyDescent="0.35">
      <c r="A2003">
        <f t="shared" si="63"/>
        <v>2002</v>
      </c>
      <c r="B2003">
        <v>2012</v>
      </c>
      <c r="C2003" t="s">
        <v>68</v>
      </c>
      <c r="D2003" t="s">
        <v>203</v>
      </c>
      <c r="E2003" t="s">
        <v>1430</v>
      </c>
      <c r="F2003" s="2">
        <v>480</v>
      </c>
      <c r="G2003" s="2">
        <v>3</v>
      </c>
      <c r="H2003" t="s">
        <v>226</v>
      </c>
      <c r="I2003" t="s">
        <v>227</v>
      </c>
      <c r="J2003" s="11">
        <v>1230.4489213782738</v>
      </c>
      <c r="K2003" t="str">
        <f t="shared" si="62"/>
        <v>Patti Beadles</v>
      </c>
    </row>
    <row r="2004" spans="1:11" hidden="1" x14ac:dyDescent="0.35">
      <c r="A2004">
        <f t="shared" si="63"/>
        <v>2003</v>
      </c>
      <c r="B2004">
        <v>2012</v>
      </c>
      <c r="C2004" t="s">
        <v>68</v>
      </c>
      <c r="D2004" t="s">
        <v>203</v>
      </c>
      <c r="E2004" t="s">
        <v>1430</v>
      </c>
      <c r="F2004" s="2">
        <v>388</v>
      </c>
      <c r="G2004" s="2">
        <v>4</v>
      </c>
      <c r="H2004" t="s">
        <v>383</v>
      </c>
      <c r="I2004" t="s">
        <v>384</v>
      </c>
      <c r="J2004" s="11">
        <v>1105.5101847699736</v>
      </c>
      <c r="K2004" t="str">
        <f t="shared" si="62"/>
        <v>Jeff Deitch</v>
      </c>
    </row>
    <row r="2005" spans="1:11" hidden="1" x14ac:dyDescent="0.35">
      <c r="A2005">
        <f t="shared" si="63"/>
        <v>2004</v>
      </c>
      <c r="B2005">
        <v>2012</v>
      </c>
      <c r="C2005" t="s">
        <v>68</v>
      </c>
      <c r="D2005" t="s">
        <v>203</v>
      </c>
      <c r="E2005" t="s">
        <v>1430</v>
      </c>
      <c r="F2005" s="2">
        <v>296</v>
      </c>
      <c r="G2005" s="2">
        <v>5</v>
      </c>
      <c r="H2005" t="s">
        <v>103</v>
      </c>
      <c r="I2005" t="s">
        <v>104</v>
      </c>
      <c r="J2005" s="11">
        <v>1008.6001717619175</v>
      </c>
      <c r="K2005" t="str">
        <f t="shared" si="62"/>
        <v>Masanobu Fujioka</v>
      </c>
    </row>
    <row r="2006" spans="1:11" hidden="1" x14ac:dyDescent="0.35">
      <c r="A2006">
        <f t="shared" si="63"/>
        <v>2005</v>
      </c>
      <c r="B2006">
        <v>2012</v>
      </c>
      <c r="C2006" t="s">
        <v>68</v>
      </c>
      <c r="D2006" t="s">
        <v>203</v>
      </c>
      <c r="E2006" t="s">
        <v>1430</v>
      </c>
      <c r="F2006" s="2">
        <v>204</v>
      </c>
      <c r="G2006" s="2">
        <v>6</v>
      </c>
      <c r="H2006" t="s">
        <v>387</v>
      </c>
      <c r="I2006" t="s">
        <v>521</v>
      </c>
      <c r="J2006" s="11">
        <v>929.41892571429264</v>
      </c>
      <c r="K2006" t="str">
        <f t="shared" si="62"/>
        <v>Chuck Humphrey</v>
      </c>
    </row>
    <row r="2007" spans="1:11" hidden="1" x14ac:dyDescent="0.35">
      <c r="A2007">
        <f t="shared" si="63"/>
        <v>2006</v>
      </c>
      <c r="B2007">
        <v>2012</v>
      </c>
      <c r="C2007" t="s">
        <v>68</v>
      </c>
      <c r="D2007" t="s">
        <v>203</v>
      </c>
      <c r="E2007" t="s">
        <v>1430</v>
      </c>
      <c r="F2007" s="2">
        <v>143</v>
      </c>
      <c r="G2007" s="2">
        <v>7</v>
      </c>
      <c r="H2007" t="s">
        <v>307</v>
      </c>
      <c r="I2007" t="s">
        <v>67</v>
      </c>
      <c r="J2007" s="11">
        <v>862.4721360836794</v>
      </c>
      <c r="K2007" t="str">
        <f t="shared" si="62"/>
        <v>Bob Ogus</v>
      </c>
    </row>
    <row r="2008" spans="1:11" hidden="1" x14ac:dyDescent="0.35">
      <c r="A2008">
        <f t="shared" si="63"/>
        <v>2007</v>
      </c>
      <c r="B2008">
        <v>2012</v>
      </c>
      <c r="C2008" t="s">
        <v>68</v>
      </c>
      <c r="D2008" t="s">
        <v>203</v>
      </c>
      <c r="E2008" t="s">
        <v>1430</v>
      </c>
      <c r="F2008" s="2">
        <v>70</v>
      </c>
      <c r="G2008" s="2">
        <v>8</v>
      </c>
      <c r="H2008" t="s">
        <v>390</v>
      </c>
      <c r="I2008" t="s">
        <v>391</v>
      </c>
      <c r="J2008" s="11">
        <v>804.48018910599274</v>
      </c>
      <c r="K2008" t="str">
        <f t="shared" si="62"/>
        <v>Josh Paley</v>
      </c>
    </row>
    <row r="2009" spans="1:11" hidden="1" x14ac:dyDescent="0.35">
      <c r="A2009">
        <f t="shared" si="63"/>
        <v>2008</v>
      </c>
      <c r="B2009">
        <v>2012</v>
      </c>
      <c r="C2009" t="s">
        <v>68</v>
      </c>
      <c r="D2009" t="s">
        <v>379</v>
      </c>
      <c r="E2009" t="s">
        <v>133</v>
      </c>
      <c r="F2009" s="2">
        <v>824</v>
      </c>
      <c r="G2009" s="2">
        <v>1</v>
      </c>
      <c r="H2009" t="s">
        <v>380</v>
      </c>
      <c r="I2009" t="s">
        <v>381</v>
      </c>
      <c r="J2009" s="11">
        <v>1690.1960800285137</v>
      </c>
      <c r="K2009" t="str">
        <f t="shared" si="62"/>
        <v>Monte Christensen</v>
      </c>
    </row>
    <row r="2010" spans="1:11" hidden="1" x14ac:dyDescent="0.35">
      <c r="A2010">
        <f t="shared" si="63"/>
        <v>2009</v>
      </c>
      <c r="B2010">
        <v>2012</v>
      </c>
      <c r="C2010" t="s">
        <v>68</v>
      </c>
      <c r="D2010" t="s">
        <v>379</v>
      </c>
      <c r="E2010" t="s">
        <v>133</v>
      </c>
      <c r="F2010" s="2">
        <v>617</v>
      </c>
      <c r="G2010" s="2">
        <v>2</v>
      </c>
      <c r="H2010" t="s">
        <v>206</v>
      </c>
      <c r="I2010" t="s">
        <v>207</v>
      </c>
      <c r="J2010" s="11">
        <v>1389.1660843645325</v>
      </c>
      <c r="K2010" t="str">
        <f t="shared" si="62"/>
        <v>Nick Christenson</v>
      </c>
    </row>
    <row r="2011" spans="1:11" hidden="1" x14ac:dyDescent="0.35">
      <c r="A2011">
        <f t="shared" si="63"/>
        <v>2010</v>
      </c>
      <c r="B2011">
        <v>2012</v>
      </c>
      <c r="C2011" t="s">
        <v>68</v>
      </c>
      <c r="D2011" t="s">
        <v>379</v>
      </c>
      <c r="E2011" t="s">
        <v>133</v>
      </c>
      <c r="F2011" s="2">
        <v>470</v>
      </c>
      <c r="G2011" s="2">
        <v>3</v>
      </c>
      <c r="H2011" t="s">
        <v>383</v>
      </c>
      <c r="I2011" t="s">
        <v>384</v>
      </c>
      <c r="J2011" s="11">
        <v>1213.0748253088514</v>
      </c>
      <c r="K2011" t="str">
        <f t="shared" si="62"/>
        <v>Jeff Deitch</v>
      </c>
    </row>
    <row r="2012" spans="1:11" hidden="1" x14ac:dyDescent="0.35">
      <c r="A2012">
        <f t="shared" si="63"/>
        <v>2011</v>
      </c>
      <c r="B2012">
        <v>2012</v>
      </c>
      <c r="C2012" t="s">
        <v>68</v>
      </c>
      <c r="D2012" t="s">
        <v>379</v>
      </c>
      <c r="E2012" t="s">
        <v>133</v>
      </c>
      <c r="F2012" s="2">
        <v>382</v>
      </c>
      <c r="G2012" s="2">
        <v>4</v>
      </c>
      <c r="H2012" t="s">
        <v>72</v>
      </c>
      <c r="I2012" t="s">
        <v>73</v>
      </c>
      <c r="J2012" s="11">
        <v>1088.1360887005512</v>
      </c>
      <c r="K2012" t="str">
        <f t="shared" si="62"/>
        <v>Corey Imsdahl</v>
      </c>
    </row>
    <row r="2013" spans="1:11" hidden="1" x14ac:dyDescent="0.35">
      <c r="A2013">
        <f t="shared" si="63"/>
        <v>2012</v>
      </c>
      <c r="B2013">
        <v>2012</v>
      </c>
      <c r="C2013" t="s">
        <v>68</v>
      </c>
      <c r="D2013" t="s">
        <v>379</v>
      </c>
      <c r="E2013" t="s">
        <v>133</v>
      </c>
      <c r="F2013" s="2">
        <v>294</v>
      </c>
      <c r="G2013" s="2">
        <v>5</v>
      </c>
      <c r="H2013" t="s">
        <v>316</v>
      </c>
      <c r="I2013" t="s">
        <v>269</v>
      </c>
      <c r="J2013" s="11">
        <v>991.22607569249476</v>
      </c>
      <c r="K2013" t="str">
        <f t="shared" si="62"/>
        <v>Keith Troell</v>
      </c>
    </row>
    <row r="2014" spans="1:11" hidden="1" x14ac:dyDescent="0.35">
      <c r="A2014">
        <f t="shared" si="63"/>
        <v>2013</v>
      </c>
      <c r="B2014">
        <v>2012</v>
      </c>
      <c r="C2014" t="s">
        <v>68</v>
      </c>
      <c r="D2014" t="s">
        <v>379</v>
      </c>
      <c r="E2014" t="s">
        <v>133</v>
      </c>
      <c r="F2014" s="2">
        <v>206</v>
      </c>
      <c r="G2014" s="2">
        <v>6</v>
      </c>
      <c r="H2014" t="s">
        <v>211</v>
      </c>
      <c r="I2014" t="s">
        <v>187</v>
      </c>
      <c r="J2014" s="11">
        <v>912.04482964486999</v>
      </c>
      <c r="K2014" t="str">
        <f t="shared" si="62"/>
        <v>Joe Long</v>
      </c>
    </row>
    <row r="2015" spans="1:11" hidden="1" x14ac:dyDescent="0.35">
      <c r="A2015">
        <f t="shared" si="63"/>
        <v>2014</v>
      </c>
      <c r="B2015">
        <v>2012</v>
      </c>
      <c r="C2015" t="s">
        <v>68</v>
      </c>
      <c r="D2015" t="s">
        <v>213</v>
      </c>
      <c r="E2015" t="s">
        <v>509</v>
      </c>
      <c r="F2015" s="2">
        <v>1134</v>
      </c>
      <c r="G2015" s="2">
        <v>1</v>
      </c>
      <c r="H2015" t="s">
        <v>86</v>
      </c>
      <c r="I2015" t="s">
        <v>393</v>
      </c>
      <c r="J2015" s="11">
        <v>1724.2758696007888</v>
      </c>
      <c r="K2015" t="str">
        <f t="shared" si="62"/>
        <v>Bree Goldman</v>
      </c>
    </row>
    <row r="2016" spans="1:11" hidden="1" x14ac:dyDescent="0.35">
      <c r="A2016">
        <f t="shared" si="63"/>
        <v>2015</v>
      </c>
      <c r="B2016">
        <v>2012</v>
      </c>
      <c r="C2016" t="s">
        <v>68</v>
      </c>
      <c r="D2016" t="s">
        <v>213</v>
      </c>
      <c r="E2016" t="s">
        <v>509</v>
      </c>
      <c r="F2016" s="2">
        <v>1133</v>
      </c>
      <c r="G2016" s="2">
        <v>2</v>
      </c>
      <c r="H2016" t="s">
        <v>78</v>
      </c>
      <c r="I2016" t="s">
        <v>79</v>
      </c>
      <c r="J2016" s="11">
        <v>1423.2458739368076</v>
      </c>
      <c r="K2016" t="str">
        <f t="shared" si="62"/>
        <v>Kevin Knourek</v>
      </c>
    </row>
    <row r="2017" spans="1:11" hidden="1" x14ac:dyDescent="0.35">
      <c r="A2017">
        <f t="shared" si="63"/>
        <v>2016</v>
      </c>
      <c r="B2017">
        <v>2012</v>
      </c>
      <c r="C2017" t="s">
        <v>68</v>
      </c>
      <c r="D2017" t="s">
        <v>213</v>
      </c>
      <c r="E2017" t="s">
        <v>509</v>
      </c>
      <c r="F2017" s="2">
        <v>1133</v>
      </c>
      <c r="G2017" s="2">
        <v>3</v>
      </c>
      <c r="H2017" t="s">
        <v>285</v>
      </c>
      <c r="I2017" t="s">
        <v>119</v>
      </c>
      <c r="J2017" s="11">
        <v>1247.1546148811265</v>
      </c>
      <c r="K2017" t="str">
        <f t="shared" si="62"/>
        <v>Peter Secor</v>
      </c>
    </row>
    <row r="2018" spans="1:11" hidden="1" x14ac:dyDescent="0.35">
      <c r="A2018">
        <f t="shared" si="63"/>
        <v>2017</v>
      </c>
      <c r="B2018">
        <v>2012</v>
      </c>
      <c r="C2018" t="s">
        <v>68</v>
      </c>
      <c r="D2018" t="s">
        <v>213</v>
      </c>
      <c r="E2018" t="s">
        <v>509</v>
      </c>
      <c r="F2018" s="2">
        <v>674</v>
      </c>
      <c r="G2018" s="2">
        <v>4</v>
      </c>
      <c r="H2018" t="s">
        <v>394</v>
      </c>
      <c r="I2018" t="s">
        <v>395</v>
      </c>
      <c r="J2018" s="11">
        <v>1122.2158782728266</v>
      </c>
      <c r="K2018" t="str">
        <f t="shared" si="62"/>
        <v>Troy Miller</v>
      </c>
    </row>
    <row r="2019" spans="1:11" hidden="1" x14ac:dyDescent="0.35">
      <c r="A2019">
        <f t="shared" si="63"/>
        <v>2018</v>
      </c>
      <c r="B2019">
        <v>2012</v>
      </c>
      <c r="C2019" t="s">
        <v>68</v>
      </c>
      <c r="D2019" t="s">
        <v>213</v>
      </c>
      <c r="E2019" t="s">
        <v>509</v>
      </c>
      <c r="F2019" s="2">
        <v>515</v>
      </c>
      <c r="G2019" s="2">
        <v>5</v>
      </c>
      <c r="H2019" t="s">
        <v>396</v>
      </c>
      <c r="I2019" t="s">
        <v>397</v>
      </c>
      <c r="J2019" s="11">
        <v>1025.3058652647699</v>
      </c>
      <c r="K2019" t="str">
        <f t="shared" si="62"/>
        <v>Asya Kamsky</v>
      </c>
    </row>
    <row r="2020" spans="1:11" hidden="1" x14ac:dyDescent="0.35">
      <c r="A2020">
        <f t="shared" si="63"/>
        <v>2019</v>
      </c>
      <c r="B2020">
        <v>2012</v>
      </c>
      <c r="C2020" t="s">
        <v>68</v>
      </c>
      <c r="D2020" t="s">
        <v>213</v>
      </c>
      <c r="E2020" t="s">
        <v>509</v>
      </c>
      <c r="F2020" s="2">
        <v>356</v>
      </c>
      <c r="G2020" s="2">
        <v>6</v>
      </c>
      <c r="H2020" t="s">
        <v>398</v>
      </c>
      <c r="I2020" t="s">
        <v>399</v>
      </c>
      <c r="J2020" s="11">
        <v>946.12461921714532</v>
      </c>
      <c r="K2020" t="str">
        <f t="shared" si="62"/>
        <v>Arthur Goltz</v>
      </c>
    </row>
    <row r="2021" spans="1:11" hidden="1" x14ac:dyDescent="0.35">
      <c r="A2021">
        <f t="shared" si="63"/>
        <v>2020</v>
      </c>
      <c r="B2021">
        <v>2012</v>
      </c>
      <c r="C2021" t="s">
        <v>68</v>
      </c>
      <c r="D2021" t="s">
        <v>213</v>
      </c>
      <c r="E2021" t="s">
        <v>509</v>
      </c>
      <c r="F2021" s="2">
        <v>250</v>
      </c>
      <c r="G2021" s="2">
        <v>7</v>
      </c>
      <c r="H2021" t="s">
        <v>83</v>
      </c>
      <c r="I2021" t="s">
        <v>36</v>
      </c>
      <c r="J2021" s="11">
        <v>879.17782958653208</v>
      </c>
      <c r="K2021" t="str">
        <f t="shared" si="62"/>
        <v>Nolan Hee</v>
      </c>
    </row>
    <row r="2022" spans="1:11" hidden="1" x14ac:dyDescent="0.35">
      <c r="A2022">
        <f t="shared" si="63"/>
        <v>2021</v>
      </c>
      <c r="B2022">
        <v>2012</v>
      </c>
      <c r="C2022" t="s">
        <v>68</v>
      </c>
      <c r="D2022" t="s">
        <v>213</v>
      </c>
      <c r="E2022" t="s">
        <v>509</v>
      </c>
      <c r="F2022" s="2">
        <v>105</v>
      </c>
      <c r="G2022" s="2">
        <v>8</v>
      </c>
      <c r="H2022" t="s">
        <v>383</v>
      </c>
      <c r="I2022" t="s">
        <v>384</v>
      </c>
      <c r="J2022" s="11">
        <v>821.18588260884542</v>
      </c>
      <c r="K2022" t="str">
        <f t="shared" si="62"/>
        <v>Jeff Deitch</v>
      </c>
    </row>
    <row r="2023" spans="1:11" hidden="1" x14ac:dyDescent="0.35">
      <c r="A2023">
        <f t="shared" si="63"/>
        <v>2022</v>
      </c>
      <c r="B2023">
        <v>2012</v>
      </c>
      <c r="C2023" t="s">
        <v>8</v>
      </c>
      <c r="D2023" t="s">
        <v>9</v>
      </c>
      <c r="E2023" t="s">
        <v>1429</v>
      </c>
      <c r="F2023" s="2">
        <v>550</v>
      </c>
      <c r="G2023" s="2">
        <v>1</v>
      </c>
      <c r="H2023" t="s">
        <v>2539</v>
      </c>
      <c r="I2023" t="s">
        <v>28</v>
      </c>
      <c r="J2023" s="11">
        <v>1505.149978319906</v>
      </c>
      <c r="K2023" t="str">
        <f t="shared" si="62"/>
        <v>Chris O’Connor</v>
      </c>
    </row>
    <row r="2024" spans="1:11" hidden="1" x14ac:dyDescent="0.35">
      <c r="A2024">
        <f t="shared" si="63"/>
        <v>2023</v>
      </c>
      <c r="B2024">
        <v>2012</v>
      </c>
      <c r="C2024" t="s">
        <v>8</v>
      </c>
      <c r="D2024" t="s">
        <v>9</v>
      </c>
      <c r="E2024" t="s">
        <v>1429</v>
      </c>
      <c r="F2024" s="2">
        <v>550</v>
      </c>
      <c r="G2024" s="2">
        <v>2</v>
      </c>
      <c r="H2024" t="s">
        <v>10</v>
      </c>
      <c r="I2024" t="s">
        <v>11</v>
      </c>
      <c r="J2024" s="11">
        <v>1204.1199826559248</v>
      </c>
      <c r="K2024" t="str">
        <f t="shared" si="62"/>
        <v>Paul Chakoian</v>
      </c>
    </row>
    <row r="2025" spans="1:11" hidden="1" x14ac:dyDescent="0.35">
      <c r="A2025">
        <f t="shared" si="63"/>
        <v>2024</v>
      </c>
      <c r="B2025">
        <v>2012</v>
      </c>
      <c r="C2025" t="s">
        <v>8</v>
      </c>
      <c r="D2025" t="s">
        <v>9</v>
      </c>
      <c r="E2025" t="s">
        <v>1429</v>
      </c>
      <c r="F2025" s="2">
        <v>550</v>
      </c>
      <c r="G2025" s="2">
        <v>3</v>
      </c>
      <c r="H2025" t="s">
        <v>256</v>
      </c>
      <c r="I2025" t="s">
        <v>257</v>
      </c>
      <c r="J2025" s="11">
        <v>1028.0287236002437</v>
      </c>
      <c r="K2025" t="str">
        <f t="shared" si="62"/>
        <v>Stephanie Wasserman</v>
      </c>
    </row>
    <row r="2026" spans="1:11" hidden="1" x14ac:dyDescent="0.35">
      <c r="A2026">
        <f t="shared" si="63"/>
        <v>2025</v>
      </c>
      <c r="B2026">
        <v>2012</v>
      </c>
      <c r="C2026" t="s">
        <v>8</v>
      </c>
      <c r="D2026" t="s">
        <v>9</v>
      </c>
      <c r="E2026" t="s">
        <v>1429</v>
      </c>
      <c r="F2026" s="2">
        <v>550</v>
      </c>
      <c r="G2026" s="2">
        <v>4</v>
      </c>
      <c r="H2026" t="s">
        <v>12</v>
      </c>
      <c r="I2026" t="s">
        <v>13</v>
      </c>
      <c r="J2026" s="11">
        <v>903.08998699194365</v>
      </c>
      <c r="K2026" t="str">
        <f t="shared" si="62"/>
        <v>Tom Bessoir</v>
      </c>
    </row>
    <row r="2027" spans="1:11" hidden="1" x14ac:dyDescent="0.35">
      <c r="A2027">
        <f t="shared" si="63"/>
        <v>2026</v>
      </c>
      <c r="B2027">
        <v>2012</v>
      </c>
      <c r="C2027" t="s">
        <v>8</v>
      </c>
      <c r="D2027" t="s">
        <v>9</v>
      </c>
      <c r="E2027" t="s">
        <v>1429</v>
      </c>
      <c r="F2027" s="2">
        <v>250</v>
      </c>
      <c r="G2027" s="2">
        <v>6.5</v>
      </c>
      <c r="H2027" t="s">
        <v>161</v>
      </c>
      <c r="I2027" t="s">
        <v>200</v>
      </c>
      <c r="J2027" s="11">
        <v>692.23662167705049</v>
      </c>
      <c r="K2027" t="str">
        <f t="shared" si="62"/>
        <v>Rick Becker</v>
      </c>
    </row>
    <row r="2028" spans="1:11" hidden="1" x14ac:dyDescent="0.35">
      <c r="A2028">
        <f t="shared" si="63"/>
        <v>2027</v>
      </c>
      <c r="B2028">
        <v>2012</v>
      </c>
      <c r="C2028" t="s">
        <v>8</v>
      </c>
      <c r="D2028" t="s">
        <v>9</v>
      </c>
      <c r="E2028" t="s">
        <v>1429</v>
      </c>
      <c r="F2028" s="2">
        <v>250</v>
      </c>
      <c r="G2028" s="2">
        <v>6.5</v>
      </c>
      <c r="H2028" t="s">
        <v>340</v>
      </c>
      <c r="I2028" t="s">
        <v>341</v>
      </c>
      <c r="J2028" s="11">
        <v>692.23662167705049</v>
      </c>
      <c r="K2028" t="str">
        <f t="shared" si="62"/>
        <v>Joel Catlett</v>
      </c>
    </row>
    <row r="2029" spans="1:11" hidden="1" x14ac:dyDescent="0.35">
      <c r="A2029">
        <f t="shared" si="63"/>
        <v>2028</v>
      </c>
      <c r="B2029">
        <v>2012</v>
      </c>
      <c r="C2029" t="s">
        <v>8</v>
      </c>
      <c r="D2029" t="s">
        <v>9</v>
      </c>
      <c r="E2029" t="s">
        <v>1429</v>
      </c>
      <c r="F2029" s="2">
        <v>250</v>
      </c>
      <c r="G2029" s="2">
        <v>6.5</v>
      </c>
      <c r="H2029" t="s">
        <v>343</v>
      </c>
      <c r="I2029" t="s">
        <v>344</v>
      </c>
      <c r="J2029" s="11">
        <v>692.23662167705049</v>
      </c>
      <c r="K2029" t="str">
        <f t="shared" si="62"/>
        <v>Candy Koepke</v>
      </c>
    </row>
    <row r="2030" spans="1:11" hidden="1" x14ac:dyDescent="0.35">
      <c r="A2030">
        <f t="shared" si="63"/>
        <v>2029</v>
      </c>
      <c r="B2030">
        <v>2012</v>
      </c>
      <c r="C2030" t="s">
        <v>8</v>
      </c>
      <c r="D2030" t="s">
        <v>9</v>
      </c>
      <c r="E2030" t="s">
        <v>1429</v>
      </c>
      <c r="F2030" s="2">
        <v>250</v>
      </c>
      <c r="G2030" s="2">
        <v>6.5</v>
      </c>
      <c r="H2030" t="s">
        <v>346</v>
      </c>
      <c r="I2030" t="s">
        <v>200</v>
      </c>
      <c r="J2030" s="11">
        <v>692.23662167705049</v>
      </c>
      <c r="K2030" t="str">
        <f t="shared" si="62"/>
        <v>Rick Sysko</v>
      </c>
    </row>
    <row r="2031" spans="1:11" hidden="1" x14ac:dyDescent="0.35">
      <c r="A2031">
        <f t="shared" si="63"/>
        <v>2030</v>
      </c>
      <c r="B2031">
        <v>2012</v>
      </c>
      <c r="C2031" t="s">
        <v>8</v>
      </c>
      <c r="D2031" t="s">
        <v>374</v>
      </c>
      <c r="E2031" t="s">
        <v>1430</v>
      </c>
      <c r="F2031" s="2">
        <v>1189</v>
      </c>
      <c r="G2031" s="2">
        <v>1</v>
      </c>
      <c r="H2031" t="s">
        <v>21</v>
      </c>
      <c r="I2031" t="s">
        <v>463</v>
      </c>
      <c r="J2031" s="11">
        <v>1544.0680443502756</v>
      </c>
      <c r="K2031" t="str">
        <f t="shared" si="62"/>
        <v>Richard Bremer</v>
      </c>
    </row>
    <row r="2032" spans="1:11" hidden="1" x14ac:dyDescent="0.35">
      <c r="A2032">
        <f t="shared" si="63"/>
        <v>2031</v>
      </c>
      <c r="B2032">
        <v>2012</v>
      </c>
      <c r="C2032" t="s">
        <v>8</v>
      </c>
      <c r="D2032" t="s">
        <v>374</v>
      </c>
      <c r="E2032" t="s">
        <v>1430</v>
      </c>
      <c r="F2032" s="2">
        <v>713</v>
      </c>
      <c r="G2032" s="2">
        <v>2</v>
      </c>
      <c r="H2032" t="s">
        <v>12</v>
      </c>
      <c r="I2032" t="s">
        <v>13</v>
      </c>
      <c r="J2032" s="11">
        <v>1243.0380486862944</v>
      </c>
      <c r="K2032" t="str">
        <f t="shared" si="62"/>
        <v>Tom Bessoir</v>
      </c>
    </row>
    <row r="2033" spans="1:11" hidden="1" x14ac:dyDescent="0.35">
      <c r="A2033">
        <f t="shared" si="63"/>
        <v>2032</v>
      </c>
      <c r="B2033">
        <v>2012</v>
      </c>
      <c r="C2033" t="s">
        <v>8</v>
      </c>
      <c r="D2033" t="s">
        <v>374</v>
      </c>
      <c r="E2033" t="s">
        <v>1430</v>
      </c>
      <c r="F2033" s="2">
        <v>475</v>
      </c>
      <c r="G2033" s="2">
        <v>3</v>
      </c>
      <c r="H2033" t="s">
        <v>161</v>
      </c>
      <c r="I2033" t="s">
        <v>200</v>
      </c>
      <c r="J2033" s="11">
        <v>1066.9467896306132</v>
      </c>
      <c r="K2033" t="str">
        <f t="shared" si="62"/>
        <v>Rick Becker</v>
      </c>
    </row>
    <row r="2034" spans="1:11" hidden="1" x14ac:dyDescent="0.35">
      <c r="A2034">
        <f t="shared" si="63"/>
        <v>2033</v>
      </c>
      <c r="B2034">
        <v>2012</v>
      </c>
      <c r="C2034" t="s">
        <v>8</v>
      </c>
      <c r="D2034" t="s">
        <v>374</v>
      </c>
      <c r="E2034" t="s">
        <v>1430</v>
      </c>
      <c r="F2034" s="2">
        <v>407</v>
      </c>
      <c r="G2034" s="2">
        <v>4</v>
      </c>
      <c r="H2034" t="s">
        <v>238</v>
      </c>
      <c r="I2034" t="s">
        <v>375</v>
      </c>
      <c r="J2034" s="11">
        <v>942.00805302231322</v>
      </c>
      <c r="K2034" t="str">
        <f t="shared" si="62"/>
        <v>Jessica Kuznick</v>
      </c>
    </row>
    <row r="2035" spans="1:11" hidden="1" x14ac:dyDescent="0.35">
      <c r="A2035">
        <f t="shared" si="63"/>
        <v>2034</v>
      </c>
      <c r="B2035">
        <v>2012</v>
      </c>
      <c r="C2035" t="s">
        <v>8</v>
      </c>
      <c r="D2035" t="s">
        <v>374</v>
      </c>
      <c r="E2035" t="s">
        <v>1430</v>
      </c>
      <c r="F2035" s="2">
        <v>340</v>
      </c>
      <c r="G2035" s="2">
        <v>5</v>
      </c>
      <c r="H2035" t="s">
        <v>377</v>
      </c>
      <c r="I2035" t="s">
        <v>119</v>
      </c>
      <c r="J2035" s="11">
        <v>845.09804001425687</v>
      </c>
      <c r="K2035" t="str">
        <f t="shared" si="62"/>
        <v>Peter Stephenson</v>
      </c>
    </row>
    <row r="2036" spans="1:11" hidden="1" x14ac:dyDescent="0.35">
      <c r="A2036">
        <f t="shared" si="63"/>
        <v>2035</v>
      </c>
      <c r="B2036">
        <v>2012</v>
      </c>
      <c r="C2036" t="s">
        <v>8</v>
      </c>
      <c r="D2036" t="s">
        <v>374</v>
      </c>
      <c r="E2036" t="s">
        <v>1430</v>
      </c>
      <c r="F2036" s="2">
        <v>271</v>
      </c>
      <c r="G2036" s="2">
        <v>6</v>
      </c>
      <c r="H2036" t="s">
        <v>80</v>
      </c>
      <c r="I2036" t="s">
        <v>156</v>
      </c>
      <c r="J2036" s="11">
        <v>765.91679396663199</v>
      </c>
      <c r="K2036" t="str">
        <f t="shared" si="62"/>
        <v>Ashley Adams</v>
      </c>
    </row>
    <row r="2037" spans="1:11" hidden="1" x14ac:dyDescent="0.35">
      <c r="A2037">
        <f t="shared" si="63"/>
        <v>2036</v>
      </c>
      <c r="B2037">
        <v>2012</v>
      </c>
      <c r="C2037" t="s">
        <v>8</v>
      </c>
      <c r="D2037" t="s">
        <v>45</v>
      </c>
      <c r="E2037" t="s">
        <v>1429</v>
      </c>
      <c r="F2037" s="2">
        <v>1976</v>
      </c>
      <c r="G2037" s="2">
        <v>1</v>
      </c>
      <c r="H2037" t="s">
        <v>363</v>
      </c>
      <c r="I2037" t="s">
        <v>364</v>
      </c>
      <c r="J2037" s="11">
        <v>1857.3324964312685</v>
      </c>
      <c r="K2037" t="str">
        <f t="shared" si="62"/>
        <v>Warren Sander</v>
      </c>
    </row>
    <row r="2038" spans="1:11" hidden="1" x14ac:dyDescent="0.35">
      <c r="A2038">
        <f t="shared" si="63"/>
        <v>2037</v>
      </c>
      <c r="B2038">
        <v>2012</v>
      </c>
      <c r="C2038" t="s">
        <v>8</v>
      </c>
      <c r="D2038" t="s">
        <v>45</v>
      </c>
      <c r="E2038" t="s">
        <v>1429</v>
      </c>
      <c r="F2038" s="2">
        <v>1327</v>
      </c>
      <c r="G2038" s="2">
        <v>2</v>
      </c>
      <c r="H2038" t="s">
        <v>366</v>
      </c>
      <c r="I2038" t="s">
        <v>61</v>
      </c>
      <c r="J2038" s="11">
        <v>1556.3025007672873</v>
      </c>
      <c r="K2038" t="str">
        <f t="shared" si="62"/>
        <v>Len Greenberg</v>
      </c>
    </row>
    <row r="2039" spans="1:11" hidden="1" x14ac:dyDescent="0.35">
      <c r="A2039">
        <f t="shared" si="63"/>
        <v>2038</v>
      </c>
      <c r="B2039">
        <v>2012</v>
      </c>
      <c r="C2039" t="s">
        <v>8</v>
      </c>
      <c r="D2039" t="s">
        <v>45</v>
      </c>
      <c r="E2039" t="s">
        <v>1429</v>
      </c>
      <c r="F2039" s="2">
        <v>908</v>
      </c>
      <c r="G2039" s="2">
        <v>3</v>
      </c>
      <c r="H2039" t="s">
        <v>169</v>
      </c>
      <c r="I2039" t="s">
        <v>368</v>
      </c>
      <c r="J2039" s="11">
        <v>1380.2112417116061</v>
      </c>
      <c r="K2039" t="str">
        <f t="shared" si="62"/>
        <v>Clinton Lanphier</v>
      </c>
    </row>
    <row r="2040" spans="1:11" hidden="1" x14ac:dyDescent="0.35">
      <c r="A2040">
        <f t="shared" si="63"/>
        <v>2039</v>
      </c>
      <c r="B2040">
        <v>2012</v>
      </c>
      <c r="C2040" t="s">
        <v>8</v>
      </c>
      <c r="D2040" t="s">
        <v>45</v>
      </c>
      <c r="E2040" t="s">
        <v>1429</v>
      </c>
      <c r="F2040" s="2">
        <v>733</v>
      </c>
      <c r="G2040" s="2">
        <v>4</v>
      </c>
      <c r="H2040" t="s">
        <v>189</v>
      </c>
      <c r="I2040" t="s">
        <v>190</v>
      </c>
      <c r="J2040" s="11">
        <v>1255.272505103306</v>
      </c>
      <c r="K2040" t="str">
        <f t="shared" si="62"/>
        <v>Gary Starr</v>
      </c>
    </row>
    <row r="2041" spans="1:11" hidden="1" x14ac:dyDescent="0.35">
      <c r="A2041">
        <f t="shared" si="63"/>
        <v>2040</v>
      </c>
      <c r="B2041">
        <v>2012</v>
      </c>
      <c r="C2041" t="s">
        <v>8</v>
      </c>
      <c r="D2041" t="s">
        <v>45</v>
      </c>
      <c r="E2041" t="s">
        <v>1429</v>
      </c>
      <c r="F2041" s="2">
        <v>628</v>
      </c>
      <c r="G2041" s="2">
        <v>5</v>
      </c>
      <c r="H2041" t="s">
        <v>57</v>
      </c>
      <c r="I2041" t="s">
        <v>370</v>
      </c>
      <c r="J2041" s="11">
        <v>1158.3624920952498</v>
      </c>
      <c r="K2041" t="str">
        <f t="shared" si="62"/>
        <v>Sally Rogers</v>
      </c>
    </row>
    <row r="2042" spans="1:11" hidden="1" x14ac:dyDescent="0.35">
      <c r="A2042">
        <f t="shared" si="63"/>
        <v>2041</v>
      </c>
      <c r="B2042">
        <v>2012</v>
      </c>
      <c r="C2042" t="s">
        <v>8</v>
      </c>
      <c r="D2042" t="s">
        <v>45</v>
      </c>
      <c r="E2042" t="s">
        <v>1429</v>
      </c>
      <c r="F2042" s="2">
        <v>524</v>
      </c>
      <c r="G2042" s="2">
        <v>6</v>
      </c>
      <c r="H2042" t="s">
        <v>48</v>
      </c>
      <c r="I2042" t="s">
        <v>49</v>
      </c>
      <c r="J2042" s="11">
        <v>1079.1812460476249</v>
      </c>
      <c r="K2042" t="str">
        <f t="shared" si="62"/>
        <v>Regis Donovan</v>
      </c>
    </row>
    <row r="2043" spans="1:11" hidden="1" x14ac:dyDescent="0.35">
      <c r="A2043">
        <f t="shared" si="63"/>
        <v>2042</v>
      </c>
      <c r="B2043">
        <v>2012</v>
      </c>
      <c r="C2043" t="s">
        <v>8</v>
      </c>
      <c r="D2043" t="s">
        <v>45</v>
      </c>
      <c r="E2043" t="s">
        <v>1429</v>
      </c>
      <c r="F2043" s="2">
        <v>419</v>
      </c>
      <c r="G2043" s="2">
        <v>7</v>
      </c>
      <c r="H2043" t="s">
        <v>64</v>
      </c>
      <c r="I2043" t="s">
        <v>65</v>
      </c>
      <c r="J2043" s="11">
        <v>1012.2344564170116</v>
      </c>
      <c r="K2043" t="str">
        <f t="shared" si="62"/>
        <v>Steve Daniel</v>
      </c>
    </row>
    <row r="2044" spans="1:11" hidden="1" x14ac:dyDescent="0.35">
      <c r="A2044">
        <f t="shared" si="63"/>
        <v>2043</v>
      </c>
      <c r="B2044">
        <v>2012</v>
      </c>
      <c r="C2044" t="s">
        <v>8</v>
      </c>
      <c r="D2044" t="s">
        <v>45</v>
      </c>
      <c r="E2044" t="s">
        <v>1429</v>
      </c>
      <c r="F2044" s="2">
        <v>349</v>
      </c>
      <c r="G2044" s="2">
        <v>8</v>
      </c>
      <c r="H2044" t="s">
        <v>53</v>
      </c>
      <c r="I2044" t="s">
        <v>54</v>
      </c>
      <c r="J2044" s="11">
        <v>954.24250943932498</v>
      </c>
      <c r="K2044" t="str">
        <f t="shared" si="62"/>
        <v>Joyce Ciotti</v>
      </c>
    </row>
    <row r="2045" spans="1:11" hidden="1" x14ac:dyDescent="0.35">
      <c r="A2045">
        <f t="shared" si="63"/>
        <v>2044</v>
      </c>
      <c r="B2045">
        <v>2012</v>
      </c>
      <c r="C2045" t="s">
        <v>8</v>
      </c>
      <c r="D2045" t="s">
        <v>45</v>
      </c>
      <c r="E2045" t="s">
        <v>1429</v>
      </c>
      <c r="F2045" s="2">
        <v>120</v>
      </c>
      <c r="G2045" s="2">
        <v>9</v>
      </c>
      <c r="H2045" t="s">
        <v>256</v>
      </c>
      <c r="I2045" t="s">
        <v>257</v>
      </c>
      <c r="J2045" s="11">
        <v>903.08998699194365</v>
      </c>
      <c r="K2045" t="str">
        <f t="shared" si="62"/>
        <v>Stephanie Wasserman</v>
      </c>
    </row>
    <row r="2046" spans="1:11" hidden="1" x14ac:dyDescent="0.35">
      <c r="A2046">
        <f t="shared" si="63"/>
        <v>2045</v>
      </c>
      <c r="B2046">
        <v>2012</v>
      </c>
      <c r="C2046" t="s">
        <v>8</v>
      </c>
      <c r="D2046" t="s">
        <v>348</v>
      </c>
      <c r="E2046" t="s">
        <v>1430</v>
      </c>
      <c r="F2046" s="2">
        <v>752.5</v>
      </c>
      <c r="G2046" s="2">
        <v>1</v>
      </c>
      <c r="H2046" t="s">
        <v>43</v>
      </c>
      <c r="I2046" t="s">
        <v>218</v>
      </c>
      <c r="J2046" s="11">
        <v>772.03402217513781</v>
      </c>
      <c r="K2046" t="str">
        <f t="shared" si="62"/>
        <v>Michael Klein</v>
      </c>
    </row>
    <row r="2047" spans="1:11" hidden="1" x14ac:dyDescent="0.35">
      <c r="A2047">
        <f t="shared" si="63"/>
        <v>2046</v>
      </c>
      <c r="B2047">
        <v>2012</v>
      </c>
      <c r="C2047" t="s">
        <v>8</v>
      </c>
      <c r="D2047" t="s">
        <v>348</v>
      </c>
      <c r="E2047" t="s">
        <v>1430</v>
      </c>
      <c r="F2047" s="2">
        <v>752.5</v>
      </c>
      <c r="G2047" s="2">
        <v>1</v>
      </c>
      <c r="H2047" t="s">
        <v>130</v>
      </c>
      <c r="I2047" t="s">
        <v>131</v>
      </c>
      <c r="J2047" s="11">
        <v>772.03402217513781</v>
      </c>
      <c r="K2047" t="str">
        <f t="shared" si="62"/>
        <v>Alan Stuart</v>
      </c>
    </row>
    <row r="2048" spans="1:11" hidden="1" x14ac:dyDescent="0.35">
      <c r="A2048">
        <f t="shared" si="63"/>
        <v>2047</v>
      </c>
      <c r="B2048">
        <v>2012</v>
      </c>
      <c r="C2048" t="s">
        <v>8</v>
      </c>
      <c r="D2048" t="s">
        <v>348</v>
      </c>
      <c r="E2048" t="s">
        <v>1430</v>
      </c>
      <c r="F2048" s="2">
        <v>752</v>
      </c>
      <c r="G2048" s="2">
        <v>2</v>
      </c>
      <c r="H2048" t="s">
        <v>173</v>
      </c>
      <c r="I2048" t="s">
        <v>117</v>
      </c>
      <c r="J2048" s="11">
        <v>621.51902434314718</v>
      </c>
      <c r="K2048" t="str">
        <f t="shared" si="62"/>
        <v>Thomas Aprea</v>
      </c>
    </row>
    <row r="2049" spans="1:11" hidden="1" x14ac:dyDescent="0.35">
      <c r="A2049">
        <f t="shared" si="63"/>
        <v>2048</v>
      </c>
      <c r="B2049">
        <v>2012</v>
      </c>
      <c r="C2049" t="s">
        <v>8</v>
      </c>
      <c r="D2049" t="s">
        <v>348</v>
      </c>
      <c r="E2049" t="s">
        <v>1430</v>
      </c>
      <c r="F2049" s="2">
        <v>752</v>
      </c>
      <c r="G2049" s="2">
        <v>2</v>
      </c>
      <c r="H2049" t="s">
        <v>46</v>
      </c>
      <c r="I2049" t="s">
        <v>47</v>
      </c>
      <c r="J2049" s="11">
        <v>621.51902434314718</v>
      </c>
      <c r="K2049" t="str">
        <f t="shared" si="62"/>
        <v>Alpo Kallio</v>
      </c>
    </row>
    <row r="2050" spans="1:11" hidden="1" x14ac:dyDescent="0.35">
      <c r="A2050">
        <f t="shared" si="63"/>
        <v>2049</v>
      </c>
      <c r="B2050">
        <v>2012</v>
      </c>
      <c r="C2050" t="s">
        <v>8</v>
      </c>
      <c r="D2050" t="s">
        <v>348</v>
      </c>
      <c r="E2050" t="s">
        <v>1430</v>
      </c>
      <c r="F2050" s="2">
        <v>792</v>
      </c>
      <c r="G2050" s="2">
        <v>3</v>
      </c>
      <c r="H2050" t="s">
        <v>57</v>
      </c>
      <c r="I2050" t="s">
        <v>350</v>
      </c>
      <c r="J2050" s="11">
        <v>533.47339481530662</v>
      </c>
      <c r="K2050" t="str">
        <f t="shared" ref="K2050:K2113" si="64">I2050&amp;" "&amp;H2050</f>
        <v>Helen Rogers</v>
      </c>
    </row>
    <row r="2051" spans="1:11" hidden="1" x14ac:dyDescent="0.35">
      <c r="A2051">
        <f t="shared" si="63"/>
        <v>2050</v>
      </c>
      <c r="B2051">
        <v>2012</v>
      </c>
      <c r="C2051" t="s">
        <v>8</v>
      </c>
      <c r="D2051" t="s">
        <v>348</v>
      </c>
      <c r="E2051" t="s">
        <v>1430</v>
      </c>
      <c r="F2051" s="2">
        <v>792</v>
      </c>
      <c r="G2051" s="2">
        <v>3</v>
      </c>
      <c r="H2051" t="s">
        <v>183</v>
      </c>
      <c r="I2051" t="s">
        <v>13</v>
      </c>
      <c r="J2051" s="11">
        <v>533.47339481530662</v>
      </c>
      <c r="K2051" t="str">
        <f t="shared" si="64"/>
        <v>Tom White</v>
      </c>
    </row>
    <row r="2052" spans="1:11" hidden="1" x14ac:dyDescent="0.35">
      <c r="A2052">
        <f t="shared" ref="A2052:A2115" si="65">A2051+1</f>
        <v>2051</v>
      </c>
      <c r="B2052">
        <v>2012</v>
      </c>
      <c r="C2052" t="s">
        <v>8</v>
      </c>
      <c r="D2052" t="s">
        <v>348</v>
      </c>
      <c r="E2052" t="s">
        <v>1430</v>
      </c>
      <c r="F2052" s="2">
        <v>367.5</v>
      </c>
      <c r="G2052" s="2">
        <v>4</v>
      </c>
      <c r="H2052" t="s">
        <v>21</v>
      </c>
      <c r="I2052" t="s">
        <v>463</v>
      </c>
      <c r="J2052" s="11">
        <v>471.00402651115661</v>
      </c>
      <c r="K2052" t="str">
        <f t="shared" si="64"/>
        <v>Richard Bremer</v>
      </c>
    </row>
    <row r="2053" spans="1:11" hidden="1" x14ac:dyDescent="0.35">
      <c r="A2053">
        <f t="shared" si="65"/>
        <v>2052</v>
      </c>
      <c r="B2053">
        <v>2012</v>
      </c>
      <c r="C2053" t="s">
        <v>8</v>
      </c>
      <c r="D2053" t="s">
        <v>348</v>
      </c>
      <c r="E2053" t="s">
        <v>1430</v>
      </c>
      <c r="F2053" s="2">
        <v>367.5</v>
      </c>
      <c r="G2053" s="2">
        <v>4</v>
      </c>
      <c r="H2053" t="s">
        <v>351</v>
      </c>
      <c r="I2053" t="s">
        <v>153</v>
      </c>
      <c r="J2053" s="11">
        <v>471.00402651115661</v>
      </c>
      <c r="K2053" t="str">
        <f t="shared" si="64"/>
        <v>Stephen Lewin-Berlin</v>
      </c>
    </row>
    <row r="2054" spans="1:11" hidden="1" x14ac:dyDescent="0.35">
      <c r="A2054">
        <f t="shared" si="65"/>
        <v>2053</v>
      </c>
      <c r="B2054">
        <v>2012</v>
      </c>
      <c r="C2054" t="s">
        <v>8</v>
      </c>
      <c r="D2054" t="s">
        <v>348</v>
      </c>
      <c r="E2054" t="s">
        <v>1430</v>
      </c>
      <c r="F2054" s="2">
        <v>299.5</v>
      </c>
      <c r="G2054" s="2">
        <v>5</v>
      </c>
      <c r="H2054" t="s">
        <v>355</v>
      </c>
      <c r="I2054" t="s">
        <v>356</v>
      </c>
      <c r="J2054" s="11">
        <v>422.54902000712843</v>
      </c>
      <c r="K2054" t="str">
        <f t="shared" si="64"/>
        <v>Danny Hofer</v>
      </c>
    </row>
    <row r="2055" spans="1:11" hidden="1" x14ac:dyDescent="0.35">
      <c r="A2055">
        <f t="shared" si="65"/>
        <v>2054</v>
      </c>
      <c r="B2055">
        <v>2012</v>
      </c>
      <c r="C2055" t="s">
        <v>8</v>
      </c>
      <c r="D2055" t="s">
        <v>348</v>
      </c>
      <c r="E2055" t="s">
        <v>1430</v>
      </c>
      <c r="F2055" s="2">
        <v>299.5</v>
      </c>
      <c r="G2055" s="2">
        <v>5</v>
      </c>
      <c r="H2055" t="s">
        <v>352</v>
      </c>
      <c r="I2055" t="s">
        <v>353</v>
      </c>
      <c r="J2055" s="11">
        <v>422.54902000712843</v>
      </c>
      <c r="K2055" t="str">
        <f t="shared" si="64"/>
        <v>Frank Sordi</v>
      </c>
    </row>
    <row r="2056" spans="1:11" hidden="1" x14ac:dyDescent="0.35">
      <c r="A2056">
        <f t="shared" si="65"/>
        <v>2055</v>
      </c>
      <c r="B2056">
        <v>2012</v>
      </c>
      <c r="C2056" t="s">
        <v>8</v>
      </c>
      <c r="D2056" t="s">
        <v>348</v>
      </c>
      <c r="E2056" t="s">
        <v>1430</v>
      </c>
      <c r="F2056" s="2">
        <v>231.5</v>
      </c>
      <c r="G2056" s="2">
        <v>6</v>
      </c>
      <c r="H2056" t="s">
        <v>357</v>
      </c>
      <c r="I2056" t="s">
        <v>463</v>
      </c>
      <c r="J2056" s="11">
        <v>382.95839698331599</v>
      </c>
      <c r="K2056" t="str">
        <f t="shared" si="64"/>
        <v>Richard Goodridge</v>
      </c>
    </row>
    <row r="2057" spans="1:11" hidden="1" x14ac:dyDescent="0.35">
      <c r="A2057">
        <f t="shared" si="65"/>
        <v>2056</v>
      </c>
      <c r="B2057">
        <v>2012</v>
      </c>
      <c r="C2057" t="s">
        <v>8</v>
      </c>
      <c r="D2057" t="s">
        <v>348</v>
      </c>
      <c r="E2057" t="s">
        <v>1430</v>
      </c>
      <c r="F2057" s="2">
        <v>231.5</v>
      </c>
      <c r="G2057" s="2">
        <v>6</v>
      </c>
      <c r="H2057" t="s">
        <v>357</v>
      </c>
      <c r="I2057" t="s">
        <v>463</v>
      </c>
      <c r="J2057" s="11">
        <v>382.95839698331599</v>
      </c>
      <c r="K2057" t="str">
        <f t="shared" si="64"/>
        <v>Richard Goodridge</v>
      </c>
    </row>
    <row r="2058" spans="1:11" hidden="1" x14ac:dyDescent="0.35">
      <c r="A2058">
        <f t="shared" si="65"/>
        <v>2057</v>
      </c>
      <c r="B2058">
        <v>2012</v>
      </c>
      <c r="C2058" t="s">
        <v>8</v>
      </c>
      <c r="D2058" t="s">
        <v>348</v>
      </c>
      <c r="E2058" t="s">
        <v>1430</v>
      </c>
      <c r="F2058" s="2">
        <v>100</v>
      </c>
      <c r="G2058" s="2">
        <v>7</v>
      </c>
      <c r="H2058" t="s">
        <v>360</v>
      </c>
      <c r="I2058" t="s">
        <v>361</v>
      </c>
      <c r="J2058" s="11">
        <v>349.48500216800943</v>
      </c>
      <c r="K2058" t="str">
        <f t="shared" si="64"/>
        <v>Jon Maren</v>
      </c>
    </row>
    <row r="2059" spans="1:11" hidden="1" x14ac:dyDescent="0.35">
      <c r="A2059">
        <f t="shared" si="65"/>
        <v>2058</v>
      </c>
      <c r="B2059">
        <v>2012</v>
      </c>
      <c r="C2059" t="s">
        <v>8</v>
      </c>
      <c r="D2059" t="s">
        <v>348</v>
      </c>
      <c r="E2059" t="s">
        <v>1430</v>
      </c>
      <c r="F2059" s="2">
        <v>100</v>
      </c>
      <c r="G2059" s="2">
        <v>7</v>
      </c>
      <c r="H2059" t="s">
        <v>358</v>
      </c>
      <c r="I2059" t="s">
        <v>359</v>
      </c>
      <c r="J2059" s="11">
        <v>349.48500216800943</v>
      </c>
      <c r="K2059" t="str">
        <f t="shared" si="64"/>
        <v>Chip Rosenberg</v>
      </c>
    </row>
    <row r="2060" spans="1:11" hidden="1" x14ac:dyDescent="0.35">
      <c r="A2060">
        <f t="shared" si="65"/>
        <v>2059</v>
      </c>
      <c r="B2060">
        <v>2012</v>
      </c>
      <c r="C2060" t="s">
        <v>8</v>
      </c>
      <c r="D2060" t="s">
        <v>348</v>
      </c>
      <c r="E2060" t="s">
        <v>1430</v>
      </c>
      <c r="F2060" s="2">
        <v>100</v>
      </c>
      <c r="G2060" s="2">
        <v>8</v>
      </c>
      <c r="H2060" t="s">
        <v>19</v>
      </c>
      <c r="I2060" t="s">
        <v>20</v>
      </c>
      <c r="J2060" s="11">
        <v>320.48902867916604</v>
      </c>
      <c r="K2060" t="str">
        <f t="shared" si="64"/>
        <v>Barry Kornspan</v>
      </c>
    </row>
    <row r="2061" spans="1:11" hidden="1" x14ac:dyDescent="0.35">
      <c r="A2061">
        <f t="shared" si="65"/>
        <v>2060</v>
      </c>
      <c r="B2061">
        <v>2012</v>
      </c>
      <c r="C2061" t="s">
        <v>8</v>
      </c>
      <c r="D2061" t="s">
        <v>348</v>
      </c>
      <c r="E2061" t="s">
        <v>1430</v>
      </c>
      <c r="F2061" s="2">
        <v>100</v>
      </c>
      <c r="G2061" s="2">
        <v>8</v>
      </c>
      <c r="H2061" t="s">
        <v>118</v>
      </c>
      <c r="I2061" t="s">
        <v>415</v>
      </c>
      <c r="J2061" s="11">
        <v>320.48902867916604</v>
      </c>
      <c r="K2061" t="str">
        <f t="shared" si="64"/>
        <v>Pete Segal</v>
      </c>
    </row>
    <row r="2062" spans="1:11" hidden="1" x14ac:dyDescent="0.35">
      <c r="A2062">
        <f t="shared" si="65"/>
        <v>2061</v>
      </c>
      <c r="B2062">
        <v>2013</v>
      </c>
      <c r="C2062" t="s">
        <v>109</v>
      </c>
      <c r="D2062" t="s">
        <v>45</v>
      </c>
      <c r="E2062" t="s">
        <v>1429</v>
      </c>
      <c r="F2062" s="2">
        <v>1800</v>
      </c>
      <c r="G2062" s="2">
        <v>1</v>
      </c>
      <c r="H2062" t="s">
        <v>100</v>
      </c>
      <c r="I2062" t="s">
        <v>52</v>
      </c>
      <c r="J2062" s="11">
        <v>2021.1892990699382</v>
      </c>
      <c r="K2062" t="str">
        <f t="shared" si="64"/>
        <v>Steven Eisenstein</v>
      </c>
    </row>
    <row r="2063" spans="1:11" hidden="1" x14ac:dyDescent="0.35">
      <c r="A2063">
        <f t="shared" si="65"/>
        <v>2062</v>
      </c>
      <c r="B2063">
        <v>2013</v>
      </c>
      <c r="C2063" t="s">
        <v>109</v>
      </c>
      <c r="D2063" t="s">
        <v>45</v>
      </c>
      <c r="E2063" t="s">
        <v>1429</v>
      </c>
      <c r="F2063" s="2">
        <v>1800</v>
      </c>
      <c r="G2063" s="2">
        <v>2</v>
      </c>
      <c r="H2063" t="s">
        <v>248</v>
      </c>
      <c r="I2063" t="s">
        <v>249</v>
      </c>
      <c r="J2063" s="11">
        <v>1720.159303405957</v>
      </c>
      <c r="K2063" t="str">
        <f t="shared" si="64"/>
        <v>Ross Poppel</v>
      </c>
    </row>
    <row r="2064" spans="1:11" hidden="1" x14ac:dyDescent="0.35">
      <c r="A2064">
        <f t="shared" si="65"/>
        <v>2063</v>
      </c>
      <c r="B2064">
        <v>2013</v>
      </c>
      <c r="C2064" t="s">
        <v>109</v>
      </c>
      <c r="D2064" t="s">
        <v>45</v>
      </c>
      <c r="E2064" t="s">
        <v>1429</v>
      </c>
      <c r="F2064" s="2">
        <v>1800</v>
      </c>
      <c r="G2064" s="2">
        <v>3</v>
      </c>
      <c r="H2064" t="s">
        <v>127</v>
      </c>
      <c r="I2064" t="s">
        <v>128</v>
      </c>
      <c r="J2064" s="11">
        <v>1544.0680443502758</v>
      </c>
      <c r="K2064" t="str">
        <f t="shared" si="64"/>
        <v>Lee Ilagan</v>
      </c>
    </row>
    <row r="2065" spans="1:11" hidden="1" x14ac:dyDescent="0.35">
      <c r="A2065">
        <f t="shared" si="65"/>
        <v>2064</v>
      </c>
      <c r="B2065">
        <v>2013</v>
      </c>
      <c r="C2065" t="s">
        <v>109</v>
      </c>
      <c r="D2065" t="s">
        <v>45</v>
      </c>
      <c r="E2065" t="s">
        <v>1429</v>
      </c>
      <c r="F2065" s="2">
        <v>1800</v>
      </c>
      <c r="G2065" s="2">
        <v>4</v>
      </c>
      <c r="H2065" t="s">
        <v>251</v>
      </c>
      <c r="I2065" t="s">
        <v>252</v>
      </c>
      <c r="J2065" s="11">
        <v>1419.1293077419757</v>
      </c>
      <c r="K2065" t="str">
        <f t="shared" si="64"/>
        <v>Linda Lewis</v>
      </c>
    </row>
    <row r="2066" spans="1:11" hidden="1" x14ac:dyDescent="0.35">
      <c r="A2066">
        <f t="shared" si="65"/>
        <v>2065</v>
      </c>
      <c r="B2066">
        <v>2013</v>
      </c>
      <c r="C2066" t="s">
        <v>109</v>
      </c>
      <c r="D2066" t="s">
        <v>45</v>
      </c>
      <c r="E2066" t="s">
        <v>1429</v>
      </c>
      <c r="F2066" s="2">
        <v>1800</v>
      </c>
      <c r="G2066" s="2">
        <v>5</v>
      </c>
      <c r="H2066" t="s">
        <v>254</v>
      </c>
      <c r="I2066" t="s">
        <v>136</v>
      </c>
      <c r="J2066" s="11">
        <v>1322.2192947339195</v>
      </c>
      <c r="K2066" t="str">
        <f t="shared" si="64"/>
        <v>John Timm</v>
      </c>
    </row>
    <row r="2067" spans="1:11" hidden="1" x14ac:dyDescent="0.35">
      <c r="A2067">
        <f t="shared" si="65"/>
        <v>2066</v>
      </c>
      <c r="B2067">
        <v>2013</v>
      </c>
      <c r="C2067" t="s">
        <v>109</v>
      </c>
      <c r="D2067" t="s">
        <v>45</v>
      </c>
      <c r="E2067" t="s">
        <v>1429</v>
      </c>
      <c r="F2067" s="2">
        <v>1800</v>
      </c>
      <c r="G2067" s="2">
        <v>6</v>
      </c>
      <c r="H2067" t="s">
        <v>185</v>
      </c>
      <c r="I2067" t="s">
        <v>20</v>
      </c>
      <c r="J2067" s="11">
        <v>1243.0380486862946</v>
      </c>
      <c r="K2067" t="str">
        <f t="shared" si="64"/>
        <v>Barry Meltzer</v>
      </c>
    </row>
    <row r="2068" spans="1:11" hidden="1" x14ac:dyDescent="0.35">
      <c r="A2068">
        <f t="shared" si="65"/>
        <v>2067</v>
      </c>
      <c r="B2068">
        <v>2013</v>
      </c>
      <c r="C2068" t="s">
        <v>109</v>
      </c>
      <c r="D2068" t="s">
        <v>45</v>
      </c>
      <c r="E2068" t="s">
        <v>1429</v>
      </c>
      <c r="F2068" s="2">
        <v>1800</v>
      </c>
      <c r="G2068" s="2">
        <v>7</v>
      </c>
      <c r="H2068" t="s">
        <v>202</v>
      </c>
      <c r="I2068" t="s">
        <v>205</v>
      </c>
      <c r="J2068" s="11">
        <v>1176.0912590556813</v>
      </c>
      <c r="K2068" t="str">
        <f t="shared" si="64"/>
        <v>Ron Lyons</v>
      </c>
    </row>
    <row r="2069" spans="1:11" hidden="1" x14ac:dyDescent="0.35">
      <c r="A2069">
        <f t="shared" si="65"/>
        <v>2068</v>
      </c>
      <c r="B2069">
        <v>2013</v>
      </c>
      <c r="C2069" t="s">
        <v>109</v>
      </c>
      <c r="D2069" t="s">
        <v>45</v>
      </c>
      <c r="E2069" t="s">
        <v>1429</v>
      </c>
      <c r="F2069" s="2">
        <v>1800</v>
      </c>
      <c r="G2069" s="2">
        <v>8</v>
      </c>
      <c r="H2069" t="s">
        <v>256</v>
      </c>
      <c r="I2069" t="s">
        <v>257</v>
      </c>
      <c r="J2069" s="11">
        <v>1118.0993120779947</v>
      </c>
      <c r="K2069" t="str">
        <f t="shared" si="64"/>
        <v>Stephanie Wasserman</v>
      </c>
    </row>
    <row r="2070" spans="1:11" hidden="1" x14ac:dyDescent="0.35">
      <c r="A2070">
        <f t="shared" si="65"/>
        <v>2069</v>
      </c>
      <c r="B2070">
        <v>2013</v>
      </c>
      <c r="C2070" t="s">
        <v>109</v>
      </c>
      <c r="D2070" t="s">
        <v>45</v>
      </c>
      <c r="E2070" t="s">
        <v>1429</v>
      </c>
      <c r="F2070" s="2">
        <v>1800</v>
      </c>
      <c r="G2070" s="2">
        <v>9</v>
      </c>
      <c r="H2070" t="s">
        <v>19</v>
      </c>
      <c r="I2070" t="s">
        <v>20</v>
      </c>
      <c r="J2070" s="11">
        <v>1066.9467896306135</v>
      </c>
      <c r="K2070" t="str">
        <f t="shared" si="64"/>
        <v>Barry Kornspan</v>
      </c>
    </row>
    <row r="2071" spans="1:11" hidden="1" x14ac:dyDescent="0.35">
      <c r="A2071">
        <f t="shared" si="65"/>
        <v>2070</v>
      </c>
      <c r="B2071">
        <v>2013</v>
      </c>
      <c r="C2071" t="s">
        <v>109</v>
      </c>
      <c r="D2071" t="s">
        <v>133</v>
      </c>
      <c r="E2071" t="s">
        <v>133</v>
      </c>
      <c r="F2071" s="2">
        <v>1800</v>
      </c>
      <c r="G2071" s="2">
        <v>1</v>
      </c>
      <c r="H2071" t="s">
        <v>15</v>
      </c>
      <c r="I2071" t="s">
        <v>16</v>
      </c>
      <c r="J2071" s="11">
        <v>1579.7835966168102</v>
      </c>
      <c r="K2071" t="str">
        <f t="shared" si="64"/>
        <v>David Kluchman</v>
      </c>
    </row>
    <row r="2072" spans="1:11" hidden="1" x14ac:dyDescent="0.35">
      <c r="A2072">
        <f t="shared" si="65"/>
        <v>2071</v>
      </c>
      <c r="B2072">
        <v>2013</v>
      </c>
      <c r="C2072" t="s">
        <v>109</v>
      </c>
      <c r="D2072" t="s">
        <v>133</v>
      </c>
      <c r="E2072" t="s">
        <v>133</v>
      </c>
      <c r="F2072" s="2">
        <v>1800</v>
      </c>
      <c r="G2072" s="2">
        <v>2</v>
      </c>
      <c r="H2072" t="s">
        <v>260</v>
      </c>
      <c r="I2072" t="s">
        <v>20</v>
      </c>
      <c r="J2072" s="11">
        <v>1278.7536009528289</v>
      </c>
      <c r="K2072" t="str">
        <f t="shared" si="64"/>
        <v>Barry Gassen</v>
      </c>
    </row>
    <row r="2073" spans="1:11" hidden="1" x14ac:dyDescent="0.35">
      <c r="A2073">
        <f t="shared" si="65"/>
        <v>2072</v>
      </c>
      <c r="B2073">
        <v>2013</v>
      </c>
      <c r="C2073" t="s">
        <v>109</v>
      </c>
      <c r="D2073" t="s">
        <v>133</v>
      </c>
      <c r="E2073" t="s">
        <v>133</v>
      </c>
      <c r="F2073" s="2">
        <v>1800</v>
      </c>
      <c r="G2073" s="2">
        <v>3</v>
      </c>
      <c r="H2073" t="s">
        <v>55</v>
      </c>
      <c r="I2073" t="s">
        <v>56</v>
      </c>
      <c r="J2073" s="11">
        <v>1102.6623418971478</v>
      </c>
      <c r="K2073" t="str">
        <f t="shared" si="64"/>
        <v>Brandon Gerson</v>
      </c>
    </row>
    <row r="2074" spans="1:11" hidden="1" x14ac:dyDescent="0.35">
      <c r="A2074">
        <f t="shared" si="65"/>
        <v>2073</v>
      </c>
      <c r="B2074">
        <v>2013</v>
      </c>
      <c r="C2074" t="s">
        <v>109</v>
      </c>
      <c r="D2074" t="s">
        <v>133</v>
      </c>
      <c r="E2074" t="s">
        <v>133</v>
      </c>
      <c r="F2074" s="2">
        <v>1800</v>
      </c>
      <c r="G2074" s="2">
        <v>4</v>
      </c>
      <c r="H2074" t="s">
        <v>124</v>
      </c>
      <c r="I2074" t="s">
        <v>125</v>
      </c>
      <c r="J2074" s="11">
        <v>977.72360528884769</v>
      </c>
      <c r="K2074" t="str">
        <f t="shared" si="64"/>
        <v>Ronald Farrar</v>
      </c>
    </row>
    <row r="2075" spans="1:11" hidden="1" x14ac:dyDescent="0.35">
      <c r="A2075">
        <f t="shared" si="65"/>
        <v>2074</v>
      </c>
      <c r="B2075">
        <v>2013</v>
      </c>
      <c r="C2075" t="s">
        <v>109</v>
      </c>
      <c r="D2075" t="s">
        <v>133</v>
      </c>
      <c r="E2075" t="s">
        <v>133</v>
      </c>
      <c r="F2075" s="2">
        <v>1800</v>
      </c>
      <c r="G2075" s="2">
        <v>5</v>
      </c>
      <c r="H2075" t="s">
        <v>14</v>
      </c>
      <c r="I2075" t="s">
        <v>11</v>
      </c>
      <c r="J2075" s="11">
        <v>880.81359228079123</v>
      </c>
      <c r="K2075" t="str">
        <f t="shared" si="64"/>
        <v>Paul McMullin</v>
      </c>
    </row>
    <row r="2076" spans="1:11" hidden="1" x14ac:dyDescent="0.35">
      <c r="A2076">
        <f t="shared" si="65"/>
        <v>2075</v>
      </c>
      <c r="B2076">
        <v>2013</v>
      </c>
      <c r="C2076" t="s">
        <v>109</v>
      </c>
      <c r="D2076" t="s">
        <v>110</v>
      </c>
      <c r="E2076" t="s">
        <v>1430</v>
      </c>
      <c r="F2076" s="2">
        <v>1800</v>
      </c>
      <c r="G2076" s="2">
        <v>1</v>
      </c>
      <c r="H2076" t="s">
        <v>161</v>
      </c>
      <c r="I2076" t="s">
        <v>200</v>
      </c>
      <c r="J2076" s="11">
        <v>1897.6270912904413</v>
      </c>
      <c r="K2076" t="str">
        <f t="shared" si="64"/>
        <v>Rick Becker</v>
      </c>
    </row>
    <row r="2077" spans="1:11" hidden="1" x14ac:dyDescent="0.35">
      <c r="A2077">
        <f t="shared" si="65"/>
        <v>2076</v>
      </c>
      <c r="B2077">
        <v>2013</v>
      </c>
      <c r="C2077" t="s">
        <v>109</v>
      </c>
      <c r="D2077" t="s">
        <v>110</v>
      </c>
      <c r="E2077" t="s">
        <v>1430</v>
      </c>
      <c r="F2077" s="2">
        <v>1400</v>
      </c>
      <c r="G2077" s="2">
        <v>2</v>
      </c>
      <c r="H2077" t="s">
        <v>116</v>
      </c>
      <c r="I2077" t="s">
        <v>117</v>
      </c>
      <c r="J2077" s="11">
        <v>1596.59709562646</v>
      </c>
      <c r="K2077" t="str">
        <f t="shared" si="64"/>
        <v>Thomas Kracinovich</v>
      </c>
    </row>
    <row r="2078" spans="1:11" hidden="1" x14ac:dyDescent="0.35">
      <c r="A2078">
        <f t="shared" si="65"/>
        <v>2077</v>
      </c>
      <c r="B2078">
        <v>2013</v>
      </c>
      <c r="C2078" t="s">
        <v>109</v>
      </c>
      <c r="D2078" t="s">
        <v>110</v>
      </c>
      <c r="E2078" t="s">
        <v>1430</v>
      </c>
      <c r="F2078" s="2">
        <v>1278</v>
      </c>
      <c r="G2078" s="2">
        <v>3</v>
      </c>
      <c r="H2078" t="s">
        <v>234</v>
      </c>
      <c r="I2078" t="s">
        <v>235</v>
      </c>
      <c r="J2078" s="11">
        <v>1420.5058365707789</v>
      </c>
      <c r="K2078" t="str">
        <f t="shared" si="64"/>
        <v>Cary Flynn</v>
      </c>
    </row>
    <row r="2079" spans="1:11" hidden="1" x14ac:dyDescent="0.35">
      <c r="A2079">
        <f t="shared" si="65"/>
        <v>2078</v>
      </c>
      <c r="B2079">
        <v>2013</v>
      </c>
      <c r="C2079" t="s">
        <v>109</v>
      </c>
      <c r="D2079" t="s">
        <v>110</v>
      </c>
      <c r="E2079" t="s">
        <v>1430</v>
      </c>
      <c r="F2079" s="2">
        <v>1000</v>
      </c>
      <c r="G2079" s="2">
        <v>4</v>
      </c>
      <c r="H2079" t="s">
        <v>237</v>
      </c>
      <c r="I2079" t="s">
        <v>13</v>
      </c>
      <c r="J2079" s="11">
        <v>1295.5670999624788</v>
      </c>
      <c r="K2079" t="str">
        <f t="shared" si="64"/>
        <v>Tom Goodwin</v>
      </c>
    </row>
    <row r="2080" spans="1:11" hidden="1" x14ac:dyDescent="0.35">
      <c r="A2080">
        <f t="shared" si="65"/>
        <v>2079</v>
      </c>
      <c r="B2080">
        <v>2013</v>
      </c>
      <c r="C2080" t="s">
        <v>109</v>
      </c>
      <c r="D2080" t="s">
        <v>110</v>
      </c>
      <c r="E2080" t="s">
        <v>1430</v>
      </c>
      <c r="F2080" s="2">
        <v>1000</v>
      </c>
      <c r="G2080" s="2">
        <v>5</v>
      </c>
      <c r="H2080" t="s">
        <v>238</v>
      </c>
      <c r="I2080" t="s">
        <v>16</v>
      </c>
      <c r="J2080" s="11">
        <v>1198.6570869544225</v>
      </c>
      <c r="K2080" t="str">
        <f t="shared" si="64"/>
        <v>David Kuznick</v>
      </c>
    </row>
    <row r="2081" spans="1:11" hidden="1" x14ac:dyDescent="0.35">
      <c r="A2081">
        <f t="shared" si="65"/>
        <v>2080</v>
      </c>
      <c r="B2081">
        <v>2013</v>
      </c>
      <c r="C2081" t="s">
        <v>109</v>
      </c>
      <c r="D2081" t="s">
        <v>110</v>
      </c>
      <c r="E2081" t="s">
        <v>1430</v>
      </c>
      <c r="F2081" s="2">
        <v>474</v>
      </c>
      <c r="G2081" s="2">
        <v>6</v>
      </c>
      <c r="H2081" t="s">
        <v>240</v>
      </c>
      <c r="I2081" t="s">
        <v>241</v>
      </c>
      <c r="J2081" s="11">
        <v>1119.4758409067977</v>
      </c>
      <c r="K2081" t="str">
        <f t="shared" si="64"/>
        <v>Cynthia Yannette</v>
      </c>
    </row>
    <row r="2082" spans="1:11" hidden="1" x14ac:dyDescent="0.35">
      <c r="A2082">
        <f t="shared" si="65"/>
        <v>2081</v>
      </c>
      <c r="B2082">
        <v>2013</v>
      </c>
      <c r="C2082" t="s">
        <v>109</v>
      </c>
      <c r="D2082" t="s">
        <v>110</v>
      </c>
      <c r="E2082" t="s">
        <v>1430</v>
      </c>
      <c r="F2082" s="2">
        <v>395</v>
      </c>
      <c r="G2082" s="2">
        <v>7</v>
      </c>
      <c r="H2082" t="s">
        <v>118</v>
      </c>
      <c r="I2082" t="s">
        <v>243</v>
      </c>
      <c r="J2082" s="11">
        <v>1052.5290512761844</v>
      </c>
      <c r="K2082" t="str">
        <f t="shared" si="64"/>
        <v>Marsha Segal</v>
      </c>
    </row>
    <row r="2083" spans="1:11" hidden="1" x14ac:dyDescent="0.35">
      <c r="A2083">
        <f t="shared" si="65"/>
        <v>2082</v>
      </c>
      <c r="B2083">
        <v>2013</v>
      </c>
      <c r="C2083" t="s">
        <v>109</v>
      </c>
      <c r="D2083" t="s">
        <v>110</v>
      </c>
      <c r="E2083" t="s">
        <v>1430</v>
      </c>
      <c r="F2083" s="2">
        <v>316</v>
      </c>
      <c r="G2083" s="2">
        <v>8</v>
      </c>
      <c r="H2083" t="s">
        <v>245</v>
      </c>
      <c r="I2083" t="s">
        <v>136</v>
      </c>
      <c r="J2083" s="11">
        <v>994.53710429849787</v>
      </c>
      <c r="K2083" t="str">
        <f t="shared" si="64"/>
        <v>John Stewart</v>
      </c>
    </row>
    <row r="2084" spans="1:11" hidden="1" x14ac:dyDescent="0.35">
      <c r="A2084">
        <f t="shared" si="65"/>
        <v>2083</v>
      </c>
      <c r="B2084">
        <v>2013</v>
      </c>
      <c r="C2084" t="s">
        <v>109</v>
      </c>
      <c r="D2084" t="s">
        <v>110</v>
      </c>
      <c r="E2084" t="s">
        <v>1430</v>
      </c>
      <c r="F2084" s="2">
        <v>237</v>
      </c>
      <c r="G2084" s="2">
        <v>9</v>
      </c>
      <c r="H2084" t="s">
        <v>246</v>
      </c>
      <c r="I2084" t="s">
        <v>247</v>
      </c>
      <c r="J2084" s="11">
        <v>943.38458185111654</v>
      </c>
      <c r="K2084" t="str">
        <f t="shared" si="64"/>
        <v>Nicholas Mecca</v>
      </c>
    </row>
    <row r="2085" spans="1:11" hidden="1" x14ac:dyDescent="0.35">
      <c r="A2085">
        <f t="shared" si="65"/>
        <v>2084</v>
      </c>
      <c r="B2085">
        <v>2013</v>
      </c>
      <c r="C2085" t="s">
        <v>263</v>
      </c>
      <c r="D2085" t="s">
        <v>276</v>
      </c>
      <c r="E2085" t="s">
        <v>1430</v>
      </c>
      <c r="F2085" s="2">
        <v>1710</v>
      </c>
      <c r="G2085" s="2">
        <v>1</v>
      </c>
      <c r="H2085" t="s">
        <v>277</v>
      </c>
      <c r="I2085" t="s">
        <v>16</v>
      </c>
      <c r="J2085" s="11">
        <v>1944.4826721501686</v>
      </c>
      <c r="K2085" t="str">
        <f t="shared" si="64"/>
        <v>David Lawful</v>
      </c>
    </row>
    <row r="2086" spans="1:11" hidden="1" x14ac:dyDescent="0.35">
      <c r="A2086">
        <f t="shared" si="65"/>
        <v>2085</v>
      </c>
      <c r="B2086">
        <v>2013</v>
      </c>
      <c r="C2086" t="s">
        <v>263</v>
      </c>
      <c r="D2086" t="s">
        <v>276</v>
      </c>
      <c r="E2086" t="s">
        <v>1430</v>
      </c>
      <c r="F2086" s="2">
        <v>1245</v>
      </c>
      <c r="G2086" s="2">
        <v>2</v>
      </c>
      <c r="H2086" t="s">
        <v>31</v>
      </c>
      <c r="I2086" t="s">
        <v>16</v>
      </c>
      <c r="J2086" s="11">
        <v>1643.4526764861873</v>
      </c>
      <c r="K2086" t="str">
        <f t="shared" si="64"/>
        <v>David Aronson</v>
      </c>
    </row>
    <row r="2087" spans="1:11" hidden="1" x14ac:dyDescent="0.35">
      <c r="A2087">
        <f t="shared" si="65"/>
        <v>2086</v>
      </c>
      <c r="B2087">
        <v>2013</v>
      </c>
      <c r="C2087" t="s">
        <v>263</v>
      </c>
      <c r="D2087" t="s">
        <v>276</v>
      </c>
      <c r="E2087" t="s">
        <v>1430</v>
      </c>
      <c r="F2087" s="2">
        <v>980</v>
      </c>
      <c r="G2087" s="2">
        <v>3</v>
      </c>
      <c r="H2087" t="s">
        <v>14</v>
      </c>
      <c r="I2087" t="s">
        <v>11</v>
      </c>
      <c r="J2087" s="11">
        <v>1467.3614174305062</v>
      </c>
      <c r="K2087" t="str">
        <f t="shared" si="64"/>
        <v>Paul McMullin</v>
      </c>
    </row>
    <row r="2088" spans="1:11" hidden="1" x14ac:dyDescent="0.35">
      <c r="A2088">
        <f t="shared" si="65"/>
        <v>2087</v>
      </c>
      <c r="B2088">
        <v>2013</v>
      </c>
      <c r="C2088" t="s">
        <v>263</v>
      </c>
      <c r="D2088" t="s">
        <v>276</v>
      </c>
      <c r="E2088" t="s">
        <v>1430</v>
      </c>
      <c r="F2088" s="2">
        <v>780</v>
      </c>
      <c r="G2088" s="2">
        <v>4</v>
      </c>
      <c r="H2088" t="s">
        <v>279</v>
      </c>
      <c r="I2088" t="s">
        <v>16</v>
      </c>
      <c r="J2088" s="11">
        <v>1342.4226808222061</v>
      </c>
      <c r="K2088" t="str">
        <f t="shared" si="64"/>
        <v>David Soussan</v>
      </c>
    </row>
    <row r="2089" spans="1:11" hidden="1" x14ac:dyDescent="0.35">
      <c r="A2089">
        <f t="shared" si="65"/>
        <v>2088</v>
      </c>
      <c r="B2089">
        <v>2013</v>
      </c>
      <c r="C2089" t="s">
        <v>263</v>
      </c>
      <c r="D2089" t="s">
        <v>276</v>
      </c>
      <c r="E2089" t="s">
        <v>1430</v>
      </c>
      <c r="F2089" s="2">
        <v>585</v>
      </c>
      <c r="G2089" s="2">
        <v>5</v>
      </c>
      <c r="H2089" t="s">
        <v>281</v>
      </c>
      <c r="I2089" t="s">
        <v>282</v>
      </c>
      <c r="J2089" s="11">
        <v>1245.5126678141498</v>
      </c>
      <c r="K2089" t="str">
        <f t="shared" si="64"/>
        <v>Randy Collack</v>
      </c>
    </row>
    <row r="2090" spans="1:11" hidden="1" x14ac:dyDescent="0.35">
      <c r="A2090">
        <f t="shared" si="65"/>
        <v>2089</v>
      </c>
      <c r="B2090">
        <v>2013</v>
      </c>
      <c r="C2090" t="s">
        <v>263</v>
      </c>
      <c r="D2090" t="s">
        <v>276</v>
      </c>
      <c r="E2090" t="s">
        <v>1430</v>
      </c>
      <c r="F2090" s="2">
        <v>450</v>
      </c>
      <c r="G2090" s="2">
        <v>6</v>
      </c>
      <c r="H2090" t="s">
        <v>43</v>
      </c>
      <c r="I2090" t="s">
        <v>218</v>
      </c>
      <c r="J2090" s="11">
        <v>1166.331421766525</v>
      </c>
      <c r="K2090" t="str">
        <f t="shared" si="64"/>
        <v>Michael Klein</v>
      </c>
    </row>
    <row r="2091" spans="1:11" hidden="1" x14ac:dyDescent="0.35">
      <c r="A2091">
        <f t="shared" si="65"/>
        <v>2090</v>
      </c>
      <c r="B2091">
        <v>2013</v>
      </c>
      <c r="C2091" t="s">
        <v>263</v>
      </c>
      <c r="D2091" t="s">
        <v>276</v>
      </c>
      <c r="E2091" t="s">
        <v>1430</v>
      </c>
      <c r="F2091" s="2">
        <v>320</v>
      </c>
      <c r="G2091" s="2">
        <v>7</v>
      </c>
      <c r="H2091" t="s">
        <v>285</v>
      </c>
      <c r="I2091" t="s">
        <v>119</v>
      </c>
      <c r="J2091" s="11">
        <v>1099.3846321359117</v>
      </c>
      <c r="K2091" t="str">
        <f t="shared" si="64"/>
        <v>Peter Secor</v>
      </c>
    </row>
    <row r="2092" spans="1:11" hidden="1" x14ac:dyDescent="0.35">
      <c r="A2092">
        <f t="shared" si="65"/>
        <v>2091</v>
      </c>
      <c r="B2092">
        <v>2013</v>
      </c>
      <c r="C2092" t="s">
        <v>263</v>
      </c>
      <c r="D2092" t="s">
        <v>276</v>
      </c>
      <c r="E2092" t="s">
        <v>1430</v>
      </c>
      <c r="F2092" s="2">
        <v>190</v>
      </c>
      <c r="G2092" s="2">
        <v>8</v>
      </c>
      <c r="H2092" t="s">
        <v>287</v>
      </c>
      <c r="I2092" t="s">
        <v>125</v>
      </c>
      <c r="J2092" s="11">
        <v>1041.392685158225</v>
      </c>
      <c r="K2092" t="str">
        <f t="shared" si="64"/>
        <v>Ronald Nutt</v>
      </c>
    </row>
    <row r="2093" spans="1:11" hidden="1" x14ac:dyDescent="0.35">
      <c r="A2093">
        <f t="shared" si="65"/>
        <v>2092</v>
      </c>
      <c r="B2093">
        <v>2013</v>
      </c>
      <c r="C2093" t="s">
        <v>263</v>
      </c>
      <c r="D2093" t="s">
        <v>276</v>
      </c>
      <c r="E2093" t="s">
        <v>1430</v>
      </c>
      <c r="F2093" s="2">
        <v>120</v>
      </c>
      <c r="G2093" s="2">
        <v>9</v>
      </c>
      <c r="H2093" t="s">
        <v>50</v>
      </c>
      <c r="I2093" t="s">
        <v>25</v>
      </c>
      <c r="J2093" s="11">
        <v>990.24016271084383</v>
      </c>
      <c r="K2093" t="str">
        <f t="shared" si="64"/>
        <v>Russell Fox</v>
      </c>
    </row>
    <row r="2094" spans="1:11" hidden="1" x14ac:dyDescent="0.35">
      <c r="A2094">
        <f t="shared" si="65"/>
        <v>2093</v>
      </c>
      <c r="B2094">
        <v>2013</v>
      </c>
      <c r="C2094" t="s">
        <v>263</v>
      </c>
      <c r="D2094" t="s">
        <v>276</v>
      </c>
      <c r="E2094" t="s">
        <v>1430</v>
      </c>
      <c r="F2094" s="2">
        <v>120</v>
      </c>
      <c r="G2094" s="2">
        <v>10</v>
      </c>
      <c r="H2094" t="s">
        <v>35</v>
      </c>
      <c r="I2094" t="s">
        <v>36</v>
      </c>
      <c r="J2094" s="11">
        <v>944.4826721501687</v>
      </c>
      <c r="K2094" t="str">
        <f t="shared" si="64"/>
        <v>Nolan Dalla</v>
      </c>
    </row>
    <row r="2095" spans="1:11" hidden="1" x14ac:dyDescent="0.35">
      <c r="A2095">
        <f t="shared" si="65"/>
        <v>2094</v>
      </c>
      <c r="B2095">
        <v>2013</v>
      </c>
      <c r="C2095" t="s">
        <v>263</v>
      </c>
      <c r="D2095" t="s">
        <v>276</v>
      </c>
      <c r="E2095" t="s">
        <v>1430</v>
      </c>
      <c r="F2095" s="2">
        <v>100</v>
      </c>
      <c r="G2095" s="2">
        <v>11</v>
      </c>
      <c r="H2095" t="s">
        <v>265</v>
      </c>
      <c r="I2095" t="s">
        <v>122</v>
      </c>
      <c r="J2095" s="11">
        <v>903.08998699194353</v>
      </c>
      <c r="K2095" t="str">
        <f t="shared" si="64"/>
        <v>Andy Hughes</v>
      </c>
    </row>
    <row r="2096" spans="1:11" hidden="1" x14ac:dyDescent="0.35">
      <c r="A2096">
        <f t="shared" si="65"/>
        <v>2095</v>
      </c>
      <c r="B2096">
        <v>2013</v>
      </c>
      <c r="C2096" t="s">
        <v>263</v>
      </c>
      <c r="D2096" t="s">
        <v>264</v>
      </c>
      <c r="E2096" t="s">
        <v>1051</v>
      </c>
      <c r="F2096" s="2">
        <v>765</v>
      </c>
      <c r="G2096" s="2">
        <v>1</v>
      </c>
      <c r="H2096" t="s">
        <v>265</v>
      </c>
      <c r="I2096" t="s">
        <v>122</v>
      </c>
      <c r="J2096" s="11">
        <v>1740.3626894942438</v>
      </c>
      <c r="K2096" t="str">
        <f t="shared" si="64"/>
        <v>Andy Hughes</v>
      </c>
    </row>
    <row r="2097" spans="1:11" hidden="1" x14ac:dyDescent="0.35">
      <c r="A2097">
        <f t="shared" si="65"/>
        <v>2096</v>
      </c>
      <c r="B2097">
        <v>2013</v>
      </c>
      <c r="C2097" t="s">
        <v>263</v>
      </c>
      <c r="D2097" t="s">
        <v>264</v>
      </c>
      <c r="E2097" t="s">
        <v>1051</v>
      </c>
      <c r="F2097" s="2">
        <v>575</v>
      </c>
      <c r="G2097" s="2">
        <v>2</v>
      </c>
      <c r="H2097" t="s">
        <v>266</v>
      </c>
      <c r="I2097" t="s">
        <v>28</v>
      </c>
      <c r="J2097" s="11">
        <v>1439.3326938302625</v>
      </c>
      <c r="K2097" t="str">
        <f t="shared" si="64"/>
        <v>Chris Mecklin</v>
      </c>
    </row>
    <row r="2098" spans="1:11" hidden="1" x14ac:dyDescent="0.35">
      <c r="A2098">
        <f t="shared" si="65"/>
        <v>2097</v>
      </c>
      <c r="B2098">
        <v>2013</v>
      </c>
      <c r="C2098" t="s">
        <v>263</v>
      </c>
      <c r="D2098" t="s">
        <v>264</v>
      </c>
      <c r="E2098" t="s">
        <v>1051</v>
      </c>
      <c r="F2098" s="2">
        <v>440</v>
      </c>
      <c r="G2098" s="2">
        <v>3</v>
      </c>
      <c r="H2098" t="s">
        <v>21</v>
      </c>
      <c r="I2098" t="s">
        <v>463</v>
      </c>
      <c r="J2098" s="11">
        <v>1263.2414347745814</v>
      </c>
      <c r="K2098" t="str">
        <f t="shared" si="64"/>
        <v>Richard Bremer</v>
      </c>
    </row>
    <row r="2099" spans="1:11" hidden="1" x14ac:dyDescent="0.35">
      <c r="A2099">
        <f t="shared" si="65"/>
        <v>2098</v>
      </c>
      <c r="B2099">
        <v>2013</v>
      </c>
      <c r="C2099" t="s">
        <v>263</v>
      </c>
      <c r="D2099" t="s">
        <v>264</v>
      </c>
      <c r="E2099" t="s">
        <v>1051</v>
      </c>
      <c r="F2099" s="2">
        <v>360</v>
      </c>
      <c r="G2099" s="2">
        <v>4</v>
      </c>
      <c r="H2099" t="s">
        <v>268</v>
      </c>
      <c r="I2099" t="s">
        <v>269</v>
      </c>
      <c r="J2099" s="11">
        <v>1138.3026981662815</v>
      </c>
      <c r="K2099" t="str">
        <f t="shared" si="64"/>
        <v>Keith Fichtemaier</v>
      </c>
    </row>
    <row r="2100" spans="1:11" hidden="1" x14ac:dyDescent="0.35">
      <c r="A2100">
        <f t="shared" si="65"/>
        <v>2099</v>
      </c>
      <c r="B2100">
        <v>2013</v>
      </c>
      <c r="C2100" t="s">
        <v>263</v>
      </c>
      <c r="D2100" t="s">
        <v>264</v>
      </c>
      <c r="E2100" t="s">
        <v>1051</v>
      </c>
      <c r="F2100" s="2">
        <v>275</v>
      </c>
      <c r="G2100" s="2">
        <v>5</v>
      </c>
      <c r="H2100" t="s">
        <v>86</v>
      </c>
      <c r="I2100" t="s">
        <v>271</v>
      </c>
      <c r="J2100" s="11">
        <v>1041.3926851582248</v>
      </c>
      <c r="K2100" t="str">
        <f t="shared" si="64"/>
        <v>Dan Goldman</v>
      </c>
    </row>
    <row r="2101" spans="1:11" hidden="1" x14ac:dyDescent="0.35">
      <c r="A2101">
        <f t="shared" si="65"/>
        <v>2100</v>
      </c>
      <c r="B2101">
        <v>2013</v>
      </c>
      <c r="C2101" t="s">
        <v>263</v>
      </c>
      <c r="D2101" t="s">
        <v>264</v>
      </c>
      <c r="E2101" t="s">
        <v>1051</v>
      </c>
      <c r="F2101" s="2">
        <v>195</v>
      </c>
      <c r="G2101" s="2">
        <v>6</v>
      </c>
      <c r="H2101" t="s">
        <v>273</v>
      </c>
      <c r="I2101" t="s">
        <v>218</v>
      </c>
      <c r="J2101" s="11">
        <v>962.21143911060028</v>
      </c>
      <c r="K2101" t="str">
        <f t="shared" si="64"/>
        <v>Michael Maurer</v>
      </c>
    </row>
    <row r="2102" spans="1:11" hidden="1" x14ac:dyDescent="0.35">
      <c r="A2102">
        <f t="shared" si="65"/>
        <v>2101</v>
      </c>
      <c r="B2102">
        <v>2013</v>
      </c>
      <c r="C2102" t="s">
        <v>263</v>
      </c>
      <c r="D2102" t="s">
        <v>264</v>
      </c>
      <c r="E2102" t="s">
        <v>1051</v>
      </c>
      <c r="F2102" s="2">
        <v>140</v>
      </c>
      <c r="G2102" s="2">
        <v>7</v>
      </c>
      <c r="H2102" t="s">
        <v>275</v>
      </c>
      <c r="I2102" t="s">
        <v>463</v>
      </c>
      <c r="J2102" s="11">
        <v>895.26464947998704</v>
      </c>
      <c r="K2102" t="str">
        <f t="shared" si="64"/>
        <v>Richard Korbin</v>
      </c>
    </row>
    <row r="2103" spans="1:11" hidden="1" x14ac:dyDescent="0.35">
      <c r="A2103">
        <f t="shared" si="65"/>
        <v>2102</v>
      </c>
      <c r="B2103">
        <v>2013</v>
      </c>
      <c r="C2103" t="s">
        <v>263</v>
      </c>
      <c r="D2103" t="s">
        <v>45</v>
      </c>
      <c r="E2103" t="s">
        <v>1429</v>
      </c>
      <c r="F2103" s="2">
        <v>3100</v>
      </c>
      <c r="G2103" s="2">
        <v>1</v>
      </c>
      <c r="H2103" t="s">
        <v>277</v>
      </c>
      <c r="I2103" t="s">
        <v>16</v>
      </c>
      <c r="J2103" s="11">
        <v>2158.3624920952498</v>
      </c>
      <c r="K2103" t="str">
        <f t="shared" si="64"/>
        <v>David Lawful</v>
      </c>
    </row>
    <row r="2104" spans="1:11" hidden="1" x14ac:dyDescent="0.35">
      <c r="A2104">
        <f t="shared" si="65"/>
        <v>2103</v>
      </c>
      <c r="B2104">
        <v>2013</v>
      </c>
      <c r="C2104" t="s">
        <v>263</v>
      </c>
      <c r="D2104" t="s">
        <v>45</v>
      </c>
      <c r="E2104" t="s">
        <v>1429</v>
      </c>
      <c r="F2104" s="2">
        <v>3090</v>
      </c>
      <c r="G2104" s="2">
        <v>2</v>
      </c>
      <c r="H2104" t="s">
        <v>66</v>
      </c>
      <c r="I2104" t="s">
        <v>67</v>
      </c>
      <c r="J2104" s="11">
        <v>1857.3324964312685</v>
      </c>
      <c r="K2104" t="str">
        <f t="shared" si="64"/>
        <v>Bob Lauria</v>
      </c>
    </row>
    <row r="2105" spans="1:11" x14ac:dyDescent="0.35">
      <c r="A2105">
        <f t="shared" si="65"/>
        <v>2104</v>
      </c>
      <c r="B2105">
        <v>2013</v>
      </c>
      <c r="C2105" t="s">
        <v>263</v>
      </c>
      <c r="D2105" t="s">
        <v>45</v>
      </c>
      <c r="E2105" t="s">
        <v>1429</v>
      </c>
      <c r="F2105" s="2">
        <v>2015</v>
      </c>
      <c r="G2105" s="2">
        <v>3</v>
      </c>
      <c r="H2105" t="s">
        <v>313</v>
      </c>
      <c r="I2105" t="s">
        <v>314</v>
      </c>
      <c r="J2105" s="11">
        <v>1681.2412373755874</v>
      </c>
      <c r="K2105" t="str">
        <f t="shared" si="64"/>
        <v>Gerald Petersen</v>
      </c>
    </row>
    <row r="2106" spans="1:11" hidden="1" x14ac:dyDescent="0.35">
      <c r="A2106">
        <f t="shared" si="65"/>
        <v>2105</v>
      </c>
      <c r="B2106">
        <v>2013</v>
      </c>
      <c r="C2106" t="s">
        <v>263</v>
      </c>
      <c r="D2106" t="s">
        <v>45</v>
      </c>
      <c r="E2106" t="s">
        <v>1429</v>
      </c>
      <c r="F2106" s="2">
        <v>1585</v>
      </c>
      <c r="G2106" s="2">
        <v>4</v>
      </c>
      <c r="H2106" t="s">
        <v>692</v>
      </c>
      <c r="I2106" t="s">
        <v>200</v>
      </c>
      <c r="J2106" s="11">
        <v>1556.3025007672873</v>
      </c>
      <c r="K2106" t="str">
        <f t="shared" si="64"/>
        <v>Rick Monbourquette</v>
      </c>
    </row>
    <row r="2107" spans="1:11" hidden="1" x14ac:dyDescent="0.35">
      <c r="A2107">
        <f t="shared" si="65"/>
        <v>2106</v>
      </c>
      <c r="B2107">
        <v>2013</v>
      </c>
      <c r="C2107" t="s">
        <v>263</v>
      </c>
      <c r="D2107" t="s">
        <v>45</v>
      </c>
      <c r="E2107" t="s">
        <v>1429</v>
      </c>
      <c r="F2107" s="2">
        <v>1150</v>
      </c>
      <c r="G2107" s="2">
        <v>5</v>
      </c>
      <c r="H2107" t="s">
        <v>316</v>
      </c>
      <c r="I2107" t="s">
        <v>269</v>
      </c>
      <c r="J2107" s="11">
        <v>1459.392487759231</v>
      </c>
      <c r="K2107" t="str">
        <f t="shared" si="64"/>
        <v>Keith Troell</v>
      </c>
    </row>
    <row r="2108" spans="1:11" hidden="1" x14ac:dyDescent="0.35">
      <c r="A2108">
        <f t="shared" si="65"/>
        <v>2107</v>
      </c>
      <c r="B2108">
        <v>2013</v>
      </c>
      <c r="C2108" t="s">
        <v>263</v>
      </c>
      <c r="D2108" t="s">
        <v>45</v>
      </c>
      <c r="E2108" t="s">
        <v>1429</v>
      </c>
      <c r="F2108" s="2">
        <v>865</v>
      </c>
      <c r="G2108" s="2">
        <v>6</v>
      </c>
      <c r="H2108" t="s">
        <v>318</v>
      </c>
      <c r="I2108" t="s">
        <v>44</v>
      </c>
      <c r="J2108" s="11">
        <v>1380.2112417116061</v>
      </c>
      <c r="K2108" t="str">
        <f t="shared" si="64"/>
        <v>Mike McManus</v>
      </c>
    </row>
    <row r="2109" spans="1:11" hidden="1" x14ac:dyDescent="0.35">
      <c r="A2109">
        <f t="shared" si="65"/>
        <v>2108</v>
      </c>
      <c r="B2109">
        <v>2013</v>
      </c>
      <c r="C2109" t="s">
        <v>263</v>
      </c>
      <c r="D2109" t="s">
        <v>45</v>
      </c>
      <c r="E2109" t="s">
        <v>1429</v>
      </c>
      <c r="F2109" s="2">
        <v>575</v>
      </c>
      <c r="G2109" s="2">
        <v>7</v>
      </c>
      <c r="H2109" t="s">
        <v>320</v>
      </c>
      <c r="I2109" t="s">
        <v>321</v>
      </c>
      <c r="J2109" s="11">
        <v>1313.2644520809929</v>
      </c>
      <c r="K2109" t="str">
        <f t="shared" si="64"/>
        <v>Tina Gonzalez</v>
      </c>
    </row>
    <row r="2110" spans="1:11" hidden="1" x14ac:dyDescent="0.35">
      <c r="A2110">
        <f t="shared" si="65"/>
        <v>2109</v>
      </c>
      <c r="B2110">
        <v>2013</v>
      </c>
      <c r="C2110" t="s">
        <v>263</v>
      </c>
      <c r="D2110" t="s">
        <v>45</v>
      </c>
      <c r="E2110" t="s">
        <v>1429</v>
      </c>
      <c r="F2110" s="2">
        <v>430</v>
      </c>
      <c r="G2110" s="2">
        <v>8</v>
      </c>
      <c r="H2110" t="s">
        <v>323</v>
      </c>
      <c r="I2110" t="s">
        <v>324</v>
      </c>
      <c r="J2110" s="11">
        <v>1255.2725051033062</v>
      </c>
      <c r="K2110" t="str">
        <f t="shared" si="64"/>
        <v>Andrew Prock</v>
      </c>
    </row>
    <row r="2111" spans="1:11" hidden="1" x14ac:dyDescent="0.35">
      <c r="A2111">
        <f t="shared" si="65"/>
        <v>2110</v>
      </c>
      <c r="B2111">
        <v>2013</v>
      </c>
      <c r="C2111" t="s">
        <v>263</v>
      </c>
      <c r="D2111" t="s">
        <v>45</v>
      </c>
      <c r="E2111" t="s">
        <v>1429</v>
      </c>
      <c r="F2111" s="2">
        <v>290</v>
      </c>
      <c r="G2111" s="2">
        <v>9</v>
      </c>
      <c r="H2111" t="s">
        <v>326</v>
      </c>
      <c r="I2111" t="s">
        <v>327</v>
      </c>
      <c r="J2111" s="11">
        <v>1204.119982655925</v>
      </c>
      <c r="K2111" t="str">
        <f t="shared" si="64"/>
        <v>Carol Kline</v>
      </c>
    </row>
    <row r="2112" spans="1:11" hidden="1" x14ac:dyDescent="0.35">
      <c r="A2112">
        <f t="shared" si="65"/>
        <v>2111</v>
      </c>
      <c r="B2112">
        <v>2013</v>
      </c>
      <c r="C2112" t="s">
        <v>263</v>
      </c>
      <c r="D2112" t="s">
        <v>45</v>
      </c>
      <c r="E2112" t="s">
        <v>1429</v>
      </c>
      <c r="F2112" s="2">
        <v>290</v>
      </c>
      <c r="G2112" s="2">
        <v>10</v>
      </c>
      <c r="H2112" t="s">
        <v>231</v>
      </c>
      <c r="I2112" t="s">
        <v>232</v>
      </c>
      <c r="J2112" s="11">
        <v>1158.3624920952498</v>
      </c>
      <c r="K2112" t="str">
        <f t="shared" si="64"/>
        <v>Adam Bachrach</v>
      </c>
    </row>
    <row r="2113" spans="1:11" hidden="1" x14ac:dyDescent="0.35">
      <c r="A2113">
        <f t="shared" si="65"/>
        <v>2112</v>
      </c>
      <c r="B2113">
        <v>2013</v>
      </c>
      <c r="C2113" t="s">
        <v>263</v>
      </c>
      <c r="D2113" t="s">
        <v>45</v>
      </c>
      <c r="E2113" t="s">
        <v>1429</v>
      </c>
      <c r="F2113" s="2">
        <v>215</v>
      </c>
      <c r="G2113" s="2">
        <v>11</v>
      </c>
      <c r="H2113" t="s">
        <v>329</v>
      </c>
      <c r="I2113" t="s">
        <v>330</v>
      </c>
      <c r="J2113" s="11">
        <v>1116.9698069370247</v>
      </c>
      <c r="K2113" t="str">
        <f t="shared" si="64"/>
        <v>Sandra Terauds</v>
      </c>
    </row>
    <row r="2114" spans="1:11" hidden="1" x14ac:dyDescent="0.35">
      <c r="A2114">
        <f t="shared" si="65"/>
        <v>2113</v>
      </c>
      <c r="B2114">
        <v>2013</v>
      </c>
      <c r="C2114" t="s">
        <v>263</v>
      </c>
      <c r="D2114" t="s">
        <v>45</v>
      </c>
      <c r="E2114" t="s">
        <v>1429</v>
      </c>
      <c r="F2114" s="2">
        <v>215</v>
      </c>
      <c r="G2114" s="2">
        <v>12</v>
      </c>
      <c r="H2114" t="s">
        <v>332</v>
      </c>
      <c r="I2114" t="s">
        <v>451</v>
      </c>
      <c r="J2114" s="11">
        <v>1079.1812460476249</v>
      </c>
      <c r="K2114" t="str">
        <f t="shared" ref="K2114:K2177" si="66">I2114&amp;" "&amp;H2114</f>
        <v>Connie Kellers</v>
      </c>
    </row>
    <row r="2115" spans="1:11" hidden="1" x14ac:dyDescent="0.35">
      <c r="A2115">
        <f t="shared" si="65"/>
        <v>2114</v>
      </c>
      <c r="B2115">
        <v>2013</v>
      </c>
      <c r="C2115" t="s">
        <v>263</v>
      </c>
      <c r="D2115" t="s">
        <v>45</v>
      </c>
      <c r="E2115" t="s">
        <v>1429</v>
      </c>
      <c r="F2115" s="2">
        <v>145</v>
      </c>
      <c r="G2115" s="2">
        <v>13</v>
      </c>
      <c r="H2115" t="s">
        <v>333</v>
      </c>
      <c r="I2115" t="s">
        <v>334</v>
      </c>
      <c r="J2115" s="11">
        <v>1044.4191397884131</v>
      </c>
      <c r="K2115" t="str">
        <f t="shared" si="66"/>
        <v>Todd Bryson</v>
      </c>
    </row>
    <row r="2116" spans="1:11" hidden="1" x14ac:dyDescent="0.35">
      <c r="A2116">
        <f t="shared" ref="A2116:A2179" si="67">A2115+1</f>
        <v>2115</v>
      </c>
      <c r="B2116">
        <v>2013</v>
      </c>
      <c r="C2116" t="s">
        <v>263</v>
      </c>
      <c r="D2116" t="s">
        <v>45</v>
      </c>
      <c r="E2116" t="s">
        <v>1429</v>
      </c>
      <c r="F2116" s="2">
        <v>145</v>
      </c>
      <c r="G2116" s="2">
        <v>14</v>
      </c>
      <c r="H2116" t="s">
        <v>206</v>
      </c>
      <c r="I2116" t="s">
        <v>207</v>
      </c>
      <c r="J2116" s="11">
        <v>1012.2344564170119</v>
      </c>
      <c r="K2116" t="str">
        <f t="shared" si="66"/>
        <v>Nick Christenson</v>
      </c>
    </row>
    <row r="2117" spans="1:11" hidden="1" x14ac:dyDescent="0.35">
      <c r="A2117">
        <f t="shared" si="67"/>
        <v>2116</v>
      </c>
      <c r="B2117">
        <v>2013</v>
      </c>
      <c r="C2117" t="s">
        <v>263</v>
      </c>
      <c r="D2117" t="s">
        <v>45</v>
      </c>
      <c r="E2117" t="s">
        <v>1429</v>
      </c>
      <c r="F2117" s="2">
        <v>145</v>
      </c>
      <c r="G2117" s="2">
        <v>15</v>
      </c>
      <c r="H2117" t="s">
        <v>336</v>
      </c>
      <c r="I2117" t="s">
        <v>337</v>
      </c>
      <c r="J2117" s="11">
        <v>982.27123303956841</v>
      </c>
      <c r="K2117" t="str">
        <f t="shared" si="66"/>
        <v>Rod Crane</v>
      </c>
    </row>
    <row r="2118" spans="1:11" hidden="1" x14ac:dyDescent="0.35">
      <c r="A2118">
        <f t="shared" si="67"/>
        <v>2117</v>
      </c>
      <c r="B2118">
        <v>2013</v>
      </c>
      <c r="C2118" t="s">
        <v>263</v>
      </c>
      <c r="D2118" t="s">
        <v>45</v>
      </c>
      <c r="E2118" t="s">
        <v>1429</v>
      </c>
      <c r="F2118" s="2">
        <v>145</v>
      </c>
      <c r="G2118" s="2">
        <v>16</v>
      </c>
      <c r="H2118" t="s">
        <v>306</v>
      </c>
      <c r="I2118" t="s">
        <v>694</v>
      </c>
      <c r="J2118" s="11">
        <v>954.24250943932498</v>
      </c>
      <c r="K2118" t="str">
        <f t="shared" si="66"/>
        <v>J P Massar</v>
      </c>
    </row>
    <row r="2119" spans="1:11" hidden="1" x14ac:dyDescent="0.35">
      <c r="A2119">
        <f t="shared" si="67"/>
        <v>2118</v>
      </c>
      <c r="B2119">
        <v>2013</v>
      </c>
      <c r="C2119" t="s">
        <v>263</v>
      </c>
      <c r="D2119" t="s">
        <v>289</v>
      </c>
      <c r="E2119" t="s">
        <v>133</v>
      </c>
      <c r="F2119" s="2">
        <v>1205</v>
      </c>
      <c r="G2119" s="2">
        <v>1</v>
      </c>
      <c r="H2119" t="s">
        <v>90</v>
      </c>
      <c r="I2119" t="s">
        <v>22</v>
      </c>
      <c r="J2119" s="11">
        <v>1869.2317197309762</v>
      </c>
      <c r="K2119" t="str">
        <f t="shared" si="66"/>
        <v>Rich Strauss</v>
      </c>
    </row>
    <row r="2120" spans="1:11" hidden="1" x14ac:dyDescent="0.35">
      <c r="A2120">
        <f t="shared" si="67"/>
        <v>2119</v>
      </c>
      <c r="B2120">
        <v>2013</v>
      </c>
      <c r="C2120" t="s">
        <v>263</v>
      </c>
      <c r="D2120" t="s">
        <v>289</v>
      </c>
      <c r="E2120" t="s">
        <v>133</v>
      </c>
      <c r="F2120" s="2">
        <v>1200</v>
      </c>
      <c r="G2120" s="2">
        <v>2</v>
      </c>
      <c r="H2120" t="s">
        <v>183</v>
      </c>
      <c r="I2120" t="s">
        <v>13</v>
      </c>
      <c r="J2120" s="11">
        <v>1568.201724066995</v>
      </c>
      <c r="K2120" t="str">
        <f t="shared" si="66"/>
        <v>Tom White</v>
      </c>
    </row>
    <row r="2121" spans="1:11" hidden="1" x14ac:dyDescent="0.35">
      <c r="A2121">
        <f t="shared" si="67"/>
        <v>2120</v>
      </c>
      <c r="B2121">
        <v>2013</v>
      </c>
      <c r="C2121" t="s">
        <v>263</v>
      </c>
      <c r="D2121" t="s">
        <v>289</v>
      </c>
      <c r="E2121" t="s">
        <v>133</v>
      </c>
      <c r="F2121" s="2">
        <v>835</v>
      </c>
      <c r="G2121" s="2">
        <v>3</v>
      </c>
      <c r="H2121" t="s">
        <v>291</v>
      </c>
      <c r="I2121" t="s">
        <v>11</v>
      </c>
      <c r="J2121" s="11">
        <v>1392.1104650113139</v>
      </c>
      <c r="K2121" t="str">
        <f t="shared" si="66"/>
        <v>Paul Fischman</v>
      </c>
    </row>
    <row r="2122" spans="1:11" hidden="1" x14ac:dyDescent="0.35">
      <c r="A2122">
        <f t="shared" si="67"/>
        <v>2121</v>
      </c>
      <c r="B2122">
        <v>2013</v>
      </c>
      <c r="C2122" t="s">
        <v>263</v>
      </c>
      <c r="D2122" t="s">
        <v>289</v>
      </c>
      <c r="E2122" t="s">
        <v>133</v>
      </c>
      <c r="F2122" s="2">
        <v>665</v>
      </c>
      <c r="G2122" s="2">
        <v>4</v>
      </c>
      <c r="H2122" t="s">
        <v>72</v>
      </c>
      <c r="I2122" t="s">
        <v>73</v>
      </c>
      <c r="J2122" s="11">
        <v>1267.1717284030137</v>
      </c>
      <c r="K2122" t="str">
        <f t="shared" si="66"/>
        <v>Corey Imsdahl</v>
      </c>
    </row>
    <row r="2123" spans="1:11" hidden="1" x14ac:dyDescent="0.35">
      <c r="A2123">
        <f t="shared" si="67"/>
        <v>2122</v>
      </c>
      <c r="B2123">
        <v>2013</v>
      </c>
      <c r="C2123" t="s">
        <v>263</v>
      </c>
      <c r="D2123" t="s">
        <v>289</v>
      </c>
      <c r="E2123" t="s">
        <v>133</v>
      </c>
      <c r="F2123" s="2">
        <v>555</v>
      </c>
      <c r="G2123" s="2">
        <v>5</v>
      </c>
      <c r="H2123" t="s">
        <v>88</v>
      </c>
      <c r="I2123" t="s">
        <v>89</v>
      </c>
      <c r="J2123" s="11">
        <v>1170.2617153949575</v>
      </c>
      <c r="K2123" t="str">
        <f t="shared" si="66"/>
        <v>Ken Kubey</v>
      </c>
    </row>
    <row r="2124" spans="1:11" hidden="1" x14ac:dyDescent="0.35">
      <c r="A2124">
        <f t="shared" si="67"/>
        <v>2123</v>
      </c>
      <c r="B2124">
        <v>2013</v>
      </c>
      <c r="C2124" t="s">
        <v>263</v>
      </c>
      <c r="D2124" t="s">
        <v>289</v>
      </c>
      <c r="E2124" t="s">
        <v>133</v>
      </c>
      <c r="F2124" s="2">
        <v>390</v>
      </c>
      <c r="G2124" s="2">
        <v>6</v>
      </c>
      <c r="H2124" t="s">
        <v>294</v>
      </c>
      <c r="I2124" t="s">
        <v>16</v>
      </c>
      <c r="J2124" s="11">
        <v>1091.0804693473326</v>
      </c>
      <c r="K2124" t="str">
        <f t="shared" si="66"/>
        <v>David Low</v>
      </c>
    </row>
    <row r="2125" spans="1:11" hidden="1" x14ac:dyDescent="0.35">
      <c r="A2125">
        <f t="shared" si="67"/>
        <v>2124</v>
      </c>
      <c r="B2125">
        <v>2013</v>
      </c>
      <c r="C2125" t="s">
        <v>263</v>
      </c>
      <c r="D2125" t="s">
        <v>289</v>
      </c>
      <c r="E2125" t="s">
        <v>133</v>
      </c>
      <c r="F2125" s="2">
        <v>280</v>
      </c>
      <c r="G2125" s="2">
        <v>7</v>
      </c>
      <c r="H2125" t="s">
        <v>86</v>
      </c>
      <c r="I2125" t="s">
        <v>271</v>
      </c>
      <c r="J2125" s="11">
        <v>1024.1336797167194</v>
      </c>
      <c r="K2125" t="str">
        <f t="shared" si="66"/>
        <v>Dan Goldman</v>
      </c>
    </row>
    <row r="2126" spans="1:11" hidden="1" x14ac:dyDescent="0.35">
      <c r="A2126">
        <f t="shared" si="67"/>
        <v>2125</v>
      </c>
      <c r="B2126">
        <v>2013</v>
      </c>
      <c r="C2126" t="s">
        <v>263</v>
      </c>
      <c r="D2126" t="s">
        <v>289</v>
      </c>
      <c r="E2126" t="s">
        <v>133</v>
      </c>
      <c r="F2126" s="2">
        <v>220</v>
      </c>
      <c r="G2126" s="2">
        <v>8</v>
      </c>
      <c r="H2126" t="s">
        <v>107</v>
      </c>
      <c r="I2126" t="s">
        <v>108</v>
      </c>
      <c r="J2126" s="11">
        <v>966.1417327390327</v>
      </c>
      <c r="K2126" t="str">
        <f t="shared" si="66"/>
        <v>Kyle Minnis</v>
      </c>
    </row>
    <row r="2127" spans="1:11" hidden="1" x14ac:dyDescent="0.35">
      <c r="A2127">
        <f t="shared" si="67"/>
        <v>2126</v>
      </c>
      <c r="B2127">
        <v>2013</v>
      </c>
      <c r="C2127" t="s">
        <v>263</v>
      </c>
      <c r="D2127" t="s">
        <v>289</v>
      </c>
      <c r="E2127" t="s">
        <v>133</v>
      </c>
      <c r="F2127" s="2">
        <v>100</v>
      </c>
      <c r="G2127" s="2">
        <v>9</v>
      </c>
      <c r="H2127" t="s">
        <v>296</v>
      </c>
      <c r="I2127" t="s">
        <v>297</v>
      </c>
      <c r="J2127" s="11">
        <v>914.98921029165137</v>
      </c>
      <c r="K2127" t="str">
        <f t="shared" si="66"/>
        <v>Janie McIntosh</v>
      </c>
    </row>
    <row r="2128" spans="1:11" hidden="1" x14ac:dyDescent="0.35">
      <c r="A2128">
        <f t="shared" si="67"/>
        <v>2127</v>
      </c>
      <c r="B2128">
        <v>2013</v>
      </c>
      <c r="C2128" t="s">
        <v>263</v>
      </c>
      <c r="D2128" t="s">
        <v>289</v>
      </c>
      <c r="E2128" t="s">
        <v>133</v>
      </c>
      <c r="F2128" s="2">
        <v>100</v>
      </c>
      <c r="G2128" s="2">
        <v>10</v>
      </c>
      <c r="H2128" t="s">
        <v>298</v>
      </c>
      <c r="I2128" t="s">
        <v>131</v>
      </c>
      <c r="J2128" s="11">
        <v>869.23171973097624</v>
      </c>
      <c r="K2128" t="str">
        <f t="shared" si="66"/>
        <v>Alan Veach</v>
      </c>
    </row>
    <row r="2129" spans="1:11" hidden="1" x14ac:dyDescent="0.35">
      <c r="A2129">
        <f t="shared" si="67"/>
        <v>2128</v>
      </c>
      <c r="B2129">
        <v>2013</v>
      </c>
      <c r="C2129" t="s">
        <v>263</v>
      </c>
      <c r="D2129" t="s">
        <v>110</v>
      </c>
      <c r="E2129" t="s">
        <v>1430</v>
      </c>
      <c r="F2129" s="2">
        <v>2150</v>
      </c>
      <c r="G2129" s="2">
        <v>1</v>
      </c>
      <c r="H2129" t="s">
        <v>299</v>
      </c>
      <c r="I2129" t="s">
        <v>300</v>
      </c>
      <c r="J2129" s="11">
        <v>2060.6978403536118</v>
      </c>
      <c r="K2129" t="str">
        <f t="shared" si="66"/>
        <v>Gillian Groves</v>
      </c>
    </row>
    <row r="2130" spans="1:11" hidden="1" x14ac:dyDescent="0.35">
      <c r="A2130">
        <f t="shared" si="67"/>
        <v>2129</v>
      </c>
      <c r="B2130">
        <v>2013</v>
      </c>
      <c r="C2130" t="s">
        <v>263</v>
      </c>
      <c r="D2130" t="s">
        <v>110</v>
      </c>
      <c r="E2130" t="s">
        <v>1430</v>
      </c>
      <c r="F2130" s="2">
        <v>1635</v>
      </c>
      <c r="G2130" s="2">
        <v>2</v>
      </c>
      <c r="H2130" t="s">
        <v>214</v>
      </c>
      <c r="I2130" t="s">
        <v>215</v>
      </c>
      <c r="J2130" s="11">
        <v>1759.6678446896306</v>
      </c>
      <c r="K2130" t="str">
        <f t="shared" si="66"/>
        <v>Derek Gomez</v>
      </c>
    </row>
    <row r="2131" spans="1:11" hidden="1" x14ac:dyDescent="0.35">
      <c r="A2131">
        <f t="shared" si="67"/>
        <v>2130</v>
      </c>
      <c r="B2131">
        <v>2013</v>
      </c>
      <c r="C2131" t="s">
        <v>263</v>
      </c>
      <c r="D2131" t="s">
        <v>110</v>
      </c>
      <c r="E2131" t="s">
        <v>1430</v>
      </c>
      <c r="F2131" s="2">
        <v>1210</v>
      </c>
      <c r="G2131" s="2">
        <v>3</v>
      </c>
      <c r="H2131" t="s">
        <v>302</v>
      </c>
      <c r="I2131" t="s">
        <v>81</v>
      </c>
      <c r="J2131" s="11">
        <v>1583.5765856339494</v>
      </c>
      <c r="K2131" t="str">
        <f t="shared" si="66"/>
        <v>Don Rieck</v>
      </c>
    </row>
    <row r="2132" spans="1:11" hidden="1" x14ac:dyDescent="0.35">
      <c r="A2132">
        <f t="shared" si="67"/>
        <v>2131</v>
      </c>
      <c r="B2132">
        <v>2013</v>
      </c>
      <c r="C2132" t="s">
        <v>263</v>
      </c>
      <c r="D2132" t="s">
        <v>110</v>
      </c>
      <c r="E2132" t="s">
        <v>1430</v>
      </c>
      <c r="F2132" s="2">
        <v>950</v>
      </c>
      <c r="G2132" s="2">
        <v>4</v>
      </c>
      <c r="H2132" t="s">
        <v>304</v>
      </c>
      <c r="I2132" t="s">
        <v>65</v>
      </c>
      <c r="J2132" s="11">
        <v>1458.6378490256493</v>
      </c>
      <c r="K2132" t="str">
        <f t="shared" si="66"/>
        <v>Steve Pierce</v>
      </c>
    </row>
    <row r="2133" spans="1:11" hidden="1" x14ac:dyDescent="0.35">
      <c r="A2133">
        <f t="shared" si="67"/>
        <v>2132</v>
      </c>
      <c r="B2133">
        <v>2013</v>
      </c>
      <c r="C2133" t="s">
        <v>263</v>
      </c>
      <c r="D2133" t="s">
        <v>110</v>
      </c>
      <c r="E2133" t="s">
        <v>1430</v>
      </c>
      <c r="F2133" s="2">
        <v>775</v>
      </c>
      <c r="G2133" s="2">
        <v>5</v>
      </c>
      <c r="H2133" t="s">
        <v>306</v>
      </c>
      <c r="I2133" t="s">
        <v>694</v>
      </c>
      <c r="J2133" s="11">
        <v>1361.7278360175931</v>
      </c>
      <c r="K2133" t="str">
        <f t="shared" si="66"/>
        <v>J P Massar</v>
      </c>
    </row>
    <row r="2134" spans="1:11" hidden="1" x14ac:dyDescent="0.35">
      <c r="A2134">
        <f t="shared" si="67"/>
        <v>2133</v>
      </c>
      <c r="B2134">
        <v>2013</v>
      </c>
      <c r="C2134" t="s">
        <v>263</v>
      </c>
      <c r="D2134" t="s">
        <v>110</v>
      </c>
      <c r="E2134" t="s">
        <v>1430</v>
      </c>
      <c r="F2134" s="2">
        <v>605</v>
      </c>
      <c r="G2134" s="2">
        <v>6</v>
      </c>
      <c r="H2134" t="s">
        <v>216</v>
      </c>
      <c r="I2134" t="s">
        <v>65</v>
      </c>
      <c r="J2134" s="11">
        <v>1282.5465899699682</v>
      </c>
      <c r="K2134" t="str">
        <f t="shared" si="66"/>
        <v>Steve Watanabe</v>
      </c>
    </row>
    <row r="2135" spans="1:11" hidden="1" x14ac:dyDescent="0.35">
      <c r="A2135">
        <f t="shared" si="67"/>
        <v>2134</v>
      </c>
      <c r="B2135">
        <v>2013</v>
      </c>
      <c r="C2135" t="s">
        <v>263</v>
      </c>
      <c r="D2135" t="s">
        <v>110</v>
      </c>
      <c r="E2135" t="s">
        <v>1430</v>
      </c>
      <c r="F2135" s="2">
        <v>430</v>
      </c>
      <c r="G2135" s="2">
        <v>7</v>
      </c>
      <c r="H2135" t="s">
        <v>248</v>
      </c>
      <c r="I2135" t="s">
        <v>249</v>
      </c>
      <c r="J2135" s="11">
        <v>1215.5998003393549</v>
      </c>
      <c r="K2135" t="str">
        <f t="shared" si="66"/>
        <v>Ross Poppel</v>
      </c>
    </row>
    <row r="2136" spans="1:11" hidden="1" x14ac:dyDescent="0.35">
      <c r="A2136">
        <f t="shared" si="67"/>
        <v>2135</v>
      </c>
      <c r="B2136">
        <v>2013</v>
      </c>
      <c r="C2136" t="s">
        <v>263</v>
      </c>
      <c r="D2136" t="s">
        <v>110</v>
      </c>
      <c r="E2136" t="s">
        <v>1430</v>
      </c>
      <c r="F2136" s="2">
        <v>260</v>
      </c>
      <c r="G2136" s="2">
        <v>8</v>
      </c>
      <c r="H2136" t="s">
        <v>2539</v>
      </c>
      <c r="I2136" t="s">
        <v>28</v>
      </c>
      <c r="J2136" s="11">
        <v>1157.6078533616683</v>
      </c>
      <c r="K2136" t="str">
        <f t="shared" si="66"/>
        <v>Chris O’Connor</v>
      </c>
    </row>
    <row r="2137" spans="1:11" hidden="1" x14ac:dyDescent="0.35">
      <c r="A2137">
        <f t="shared" si="67"/>
        <v>2136</v>
      </c>
      <c r="B2137">
        <v>2013</v>
      </c>
      <c r="C2137" t="s">
        <v>263</v>
      </c>
      <c r="D2137" t="s">
        <v>110</v>
      </c>
      <c r="E2137" t="s">
        <v>1430</v>
      </c>
      <c r="F2137" s="2">
        <v>175</v>
      </c>
      <c r="G2137" s="2">
        <v>9</v>
      </c>
      <c r="H2137" t="s">
        <v>307</v>
      </c>
      <c r="I2137" t="s">
        <v>67</v>
      </c>
      <c r="J2137" s="11">
        <v>1106.4553309142871</v>
      </c>
      <c r="K2137" t="str">
        <f t="shared" si="66"/>
        <v>Bob Ogus</v>
      </c>
    </row>
    <row r="2138" spans="1:11" hidden="1" x14ac:dyDescent="0.35">
      <c r="A2138">
        <f t="shared" si="67"/>
        <v>2137</v>
      </c>
      <c r="B2138">
        <v>2013</v>
      </c>
      <c r="C2138" t="s">
        <v>263</v>
      </c>
      <c r="D2138" t="s">
        <v>110</v>
      </c>
      <c r="E2138" t="s">
        <v>1430</v>
      </c>
      <c r="F2138" s="2">
        <v>175</v>
      </c>
      <c r="G2138" s="2">
        <v>10</v>
      </c>
      <c r="H2138" t="s">
        <v>74</v>
      </c>
      <c r="I2138" t="s">
        <v>153</v>
      </c>
      <c r="J2138" s="11">
        <v>1060.6978403536118</v>
      </c>
      <c r="K2138" t="str">
        <f t="shared" si="66"/>
        <v>Stephen Landrum</v>
      </c>
    </row>
    <row r="2139" spans="1:11" hidden="1" x14ac:dyDescent="0.35">
      <c r="A2139">
        <f t="shared" si="67"/>
        <v>2138</v>
      </c>
      <c r="B2139">
        <v>2013</v>
      </c>
      <c r="C2139" t="s">
        <v>263</v>
      </c>
      <c r="D2139" t="s">
        <v>110</v>
      </c>
      <c r="E2139" t="s">
        <v>1430</v>
      </c>
      <c r="F2139" s="2">
        <v>130</v>
      </c>
      <c r="G2139" s="2">
        <v>11</v>
      </c>
      <c r="H2139" t="s">
        <v>107</v>
      </c>
      <c r="I2139" t="s">
        <v>108</v>
      </c>
      <c r="J2139" s="11">
        <v>1019.3051551953866</v>
      </c>
      <c r="K2139" t="str">
        <f t="shared" si="66"/>
        <v>Kyle Minnis</v>
      </c>
    </row>
    <row r="2140" spans="1:11" hidden="1" x14ac:dyDescent="0.35">
      <c r="A2140">
        <f t="shared" si="67"/>
        <v>2139</v>
      </c>
      <c r="B2140">
        <v>2013</v>
      </c>
      <c r="C2140" t="s">
        <v>263</v>
      </c>
      <c r="D2140" t="s">
        <v>110</v>
      </c>
      <c r="E2140" t="s">
        <v>1430</v>
      </c>
      <c r="F2140" s="2">
        <v>130</v>
      </c>
      <c r="G2140" s="2">
        <v>12</v>
      </c>
      <c r="H2140" t="s">
        <v>310</v>
      </c>
      <c r="I2140" t="s">
        <v>119</v>
      </c>
      <c r="J2140" s="11">
        <v>981.51659430598693</v>
      </c>
      <c r="K2140" t="str">
        <f t="shared" si="66"/>
        <v>Peter Caldes</v>
      </c>
    </row>
    <row r="2141" spans="1:11" hidden="1" x14ac:dyDescent="0.35">
      <c r="A2141">
        <f t="shared" si="67"/>
        <v>2140</v>
      </c>
      <c r="B2141">
        <v>2013</v>
      </c>
      <c r="C2141" t="s">
        <v>68</v>
      </c>
      <c r="D2141" t="s">
        <v>203</v>
      </c>
      <c r="E2141" t="s">
        <v>1430</v>
      </c>
      <c r="F2141" s="2">
        <v>715</v>
      </c>
      <c r="G2141" s="2">
        <v>1</v>
      </c>
      <c r="H2141" t="s">
        <v>204</v>
      </c>
      <c r="I2141" t="s">
        <v>205</v>
      </c>
      <c r="J2141" s="11">
        <v>1531.478917042255</v>
      </c>
      <c r="K2141" t="str">
        <f t="shared" si="66"/>
        <v>Ron Grossberg</v>
      </c>
    </row>
    <row r="2142" spans="1:11" hidden="1" x14ac:dyDescent="0.35">
      <c r="A2142">
        <f t="shared" si="67"/>
        <v>2141</v>
      </c>
      <c r="B2142">
        <v>2013</v>
      </c>
      <c r="C2142" t="s">
        <v>68</v>
      </c>
      <c r="D2142" t="s">
        <v>203</v>
      </c>
      <c r="E2142" t="s">
        <v>1430</v>
      </c>
      <c r="F2142" s="2">
        <v>470</v>
      </c>
      <c r="G2142" s="2">
        <v>2</v>
      </c>
      <c r="H2142" t="s">
        <v>206</v>
      </c>
      <c r="I2142" t="s">
        <v>207</v>
      </c>
      <c r="J2142" s="11">
        <v>1230.4489213782738</v>
      </c>
      <c r="K2142" t="str">
        <f t="shared" si="66"/>
        <v>Nick Christenson</v>
      </c>
    </row>
    <row r="2143" spans="1:11" hidden="1" x14ac:dyDescent="0.35">
      <c r="A2143">
        <f t="shared" si="67"/>
        <v>2142</v>
      </c>
      <c r="B2143">
        <v>2013</v>
      </c>
      <c r="C2143" t="s">
        <v>68</v>
      </c>
      <c r="D2143" t="s">
        <v>203</v>
      </c>
      <c r="E2143" t="s">
        <v>1430</v>
      </c>
      <c r="F2143" s="2">
        <v>325</v>
      </c>
      <c r="G2143" s="2">
        <v>3</v>
      </c>
      <c r="H2143" t="s">
        <v>95</v>
      </c>
      <c r="I2143" t="s">
        <v>71</v>
      </c>
      <c r="J2143" s="11">
        <v>1054.3576623225927</v>
      </c>
      <c r="K2143" t="str">
        <f t="shared" si="66"/>
        <v>Scott Samarel</v>
      </c>
    </row>
    <row r="2144" spans="1:11" hidden="1" x14ac:dyDescent="0.35">
      <c r="A2144">
        <f t="shared" si="67"/>
        <v>2143</v>
      </c>
      <c r="B2144">
        <v>2013</v>
      </c>
      <c r="C2144" t="s">
        <v>68</v>
      </c>
      <c r="D2144" t="s">
        <v>203</v>
      </c>
      <c r="E2144" t="s">
        <v>1430</v>
      </c>
      <c r="F2144" s="2">
        <v>245</v>
      </c>
      <c r="G2144" s="2">
        <v>4</v>
      </c>
      <c r="H2144" t="s">
        <v>97</v>
      </c>
      <c r="I2144" t="s">
        <v>98</v>
      </c>
      <c r="J2144" s="11">
        <v>929.41892571429275</v>
      </c>
      <c r="K2144" t="str">
        <f t="shared" si="66"/>
        <v>Ryan Troll</v>
      </c>
    </row>
    <row r="2145" spans="1:11" hidden="1" x14ac:dyDescent="0.35">
      <c r="A2145">
        <f t="shared" si="67"/>
        <v>2144</v>
      </c>
      <c r="B2145">
        <v>2013</v>
      </c>
      <c r="C2145" t="s">
        <v>68</v>
      </c>
      <c r="D2145" t="s">
        <v>203</v>
      </c>
      <c r="E2145" t="s">
        <v>1430</v>
      </c>
      <c r="F2145" s="2">
        <v>185</v>
      </c>
      <c r="G2145" s="2">
        <v>5</v>
      </c>
      <c r="H2145" t="s">
        <v>1504</v>
      </c>
      <c r="I2145" t="s">
        <v>85</v>
      </c>
      <c r="J2145" s="11">
        <v>832.50891270623629</v>
      </c>
      <c r="K2145" t="str">
        <f t="shared" si="66"/>
        <v>Patrick Milligan</v>
      </c>
    </row>
    <row r="2146" spans="1:11" hidden="1" x14ac:dyDescent="0.35">
      <c r="A2146">
        <f t="shared" si="67"/>
        <v>2145</v>
      </c>
      <c r="B2146">
        <v>2013</v>
      </c>
      <c r="C2146" t="s">
        <v>68</v>
      </c>
      <c r="D2146" t="s">
        <v>203</v>
      </c>
      <c r="E2146" t="s">
        <v>1430</v>
      </c>
      <c r="F2146" s="2">
        <v>100</v>
      </c>
      <c r="G2146" s="2">
        <v>6</v>
      </c>
      <c r="H2146" t="s">
        <v>211</v>
      </c>
      <c r="I2146" t="s">
        <v>187</v>
      </c>
      <c r="J2146" s="11">
        <v>753.32766665861152</v>
      </c>
      <c r="K2146" t="str">
        <f t="shared" si="66"/>
        <v>Joe Long</v>
      </c>
    </row>
    <row r="2147" spans="1:11" hidden="1" x14ac:dyDescent="0.35">
      <c r="A2147">
        <f t="shared" si="67"/>
        <v>2146</v>
      </c>
      <c r="B2147">
        <v>2013</v>
      </c>
      <c r="C2147" t="s">
        <v>68</v>
      </c>
      <c r="D2147" t="s">
        <v>224</v>
      </c>
      <c r="E2147" t="s">
        <v>1429</v>
      </c>
      <c r="F2147" s="2">
        <v>0</v>
      </c>
      <c r="G2147" s="2">
        <v>1</v>
      </c>
      <c r="H2147" t="s">
        <v>90</v>
      </c>
      <c r="I2147" t="s">
        <v>22</v>
      </c>
      <c r="J2147" s="11">
        <v>1505.149978319906</v>
      </c>
      <c r="K2147" t="str">
        <f t="shared" si="66"/>
        <v>Rich Strauss</v>
      </c>
    </row>
    <row r="2148" spans="1:11" hidden="1" x14ac:dyDescent="0.35">
      <c r="A2148">
        <f t="shared" si="67"/>
        <v>2147</v>
      </c>
      <c r="B2148">
        <v>2013</v>
      </c>
      <c r="C2148" t="s">
        <v>68</v>
      </c>
      <c r="D2148" t="s">
        <v>224</v>
      </c>
      <c r="E2148" t="s">
        <v>1429</v>
      </c>
      <c r="F2148" s="2">
        <v>0</v>
      </c>
      <c r="G2148" s="2">
        <v>2</v>
      </c>
      <c r="H2148" t="s">
        <v>226</v>
      </c>
      <c r="I2148" t="s">
        <v>227</v>
      </c>
      <c r="J2148" s="11">
        <v>1204.1199826559248</v>
      </c>
      <c r="K2148" t="str">
        <f t="shared" si="66"/>
        <v>Patti Beadles</v>
      </c>
    </row>
    <row r="2149" spans="1:11" hidden="1" x14ac:dyDescent="0.35">
      <c r="A2149">
        <f t="shared" si="67"/>
        <v>2148</v>
      </c>
      <c r="B2149">
        <v>2013</v>
      </c>
      <c r="C2149" t="s">
        <v>68</v>
      </c>
      <c r="D2149" t="s">
        <v>224</v>
      </c>
      <c r="E2149" t="s">
        <v>1429</v>
      </c>
      <c r="F2149" s="2">
        <v>0</v>
      </c>
      <c r="G2149" s="2">
        <v>3</v>
      </c>
      <c r="H2149" t="s">
        <v>35</v>
      </c>
      <c r="I2149" t="s">
        <v>36</v>
      </c>
      <c r="J2149" s="11">
        <v>1028.0287236002437</v>
      </c>
      <c r="K2149" t="str">
        <f t="shared" si="66"/>
        <v>Nolan Dalla</v>
      </c>
    </row>
    <row r="2150" spans="1:11" hidden="1" x14ac:dyDescent="0.35">
      <c r="A2150">
        <f t="shared" si="67"/>
        <v>2149</v>
      </c>
      <c r="B2150">
        <v>2013</v>
      </c>
      <c r="C2150" t="s">
        <v>68</v>
      </c>
      <c r="D2150" t="s">
        <v>224</v>
      </c>
      <c r="E2150" t="s">
        <v>1429</v>
      </c>
      <c r="F2150" s="2">
        <v>0</v>
      </c>
      <c r="G2150" s="2">
        <v>4</v>
      </c>
      <c r="H2150" t="s">
        <v>100</v>
      </c>
      <c r="I2150" t="s">
        <v>52</v>
      </c>
      <c r="J2150" s="11">
        <v>903.08998699194365</v>
      </c>
      <c r="K2150" t="str">
        <f t="shared" si="66"/>
        <v>Steven Eisenstein</v>
      </c>
    </row>
    <row r="2151" spans="1:11" hidden="1" x14ac:dyDescent="0.35">
      <c r="A2151">
        <f t="shared" si="67"/>
        <v>2150</v>
      </c>
      <c r="B2151">
        <v>2013</v>
      </c>
      <c r="C2151" t="s">
        <v>68</v>
      </c>
      <c r="D2151" t="s">
        <v>224</v>
      </c>
      <c r="E2151" t="s">
        <v>1429</v>
      </c>
      <c r="F2151" s="2">
        <v>0</v>
      </c>
      <c r="G2151" s="2">
        <v>5.5</v>
      </c>
      <c r="H2151" t="s">
        <v>231</v>
      </c>
      <c r="I2151" t="s">
        <v>232</v>
      </c>
      <c r="J2151" s="11">
        <v>764.78728882566213</v>
      </c>
      <c r="K2151" t="str">
        <f t="shared" si="66"/>
        <v>Adam Bachrach</v>
      </c>
    </row>
    <row r="2152" spans="1:11" hidden="1" x14ac:dyDescent="0.35">
      <c r="A2152">
        <f t="shared" si="67"/>
        <v>2151</v>
      </c>
      <c r="B2152">
        <v>2013</v>
      </c>
      <c r="C2152" t="s">
        <v>68</v>
      </c>
      <c r="D2152" t="s">
        <v>224</v>
      </c>
      <c r="E2152" t="s">
        <v>1429</v>
      </c>
      <c r="F2152" s="2">
        <v>0</v>
      </c>
      <c r="G2152" s="2">
        <v>5.5</v>
      </c>
      <c r="H2152" t="s">
        <v>21</v>
      </c>
      <c r="I2152" t="s">
        <v>463</v>
      </c>
      <c r="J2152" s="11">
        <v>764.78728882566213</v>
      </c>
      <c r="K2152" t="str">
        <f t="shared" si="66"/>
        <v>Richard Bremer</v>
      </c>
    </row>
    <row r="2153" spans="1:11" hidden="1" x14ac:dyDescent="0.35">
      <c r="A2153">
        <f t="shared" si="67"/>
        <v>2152</v>
      </c>
      <c r="B2153">
        <v>2013</v>
      </c>
      <c r="C2153" t="s">
        <v>68</v>
      </c>
      <c r="D2153" t="s">
        <v>213</v>
      </c>
      <c r="E2153" t="s">
        <v>1432</v>
      </c>
      <c r="F2153" s="2">
        <v>735</v>
      </c>
      <c r="G2153" s="2">
        <v>1</v>
      </c>
      <c r="H2153" t="s">
        <v>1504</v>
      </c>
      <c r="I2153" t="s">
        <v>85</v>
      </c>
      <c r="J2153" s="11">
        <v>1544.0680443502756</v>
      </c>
      <c r="K2153" t="str">
        <f t="shared" si="66"/>
        <v>Patrick Milligan</v>
      </c>
    </row>
    <row r="2154" spans="1:11" hidden="1" x14ac:dyDescent="0.35">
      <c r="A2154">
        <f t="shared" si="67"/>
        <v>2153</v>
      </c>
      <c r="B2154">
        <v>2013</v>
      </c>
      <c r="C2154" t="s">
        <v>68</v>
      </c>
      <c r="D2154" t="s">
        <v>213</v>
      </c>
      <c r="E2154" t="s">
        <v>1432</v>
      </c>
      <c r="F2154" s="2">
        <v>485</v>
      </c>
      <c r="G2154" s="2">
        <v>2</v>
      </c>
      <c r="H2154" t="s">
        <v>214</v>
      </c>
      <c r="I2154" t="s">
        <v>215</v>
      </c>
      <c r="J2154" s="11">
        <v>1243.0380486862944</v>
      </c>
      <c r="K2154" t="str">
        <f t="shared" si="66"/>
        <v>Derek Gomez</v>
      </c>
    </row>
    <row r="2155" spans="1:11" hidden="1" x14ac:dyDescent="0.35">
      <c r="A2155">
        <f t="shared" si="67"/>
        <v>2154</v>
      </c>
      <c r="B2155">
        <v>2013</v>
      </c>
      <c r="C2155" t="s">
        <v>68</v>
      </c>
      <c r="D2155" t="s">
        <v>213</v>
      </c>
      <c r="E2155" t="s">
        <v>1432</v>
      </c>
      <c r="F2155" s="2">
        <v>335</v>
      </c>
      <c r="G2155" s="2">
        <v>3</v>
      </c>
      <c r="H2155" t="s">
        <v>216</v>
      </c>
      <c r="I2155" t="s">
        <v>65</v>
      </c>
      <c r="J2155" s="11">
        <v>1066.9467896306132</v>
      </c>
      <c r="K2155" t="str">
        <f t="shared" si="66"/>
        <v>Steve Watanabe</v>
      </c>
    </row>
    <row r="2156" spans="1:11" hidden="1" x14ac:dyDescent="0.35">
      <c r="A2156">
        <f t="shared" si="67"/>
        <v>2155</v>
      </c>
      <c r="B2156">
        <v>2013</v>
      </c>
      <c r="C2156" t="s">
        <v>68</v>
      </c>
      <c r="D2156" t="s">
        <v>213</v>
      </c>
      <c r="E2156" t="s">
        <v>1432</v>
      </c>
      <c r="F2156" s="2">
        <v>255</v>
      </c>
      <c r="G2156" s="2">
        <v>4</v>
      </c>
      <c r="H2156" t="s">
        <v>217</v>
      </c>
      <c r="I2156" t="s">
        <v>218</v>
      </c>
      <c r="J2156" s="11">
        <v>942.00805302231322</v>
      </c>
      <c r="K2156" t="str">
        <f t="shared" si="66"/>
        <v>Michael Patterson</v>
      </c>
    </row>
    <row r="2157" spans="1:11" hidden="1" x14ac:dyDescent="0.35">
      <c r="A2157">
        <f t="shared" si="67"/>
        <v>2156</v>
      </c>
      <c r="B2157">
        <v>2013</v>
      </c>
      <c r="C2157" t="s">
        <v>68</v>
      </c>
      <c r="D2157" t="s">
        <v>213</v>
      </c>
      <c r="E2157" t="s">
        <v>1432</v>
      </c>
      <c r="F2157" s="2">
        <v>190</v>
      </c>
      <c r="G2157" s="2">
        <v>5</v>
      </c>
      <c r="H2157" t="s">
        <v>220</v>
      </c>
      <c r="I2157" t="s">
        <v>221</v>
      </c>
      <c r="J2157" s="11">
        <v>845.09804001425687</v>
      </c>
      <c r="K2157" t="str">
        <f t="shared" si="66"/>
        <v>Rodney Chen</v>
      </c>
    </row>
    <row r="2158" spans="1:11" hidden="1" x14ac:dyDescent="0.35">
      <c r="A2158">
        <f t="shared" si="67"/>
        <v>2157</v>
      </c>
      <c r="B2158">
        <v>2013</v>
      </c>
      <c r="C2158" t="s">
        <v>68</v>
      </c>
      <c r="D2158" t="s">
        <v>213</v>
      </c>
      <c r="E2158" t="s">
        <v>1432</v>
      </c>
      <c r="F2158" s="2">
        <v>100</v>
      </c>
      <c r="G2158" s="2">
        <v>6</v>
      </c>
      <c r="H2158" t="s">
        <v>92</v>
      </c>
      <c r="I2158" t="s">
        <v>93</v>
      </c>
      <c r="J2158" s="11">
        <v>765.91679396663199</v>
      </c>
      <c r="K2158" t="str">
        <f t="shared" si="66"/>
        <v>Kirk Oshiro</v>
      </c>
    </row>
    <row r="2159" spans="1:11" hidden="1" x14ac:dyDescent="0.35">
      <c r="A2159">
        <f t="shared" si="67"/>
        <v>2158</v>
      </c>
      <c r="B2159">
        <v>2013</v>
      </c>
      <c r="C2159" t="s">
        <v>8</v>
      </c>
      <c r="D2159" t="s">
        <v>9</v>
      </c>
      <c r="E2159" t="s">
        <v>1429</v>
      </c>
      <c r="F2159" s="2">
        <v>725.5</v>
      </c>
      <c r="G2159" s="2">
        <v>1</v>
      </c>
      <c r="H2159" t="s">
        <v>141</v>
      </c>
      <c r="I2159" t="s">
        <v>142</v>
      </c>
      <c r="J2159" s="11">
        <v>1505.149978319906</v>
      </c>
      <c r="K2159" t="str">
        <f t="shared" si="66"/>
        <v>Matt Ivester</v>
      </c>
    </row>
    <row r="2160" spans="1:11" hidden="1" x14ac:dyDescent="0.35">
      <c r="A2160">
        <f t="shared" si="67"/>
        <v>2159</v>
      </c>
      <c r="B2160">
        <v>2013</v>
      </c>
      <c r="C2160" t="s">
        <v>8</v>
      </c>
      <c r="D2160" t="s">
        <v>9</v>
      </c>
      <c r="E2160" t="s">
        <v>1429</v>
      </c>
      <c r="F2160" s="2">
        <v>556.25</v>
      </c>
      <c r="G2160" s="2">
        <v>2</v>
      </c>
      <c r="H2160" t="s">
        <v>144</v>
      </c>
      <c r="I2160" t="s">
        <v>139</v>
      </c>
      <c r="J2160" s="11">
        <v>1204.1199826559248</v>
      </c>
      <c r="K2160" t="str">
        <f t="shared" si="66"/>
        <v>Mark Musco</v>
      </c>
    </row>
    <row r="2161" spans="1:11" hidden="1" x14ac:dyDescent="0.35">
      <c r="A2161">
        <f t="shared" si="67"/>
        <v>2160</v>
      </c>
      <c r="B2161">
        <v>2013</v>
      </c>
      <c r="C2161" t="s">
        <v>8</v>
      </c>
      <c r="D2161" t="s">
        <v>9</v>
      </c>
      <c r="E2161" t="s">
        <v>1429</v>
      </c>
      <c r="F2161" s="2">
        <v>556.25</v>
      </c>
      <c r="G2161" s="2">
        <v>3</v>
      </c>
      <c r="H2161" t="s">
        <v>39</v>
      </c>
      <c r="I2161" t="s">
        <v>40</v>
      </c>
      <c r="J2161" s="11">
        <v>1028.0287236002437</v>
      </c>
      <c r="K2161" t="str">
        <f t="shared" si="66"/>
        <v>Katie Baxter</v>
      </c>
    </row>
    <row r="2162" spans="1:11" hidden="1" x14ac:dyDescent="0.35">
      <c r="A2162">
        <f t="shared" si="67"/>
        <v>2161</v>
      </c>
      <c r="B2162">
        <v>2013</v>
      </c>
      <c r="C2162" t="s">
        <v>8</v>
      </c>
      <c r="D2162" t="s">
        <v>9</v>
      </c>
      <c r="E2162" t="s">
        <v>1429</v>
      </c>
      <c r="F2162" s="2">
        <v>362.5</v>
      </c>
      <c r="G2162" s="2">
        <v>4</v>
      </c>
      <c r="H2162" t="s">
        <v>15</v>
      </c>
      <c r="I2162" t="s">
        <v>16</v>
      </c>
      <c r="J2162" s="11">
        <v>903.08998699194365</v>
      </c>
      <c r="K2162" t="str">
        <f t="shared" si="66"/>
        <v>David Kluchman</v>
      </c>
    </row>
    <row r="2163" spans="1:11" hidden="1" x14ac:dyDescent="0.35">
      <c r="A2163">
        <f t="shared" si="67"/>
        <v>2162</v>
      </c>
      <c r="B2163">
        <v>2013</v>
      </c>
      <c r="C2163" t="s">
        <v>8</v>
      </c>
      <c r="D2163" t="s">
        <v>9</v>
      </c>
      <c r="E2163" t="s">
        <v>1429</v>
      </c>
      <c r="F2163" s="2">
        <v>250</v>
      </c>
      <c r="G2163" s="2">
        <v>5</v>
      </c>
      <c r="H2163" t="s">
        <v>21</v>
      </c>
      <c r="I2163" t="s">
        <v>463</v>
      </c>
      <c r="J2163" s="11">
        <v>806.17997398388718</v>
      </c>
      <c r="K2163" t="str">
        <f t="shared" si="66"/>
        <v>Richard Bremer</v>
      </c>
    </row>
    <row r="2164" spans="1:11" hidden="1" x14ac:dyDescent="0.35">
      <c r="A2164">
        <f t="shared" si="67"/>
        <v>2163</v>
      </c>
      <c r="B2164">
        <v>2013</v>
      </c>
      <c r="C2164" t="s">
        <v>8</v>
      </c>
      <c r="D2164" t="s">
        <v>9</v>
      </c>
      <c r="E2164" t="s">
        <v>1429</v>
      </c>
      <c r="F2164" s="2">
        <v>250</v>
      </c>
      <c r="G2164" s="2">
        <v>5</v>
      </c>
      <c r="H2164" t="s">
        <v>64</v>
      </c>
      <c r="I2164" t="s">
        <v>65</v>
      </c>
      <c r="J2164" s="11">
        <v>806.17997398388718</v>
      </c>
      <c r="K2164" t="str">
        <f t="shared" si="66"/>
        <v>Steve Daniel</v>
      </c>
    </row>
    <row r="2165" spans="1:11" hidden="1" x14ac:dyDescent="0.35">
      <c r="A2165">
        <f t="shared" si="67"/>
        <v>2164</v>
      </c>
      <c r="B2165">
        <v>2013</v>
      </c>
      <c r="C2165" t="s">
        <v>8</v>
      </c>
      <c r="D2165" t="s">
        <v>9</v>
      </c>
      <c r="E2165" t="s">
        <v>1429</v>
      </c>
      <c r="F2165" s="2">
        <v>250</v>
      </c>
      <c r="G2165" s="2">
        <v>5</v>
      </c>
      <c r="H2165" t="s">
        <v>151</v>
      </c>
      <c r="I2165" t="s">
        <v>16</v>
      </c>
      <c r="J2165" s="11">
        <v>806.17997398388718</v>
      </c>
      <c r="K2165" t="str">
        <f t="shared" si="66"/>
        <v>David Kent</v>
      </c>
    </row>
    <row r="2166" spans="1:11" hidden="1" x14ac:dyDescent="0.35">
      <c r="A2166">
        <f t="shared" si="67"/>
        <v>2165</v>
      </c>
      <c r="B2166">
        <v>2013</v>
      </c>
      <c r="C2166" t="s">
        <v>8</v>
      </c>
      <c r="D2166" t="s">
        <v>9</v>
      </c>
      <c r="E2166" t="s">
        <v>1429</v>
      </c>
      <c r="F2166" s="2">
        <v>250</v>
      </c>
      <c r="G2166" s="2">
        <v>5</v>
      </c>
      <c r="H2166" t="s">
        <v>148</v>
      </c>
      <c r="I2166" t="s">
        <v>149</v>
      </c>
      <c r="J2166" s="11">
        <v>806.17997398388718</v>
      </c>
      <c r="K2166" t="str">
        <f t="shared" si="66"/>
        <v>Alex Ziselman</v>
      </c>
    </row>
    <row r="2167" spans="1:11" hidden="1" x14ac:dyDescent="0.35">
      <c r="A2167">
        <f t="shared" si="67"/>
        <v>2166</v>
      </c>
      <c r="B2167">
        <v>2013</v>
      </c>
      <c r="C2167" t="s">
        <v>8</v>
      </c>
      <c r="D2167" t="s">
        <v>194</v>
      </c>
      <c r="E2167" t="s">
        <v>1430</v>
      </c>
      <c r="F2167" s="2">
        <v>1340</v>
      </c>
      <c r="G2167" s="2">
        <v>1</v>
      </c>
      <c r="H2167" t="s">
        <v>195</v>
      </c>
      <c r="I2167" t="s">
        <v>196</v>
      </c>
      <c r="J2167" s="11">
        <v>1568.201724066995</v>
      </c>
      <c r="K2167" t="str">
        <f t="shared" si="66"/>
        <v>Dave Tahajian</v>
      </c>
    </row>
    <row r="2168" spans="1:11" hidden="1" x14ac:dyDescent="0.35">
      <c r="A2168">
        <f t="shared" si="67"/>
        <v>2167</v>
      </c>
      <c r="B2168">
        <v>2013</v>
      </c>
      <c r="C2168" t="s">
        <v>8</v>
      </c>
      <c r="D2168" t="s">
        <v>194</v>
      </c>
      <c r="E2168" t="s">
        <v>1430</v>
      </c>
      <c r="F2168" s="2">
        <v>786</v>
      </c>
      <c r="G2168" s="2">
        <v>2</v>
      </c>
      <c r="H2168" t="s">
        <v>33</v>
      </c>
      <c r="I2168" t="s">
        <v>34</v>
      </c>
      <c r="J2168" s="11">
        <v>1267.1717284030137</v>
      </c>
      <c r="K2168" t="str">
        <f t="shared" si="66"/>
        <v>Meredith Holtzman</v>
      </c>
    </row>
    <row r="2169" spans="1:11" hidden="1" x14ac:dyDescent="0.35">
      <c r="A2169">
        <f t="shared" si="67"/>
        <v>2168</v>
      </c>
      <c r="B2169">
        <v>2013</v>
      </c>
      <c r="C2169" t="s">
        <v>8</v>
      </c>
      <c r="D2169" t="s">
        <v>194</v>
      </c>
      <c r="E2169" t="s">
        <v>1430</v>
      </c>
      <c r="F2169" s="2">
        <v>554</v>
      </c>
      <c r="G2169" s="2">
        <v>3</v>
      </c>
      <c r="H2169" t="s">
        <v>27</v>
      </c>
      <c r="I2169" t="s">
        <v>28</v>
      </c>
      <c r="J2169" s="11">
        <v>1091.0804693473326</v>
      </c>
      <c r="K2169" t="str">
        <f t="shared" si="66"/>
        <v>Chris Richards</v>
      </c>
    </row>
    <row r="2170" spans="1:11" hidden="1" x14ac:dyDescent="0.35">
      <c r="A2170">
        <f t="shared" si="67"/>
        <v>2169</v>
      </c>
      <c r="B2170">
        <v>2013</v>
      </c>
      <c r="C2170" t="s">
        <v>8</v>
      </c>
      <c r="D2170" t="s">
        <v>194</v>
      </c>
      <c r="E2170" t="s">
        <v>1430</v>
      </c>
      <c r="F2170" s="2">
        <v>431</v>
      </c>
      <c r="G2170" s="2">
        <v>4</v>
      </c>
      <c r="H2170" t="s">
        <v>198</v>
      </c>
      <c r="I2170" t="s">
        <v>149</v>
      </c>
      <c r="J2170" s="11">
        <v>966.14173273903259</v>
      </c>
      <c r="K2170" t="str">
        <f t="shared" si="66"/>
        <v>Alex Lahoski</v>
      </c>
    </row>
    <row r="2171" spans="1:11" hidden="1" x14ac:dyDescent="0.35">
      <c r="A2171">
        <f t="shared" si="67"/>
        <v>2170</v>
      </c>
      <c r="B2171">
        <v>2013</v>
      </c>
      <c r="C2171" t="s">
        <v>8</v>
      </c>
      <c r="D2171" t="s">
        <v>194</v>
      </c>
      <c r="E2171" t="s">
        <v>1430</v>
      </c>
      <c r="F2171" s="2">
        <v>358</v>
      </c>
      <c r="G2171" s="2">
        <v>5</v>
      </c>
      <c r="H2171" t="s">
        <v>161</v>
      </c>
      <c r="I2171" t="s">
        <v>200</v>
      </c>
      <c r="J2171" s="11">
        <v>869.23171973097612</v>
      </c>
      <c r="K2171" t="str">
        <f t="shared" si="66"/>
        <v>Rick Becker</v>
      </c>
    </row>
    <row r="2172" spans="1:11" hidden="1" x14ac:dyDescent="0.35">
      <c r="A2172">
        <f t="shared" si="67"/>
        <v>2171</v>
      </c>
      <c r="B2172">
        <v>2013</v>
      </c>
      <c r="C2172" t="s">
        <v>8</v>
      </c>
      <c r="D2172" t="s">
        <v>194</v>
      </c>
      <c r="E2172" t="s">
        <v>1430</v>
      </c>
      <c r="F2172" s="2">
        <v>120</v>
      </c>
      <c r="G2172" s="2">
        <v>6</v>
      </c>
      <c r="H2172" t="s">
        <v>202</v>
      </c>
      <c r="I2172" t="s">
        <v>205</v>
      </c>
      <c r="J2172" s="11">
        <v>790.05047368335136</v>
      </c>
      <c r="K2172" t="str">
        <f t="shared" si="66"/>
        <v>Ron Lyons</v>
      </c>
    </row>
    <row r="2173" spans="1:11" hidden="1" x14ac:dyDescent="0.35">
      <c r="A2173">
        <f t="shared" si="67"/>
        <v>2172</v>
      </c>
      <c r="B2173">
        <v>2013</v>
      </c>
      <c r="C2173" t="s">
        <v>8</v>
      </c>
      <c r="D2173" t="s">
        <v>45</v>
      </c>
      <c r="E2173" t="s">
        <v>1429</v>
      </c>
      <c r="F2173" s="2">
        <v>1437</v>
      </c>
      <c r="G2173" s="2">
        <v>1</v>
      </c>
      <c r="H2173" t="s">
        <v>170</v>
      </c>
      <c r="I2173" t="s">
        <v>171</v>
      </c>
      <c r="J2173" s="11">
        <v>1919.078092376074</v>
      </c>
      <c r="K2173" t="str">
        <f t="shared" si="66"/>
        <v>Brenda Mowrey</v>
      </c>
    </row>
    <row r="2174" spans="1:11" hidden="1" x14ac:dyDescent="0.35">
      <c r="A2174">
        <f t="shared" si="67"/>
        <v>2173</v>
      </c>
      <c r="B2174">
        <v>2013</v>
      </c>
      <c r="C2174" t="s">
        <v>8</v>
      </c>
      <c r="D2174" t="s">
        <v>45</v>
      </c>
      <c r="E2174" t="s">
        <v>1429</v>
      </c>
      <c r="F2174" s="2">
        <v>1000</v>
      </c>
      <c r="G2174" s="2">
        <v>2</v>
      </c>
      <c r="H2174" t="s">
        <v>2539</v>
      </c>
      <c r="I2174" t="s">
        <v>28</v>
      </c>
      <c r="J2174" s="11">
        <v>1618.0480967120927</v>
      </c>
      <c r="K2174" t="str">
        <f t="shared" si="66"/>
        <v>Chris O’Connor</v>
      </c>
    </row>
    <row r="2175" spans="1:11" hidden="1" x14ac:dyDescent="0.35">
      <c r="A2175">
        <f t="shared" si="67"/>
        <v>2174</v>
      </c>
      <c r="B2175">
        <v>2013</v>
      </c>
      <c r="C2175" t="s">
        <v>8</v>
      </c>
      <c r="D2175" t="s">
        <v>45</v>
      </c>
      <c r="E2175" t="s">
        <v>1429</v>
      </c>
      <c r="F2175" s="2">
        <v>900</v>
      </c>
      <c r="G2175" s="2">
        <v>3</v>
      </c>
      <c r="H2175" t="s">
        <v>177</v>
      </c>
      <c r="I2175" t="s">
        <v>178</v>
      </c>
      <c r="J2175" s="11">
        <v>1441.9568376564116</v>
      </c>
      <c r="K2175" t="str">
        <f t="shared" si="66"/>
        <v>Carlos Lobato</v>
      </c>
    </row>
    <row r="2176" spans="1:11" hidden="1" x14ac:dyDescent="0.35">
      <c r="A2176">
        <f t="shared" si="67"/>
        <v>2175</v>
      </c>
      <c r="B2176">
        <v>2013</v>
      </c>
      <c r="C2176" t="s">
        <v>8</v>
      </c>
      <c r="D2176" t="s">
        <v>45</v>
      </c>
      <c r="E2176" t="s">
        <v>1429</v>
      </c>
      <c r="F2176" s="2">
        <v>900</v>
      </c>
      <c r="G2176" s="2">
        <v>4</v>
      </c>
      <c r="H2176" t="s">
        <v>180</v>
      </c>
      <c r="I2176" t="s">
        <v>181</v>
      </c>
      <c r="J2176" s="11">
        <v>1317.0181010481117</v>
      </c>
      <c r="K2176" t="str">
        <f t="shared" si="66"/>
        <v>Aaron McCall</v>
      </c>
    </row>
    <row r="2177" spans="1:11" hidden="1" x14ac:dyDescent="0.35">
      <c r="A2177">
        <f t="shared" si="67"/>
        <v>2176</v>
      </c>
      <c r="B2177">
        <v>2013</v>
      </c>
      <c r="C2177" t="s">
        <v>8</v>
      </c>
      <c r="D2177" t="s">
        <v>45</v>
      </c>
      <c r="E2177" t="s">
        <v>1429</v>
      </c>
      <c r="F2177" s="2">
        <v>900</v>
      </c>
      <c r="G2177" s="2">
        <v>5</v>
      </c>
      <c r="H2177" t="s">
        <v>183</v>
      </c>
      <c r="I2177" t="s">
        <v>101</v>
      </c>
      <c r="J2177" s="11">
        <v>1220.108088040055</v>
      </c>
      <c r="K2177" t="str">
        <f t="shared" si="66"/>
        <v>Dean White</v>
      </c>
    </row>
    <row r="2178" spans="1:11" hidden="1" x14ac:dyDescent="0.35">
      <c r="A2178">
        <f t="shared" si="67"/>
        <v>2177</v>
      </c>
      <c r="B2178">
        <v>2013</v>
      </c>
      <c r="C2178" t="s">
        <v>8</v>
      </c>
      <c r="D2178" t="s">
        <v>45</v>
      </c>
      <c r="E2178" t="s">
        <v>1429</v>
      </c>
      <c r="F2178" s="2">
        <v>900</v>
      </c>
      <c r="G2178" s="2">
        <v>6</v>
      </c>
      <c r="H2178" t="s">
        <v>185</v>
      </c>
      <c r="I2178" t="s">
        <v>20</v>
      </c>
      <c r="J2178" s="11">
        <v>1140.9268419924304</v>
      </c>
      <c r="K2178" t="str">
        <f t="shared" ref="K2178:K2241" si="68">I2178&amp;" "&amp;H2178</f>
        <v>Barry Meltzer</v>
      </c>
    </row>
    <row r="2179" spans="1:11" hidden="1" x14ac:dyDescent="0.35">
      <c r="A2179">
        <f t="shared" si="67"/>
        <v>2178</v>
      </c>
      <c r="B2179">
        <v>2013</v>
      </c>
      <c r="C2179" t="s">
        <v>8</v>
      </c>
      <c r="D2179" t="s">
        <v>45</v>
      </c>
      <c r="E2179" t="s">
        <v>1429</v>
      </c>
      <c r="F2179" s="2">
        <v>900</v>
      </c>
      <c r="G2179" s="2">
        <v>7</v>
      </c>
      <c r="H2179" t="s">
        <v>114</v>
      </c>
      <c r="I2179" t="s">
        <v>187</v>
      </c>
      <c r="J2179" s="11">
        <v>1073.9800523618173</v>
      </c>
      <c r="K2179" t="str">
        <f t="shared" si="68"/>
        <v>Joe Morrissette</v>
      </c>
    </row>
    <row r="2180" spans="1:11" hidden="1" x14ac:dyDescent="0.35">
      <c r="A2180">
        <f t="shared" ref="A2180:A2243" si="69">A2179+1</f>
        <v>2179</v>
      </c>
      <c r="B2180">
        <v>2013</v>
      </c>
      <c r="C2180" t="s">
        <v>8</v>
      </c>
      <c r="D2180" t="s">
        <v>45</v>
      </c>
      <c r="E2180" t="s">
        <v>1429</v>
      </c>
      <c r="F2180" s="2">
        <v>391</v>
      </c>
      <c r="G2180" s="2">
        <v>8</v>
      </c>
      <c r="H2180" t="s">
        <v>80</v>
      </c>
      <c r="I2180" t="s">
        <v>156</v>
      </c>
      <c r="J2180" s="11">
        <v>1015.9881053841304</v>
      </c>
      <c r="K2180" t="str">
        <f t="shared" si="68"/>
        <v>Ashley Adams</v>
      </c>
    </row>
    <row r="2181" spans="1:11" hidden="1" x14ac:dyDescent="0.35">
      <c r="A2181">
        <f t="shared" si="69"/>
        <v>2180</v>
      </c>
      <c r="B2181">
        <v>2013</v>
      </c>
      <c r="C2181" t="s">
        <v>8</v>
      </c>
      <c r="D2181" t="s">
        <v>45</v>
      </c>
      <c r="E2181" t="s">
        <v>1429</v>
      </c>
      <c r="F2181" s="2">
        <v>330</v>
      </c>
      <c r="G2181" s="2">
        <v>9</v>
      </c>
      <c r="H2181" t="s">
        <v>189</v>
      </c>
      <c r="I2181" t="s">
        <v>190</v>
      </c>
      <c r="J2181" s="11">
        <v>964.83558293674912</v>
      </c>
      <c r="K2181" t="str">
        <f t="shared" si="68"/>
        <v>Gary Starr</v>
      </c>
    </row>
    <row r="2182" spans="1:11" hidden="1" x14ac:dyDescent="0.35">
      <c r="A2182">
        <f t="shared" si="69"/>
        <v>2181</v>
      </c>
      <c r="B2182">
        <v>2013</v>
      </c>
      <c r="C2182" t="s">
        <v>8</v>
      </c>
      <c r="D2182" t="s">
        <v>45</v>
      </c>
      <c r="E2182" t="s">
        <v>1429</v>
      </c>
      <c r="F2182" s="2">
        <v>273</v>
      </c>
      <c r="G2182" s="2">
        <v>10</v>
      </c>
      <c r="H2182" t="s">
        <v>29</v>
      </c>
      <c r="I2182" t="s">
        <v>30</v>
      </c>
      <c r="J2182" s="11">
        <v>919.07809237607398</v>
      </c>
      <c r="K2182" t="str">
        <f t="shared" si="68"/>
        <v>Tedford Armistead</v>
      </c>
    </row>
    <row r="2183" spans="1:11" hidden="1" x14ac:dyDescent="0.35">
      <c r="A2183">
        <f t="shared" si="69"/>
        <v>2182</v>
      </c>
      <c r="B2183">
        <v>2013</v>
      </c>
      <c r="C2183" t="s">
        <v>8</v>
      </c>
      <c r="D2183" t="s">
        <v>45</v>
      </c>
      <c r="E2183" t="s">
        <v>1429</v>
      </c>
      <c r="F2183" s="2">
        <v>120</v>
      </c>
      <c r="G2183" s="2">
        <v>11</v>
      </c>
      <c r="H2183" t="s">
        <v>27</v>
      </c>
      <c r="I2183" t="s">
        <v>192</v>
      </c>
      <c r="J2183" s="11">
        <v>877.68540721784882</v>
      </c>
      <c r="K2183" t="str">
        <f t="shared" si="68"/>
        <v>Amanda Richards</v>
      </c>
    </row>
    <row r="2184" spans="1:11" hidden="1" x14ac:dyDescent="0.35">
      <c r="A2184">
        <f t="shared" si="69"/>
        <v>2183</v>
      </c>
      <c r="B2184">
        <v>2013</v>
      </c>
      <c r="C2184" t="s">
        <v>8</v>
      </c>
      <c r="D2184" t="s">
        <v>24</v>
      </c>
      <c r="E2184" t="s">
        <v>1432</v>
      </c>
      <c r="F2184" s="2">
        <v>1105.5</v>
      </c>
      <c r="G2184" s="2">
        <v>1</v>
      </c>
      <c r="H2184" t="s">
        <v>29</v>
      </c>
      <c r="I2184" t="s">
        <v>30</v>
      </c>
      <c r="J2184" s="11">
        <v>784.10086203349749</v>
      </c>
      <c r="K2184" t="str">
        <f t="shared" si="68"/>
        <v>Tedford Armistead</v>
      </c>
    </row>
    <row r="2185" spans="1:11" hidden="1" x14ac:dyDescent="0.35">
      <c r="A2185">
        <f t="shared" si="69"/>
        <v>2184</v>
      </c>
      <c r="B2185">
        <v>2013</v>
      </c>
      <c r="C2185" t="s">
        <v>8</v>
      </c>
      <c r="D2185" t="s">
        <v>24</v>
      </c>
      <c r="E2185" t="s">
        <v>1432</v>
      </c>
      <c r="F2185" s="2">
        <v>1105.5</v>
      </c>
      <c r="G2185" s="2">
        <v>1</v>
      </c>
      <c r="H2185" t="s">
        <v>10</v>
      </c>
      <c r="I2185" t="s">
        <v>11</v>
      </c>
      <c r="J2185" s="11">
        <v>784.10086203349749</v>
      </c>
      <c r="K2185" t="str">
        <f t="shared" si="68"/>
        <v>Paul Chakoian</v>
      </c>
    </row>
    <row r="2186" spans="1:11" hidden="1" x14ac:dyDescent="0.35">
      <c r="A2186">
        <f t="shared" si="69"/>
        <v>2185</v>
      </c>
      <c r="B2186">
        <v>2013</v>
      </c>
      <c r="C2186" t="s">
        <v>8</v>
      </c>
      <c r="D2186" t="s">
        <v>24</v>
      </c>
      <c r="E2186" t="s">
        <v>1432</v>
      </c>
      <c r="F2186" s="2">
        <v>1000</v>
      </c>
      <c r="G2186" s="2">
        <v>2</v>
      </c>
      <c r="H2186" t="s">
        <v>80</v>
      </c>
      <c r="I2186" t="s">
        <v>156</v>
      </c>
      <c r="J2186" s="11">
        <v>633.58586420150687</v>
      </c>
      <c r="K2186" t="str">
        <f t="shared" si="68"/>
        <v>Ashley Adams</v>
      </c>
    </row>
    <row r="2187" spans="1:11" hidden="1" x14ac:dyDescent="0.35">
      <c r="A2187">
        <f t="shared" si="69"/>
        <v>2186</v>
      </c>
      <c r="B2187">
        <v>2013</v>
      </c>
      <c r="C2187" t="s">
        <v>8</v>
      </c>
      <c r="D2187" t="s">
        <v>24</v>
      </c>
      <c r="E2187" t="s">
        <v>1432</v>
      </c>
      <c r="F2187" s="2">
        <v>1000</v>
      </c>
      <c r="G2187" s="2">
        <v>2</v>
      </c>
      <c r="H2187" t="s">
        <v>158</v>
      </c>
      <c r="I2187" t="s">
        <v>159</v>
      </c>
      <c r="J2187" s="11">
        <v>633.58586420150687</v>
      </c>
      <c r="K2187" t="str">
        <f t="shared" si="68"/>
        <v>Brian Hackett</v>
      </c>
    </row>
    <row r="2188" spans="1:11" hidden="1" x14ac:dyDescent="0.35">
      <c r="A2188">
        <f t="shared" si="69"/>
        <v>2187</v>
      </c>
      <c r="B2188">
        <v>2013</v>
      </c>
      <c r="C2188" t="s">
        <v>8</v>
      </c>
      <c r="D2188" t="s">
        <v>24</v>
      </c>
      <c r="E2188" t="s">
        <v>1432</v>
      </c>
      <c r="F2188" s="2">
        <v>574</v>
      </c>
      <c r="G2188" s="2">
        <v>3</v>
      </c>
      <c r="H2188" t="s">
        <v>161</v>
      </c>
      <c r="I2188" t="s">
        <v>162</v>
      </c>
      <c r="J2188" s="11">
        <v>545.5402346736663</v>
      </c>
      <c r="K2188" t="str">
        <f t="shared" si="68"/>
        <v>Tracy Becker</v>
      </c>
    </row>
    <row r="2189" spans="1:11" hidden="1" x14ac:dyDescent="0.35">
      <c r="A2189">
        <f t="shared" si="69"/>
        <v>2188</v>
      </c>
      <c r="B2189">
        <v>2013</v>
      </c>
      <c r="C2189" t="s">
        <v>8</v>
      </c>
      <c r="D2189" t="s">
        <v>24</v>
      </c>
      <c r="E2189" t="s">
        <v>1432</v>
      </c>
      <c r="F2189" s="2">
        <v>574</v>
      </c>
      <c r="G2189" s="2">
        <v>3</v>
      </c>
      <c r="H2189" t="s">
        <v>164</v>
      </c>
      <c r="I2189" t="s">
        <v>165</v>
      </c>
      <c r="J2189" s="11">
        <v>545.5402346736663</v>
      </c>
      <c r="K2189" t="str">
        <f t="shared" si="68"/>
        <v>Dominic Colfer</v>
      </c>
    </row>
    <row r="2190" spans="1:11" hidden="1" x14ac:dyDescent="0.35">
      <c r="A2190">
        <f t="shared" si="69"/>
        <v>2189</v>
      </c>
      <c r="B2190">
        <v>2013</v>
      </c>
      <c r="C2190" t="s">
        <v>8</v>
      </c>
      <c r="D2190" t="s">
        <v>24</v>
      </c>
      <c r="E2190" t="s">
        <v>1432</v>
      </c>
      <c r="F2190" s="2">
        <v>431</v>
      </c>
      <c r="G2190" s="2">
        <v>4</v>
      </c>
      <c r="H2190" t="s">
        <v>166</v>
      </c>
      <c r="I2190" t="s">
        <v>167</v>
      </c>
      <c r="J2190" s="11">
        <v>483.0708663695163</v>
      </c>
      <c r="K2190" t="str">
        <f t="shared" si="68"/>
        <v>Maggie Desmond-Rowan</v>
      </c>
    </row>
    <row r="2191" spans="1:11" hidden="1" x14ac:dyDescent="0.35">
      <c r="A2191">
        <f t="shared" si="69"/>
        <v>2190</v>
      </c>
      <c r="B2191">
        <v>2013</v>
      </c>
      <c r="C2191" t="s">
        <v>8</v>
      </c>
      <c r="D2191" t="s">
        <v>24</v>
      </c>
      <c r="E2191" t="s">
        <v>1432</v>
      </c>
      <c r="F2191" s="2">
        <v>431</v>
      </c>
      <c r="G2191" s="2">
        <v>4</v>
      </c>
      <c r="H2191" t="s">
        <v>168</v>
      </c>
      <c r="I2191" t="s">
        <v>136</v>
      </c>
      <c r="J2191" s="11">
        <v>483.0708663695163</v>
      </c>
      <c r="K2191" t="str">
        <f t="shared" si="68"/>
        <v>John Rowan</v>
      </c>
    </row>
    <row r="2192" spans="1:11" hidden="1" x14ac:dyDescent="0.35">
      <c r="A2192">
        <f t="shared" si="69"/>
        <v>2191</v>
      </c>
      <c r="B2192">
        <v>2013</v>
      </c>
      <c r="C2192" t="s">
        <v>8</v>
      </c>
      <c r="D2192" t="s">
        <v>24</v>
      </c>
      <c r="E2192" t="s">
        <v>1432</v>
      </c>
      <c r="F2192" s="2">
        <v>359</v>
      </c>
      <c r="G2192" s="2">
        <v>5</v>
      </c>
      <c r="H2192" t="s">
        <v>169</v>
      </c>
      <c r="I2192" t="s">
        <v>368</v>
      </c>
      <c r="J2192" s="11">
        <v>434.61585986548806</v>
      </c>
      <c r="K2192" t="str">
        <f t="shared" si="68"/>
        <v>Clinton Lanphier</v>
      </c>
    </row>
    <row r="2193" spans="1:11" hidden="1" x14ac:dyDescent="0.35">
      <c r="A2193">
        <f t="shared" si="69"/>
        <v>2192</v>
      </c>
      <c r="B2193">
        <v>2013</v>
      </c>
      <c r="C2193" t="s">
        <v>8</v>
      </c>
      <c r="D2193" t="s">
        <v>24</v>
      </c>
      <c r="E2193" t="s">
        <v>1432</v>
      </c>
      <c r="F2193" s="2">
        <v>359</v>
      </c>
      <c r="G2193" s="2">
        <v>5</v>
      </c>
      <c r="H2193" t="s">
        <v>170</v>
      </c>
      <c r="I2193" t="s">
        <v>171</v>
      </c>
      <c r="J2193" s="11">
        <v>434.61585986548806</v>
      </c>
      <c r="K2193" t="str">
        <f t="shared" si="68"/>
        <v>Brenda Mowrey</v>
      </c>
    </row>
    <row r="2194" spans="1:11" hidden="1" x14ac:dyDescent="0.35">
      <c r="A2194">
        <f t="shared" si="69"/>
        <v>2193</v>
      </c>
      <c r="B2194">
        <v>2013</v>
      </c>
      <c r="C2194" t="s">
        <v>8</v>
      </c>
      <c r="D2194" t="s">
        <v>24</v>
      </c>
      <c r="E2194" t="s">
        <v>1432</v>
      </c>
      <c r="F2194" s="2">
        <v>120</v>
      </c>
      <c r="G2194" s="2">
        <v>6</v>
      </c>
      <c r="H2194" t="s">
        <v>173</v>
      </c>
      <c r="I2194" t="s">
        <v>117</v>
      </c>
      <c r="J2194" s="11">
        <v>395.02523684167568</v>
      </c>
      <c r="K2194" t="str">
        <f t="shared" si="68"/>
        <v>Thomas Aprea</v>
      </c>
    </row>
    <row r="2195" spans="1:11" hidden="1" x14ac:dyDescent="0.35">
      <c r="A2195">
        <f t="shared" si="69"/>
        <v>2194</v>
      </c>
      <c r="B2195">
        <v>2013</v>
      </c>
      <c r="C2195" t="s">
        <v>8</v>
      </c>
      <c r="D2195" t="s">
        <v>24</v>
      </c>
      <c r="E2195" t="s">
        <v>1432</v>
      </c>
      <c r="F2195" s="2">
        <v>120</v>
      </c>
      <c r="G2195" s="2">
        <v>6</v>
      </c>
      <c r="H2195" t="s">
        <v>174</v>
      </c>
      <c r="I2195" t="s">
        <v>175</v>
      </c>
      <c r="J2195" s="11">
        <v>395.02523684167568</v>
      </c>
      <c r="K2195" t="str">
        <f t="shared" si="68"/>
        <v>Claude Carlson</v>
      </c>
    </row>
    <row r="2196" spans="1:11" hidden="1" x14ac:dyDescent="0.35">
      <c r="A2196">
        <f t="shared" si="69"/>
        <v>2195</v>
      </c>
      <c r="B2196">
        <v>2014</v>
      </c>
      <c r="C2196" t="s">
        <v>109</v>
      </c>
      <c r="D2196" t="s">
        <v>45</v>
      </c>
      <c r="E2196" t="s">
        <v>1429</v>
      </c>
      <c r="F2196" s="2">
        <v>2500</v>
      </c>
      <c r="G2196" s="1">
        <v>1</v>
      </c>
      <c r="H2196" t="s">
        <v>1452</v>
      </c>
      <c r="I2196" t="s">
        <v>16</v>
      </c>
      <c r="J2196" s="11">
        <v>2012.837224705172</v>
      </c>
      <c r="K2196" t="str">
        <f t="shared" si="68"/>
        <v>David Torrente</v>
      </c>
    </row>
    <row r="2197" spans="1:11" hidden="1" x14ac:dyDescent="0.35">
      <c r="A2197">
        <f t="shared" si="69"/>
        <v>2196</v>
      </c>
      <c r="B2197">
        <v>2014</v>
      </c>
      <c r="C2197" t="s">
        <v>109</v>
      </c>
      <c r="D2197" t="s">
        <v>45</v>
      </c>
      <c r="E2197" t="s">
        <v>1429</v>
      </c>
      <c r="F2197" s="2">
        <v>1800</v>
      </c>
      <c r="G2197" s="1">
        <v>2</v>
      </c>
      <c r="H2197" t="s">
        <v>277</v>
      </c>
      <c r="I2197" t="s">
        <v>16</v>
      </c>
      <c r="J2197" s="11">
        <v>1711.8072290411908</v>
      </c>
      <c r="K2197" t="str">
        <f t="shared" si="68"/>
        <v>David Lawful</v>
      </c>
    </row>
    <row r="2198" spans="1:11" hidden="1" x14ac:dyDescent="0.35">
      <c r="A2198">
        <f t="shared" si="69"/>
        <v>2197</v>
      </c>
      <c r="B2198">
        <v>2014</v>
      </c>
      <c r="C2198" t="s">
        <v>109</v>
      </c>
      <c r="D2198" t="s">
        <v>45</v>
      </c>
      <c r="E2198" t="s">
        <v>1429</v>
      </c>
      <c r="F2198" s="2">
        <v>1400</v>
      </c>
      <c r="G2198" s="1">
        <v>3</v>
      </c>
      <c r="H2198" t="s">
        <v>420</v>
      </c>
      <c r="I2198" t="s">
        <v>218</v>
      </c>
      <c r="J2198" s="11">
        <v>1535.7159699855097</v>
      </c>
      <c r="K2198" t="str">
        <f t="shared" si="68"/>
        <v>Michael Jacobs</v>
      </c>
    </row>
    <row r="2199" spans="1:11" hidden="1" x14ac:dyDescent="0.35">
      <c r="A2199">
        <f t="shared" si="69"/>
        <v>2198</v>
      </c>
      <c r="B2199">
        <v>2014</v>
      </c>
      <c r="C2199" t="s">
        <v>109</v>
      </c>
      <c r="D2199" t="s">
        <v>45</v>
      </c>
      <c r="E2199" t="s">
        <v>1429</v>
      </c>
      <c r="F2199" s="2">
        <v>1000</v>
      </c>
      <c r="G2199" s="1">
        <v>4</v>
      </c>
      <c r="H2199" t="s">
        <v>124</v>
      </c>
      <c r="I2199" t="s">
        <v>125</v>
      </c>
      <c r="J2199" s="11">
        <v>1410.7772333772095</v>
      </c>
      <c r="K2199" t="str">
        <f t="shared" si="68"/>
        <v>Ronald Farrar</v>
      </c>
    </row>
    <row r="2200" spans="1:11" hidden="1" x14ac:dyDescent="0.35">
      <c r="A2200">
        <f t="shared" si="69"/>
        <v>2199</v>
      </c>
      <c r="B2200">
        <v>2014</v>
      </c>
      <c r="C2200" t="s">
        <v>109</v>
      </c>
      <c r="D2200" t="s">
        <v>45</v>
      </c>
      <c r="E2200" t="s">
        <v>1429</v>
      </c>
      <c r="F2200" s="2">
        <v>800</v>
      </c>
      <c r="G2200" s="1">
        <v>5</v>
      </c>
      <c r="H2200" t="s">
        <v>461</v>
      </c>
      <c r="I2200" t="s">
        <v>1448</v>
      </c>
      <c r="J2200" s="11">
        <v>1313.8672203691533</v>
      </c>
      <c r="K2200" t="str">
        <f t="shared" si="68"/>
        <v>Christian Jones</v>
      </c>
    </row>
    <row r="2201" spans="1:11" hidden="1" x14ac:dyDescent="0.35">
      <c r="A2201">
        <f t="shared" si="69"/>
        <v>2200</v>
      </c>
      <c r="B2201">
        <v>2014</v>
      </c>
      <c r="C2201" t="s">
        <v>109</v>
      </c>
      <c r="D2201" t="s">
        <v>45</v>
      </c>
      <c r="E2201" t="s">
        <v>1429</v>
      </c>
      <c r="F2201" s="2">
        <v>700</v>
      </c>
      <c r="G2201" s="1">
        <v>6</v>
      </c>
      <c r="H2201" t="s">
        <v>1453</v>
      </c>
      <c r="I2201" t="s">
        <v>1454</v>
      </c>
      <c r="J2201" s="11">
        <v>1234.6859743215284</v>
      </c>
      <c r="K2201" t="str">
        <f t="shared" si="68"/>
        <v>Salah Levy</v>
      </c>
    </row>
    <row r="2202" spans="1:11" hidden="1" x14ac:dyDescent="0.35">
      <c r="A2202">
        <f t="shared" si="69"/>
        <v>2201</v>
      </c>
      <c r="B2202">
        <v>2014</v>
      </c>
      <c r="C2202" t="s">
        <v>109</v>
      </c>
      <c r="D2202" t="s">
        <v>45</v>
      </c>
      <c r="E2202" t="s">
        <v>1429</v>
      </c>
      <c r="F2202" s="2">
        <v>600</v>
      </c>
      <c r="G2202" s="1">
        <v>7</v>
      </c>
      <c r="H2202" t="s">
        <v>180</v>
      </c>
      <c r="I2202" t="s">
        <v>218</v>
      </c>
      <c r="J2202" s="11">
        <v>1167.7391846909152</v>
      </c>
      <c r="K2202" t="str">
        <f t="shared" si="68"/>
        <v>Michael McCall</v>
      </c>
    </row>
    <row r="2203" spans="1:11" hidden="1" x14ac:dyDescent="0.35">
      <c r="A2203">
        <f t="shared" si="69"/>
        <v>2202</v>
      </c>
      <c r="B2203">
        <v>2014</v>
      </c>
      <c r="C2203" t="s">
        <v>109</v>
      </c>
      <c r="D2203" t="s">
        <v>45</v>
      </c>
      <c r="E2203" t="s">
        <v>1429</v>
      </c>
      <c r="F2203" s="2">
        <v>500</v>
      </c>
      <c r="G2203" s="1">
        <v>8</v>
      </c>
      <c r="H2203" t="s">
        <v>260</v>
      </c>
      <c r="I2203" t="s">
        <v>20</v>
      </c>
      <c r="J2203" s="11">
        <v>1109.7472377132285</v>
      </c>
      <c r="K2203" t="str">
        <f t="shared" si="68"/>
        <v>Barry Gassen</v>
      </c>
    </row>
    <row r="2204" spans="1:11" hidden="1" x14ac:dyDescent="0.35">
      <c r="A2204">
        <f t="shared" si="69"/>
        <v>2203</v>
      </c>
      <c r="B2204">
        <v>2014</v>
      </c>
      <c r="C2204" t="s">
        <v>109</v>
      </c>
      <c r="D2204" t="s">
        <v>45</v>
      </c>
      <c r="E2204" t="s">
        <v>1429</v>
      </c>
      <c r="F2204" s="2">
        <v>400</v>
      </c>
      <c r="G2204" s="1">
        <v>9</v>
      </c>
      <c r="H2204" t="s">
        <v>240</v>
      </c>
      <c r="I2204" t="s">
        <v>241</v>
      </c>
      <c r="J2204" s="11">
        <v>1058.5947152658473</v>
      </c>
      <c r="K2204" t="str">
        <f t="shared" si="68"/>
        <v>Cynthia Yannette</v>
      </c>
    </row>
    <row r="2205" spans="1:11" hidden="1" x14ac:dyDescent="0.35">
      <c r="A2205">
        <f t="shared" si="69"/>
        <v>2204</v>
      </c>
      <c r="B2205">
        <v>2014</v>
      </c>
      <c r="C2205" t="s">
        <v>109</v>
      </c>
      <c r="D2205" t="s">
        <v>45</v>
      </c>
      <c r="E2205" t="s">
        <v>1429</v>
      </c>
      <c r="F2205" s="2">
        <v>300</v>
      </c>
      <c r="G2205" s="1">
        <v>10</v>
      </c>
      <c r="H2205" t="s">
        <v>407</v>
      </c>
      <c r="I2205" t="s">
        <v>406</v>
      </c>
      <c r="J2205" s="11">
        <v>1012.837224705172</v>
      </c>
      <c r="K2205" t="str">
        <f t="shared" si="68"/>
        <v>Howard Jackson</v>
      </c>
    </row>
    <row r="2206" spans="1:11" hidden="1" x14ac:dyDescent="0.35">
      <c r="A2206">
        <f t="shared" si="69"/>
        <v>2205</v>
      </c>
      <c r="B2206">
        <v>2014</v>
      </c>
      <c r="C2206" t="s">
        <v>109</v>
      </c>
      <c r="D2206" t="s">
        <v>133</v>
      </c>
      <c r="E2206" t="s">
        <v>133</v>
      </c>
      <c r="F2206" s="2">
        <v>928</v>
      </c>
      <c r="G2206" s="1">
        <v>1</v>
      </c>
      <c r="H2206" t="s">
        <v>1437</v>
      </c>
      <c r="I2206" t="s">
        <v>44</v>
      </c>
      <c r="J2206" s="11">
        <v>1568.201724066995</v>
      </c>
      <c r="K2206" t="str">
        <f t="shared" si="68"/>
        <v>Mike Fujita</v>
      </c>
    </row>
    <row r="2207" spans="1:11" hidden="1" x14ac:dyDescent="0.35">
      <c r="A2207">
        <f t="shared" si="69"/>
        <v>2206</v>
      </c>
      <c r="B2207">
        <v>2014</v>
      </c>
      <c r="C2207" t="s">
        <v>109</v>
      </c>
      <c r="D2207" t="s">
        <v>133</v>
      </c>
      <c r="E2207" t="s">
        <v>133</v>
      </c>
      <c r="F2207" s="2">
        <v>599</v>
      </c>
      <c r="G2207" s="1">
        <v>2</v>
      </c>
      <c r="H2207" t="s">
        <v>566</v>
      </c>
      <c r="I2207" t="s">
        <v>654</v>
      </c>
      <c r="J2207" s="11">
        <v>1267.1717284030137</v>
      </c>
      <c r="K2207" t="str">
        <f t="shared" si="68"/>
        <v>Gloria Lorusso</v>
      </c>
    </row>
    <row r="2208" spans="1:11" hidden="1" x14ac:dyDescent="0.35">
      <c r="A2208">
        <f t="shared" si="69"/>
        <v>2207</v>
      </c>
      <c r="B2208">
        <v>2014</v>
      </c>
      <c r="C2208" t="s">
        <v>109</v>
      </c>
      <c r="D2208" t="s">
        <v>133</v>
      </c>
      <c r="E2208" t="s">
        <v>133</v>
      </c>
      <c r="F2208" s="2">
        <v>543</v>
      </c>
      <c r="G2208" s="1">
        <v>3</v>
      </c>
      <c r="H2208" t="s">
        <v>116</v>
      </c>
      <c r="I2208" t="s">
        <v>117</v>
      </c>
      <c r="J2208" s="11">
        <v>1091.0804693473326</v>
      </c>
      <c r="K2208" t="str">
        <f t="shared" si="68"/>
        <v>Thomas Kracinovich</v>
      </c>
    </row>
    <row r="2209" spans="1:11" hidden="1" x14ac:dyDescent="0.35">
      <c r="A2209">
        <f t="shared" si="69"/>
        <v>2208</v>
      </c>
      <c r="B2209">
        <v>2014</v>
      </c>
      <c r="C2209" t="s">
        <v>109</v>
      </c>
      <c r="D2209" t="s">
        <v>133</v>
      </c>
      <c r="E2209" t="s">
        <v>133</v>
      </c>
      <c r="F2209" s="2">
        <v>440</v>
      </c>
      <c r="G2209" s="1">
        <v>4</v>
      </c>
      <c r="H2209" t="s">
        <v>407</v>
      </c>
      <c r="I2209" t="s">
        <v>406</v>
      </c>
      <c r="J2209" s="11">
        <v>966.14173273903259</v>
      </c>
      <c r="K2209" t="str">
        <f t="shared" si="68"/>
        <v>Howard Jackson</v>
      </c>
    </row>
    <row r="2210" spans="1:11" hidden="1" x14ac:dyDescent="0.35">
      <c r="A2210">
        <f t="shared" si="69"/>
        <v>2209</v>
      </c>
      <c r="B2210">
        <v>2014</v>
      </c>
      <c r="C2210" t="s">
        <v>109</v>
      </c>
      <c r="D2210" t="s">
        <v>133</v>
      </c>
      <c r="E2210" t="s">
        <v>133</v>
      </c>
      <c r="F2210" s="2">
        <v>422</v>
      </c>
      <c r="G2210" s="1">
        <v>5</v>
      </c>
      <c r="H2210" t="s">
        <v>33</v>
      </c>
      <c r="I2210" t="s">
        <v>34</v>
      </c>
      <c r="J2210" s="11">
        <v>869.23171973097612</v>
      </c>
      <c r="K2210" t="str">
        <f t="shared" si="68"/>
        <v>Meredith Holtzman</v>
      </c>
    </row>
    <row r="2211" spans="1:11" hidden="1" x14ac:dyDescent="0.35">
      <c r="A2211">
        <f t="shared" si="69"/>
        <v>2210</v>
      </c>
      <c r="B2211">
        <v>2014</v>
      </c>
      <c r="C2211" t="s">
        <v>109</v>
      </c>
      <c r="D2211" t="s">
        <v>133</v>
      </c>
      <c r="E2211" t="s">
        <v>133</v>
      </c>
      <c r="F2211" s="2">
        <v>376</v>
      </c>
      <c r="G2211" s="1">
        <v>6</v>
      </c>
      <c r="H2211" t="s">
        <v>116</v>
      </c>
      <c r="I2211" t="s">
        <v>489</v>
      </c>
      <c r="J2211" s="11">
        <v>790.05047368335136</v>
      </c>
      <c r="K2211" t="str">
        <f t="shared" si="68"/>
        <v>Donna Kracinovich</v>
      </c>
    </row>
    <row r="2212" spans="1:11" hidden="1" x14ac:dyDescent="0.35">
      <c r="A2212">
        <f t="shared" si="69"/>
        <v>2211</v>
      </c>
      <c r="B2212">
        <v>2014</v>
      </c>
      <c r="C2212" t="s">
        <v>109</v>
      </c>
      <c r="D2212" t="s">
        <v>133</v>
      </c>
      <c r="E2212" t="s">
        <v>133</v>
      </c>
      <c r="F2212" s="2">
        <v>240</v>
      </c>
      <c r="G2212" s="1">
        <v>7</v>
      </c>
      <c r="H2212" t="s">
        <v>19</v>
      </c>
      <c r="I2212" t="s">
        <v>20</v>
      </c>
      <c r="J2212" s="11">
        <v>723.10368405273812</v>
      </c>
      <c r="K2212" t="str">
        <f t="shared" si="68"/>
        <v>Barry Kornspan</v>
      </c>
    </row>
    <row r="2213" spans="1:11" hidden="1" x14ac:dyDescent="0.35">
      <c r="A2213">
        <f t="shared" si="69"/>
        <v>2212</v>
      </c>
      <c r="B2213">
        <v>2014</v>
      </c>
      <c r="C2213" t="s">
        <v>109</v>
      </c>
      <c r="D2213" t="s">
        <v>133</v>
      </c>
      <c r="E2213" t="s">
        <v>133</v>
      </c>
      <c r="F2213" s="2">
        <v>150</v>
      </c>
      <c r="G2213" s="1">
        <v>8</v>
      </c>
      <c r="H2213" t="s">
        <v>658</v>
      </c>
      <c r="I2213" t="s">
        <v>330</v>
      </c>
      <c r="J2213" s="11">
        <v>665.11173707505145</v>
      </c>
      <c r="K2213" t="str">
        <f t="shared" si="68"/>
        <v>Sandra Benditt</v>
      </c>
    </row>
    <row r="2214" spans="1:11" hidden="1" x14ac:dyDescent="0.35">
      <c r="A2214">
        <f t="shared" si="69"/>
        <v>2213</v>
      </c>
      <c r="B2214">
        <v>2014</v>
      </c>
      <c r="C2214" t="s">
        <v>109</v>
      </c>
      <c r="D2214" t="s">
        <v>110</v>
      </c>
      <c r="E2214" t="s">
        <v>1430</v>
      </c>
      <c r="F2214" s="2">
        <v>1875</v>
      </c>
      <c r="G2214" s="1">
        <v>1</v>
      </c>
      <c r="H2214" t="s">
        <v>23</v>
      </c>
      <c r="I2214" t="s">
        <v>13</v>
      </c>
      <c r="J2214" s="11">
        <v>1913.8138523837167</v>
      </c>
      <c r="K2214" t="str">
        <f t="shared" si="68"/>
        <v>Tom Hummel</v>
      </c>
    </row>
    <row r="2215" spans="1:11" hidden="1" x14ac:dyDescent="0.35">
      <c r="A2215">
        <f t="shared" si="69"/>
        <v>2214</v>
      </c>
      <c r="B2215">
        <v>2014</v>
      </c>
      <c r="C2215" t="s">
        <v>109</v>
      </c>
      <c r="D2215" t="s">
        <v>110</v>
      </c>
      <c r="E2215" t="s">
        <v>1430</v>
      </c>
      <c r="F2215" s="2">
        <v>1350</v>
      </c>
      <c r="G2215" s="1">
        <v>2</v>
      </c>
      <c r="H2215" t="s">
        <v>15</v>
      </c>
      <c r="I2215" t="s">
        <v>28</v>
      </c>
      <c r="J2215" s="11">
        <v>1612.7838567197355</v>
      </c>
      <c r="K2215" t="str">
        <f t="shared" si="68"/>
        <v>Chris Kluchman</v>
      </c>
    </row>
    <row r="2216" spans="1:11" hidden="1" x14ac:dyDescent="0.35">
      <c r="A2216">
        <f t="shared" si="69"/>
        <v>2215</v>
      </c>
      <c r="B2216">
        <v>2014</v>
      </c>
      <c r="C2216" t="s">
        <v>109</v>
      </c>
      <c r="D2216" t="s">
        <v>110</v>
      </c>
      <c r="E2216" t="s">
        <v>1430</v>
      </c>
      <c r="F2216" s="2">
        <v>975</v>
      </c>
      <c r="G2216" s="1">
        <v>3</v>
      </c>
      <c r="H2216" t="s">
        <v>277</v>
      </c>
      <c r="I2216" t="s">
        <v>16</v>
      </c>
      <c r="J2216" s="11">
        <v>1436.6925976640543</v>
      </c>
      <c r="K2216" t="str">
        <f t="shared" si="68"/>
        <v>David Lawful</v>
      </c>
    </row>
    <row r="2217" spans="1:11" hidden="1" x14ac:dyDescent="0.35">
      <c r="A2217">
        <f t="shared" si="69"/>
        <v>2216</v>
      </c>
      <c r="B2217">
        <v>2014</v>
      </c>
      <c r="C2217" t="s">
        <v>109</v>
      </c>
      <c r="D2217" t="s">
        <v>110</v>
      </c>
      <c r="E2217" t="s">
        <v>1430</v>
      </c>
      <c r="F2217" s="2">
        <v>750</v>
      </c>
      <c r="G2217" s="1">
        <v>4</v>
      </c>
      <c r="H2217" t="s">
        <v>275</v>
      </c>
      <c r="I2217" t="s">
        <v>463</v>
      </c>
      <c r="J2217" s="11">
        <v>1311.7538610557542</v>
      </c>
      <c r="K2217" t="str">
        <f t="shared" si="68"/>
        <v>Richard Korbin</v>
      </c>
    </row>
    <row r="2218" spans="1:11" hidden="1" x14ac:dyDescent="0.35">
      <c r="A2218">
        <f t="shared" si="69"/>
        <v>2217</v>
      </c>
      <c r="B2218">
        <v>2014</v>
      </c>
      <c r="C2218" t="s">
        <v>109</v>
      </c>
      <c r="D2218" t="s">
        <v>110</v>
      </c>
      <c r="E2218" t="s">
        <v>1430</v>
      </c>
      <c r="F2218" s="2">
        <v>600</v>
      </c>
      <c r="G2218" s="1">
        <v>5</v>
      </c>
      <c r="H2218" t="s">
        <v>418</v>
      </c>
      <c r="I2218" t="s">
        <v>117</v>
      </c>
      <c r="J2218" s="11">
        <v>1214.843848047698</v>
      </c>
      <c r="K2218" t="str">
        <f t="shared" si="68"/>
        <v>Thomas Valledolmo</v>
      </c>
    </row>
    <row r="2219" spans="1:11" hidden="1" x14ac:dyDescent="0.35">
      <c r="A2219">
        <f t="shared" si="69"/>
        <v>2218</v>
      </c>
      <c r="B2219">
        <v>2014</v>
      </c>
      <c r="C2219" t="s">
        <v>109</v>
      </c>
      <c r="D2219" t="s">
        <v>110</v>
      </c>
      <c r="E2219" t="s">
        <v>1430</v>
      </c>
      <c r="F2219" s="2">
        <v>450</v>
      </c>
      <c r="G2219" s="1">
        <v>6</v>
      </c>
      <c r="H2219" t="s">
        <v>130</v>
      </c>
      <c r="I2219" t="s">
        <v>131</v>
      </c>
      <c r="J2219" s="11">
        <v>1135.6626020000731</v>
      </c>
      <c r="K2219" t="str">
        <f t="shared" si="68"/>
        <v>Alan Stuart</v>
      </c>
    </row>
    <row r="2220" spans="1:11" hidden="1" x14ac:dyDescent="0.35">
      <c r="A2220">
        <f t="shared" si="69"/>
        <v>2219</v>
      </c>
      <c r="B2220">
        <v>2014</v>
      </c>
      <c r="C2220" t="s">
        <v>109</v>
      </c>
      <c r="D2220" t="s">
        <v>110</v>
      </c>
      <c r="E2220" t="s">
        <v>1430</v>
      </c>
      <c r="F2220" s="2">
        <v>300</v>
      </c>
      <c r="G2220" s="1">
        <v>7</v>
      </c>
      <c r="H2220" t="s">
        <v>1446</v>
      </c>
      <c r="I2220" t="s">
        <v>1447</v>
      </c>
      <c r="J2220" s="11">
        <v>1068.7158123694599</v>
      </c>
      <c r="K2220" t="str">
        <f t="shared" si="68"/>
        <v>C Conner</v>
      </c>
    </row>
    <row r="2221" spans="1:11" hidden="1" x14ac:dyDescent="0.35">
      <c r="A2221">
        <f t="shared" si="69"/>
        <v>2220</v>
      </c>
      <c r="B2221">
        <v>2014</v>
      </c>
      <c r="C2221" t="s">
        <v>109</v>
      </c>
      <c r="D2221" t="s">
        <v>110</v>
      </c>
      <c r="E2221" t="s">
        <v>1430</v>
      </c>
      <c r="F2221" s="2">
        <v>206</v>
      </c>
      <c r="G2221" s="1">
        <v>8</v>
      </c>
      <c r="H2221" t="s">
        <v>116</v>
      </c>
      <c r="I2221" t="s">
        <v>489</v>
      </c>
      <c r="J2221" s="11">
        <v>1010.7238653917732</v>
      </c>
      <c r="K2221" t="str">
        <f t="shared" si="68"/>
        <v>Donna Kracinovich</v>
      </c>
    </row>
    <row r="2222" spans="1:11" hidden="1" x14ac:dyDescent="0.35">
      <c r="A2222">
        <f t="shared" si="69"/>
        <v>2221</v>
      </c>
      <c r="B2222">
        <v>2014</v>
      </c>
      <c r="C2222" t="s">
        <v>109</v>
      </c>
      <c r="D2222" t="s">
        <v>110</v>
      </c>
      <c r="E2222" t="s">
        <v>1430</v>
      </c>
      <c r="F2222" s="2">
        <v>150</v>
      </c>
      <c r="G2222" s="1">
        <v>9</v>
      </c>
      <c r="H2222" t="s">
        <v>12</v>
      </c>
      <c r="I2222" t="s">
        <v>13</v>
      </c>
      <c r="J2222" s="11">
        <v>959.57134294439186</v>
      </c>
      <c r="K2222" t="str">
        <f t="shared" si="68"/>
        <v>Tom Bessoir</v>
      </c>
    </row>
    <row r="2223" spans="1:11" hidden="1" x14ac:dyDescent="0.35">
      <c r="A2223">
        <f t="shared" si="69"/>
        <v>2222</v>
      </c>
      <c r="B2223">
        <v>2014</v>
      </c>
      <c r="C2223" t="s">
        <v>109</v>
      </c>
      <c r="D2223" t="s">
        <v>110</v>
      </c>
      <c r="E2223" t="s">
        <v>1430</v>
      </c>
      <c r="F2223" s="2">
        <v>112</v>
      </c>
      <c r="G2223" s="1">
        <v>10</v>
      </c>
      <c r="H2223" t="s">
        <v>202</v>
      </c>
      <c r="I2223" t="s">
        <v>205</v>
      </c>
      <c r="J2223" s="11">
        <v>913.81385238371672</v>
      </c>
      <c r="K2223" t="str">
        <f t="shared" si="68"/>
        <v>Ron Lyons</v>
      </c>
    </row>
    <row r="2224" spans="1:11" hidden="1" x14ac:dyDescent="0.35">
      <c r="A2224">
        <f t="shared" si="69"/>
        <v>2223</v>
      </c>
      <c r="B2224">
        <v>2014</v>
      </c>
      <c r="C2224" t="s">
        <v>109</v>
      </c>
      <c r="D2224" t="s">
        <v>110</v>
      </c>
      <c r="E2224" t="s">
        <v>1430</v>
      </c>
      <c r="F2224" s="2">
        <v>112</v>
      </c>
      <c r="G2224" s="1">
        <v>11</v>
      </c>
      <c r="H2224" t="s">
        <v>366</v>
      </c>
      <c r="I2224" t="s">
        <v>61</v>
      </c>
      <c r="J2224" s="11">
        <v>872.42116722549156</v>
      </c>
      <c r="K2224" t="str">
        <f t="shared" si="68"/>
        <v>Len Greenberg</v>
      </c>
    </row>
    <row r="2225" spans="1:11" hidden="1" x14ac:dyDescent="0.35">
      <c r="A2225">
        <f t="shared" si="69"/>
        <v>2224</v>
      </c>
      <c r="B2225">
        <v>2014</v>
      </c>
      <c r="C2225" t="s">
        <v>109</v>
      </c>
      <c r="D2225" t="s">
        <v>110</v>
      </c>
      <c r="E2225" t="s">
        <v>1430</v>
      </c>
      <c r="F2225" s="2">
        <v>112</v>
      </c>
      <c r="G2225" s="1">
        <v>12</v>
      </c>
      <c r="H2225" t="s">
        <v>246</v>
      </c>
      <c r="I2225" t="s">
        <v>247</v>
      </c>
      <c r="J2225" s="11">
        <v>834.63260633609184</v>
      </c>
      <c r="K2225" t="str">
        <f t="shared" si="68"/>
        <v>Nicholas Mecca</v>
      </c>
    </row>
    <row r="2226" spans="1:11" hidden="1" x14ac:dyDescent="0.35">
      <c r="A2226">
        <f t="shared" si="69"/>
        <v>2225</v>
      </c>
      <c r="B2226">
        <v>2014</v>
      </c>
      <c r="C2226" t="s">
        <v>109</v>
      </c>
      <c r="D2226" t="s">
        <v>110</v>
      </c>
      <c r="E2226" t="s">
        <v>1430</v>
      </c>
      <c r="F2226" s="2">
        <v>94</v>
      </c>
      <c r="G2226" s="1">
        <v>13</v>
      </c>
      <c r="H2226" t="s">
        <v>461</v>
      </c>
      <c r="I2226" t="s">
        <v>1448</v>
      </c>
      <c r="J2226" s="11">
        <v>799.87050007688003</v>
      </c>
      <c r="K2226" t="str">
        <f t="shared" si="68"/>
        <v>Christian Jones</v>
      </c>
    </row>
    <row r="2227" spans="1:11" hidden="1" x14ac:dyDescent="0.35">
      <c r="A2227">
        <f t="shared" si="69"/>
        <v>2226</v>
      </c>
      <c r="B2227">
        <v>2014</v>
      </c>
      <c r="C2227" t="s">
        <v>109</v>
      </c>
      <c r="D2227" t="s">
        <v>110</v>
      </c>
      <c r="E2227" t="s">
        <v>1430</v>
      </c>
      <c r="F2227" s="2">
        <v>94</v>
      </c>
      <c r="G2227" s="1">
        <v>14</v>
      </c>
      <c r="H2227" t="s">
        <v>1449</v>
      </c>
      <c r="I2227" t="s">
        <v>1450</v>
      </c>
      <c r="J2227" s="11">
        <v>767.68581670547871</v>
      </c>
      <c r="K2227" t="str">
        <f t="shared" si="68"/>
        <v>T Wyle</v>
      </c>
    </row>
    <row r="2228" spans="1:11" hidden="1" x14ac:dyDescent="0.35">
      <c r="A2228">
        <f t="shared" si="69"/>
        <v>2227</v>
      </c>
      <c r="B2228">
        <v>2014</v>
      </c>
      <c r="C2228" t="s">
        <v>109</v>
      </c>
      <c r="D2228" t="s">
        <v>110</v>
      </c>
      <c r="E2228" t="s">
        <v>1430</v>
      </c>
      <c r="F2228" s="2">
        <v>94</v>
      </c>
      <c r="G2228" s="1">
        <v>15</v>
      </c>
      <c r="H2228" t="s">
        <v>118</v>
      </c>
      <c r="I2228" t="s">
        <v>415</v>
      </c>
      <c r="J2228" s="11">
        <v>737.72259332803537</v>
      </c>
      <c r="K2228" t="str">
        <f t="shared" si="68"/>
        <v>Pete Segal</v>
      </c>
    </row>
    <row r="2229" spans="1:11" hidden="1" x14ac:dyDescent="0.35">
      <c r="A2229">
        <f t="shared" si="69"/>
        <v>2228</v>
      </c>
      <c r="B2229">
        <v>2014</v>
      </c>
      <c r="C2229" t="s">
        <v>109</v>
      </c>
      <c r="D2229" t="s">
        <v>110</v>
      </c>
      <c r="E2229" t="s">
        <v>1430</v>
      </c>
      <c r="F2229" s="2">
        <v>75</v>
      </c>
      <c r="G2229" s="1">
        <v>16</v>
      </c>
      <c r="H2229" t="s">
        <v>135</v>
      </c>
      <c r="I2229" t="s">
        <v>136</v>
      </c>
      <c r="J2229" s="11">
        <v>709.69386972779193</v>
      </c>
      <c r="K2229" t="str">
        <f t="shared" si="68"/>
        <v>John Scheinberg</v>
      </c>
    </row>
    <row r="2230" spans="1:11" hidden="1" x14ac:dyDescent="0.35">
      <c r="A2230">
        <f t="shared" si="69"/>
        <v>2229</v>
      </c>
      <c r="B2230">
        <v>2014</v>
      </c>
      <c r="C2230" t="s">
        <v>109</v>
      </c>
      <c r="D2230" t="s">
        <v>110</v>
      </c>
      <c r="E2230" t="s">
        <v>1430</v>
      </c>
      <c r="F2230" s="2">
        <v>75</v>
      </c>
      <c r="G2230" s="1">
        <v>17</v>
      </c>
      <c r="H2230" t="s">
        <v>486</v>
      </c>
      <c r="I2230" t="s">
        <v>487</v>
      </c>
      <c r="J2230" s="11">
        <v>683.36493100544283</v>
      </c>
      <c r="K2230" t="str">
        <f t="shared" si="68"/>
        <v>Margaret Pilchman</v>
      </c>
    </row>
    <row r="2231" spans="1:11" hidden="1" x14ac:dyDescent="0.35">
      <c r="A2231">
        <f t="shared" si="69"/>
        <v>2230</v>
      </c>
      <c r="B2231">
        <v>2014</v>
      </c>
      <c r="C2231" t="s">
        <v>109</v>
      </c>
      <c r="D2231" t="s">
        <v>110</v>
      </c>
      <c r="E2231" t="s">
        <v>1430</v>
      </c>
      <c r="F2231" s="2">
        <v>75</v>
      </c>
      <c r="G2231" s="1">
        <v>18</v>
      </c>
      <c r="H2231" t="s">
        <v>1020</v>
      </c>
      <c r="I2231" t="s">
        <v>1451</v>
      </c>
      <c r="J2231" s="11">
        <v>658.54134728041072</v>
      </c>
      <c r="K2231" t="str">
        <f t="shared" si="68"/>
        <v>Betsy Wilson</v>
      </c>
    </row>
    <row r="2232" spans="1:11" hidden="1" x14ac:dyDescent="0.35">
      <c r="A2232">
        <f t="shared" si="69"/>
        <v>2231</v>
      </c>
      <c r="B2232">
        <v>2014</v>
      </c>
      <c r="C2232" t="s">
        <v>263</v>
      </c>
      <c r="D2232" t="s">
        <v>592</v>
      </c>
      <c r="E2232" t="s">
        <v>1430</v>
      </c>
      <c r="F2232" s="2">
        <v>1700</v>
      </c>
      <c r="G2232" s="2">
        <v>1</v>
      </c>
      <c r="H2232" t="s">
        <v>868</v>
      </c>
      <c r="I2232" t="s">
        <v>63</v>
      </c>
      <c r="J2232" s="11">
        <v>1939.5192526186186</v>
      </c>
      <c r="K2232" t="str">
        <f t="shared" si="68"/>
        <v>Claudia Mastroianni</v>
      </c>
    </row>
    <row r="2233" spans="1:11" hidden="1" x14ac:dyDescent="0.35">
      <c r="A2233">
        <f t="shared" si="69"/>
        <v>2232</v>
      </c>
      <c r="B2233">
        <v>2014</v>
      </c>
      <c r="C2233" t="s">
        <v>263</v>
      </c>
      <c r="D2233" t="s">
        <v>592</v>
      </c>
      <c r="E2233" t="s">
        <v>1430</v>
      </c>
      <c r="F2233" s="2">
        <v>1240</v>
      </c>
      <c r="G2233" s="2">
        <v>2</v>
      </c>
      <c r="H2233" t="s">
        <v>66</v>
      </c>
      <c r="I2233" t="s">
        <v>67</v>
      </c>
      <c r="J2233" s="11">
        <v>1638.4892569546373</v>
      </c>
      <c r="K2233" t="str">
        <f t="shared" si="68"/>
        <v>Bob Lauria</v>
      </c>
    </row>
    <row r="2234" spans="1:11" hidden="1" x14ac:dyDescent="0.35">
      <c r="A2234">
        <f t="shared" si="69"/>
        <v>2233</v>
      </c>
      <c r="B2234">
        <v>2014</v>
      </c>
      <c r="C2234" t="s">
        <v>263</v>
      </c>
      <c r="D2234" t="s">
        <v>592</v>
      </c>
      <c r="E2234" t="s">
        <v>1430</v>
      </c>
      <c r="F2234" s="2">
        <v>980</v>
      </c>
      <c r="G2234" s="2">
        <v>3</v>
      </c>
      <c r="H2234" t="s">
        <v>100</v>
      </c>
      <c r="I2234" t="s">
        <v>52</v>
      </c>
      <c r="J2234" s="11">
        <v>1462.3979978989562</v>
      </c>
      <c r="K2234" t="str">
        <f t="shared" si="68"/>
        <v>Steven Eisenstein</v>
      </c>
    </row>
    <row r="2235" spans="1:11" hidden="1" x14ac:dyDescent="0.35">
      <c r="A2235">
        <f t="shared" si="69"/>
        <v>2234</v>
      </c>
      <c r="B2235">
        <v>2014</v>
      </c>
      <c r="C2235" t="s">
        <v>263</v>
      </c>
      <c r="D2235" t="s">
        <v>592</v>
      </c>
      <c r="E2235" t="s">
        <v>1430</v>
      </c>
      <c r="F2235" s="2">
        <v>785</v>
      </c>
      <c r="G2235" s="2">
        <v>4</v>
      </c>
      <c r="H2235" t="s">
        <v>1458</v>
      </c>
      <c r="I2235" t="s">
        <v>67</v>
      </c>
      <c r="J2235" s="11">
        <v>1337.4592612906563</v>
      </c>
      <c r="K2235" t="str">
        <f t="shared" si="68"/>
        <v>Bob Gilbert</v>
      </c>
    </row>
    <row r="2236" spans="1:11" hidden="1" x14ac:dyDescent="0.35">
      <c r="A2236">
        <f t="shared" si="69"/>
        <v>2235</v>
      </c>
      <c r="B2236">
        <v>2014</v>
      </c>
      <c r="C2236" t="s">
        <v>263</v>
      </c>
      <c r="D2236" t="s">
        <v>592</v>
      </c>
      <c r="E2236" t="s">
        <v>1430</v>
      </c>
      <c r="F2236" s="2">
        <v>585</v>
      </c>
      <c r="G2236" s="2">
        <v>5</v>
      </c>
      <c r="H2236" t="s">
        <v>542</v>
      </c>
      <c r="I2236" t="s">
        <v>196</v>
      </c>
      <c r="J2236" s="11">
        <v>1240.5492482825996</v>
      </c>
      <c r="K2236" t="str">
        <f t="shared" si="68"/>
        <v>Dave O'Grady</v>
      </c>
    </row>
    <row r="2237" spans="1:11" hidden="1" x14ac:dyDescent="0.35">
      <c r="A2237">
        <f t="shared" si="69"/>
        <v>2236</v>
      </c>
      <c r="B2237">
        <v>2014</v>
      </c>
      <c r="C2237" t="s">
        <v>263</v>
      </c>
      <c r="D2237" t="s">
        <v>592</v>
      </c>
      <c r="E2237" t="s">
        <v>1430</v>
      </c>
      <c r="F2237" s="2">
        <v>455</v>
      </c>
      <c r="G2237" s="2">
        <v>6</v>
      </c>
      <c r="H2237" t="s">
        <v>226</v>
      </c>
      <c r="I2237" t="s">
        <v>227</v>
      </c>
      <c r="J2237" s="11">
        <v>1161.3680022349749</v>
      </c>
      <c r="K2237" t="str">
        <f t="shared" si="68"/>
        <v>Patti Beadles</v>
      </c>
    </row>
    <row r="2238" spans="1:11" hidden="1" x14ac:dyDescent="0.35">
      <c r="A2238">
        <f t="shared" si="69"/>
        <v>2237</v>
      </c>
      <c r="B2238">
        <v>2014</v>
      </c>
      <c r="C2238" t="s">
        <v>263</v>
      </c>
      <c r="D2238" t="s">
        <v>592</v>
      </c>
      <c r="E2238" t="s">
        <v>1430</v>
      </c>
      <c r="F2238" s="2">
        <v>325</v>
      </c>
      <c r="G2238" s="2">
        <v>7</v>
      </c>
      <c r="H2238" t="s">
        <v>398</v>
      </c>
      <c r="I2238" t="s">
        <v>399</v>
      </c>
      <c r="J2238" s="11">
        <v>1094.4212126043617</v>
      </c>
      <c r="K2238" t="str">
        <f t="shared" si="68"/>
        <v>Arthur Goltz</v>
      </c>
    </row>
    <row r="2239" spans="1:11" hidden="1" x14ac:dyDescent="0.35">
      <c r="A2239">
        <f t="shared" si="69"/>
        <v>2238</v>
      </c>
      <c r="B2239">
        <v>2014</v>
      </c>
      <c r="C2239" t="s">
        <v>263</v>
      </c>
      <c r="D2239" t="s">
        <v>592</v>
      </c>
      <c r="E2239" t="s">
        <v>1430</v>
      </c>
      <c r="F2239" s="2">
        <v>195</v>
      </c>
      <c r="G2239" s="2">
        <v>8</v>
      </c>
      <c r="H2239" t="s">
        <v>16</v>
      </c>
      <c r="I2239" t="s">
        <v>59</v>
      </c>
      <c r="J2239" s="11">
        <v>1036.429265626675</v>
      </c>
      <c r="K2239" t="str">
        <f t="shared" si="68"/>
        <v>Jeanne David</v>
      </c>
    </row>
    <row r="2240" spans="1:11" hidden="1" x14ac:dyDescent="0.35">
      <c r="A2240">
        <f t="shared" si="69"/>
        <v>2239</v>
      </c>
      <c r="B2240">
        <v>2014</v>
      </c>
      <c r="C2240" t="s">
        <v>263</v>
      </c>
      <c r="D2240" t="s">
        <v>592</v>
      </c>
      <c r="E2240" t="s">
        <v>1430</v>
      </c>
      <c r="F2240" s="2">
        <v>130</v>
      </c>
      <c r="G2240" s="2">
        <v>9</v>
      </c>
      <c r="H2240" t="s">
        <v>612</v>
      </c>
      <c r="I2240" t="s">
        <v>181</v>
      </c>
      <c r="J2240" s="11">
        <v>985.27674317929359</v>
      </c>
      <c r="K2240" t="str">
        <f t="shared" si="68"/>
        <v>Aaron Lion</v>
      </c>
    </row>
    <row r="2241" spans="1:11" hidden="1" x14ac:dyDescent="0.35">
      <c r="A2241">
        <f t="shared" si="69"/>
        <v>2240</v>
      </c>
      <c r="B2241">
        <v>2014</v>
      </c>
      <c r="C2241" t="s">
        <v>263</v>
      </c>
      <c r="D2241" t="s">
        <v>592</v>
      </c>
      <c r="E2241" t="s">
        <v>1430</v>
      </c>
      <c r="F2241" s="2">
        <v>130</v>
      </c>
      <c r="G2241" s="2">
        <v>10</v>
      </c>
      <c r="H2241" t="s">
        <v>99</v>
      </c>
      <c r="I2241" t="s">
        <v>2500</v>
      </c>
      <c r="J2241" s="11">
        <v>939.51925261861845</v>
      </c>
      <c r="K2241" t="str">
        <f t="shared" si="68"/>
        <v>Bex Kerl</v>
      </c>
    </row>
    <row r="2242" spans="1:11" hidden="1" x14ac:dyDescent="0.35">
      <c r="A2242">
        <f t="shared" si="69"/>
        <v>2241</v>
      </c>
      <c r="B2242">
        <v>2014</v>
      </c>
      <c r="C2242" t="s">
        <v>263</v>
      </c>
      <c r="D2242" t="s">
        <v>1455</v>
      </c>
      <c r="E2242" t="s">
        <v>1430</v>
      </c>
      <c r="F2242" s="2">
        <v>940</v>
      </c>
      <c r="G2242" s="2">
        <v>1</v>
      </c>
      <c r="H2242" t="s">
        <v>39</v>
      </c>
      <c r="I2242" t="s">
        <v>40</v>
      </c>
      <c r="J2242" s="11">
        <v>1939.5192526186186</v>
      </c>
      <c r="K2242" t="str">
        <f t="shared" ref="K2242:K2305" si="70">I2242&amp;" "&amp;H2242</f>
        <v>Katie Baxter</v>
      </c>
    </row>
    <row r="2243" spans="1:11" hidden="1" x14ac:dyDescent="0.35">
      <c r="A2243">
        <f t="shared" si="69"/>
        <v>2242</v>
      </c>
      <c r="B2243">
        <v>2014</v>
      </c>
      <c r="C2243" t="s">
        <v>263</v>
      </c>
      <c r="D2243" t="s">
        <v>1455</v>
      </c>
      <c r="E2243" t="s">
        <v>1430</v>
      </c>
      <c r="F2243" s="2">
        <v>685</v>
      </c>
      <c r="G2243" s="2">
        <v>2</v>
      </c>
      <c r="H2243" t="s">
        <v>251</v>
      </c>
      <c r="I2243" t="s">
        <v>510</v>
      </c>
      <c r="J2243" s="11">
        <v>1638.4892569546373</v>
      </c>
      <c r="K2243" t="str">
        <f t="shared" si="70"/>
        <v>Sharon Lewis</v>
      </c>
    </row>
    <row r="2244" spans="1:11" hidden="1" x14ac:dyDescent="0.35">
      <c r="A2244">
        <f t="shared" ref="A2244:A2307" si="71">A2243+1</f>
        <v>2243</v>
      </c>
      <c r="B2244">
        <v>2014</v>
      </c>
      <c r="C2244" t="s">
        <v>263</v>
      </c>
      <c r="D2244" t="s">
        <v>1455</v>
      </c>
      <c r="E2244" t="s">
        <v>1430</v>
      </c>
      <c r="F2244" s="2">
        <v>545</v>
      </c>
      <c r="G2244" s="2">
        <v>3</v>
      </c>
      <c r="H2244" t="s">
        <v>100</v>
      </c>
      <c r="I2244" t="s">
        <v>52</v>
      </c>
      <c r="J2244" s="11">
        <v>1462.3979978989562</v>
      </c>
      <c r="K2244" t="str">
        <f t="shared" si="70"/>
        <v>Steven Eisenstein</v>
      </c>
    </row>
    <row r="2245" spans="1:11" hidden="1" x14ac:dyDescent="0.35">
      <c r="A2245">
        <f t="shared" si="71"/>
        <v>2244</v>
      </c>
      <c r="B2245">
        <v>2014</v>
      </c>
      <c r="C2245" t="s">
        <v>263</v>
      </c>
      <c r="D2245" t="s">
        <v>1455</v>
      </c>
      <c r="E2245" t="s">
        <v>1430</v>
      </c>
      <c r="F2245" s="2">
        <v>435</v>
      </c>
      <c r="G2245" s="2">
        <v>4</v>
      </c>
      <c r="H2245" t="s">
        <v>294</v>
      </c>
      <c r="I2245" t="s">
        <v>16</v>
      </c>
      <c r="J2245" s="11">
        <v>1337.4592612906563</v>
      </c>
      <c r="K2245" t="str">
        <f t="shared" si="70"/>
        <v>David Low</v>
      </c>
    </row>
    <row r="2246" spans="1:11" hidden="1" x14ac:dyDescent="0.35">
      <c r="A2246">
        <f t="shared" si="71"/>
        <v>2245</v>
      </c>
      <c r="B2246">
        <v>2014</v>
      </c>
      <c r="C2246" t="s">
        <v>263</v>
      </c>
      <c r="D2246" t="s">
        <v>1455</v>
      </c>
      <c r="E2246" t="s">
        <v>1430</v>
      </c>
      <c r="F2246" s="2">
        <v>365</v>
      </c>
      <c r="G2246" s="2">
        <v>5</v>
      </c>
      <c r="H2246" t="s">
        <v>70</v>
      </c>
      <c r="I2246" t="s">
        <v>71</v>
      </c>
      <c r="J2246" s="11">
        <v>1240.5492482825996</v>
      </c>
      <c r="K2246" t="str">
        <f t="shared" si="70"/>
        <v>Scott Byron</v>
      </c>
    </row>
    <row r="2247" spans="1:11" hidden="1" x14ac:dyDescent="0.35">
      <c r="A2247">
        <f t="shared" si="71"/>
        <v>2246</v>
      </c>
      <c r="B2247">
        <v>2014</v>
      </c>
      <c r="C2247" t="s">
        <v>263</v>
      </c>
      <c r="D2247" t="s">
        <v>1455</v>
      </c>
      <c r="E2247" t="s">
        <v>1430</v>
      </c>
      <c r="F2247" s="2">
        <v>255</v>
      </c>
      <c r="G2247" s="2">
        <v>6</v>
      </c>
      <c r="H2247" t="s">
        <v>64</v>
      </c>
      <c r="I2247" t="s">
        <v>65</v>
      </c>
      <c r="J2247" s="11">
        <v>1161.3680022349749</v>
      </c>
      <c r="K2247" t="str">
        <f t="shared" si="70"/>
        <v>Steve Daniel</v>
      </c>
    </row>
    <row r="2248" spans="1:11" hidden="1" x14ac:dyDescent="0.35">
      <c r="A2248">
        <f t="shared" si="71"/>
        <v>2247</v>
      </c>
      <c r="B2248">
        <v>2014</v>
      </c>
      <c r="C2248" t="s">
        <v>263</v>
      </c>
      <c r="D2248" t="s">
        <v>1455</v>
      </c>
      <c r="E2248" t="s">
        <v>1430</v>
      </c>
      <c r="F2248" s="2">
        <v>180</v>
      </c>
      <c r="G2248" s="2">
        <v>7</v>
      </c>
      <c r="H2248" t="s">
        <v>37</v>
      </c>
      <c r="I2248" t="s">
        <v>38</v>
      </c>
      <c r="J2248" s="11">
        <v>1094.4212126043617</v>
      </c>
      <c r="K2248" t="str">
        <f t="shared" si="70"/>
        <v>Doug Grismore</v>
      </c>
    </row>
    <row r="2249" spans="1:11" hidden="1" x14ac:dyDescent="0.35">
      <c r="A2249">
        <f t="shared" si="71"/>
        <v>2248</v>
      </c>
      <c r="B2249">
        <v>2014</v>
      </c>
      <c r="C2249" t="s">
        <v>263</v>
      </c>
      <c r="D2249" t="s">
        <v>1455</v>
      </c>
      <c r="E2249" t="s">
        <v>1430</v>
      </c>
      <c r="F2249" s="2">
        <v>145</v>
      </c>
      <c r="G2249" s="2">
        <v>8</v>
      </c>
      <c r="H2249" t="s">
        <v>2512</v>
      </c>
      <c r="I2249" t="s">
        <v>659</v>
      </c>
      <c r="J2249" s="11">
        <v>1036.429265626675</v>
      </c>
      <c r="K2249" t="str">
        <f t="shared" si="70"/>
        <v>Tanya Peck-Devenport</v>
      </c>
    </row>
    <row r="2250" spans="1:11" hidden="1" x14ac:dyDescent="0.35">
      <c r="A2250">
        <f t="shared" si="71"/>
        <v>2249</v>
      </c>
      <c r="B2250">
        <v>2014</v>
      </c>
      <c r="C2250" t="s">
        <v>263</v>
      </c>
      <c r="D2250" t="s">
        <v>1455</v>
      </c>
      <c r="E2250" t="s">
        <v>1430</v>
      </c>
      <c r="F2250" s="2">
        <v>80</v>
      </c>
      <c r="G2250" s="2">
        <v>9</v>
      </c>
      <c r="H2250" t="s">
        <v>148</v>
      </c>
      <c r="I2250" t="s">
        <v>149</v>
      </c>
      <c r="J2250" s="11">
        <v>985.27674317929359</v>
      </c>
      <c r="K2250" t="str">
        <f t="shared" si="70"/>
        <v>Alex Ziselman</v>
      </c>
    </row>
    <row r="2251" spans="1:11" hidden="1" x14ac:dyDescent="0.35">
      <c r="A2251">
        <f t="shared" si="71"/>
        <v>2250</v>
      </c>
      <c r="B2251">
        <v>2014</v>
      </c>
      <c r="C2251" t="s">
        <v>263</v>
      </c>
      <c r="D2251" t="s">
        <v>1408</v>
      </c>
      <c r="E2251" t="s">
        <v>1430</v>
      </c>
      <c r="F2251" s="2">
        <v>960</v>
      </c>
      <c r="G2251" s="2">
        <v>1</v>
      </c>
      <c r="H2251" t="s">
        <v>543</v>
      </c>
      <c r="I2251" t="s">
        <v>67</v>
      </c>
      <c r="J2251" s="11">
        <v>1755.8748556724915</v>
      </c>
      <c r="K2251" t="str">
        <f t="shared" si="70"/>
        <v>Bob Herlien</v>
      </c>
    </row>
    <row r="2252" spans="1:11" hidden="1" x14ac:dyDescent="0.35">
      <c r="A2252">
        <f t="shared" si="71"/>
        <v>2251</v>
      </c>
      <c r="B2252">
        <v>2014</v>
      </c>
      <c r="C2252" t="s">
        <v>263</v>
      </c>
      <c r="D2252" t="s">
        <v>1408</v>
      </c>
      <c r="E2252" t="s">
        <v>1430</v>
      </c>
      <c r="F2252" s="2">
        <v>720</v>
      </c>
      <c r="G2252" s="2">
        <v>2</v>
      </c>
      <c r="H2252" t="s">
        <v>70</v>
      </c>
      <c r="I2252" t="s">
        <v>71</v>
      </c>
      <c r="J2252" s="11">
        <v>1454.8448600085103</v>
      </c>
      <c r="K2252" t="str">
        <f t="shared" si="70"/>
        <v>Scott Byron</v>
      </c>
    </row>
    <row r="2253" spans="1:11" hidden="1" x14ac:dyDescent="0.35">
      <c r="A2253">
        <f t="shared" si="71"/>
        <v>2252</v>
      </c>
      <c r="B2253">
        <v>2014</v>
      </c>
      <c r="C2253" t="s">
        <v>263</v>
      </c>
      <c r="D2253" t="s">
        <v>1408</v>
      </c>
      <c r="E2253" t="s">
        <v>1430</v>
      </c>
      <c r="F2253" s="2">
        <v>545</v>
      </c>
      <c r="G2253" s="2">
        <v>3</v>
      </c>
      <c r="H2253" t="s">
        <v>21</v>
      </c>
      <c r="I2253" t="s">
        <v>463</v>
      </c>
      <c r="J2253" s="11">
        <v>1278.7536009528292</v>
      </c>
      <c r="K2253" t="str">
        <f t="shared" si="70"/>
        <v>Richard Bremer</v>
      </c>
    </row>
    <row r="2254" spans="1:11" hidden="1" x14ac:dyDescent="0.35">
      <c r="A2254">
        <f t="shared" si="71"/>
        <v>2253</v>
      </c>
      <c r="B2254">
        <v>2014</v>
      </c>
      <c r="C2254" t="s">
        <v>263</v>
      </c>
      <c r="D2254" t="s">
        <v>1408</v>
      </c>
      <c r="E2254" t="s">
        <v>1430</v>
      </c>
      <c r="F2254" s="2">
        <v>445</v>
      </c>
      <c r="G2254" s="2">
        <v>4</v>
      </c>
      <c r="H2254" t="s">
        <v>965</v>
      </c>
      <c r="I2254" t="s">
        <v>44</v>
      </c>
      <c r="J2254" s="11">
        <v>1153.814864344529</v>
      </c>
      <c r="K2254" t="str">
        <f t="shared" si="70"/>
        <v>Mike McBride</v>
      </c>
    </row>
    <row r="2255" spans="1:11" hidden="1" x14ac:dyDescent="0.35">
      <c r="A2255">
        <f t="shared" si="71"/>
        <v>2254</v>
      </c>
      <c r="B2255">
        <v>2014</v>
      </c>
      <c r="C2255" t="s">
        <v>263</v>
      </c>
      <c r="D2255" t="s">
        <v>1408</v>
      </c>
      <c r="E2255" t="s">
        <v>1430</v>
      </c>
      <c r="F2255" s="2">
        <v>340</v>
      </c>
      <c r="G2255" s="2">
        <v>5</v>
      </c>
      <c r="H2255" t="s">
        <v>1013</v>
      </c>
      <c r="I2255" t="s">
        <v>1456</v>
      </c>
      <c r="J2255" s="11">
        <v>1056.9048513364728</v>
      </c>
      <c r="K2255" t="str">
        <f t="shared" si="70"/>
        <v>Shawna Madrigal</v>
      </c>
    </row>
    <row r="2256" spans="1:11" hidden="1" x14ac:dyDescent="0.35">
      <c r="A2256">
        <f t="shared" si="71"/>
        <v>2255</v>
      </c>
      <c r="B2256">
        <v>2014</v>
      </c>
      <c r="C2256" t="s">
        <v>263</v>
      </c>
      <c r="D2256" t="s">
        <v>1408</v>
      </c>
      <c r="E2256" t="s">
        <v>1430</v>
      </c>
      <c r="F2256" s="2">
        <v>240</v>
      </c>
      <c r="G2256" s="2">
        <v>6</v>
      </c>
      <c r="H2256" t="s">
        <v>12</v>
      </c>
      <c r="I2256" t="s">
        <v>13</v>
      </c>
      <c r="J2256" s="11">
        <v>977.72360528884781</v>
      </c>
      <c r="K2256" t="str">
        <f t="shared" si="70"/>
        <v>Tom Bessoir</v>
      </c>
    </row>
    <row r="2257" spans="1:11" hidden="1" x14ac:dyDescent="0.35">
      <c r="A2257">
        <f t="shared" si="71"/>
        <v>2256</v>
      </c>
      <c r="B2257">
        <v>2014</v>
      </c>
      <c r="C2257" t="s">
        <v>263</v>
      </c>
      <c r="D2257" t="s">
        <v>1408</v>
      </c>
      <c r="E2257" t="s">
        <v>1430</v>
      </c>
      <c r="F2257" s="2">
        <v>170</v>
      </c>
      <c r="G2257" s="2">
        <v>7</v>
      </c>
      <c r="H2257" t="s">
        <v>298</v>
      </c>
      <c r="I2257" t="s">
        <v>131</v>
      </c>
      <c r="J2257" s="11">
        <v>910.77681565823468</v>
      </c>
      <c r="K2257" t="str">
        <f t="shared" si="70"/>
        <v>Alan Veach</v>
      </c>
    </row>
    <row r="2258" spans="1:11" hidden="1" x14ac:dyDescent="0.35">
      <c r="A2258">
        <f t="shared" si="71"/>
        <v>2257</v>
      </c>
      <c r="B2258">
        <v>2014</v>
      </c>
      <c r="C2258" t="s">
        <v>263</v>
      </c>
      <c r="D2258" t="s">
        <v>45</v>
      </c>
      <c r="E2258" t="s">
        <v>1429</v>
      </c>
      <c r="F2258" s="2">
        <v>3150</v>
      </c>
      <c r="G2258" s="2">
        <v>1</v>
      </c>
      <c r="H2258" t="s">
        <v>1460</v>
      </c>
      <c r="I2258" t="s">
        <v>1461</v>
      </c>
      <c r="J2258" s="11">
        <v>2178.9769472931694</v>
      </c>
      <c r="K2258" t="str">
        <f t="shared" si="70"/>
        <v>Andreas Wolfram</v>
      </c>
    </row>
    <row r="2259" spans="1:11" hidden="1" x14ac:dyDescent="0.35">
      <c r="A2259">
        <f t="shared" si="71"/>
        <v>2258</v>
      </c>
      <c r="B2259">
        <v>2014</v>
      </c>
      <c r="C2259" t="s">
        <v>263</v>
      </c>
      <c r="D2259" t="s">
        <v>45</v>
      </c>
      <c r="E2259" t="s">
        <v>1429</v>
      </c>
      <c r="F2259" s="2">
        <v>3150</v>
      </c>
      <c r="G2259" s="2">
        <v>2</v>
      </c>
      <c r="H2259" t="s">
        <v>66</v>
      </c>
      <c r="I2259" t="s">
        <v>67</v>
      </c>
      <c r="J2259" s="11">
        <v>1877.9469516291881</v>
      </c>
      <c r="K2259" t="str">
        <f t="shared" si="70"/>
        <v>Bob Lauria</v>
      </c>
    </row>
    <row r="2260" spans="1:11" hidden="1" x14ac:dyDescent="0.35">
      <c r="A2260">
        <f t="shared" si="71"/>
        <v>2259</v>
      </c>
      <c r="B2260">
        <v>2014</v>
      </c>
      <c r="C2260" t="s">
        <v>263</v>
      </c>
      <c r="D2260" t="s">
        <v>45</v>
      </c>
      <c r="E2260" t="s">
        <v>1429</v>
      </c>
      <c r="F2260" s="2">
        <v>2115</v>
      </c>
      <c r="G2260" s="2">
        <v>3</v>
      </c>
      <c r="H2260" t="s">
        <v>281</v>
      </c>
      <c r="I2260" t="s">
        <v>282</v>
      </c>
      <c r="J2260" s="11">
        <v>1701.855692573507</v>
      </c>
      <c r="K2260" t="str">
        <f t="shared" si="70"/>
        <v>Randy Collack</v>
      </c>
    </row>
    <row r="2261" spans="1:11" hidden="1" x14ac:dyDescent="0.35">
      <c r="A2261">
        <f t="shared" si="71"/>
        <v>2260</v>
      </c>
      <c r="B2261">
        <v>2014</v>
      </c>
      <c r="C2261" t="s">
        <v>263</v>
      </c>
      <c r="D2261" t="s">
        <v>45</v>
      </c>
      <c r="E2261" t="s">
        <v>1429</v>
      </c>
      <c r="F2261" s="2">
        <v>1660</v>
      </c>
      <c r="G2261" s="2">
        <v>4</v>
      </c>
      <c r="H2261" t="s">
        <v>965</v>
      </c>
      <c r="I2261" t="s">
        <v>44</v>
      </c>
      <c r="J2261" s="11">
        <v>1576.9169559652069</v>
      </c>
      <c r="K2261" t="str">
        <f t="shared" si="70"/>
        <v>Mike McBride</v>
      </c>
    </row>
    <row r="2262" spans="1:11" hidden="1" x14ac:dyDescent="0.35">
      <c r="A2262">
        <f t="shared" si="71"/>
        <v>2261</v>
      </c>
      <c r="B2262">
        <v>2014</v>
      </c>
      <c r="C2262" t="s">
        <v>263</v>
      </c>
      <c r="D2262" t="s">
        <v>45</v>
      </c>
      <c r="E2262" t="s">
        <v>1429</v>
      </c>
      <c r="F2262" s="2">
        <v>1210</v>
      </c>
      <c r="G2262" s="2">
        <v>5</v>
      </c>
      <c r="H2262" t="s">
        <v>692</v>
      </c>
      <c r="I2262" t="s">
        <v>200</v>
      </c>
      <c r="J2262" s="11">
        <v>1480.0069429571506</v>
      </c>
      <c r="K2262" t="str">
        <f t="shared" si="70"/>
        <v>Rick Monbourquette</v>
      </c>
    </row>
    <row r="2263" spans="1:11" hidden="1" x14ac:dyDescent="0.35">
      <c r="A2263">
        <f t="shared" si="71"/>
        <v>2262</v>
      </c>
      <c r="B2263">
        <v>2014</v>
      </c>
      <c r="C2263" t="s">
        <v>263</v>
      </c>
      <c r="D2263" t="s">
        <v>45</v>
      </c>
      <c r="E2263" t="s">
        <v>1429</v>
      </c>
      <c r="F2263" s="2">
        <v>905</v>
      </c>
      <c r="G2263" s="2">
        <v>6</v>
      </c>
      <c r="H2263" t="s">
        <v>100</v>
      </c>
      <c r="I2263" t="s">
        <v>52</v>
      </c>
      <c r="J2263" s="11">
        <v>1400.8256969095257</v>
      </c>
      <c r="K2263" t="str">
        <f t="shared" si="70"/>
        <v>Steven Eisenstein</v>
      </c>
    </row>
    <row r="2264" spans="1:11" hidden="1" x14ac:dyDescent="0.35">
      <c r="A2264">
        <f t="shared" si="71"/>
        <v>2263</v>
      </c>
      <c r="B2264">
        <v>2014</v>
      </c>
      <c r="C2264" t="s">
        <v>263</v>
      </c>
      <c r="D2264" t="s">
        <v>45</v>
      </c>
      <c r="E2264" t="s">
        <v>1429</v>
      </c>
      <c r="F2264" s="2">
        <v>605</v>
      </c>
      <c r="G2264" s="2">
        <v>7</v>
      </c>
      <c r="H2264" t="s">
        <v>585</v>
      </c>
      <c r="I2264" t="s">
        <v>136</v>
      </c>
      <c r="J2264" s="11">
        <v>1333.8789072789123</v>
      </c>
      <c r="K2264" t="str">
        <f t="shared" si="70"/>
        <v>John Pickels</v>
      </c>
    </row>
    <row r="2265" spans="1:11" hidden="1" x14ac:dyDescent="0.35">
      <c r="A2265">
        <f t="shared" si="71"/>
        <v>2264</v>
      </c>
      <c r="B2265">
        <v>2014</v>
      </c>
      <c r="C2265" t="s">
        <v>263</v>
      </c>
      <c r="D2265" t="s">
        <v>45</v>
      </c>
      <c r="E2265" t="s">
        <v>1429</v>
      </c>
      <c r="F2265" s="2">
        <v>455</v>
      </c>
      <c r="G2265" s="2">
        <v>8</v>
      </c>
      <c r="H2265" t="s">
        <v>266</v>
      </c>
      <c r="I2265" t="s">
        <v>28</v>
      </c>
      <c r="J2265" s="11">
        <v>1275.8869603012258</v>
      </c>
      <c r="K2265" t="str">
        <f t="shared" si="70"/>
        <v>Chris Mecklin</v>
      </c>
    </row>
    <row r="2266" spans="1:11" hidden="1" x14ac:dyDescent="0.35">
      <c r="A2266">
        <f t="shared" si="71"/>
        <v>2265</v>
      </c>
      <c r="B2266">
        <v>2014</v>
      </c>
      <c r="C2266" t="s">
        <v>263</v>
      </c>
      <c r="D2266" t="s">
        <v>45</v>
      </c>
      <c r="E2266" t="s">
        <v>1429</v>
      </c>
      <c r="F2266" s="2">
        <v>300</v>
      </c>
      <c r="G2266" s="2">
        <v>9</v>
      </c>
      <c r="H2266" t="s">
        <v>836</v>
      </c>
      <c r="I2266" t="s">
        <v>136</v>
      </c>
      <c r="J2266" s="11">
        <v>1224.7344378538446</v>
      </c>
      <c r="K2266" t="str">
        <f t="shared" si="70"/>
        <v>John Grout</v>
      </c>
    </row>
    <row r="2267" spans="1:11" hidden="1" x14ac:dyDescent="0.35">
      <c r="A2267">
        <f t="shared" si="71"/>
        <v>2266</v>
      </c>
      <c r="B2267">
        <v>2014</v>
      </c>
      <c r="C2267" t="s">
        <v>263</v>
      </c>
      <c r="D2267" t="s">
        <v>45</v>
      </c>
      <c r="E2267" t="s">
        <v>1429</v>
      </c>
      <c r="F2267" s="2">
        <v>300</v>
      </c>
      <c r="G2267" s="2">
        <v>10</v>
      </c>
      <c r="H2267" t="s">
        <v>88</v>
      </c>
      <c r="I2267" t="s">
        <v>89</v>
      </c>
      <c r="J2267" s="11">
        <v>1178.9769472931694</v>
      </c>
      <c r="K2267" t="str">
        <f t="shared" si="70"/>
        <v>Ken Kubey</v>
      </c>
    </row>
    <row r="2268" spans="1:11" hidden="1" x14ac:dyDescent="0.35">
      <c r="A2268">
        <f t="shared" si="71"/>
        <v>2267</v>
      </c>
      <c r="B2268">
        <v>2014</v>
      </c>
      <c r="C2268" t="s">
        <v>263</v>
      </c>
      <c r="D2268" t="s">
        <v>45</v>
      </c>
      <c r="E2268" t="s">
        <v>1429</v>
      </c>
      <c r="F2268" s="2">
        <v>225</v>
      </c>
      <c r="G2268" s="2">
        <v>11</v>
      </c>
      <c r="H2268" t="s">
        <v>76</v>
      </c>
      <c r="I2268" t="s">
        <v>77</v>
      </c>
      <c r="J2268" s="11">
        <v>1137.5842621349441</v>
      </c>
      <c r="K2268" t="str">
        <f t="shared" si="70"/>
        <v>Eric Rosenberger</v>
      </c>
    </row>
    <row r="2269" spans="1:11" hidden="1" x14ac:dyDescent="0.35">
      <c r="A2269">
        <f t="shared" si="71"/>
        <v>2268</v>
      </c>
      <c r="B2269">
        <v>2014</v>
      </c>
      <c r="C2269" t="s">
        <v>263</v>
      </c>
      <c r="D2269" t="s">
        <v>45</v>
      </c>
      <c r="E2269" t="s">
        <v>1429</v>
      </c>
      <c r="F2269" s="2">
        <v>225</v>
      </c>
      <c r="G2269" s="2">
        <v>12</v>
      </c>
      <c r="H2269" t="s">
        <v>380</v>
      </c>
      <c r="I2269" t="s">
        <v>381</v>
      </c>
      <c r="J2269" s="11">
        <v>1099.7957012455445</v>
      </c>
      <c r="K2269" t="str">
        <f t="shared" si="70"/>
        <v>Monte Christensen</v>
      </c>
    </row>
    <row r="2270" spans="1:11" hidden="1" x14ac:dyDescent="0.35">
      <c r="A2270">
        <f t="shared" si="71"/>
        <v>2269</v>
      </c>
      <c r="B2270">
        <v>2014</v>
      </c>
      <c r="C2270" t="s">
        <v>263</v>
      </c>
      <c r="D2270" t="s">
        <v>45</v>
      </c>
      <c r="E2270" t="s">
        <v>1429</v>
      </c>
      <c r="F2270" s="2">
        <v>150</v>
      </c>
      <c r="G2270" s="2">
        <v>13</v>
      </c>
      <c r="H2270" t="s">
        <v>307</v>
      </c>
      <c r="I2270" t="s">
        <v>67</v>
      </c>
      <c r="J2270" s="11">
        <v>1065.0335949863324</v>
      </c>
      <c r="K2270" t="str">
        <f t="shared" si="70"/>
        <v>Bob Ogus</v>
      </c>
    </row>
    <row r="2271" spans="1:11" hidden="1" x14ac:dyDescent="0.35">
      <c r="A2271">
        <f t="shared" si="71"/>
        <v>2270</v>
      </c>
      <c r="B2271">
        <v>2014</v>
      </c>
      <c r="C2271" t="s">
        <v>263</v>
      </c>
      <c r="D2271" t="s">
        <v>45</v>
      </c>
      <c r="E2271" t="s">
        <v>1429</v>
      </c>
      <c r="F2271" s="2">
        <v>150</v>
      </c>
      <c r="G2271" s="2">
        <v>14</v>
      </c>
      <c r="H2271" t="s">
        <v>540</v>
      </c>
      <c r="I2271" t="s">
        <v>65</v>
      </c>
      <c r="J2271" s="11">
        <v>1032.8489116149312</v>
      </c>
      <c r="K2271" t="str">
        <f t="shared" si="70"/>
        <v>Steve Sherman</v>
      </c>
    </row>
    <row r="2272" spans="1:11" hidden="1" x14ac:dyDescent="0.35">
      <c r="A2272">
        <f t="shared" si="71"/>
        <v>2271</v>
      </c>
      <c r="B2272">
        <v>2014</v>
      </c>
      <c r="C2272" t="s">
        <v>263</v>
      </c>
      <c r="D2272" t="s">
        <v>45</v>
      </c>
      <c r="E2272" t="s">
        <v>1429</v>
      </c>
      <c r="F2272" s="2">
        <v>150</v>
      </c>
      <c r="G2272" s="2">
        <v>15</v>
      </c>
      <c r="H2272" t="s">
        <v>118</v>
      </c>
      <c r="I2272" t="s">
        <v>415</v>
      </c>
      <c r="J2272" s="11">
        <v>1002.8856882374879</v>
      </c>
      <c r="K2272" t="str">
        <f t="shared" si="70"/>
        <v>Pete Segal</v>
      </c>
    </row>
    <row r="2273" spans="1:11" hidden="1" x14ac:dyDescent="0.35">
      <c r="A2273">
        <f t="shared" si="71"/>
        <v>2272</v>
      </c>
      <c r="B2273">
        <v>2014</v>
      </c>
      <c r="C2273" t="s">
        <v>263</v>
      </c>
      <c r="D2273" t="s">
        <v>45</v>
      </c>
      <c r="E2273" t="s">
        <v>1429</v>
      </c>
      <c r="F2273" s="2">
        <v>150</v>
      </c>
      <c r="G2273" s="2">
        <v>16</v>
      </c>
      <c r="H2273" t="s">
        <v>70</v>
      </c>
      <c r="I2273" t="s">
        <v>71</v>
      </c>
      <c r="J2273" s="11">
        <v>974.85696463724446</v>
      </c>
      <c r="K2273" t="str">
        <f t="shared" si="70"/>
        <v>Scott Byron</v>
      </c>
    </row>
    <row r="2274" spans="1:11" hidden="1" x14ac:dyDescent="0.35">
      <c r="A2274">
        <f t="shared" si="71"/>
        <v>2273</v>
      </c>
      <c r="B2274">
        <v>2014</v>
      </c>
      <c r="C2274" t="s">
        <v>263</v>
      </c>
      <c r="D2274" t="s">
        <v>45</v>
      </c>
      <c r="E2274" t="s">
        <v>1429</v>
      </c>
      <c r="F2274" s="2">
        <v>100</v>
      </c>
      <c r="G2274" s="2">
        <v>17</v>
      </c>
      <c r="H2274" t="s">
        <v>320</v>
      </c>
      <c r="I2274" t="s">
        <v>321</v>
      </c>
      <c r="J2274" s="11">
        <v>948.52802591489535</v>
      </c>
      <c r="K2274" t="str">
        <f t="shared" si="70"/>
        <v>Tina Gonzalez</v>
      </c>
    </row>
    <row r="2275" spans="1:11" hidden="1" x14ac:dyDescent="0.35">
      <c r="A2275">
        <f t="shared" si="71"/>
        <v>2274</v>
      </c>
      <c r="B2275">
        <v>2014</v>
      </c>
      <c r="C2275" t="s">
        <v>263</v>
      </c>
      <c r="D2275" t="s">
        <v>45</v>
      </c>
      <c r="E2275" t="s">
        <v>1429</v>
      </c>
      <c r="F2275" s="2">
        <v>100</v>
      </c>
      <c r="G2275" s="2">
        <v>18</v>
      </c>
      <c r="H2275" t="s">
        <v>299</v>
      </c>
      <c r="I2275" t="s">
        <v>300</v>
      </c>
      <c r="J2275" s="11">
        <v>923.70444218986324</v>
      </c>
      <c r="K2275" t="str">
        <f t="shared" si="70"/>
        <v>Gillian Groves</v>
      </c>
    </row>
    <row r="2276" spans="1:11" hidden="1" x14ac:dyDescent="0.35">
      <c r="A2276">
        <f t="shared" si="71"/>
        <v>2275</v>
      </c>
      <c r="B2276">
        <v>2014</v>
      </c>
      <c r="C2276" t="s">
        <v>263</v>
      </c>
      <c r="D2276" t="s">
        <v>133</v>
      </c>
      <c r="E2276" t="s">
        <v>133</v>
      </c>
      <c r="F2276" s="2">
        <v>1585</v>
      </c>
      <c r="G2276" s="2">
        <v>1</v>
      </c>
      <c r="H2276" t="s">
        <v>1459</v>
      </c>
      <c r="I2276" t="s">
        <v>516</v>
      </c>
      <c r="J2276" s="11">
        <v>1908.4850188786497</v>
      </c>
      <c r="K2276" t="str">
        <f t="shared" si="70"/>
        <v>Erin Ramsay</v>
      </c>
    </row>
    <row r="2277" spans="1:11" hidden="1" x14ac:dyDescent="0.35">
      <c r="A2277">
        <f t="shared" si="71"/>
        <v>2276</v>
      </c>
      <c r="B2277">
        <v>2014</v>
      </c>
      <c r="C2277" t="s">
        <v>263</v>
      </c>
      <c r="D2277" t="s">
        <v>133</v>
      </c>
      <c r="E2277" t="s">
        <v>133</v>
      </c>
      <c r="F2277" s="2">
        <v>1155</v>
      </c>
      <c r="G2277" s="2">
        <v>2</v>
      </c>
      <c r="H2277" t="s">
        <v>86</v>
      </c>
      <c r="I2277" t="s">
        <v>393</v>
      </c>
      <c r="J2277" s="11">
        <v>1607.4550232146685</v>
      </c>
      <c r="K2277" t="str">
        <f t="shared" si="70"/>
        <v>Bree Goldman</v>
      </c>
    </row>
    <row r="2278" spans="1:11" hidden="1" x14ac:dyDescent="0.35">
      <c r="A2278">
        <f t="shared" si="71"/>
        <v>2277</v>
      </c>
      <c r="B2278">
        <v>2014</v>
      </c>
      <c r="C2278" t="s">
        <v>263</v>
      </c>
      <c r="D2278" t="s">
        <v>133</v>
      </c>
      <c r="E2278" t="s">
        <v>133</v>
      </c>
      <c r="F2278" s="2">
        <v>910</v>
      </c>
      <c r="G2278" s="2">
        <v>3</v>
      </c>
      <c r="H2278" t="s">
        <v>320</v>
      </c>
      <c r="I2278" t="s">
        <v>321</v>
      </c>
      <c r="J2278" s="11">
        <v>1431.3637641589874</v>
      </c>
      <c r="K2278" t="str">
        <f t="shared" si="70"/>
        <v>Tina Gonzalez</v>
      </c>
    </row>
    <row r="2279" spans="1:11" hidden="1" x14ac:dyDescent="0.35">
      <c r="A2279">
        <f t="shared" si="71"/>
        <v>2278</v>
      </c>
      <c r="B2279">
        <v>2014</v>
      </c>
      <c r="C2279" t="s">
        <v>263</v>
      </c>
      <c r="D2279" t="s">
        <v>133</v>
      </c>
      <c r="E2279" t="s">
        <v>133</v>
      </c>
      <c r="F2279" s="2">
        <v>730</v>
      </c>
      <c r="G2279" s="2">
        <v>4</v>
      </c>
      <c r="H2279" t="s">
        <v>968</v>
      </c>
      <c r="I2279" t="s">
        <v>701</v>
      </c>
      <c r="J2279" s="11">
        <v>1306.4250275506874</v>
      </c>
      <c r="K2279" t="str">
        <f t="shared" si="70"/>
        <v>Bryan Juliano</v>
      </c>
    </row>
    <row r="2280" spans="1:11" hidden="1" x14ac:dyDescent="0.35">
      <c r="A2280">
        <f t="shared" si="71"/>
        <v>2279</v>
      </c>
      <c r="B2280">
        <v>2014</v>
      </c>
      <c r="C2280" t="s">
        <v>263</v>
      </c>
      <c r="D2280" t="s">
        <v>133</v>
      </c>
      <c r="E2280" t="s">
        <v>133</v>
      </c>
      <c r="F2280" s="2">
        <v>545</v>
      </c>
      <c r="G2280" s="2">
        <v>5</v>
      </c>
      <c r="H2280" t="s">
        <v>265</v>
      </c>
      <c r="I2280" t="s">
        <v>139</v>
      </c>
      <c r="J2280" s="11">
        <v>1209.5150145426308</v>
      </c>
      <c r="K2280" t="str">
        <f t="shared" si="70"/>
        <v>Mark Hughes</v>
      </c>
    </row>
    <row r="2281" spans="1:11" hidden="1" x14ac:dyDescent="0.35">
      <c r="A2281">
        <f t="shared" si="71"/>
        <v>2280</v>
      </c>
      <c r="B2281">
        <v>2014</v>
      </c>
      <c r="C2281" t="s">
        <v>263</v>
      </c>
      <c r="D2281" t="s">
        <v>133</v>
      </c>
      <c r="E2281" t="s">
        <v>133</v>
      </c>
      <c r="F2281" s="2">
        <v>425</v>
      </c>
      <c r="G2281" s="2">
        <v>6</v>
      </c>
      <c r="H2281" t="s">
        <v>645</v>
      </c>
      <c r="I2281" t="s">
        <v>644</v>
      </c>
      <c r="J2281" s="11">
        <v>1130.3337684950061</v>
      </c>
      <c r="K2281" t="str">
        <f t="shared" si="70"/>
        <v>Ed Baker</v>
      </c>
    </row>
    <row r="2282" spans="1:11" hidden="1" x14ac:dyDescent="0.35">
      <c r="A2282">
        <f t="shared" si="71"/>
        <v>2281</v>
      </c>
      <c r="B2282">
        <v>2014</v>
      </c>
      <c r="C2282" t="s">
        <v>263</v>
      </c>
      <c r="D2282" t="s">
        <v>133</v>
      </c>
      <c r="E2282" t="s">
        <v>133</v>
      </c>
      <c r="F2282" s="2">
        <v>305</v>
      </c>
      <c r="G2282" s="2">
        <v>7</v>
      </c>
      <c r="H2282" t="s">
        <v>277</v>
      </c>
      <c r="I2282" t="s">
        <v>16</v>
      </c>
      <c r="J2282" s="11">
        <v>1063.3869788643931</v>
      </c>
      <c r="K2282" t="str">
        <f t="shared" si="70"/>
        <v>David Lawful</v>
      </c>
    </row>
    <row r="2283" spans="1:11" hidden="1" x14ac:dyDescent="0.35">
      <c r="A2283">
        <f t="shared" si="71"/>
        <v>2282</v>
      </c>
      <c r="B2283">
        <v>2014</v>
      </c>
      <c r="C2283" t="s">
        <v>263</v>
      </c>
      <c r="D2283" t="s">
        <v>133</v>
      </c>
      <c r="E2283" t="s">
        <v>133</v>
      </c>
      <c r="F2283" s="2">
        <v>180</v>
      </c>
      <c r="G2283" s="2">
        <v>8</v>
      </c>
      <c r="H2283" t="s">
        <v>692</v>
      </c>
      <c r="I2283" t="s">
        <v>200</v>
      </c>
      <c r="J2283" s="11">
        <v>1005.3950318867062</v>
      </c>
      <c r="K2283" t="str">
        <f t="shared" si="70"/>
        <v>Rick Monbourquette</v>
      </c>
    </row>
    <row r="2284" spans="1:11" hidden="1" x14ac:dyDescent="0.35">
      <c r="A2284">
        <f t="shared" si="71"/>
        <v>2283</v>
      </c>
      <c r="B2284">
        <v>2014</v>
      </c>
      <c r="C2284" t="s">
        <v>263</v>
      </c>
      <c r="D2284" t="s">
        <v>133</v>
      </c>
      <c r="E2284" t="s">
        <v>133</v>
      </c>
      <c r="F2284" s="2">
        <v>120</v>
      </c>
      <c r="G2284" s="2">
        <v>9</v>
      </c>
      <c r="H2284" t="s">
        <v>475</v>
      </c>
      <c r="I2284" t="s">
        <v>887</v>
      </c>
      <c r="J2284" s="11">
        <v>954.24250943932486</v>
      </c>
      <c r="K2284" t="str">
        <f t="shared" si="70"/>
        <v>Chic Natkins</v>
      </c>
    </row>
    <row r="2285" spans="1:11" hidden="1" x14ac:dyDescent="0.35">
      <c r="A2285">
        <f t="shared" si="71"/>
        <v>2284</v>
      </c>
      <c r="B2285">
        <v>2014</v>
      </c>
      <c r="C2285" t="s">
        <v>263</v>
      </c>
      <c r="D2285" t="s">
        <v>133</v>
      </c>
      <c r="E2285" t="s">
        <v>133</v>
      </c>
      <c r="F2285" s="2">
        <v>120</v>
      </c>
      <c r="G2285" s="2">
        <v>10</v>
      </c>
      <c r="H2285" t="s">
        <v>298</v>
      </c>
      <c r="I2285" t="s">
        <v>131</v>
      </c>
      <c r="J2285" s="11">
        <v>908.48501887864973</v>
      </c>
      <c r="K2285" t="str">
        <f t="shared" si="70"/>
        <v>Alan Veach</v>
      </c>
    </row>
    <row r="2286" spans="1:11" hidden="1" x14ac:dyDescent="0.35">
      <c r="A2286">
        <f t="shared" si="71"/>
        <v>2285</v>
      </c>
      <c r="B2286">
        <v>2014</v>
      </c>
      <c r="C2286" t="s">
        <v>263</v>
      </c>
      <c r="D2286" t="s">
        <v>110</v>
      </c>
      <c r="E2286" t="s">
        <v>1430</v>
      </c>
      <c r="F2286" s="2">
        <v>2505</v>
      </c>
      <c r="G2286" s="2">
        <v>1</v>
      </c>
      <c r="H2286" t="s">
        <v>398</v>
      </c>
      <c r="I2286" t="s">
        <v>399</v>
      </c>
      <c r="J2286" s="11">
        <v>2127.1047983648077</v>
      </c>
      <c r="K2286" t="str">
        <f t="shared" si="70"/>
        <v>Arthur Goltz</v>
      </c>
    </row>
    <row r="2287" spans="1:11" hidden="1" x14ac:dyDescent="0.35">
      <c r="A2287">
        <f t="shared" si="71"/>
        <v>2286</v>
      </c>
      <c r="B2287">
        <v>2014</v>
      </c>
      <c r="C2287" t="s">
        <v>263</v>
      </c>
      <c r="D2287" t="s">
        <v>110</v>
      </c>
      <c r="E2287" t="s">
        <v>1430</v>
      </c>
      <c r="F2287" s="2">
        <v>1910</v>
      </c>
      <c r="G2287" s="2">
        <v>2</v>
      </c>
      <c r="H2287" t="s">
        <v>542</v>
      </c>
      <c r="I2287" t="s">
        <v>159</v>
      </c>
      <c r="J2287" s="11">
        <v>1826.0748027008265</v>
      </c>
      <c r="K2287" t="str">
        <f t="shared" si="70"/>
        <v>Brian O'Grady</v>
      </c>
    </row>
    <row r="2288" spans="1:11" hidden="1" x14ac:dyDescent="0.35">
      <c r="A2288">
        <f t="shared" si="71"/>
        <v>2287</v>
      </c>
      <c r="B2288">
        <v>2014</v>
      </c>
      <c r="C2288" t="s">
        <v>263</v>
      </c>
      <c r="D2288" t="s">
        <v>110</v>
      </c>
      <c r="E2288" t="s">
        <v>1430</v>
      </c>
      <c r="F2288" s="2">
        <v>1405</v>
      </c>
      <c r="G2288" s="2">
        <v>3</v>
      </c>
      <c r="H2288" t="s">
        <v>294</v>
      </c>
      <c r="I2288" t="s">
        <v>16</v>
      </c>
      <c r="J2288" s="11">
        <v>1649.9835436451453</v>
      </c>
      <c r="K2288" t="str">
        <f t="shared" si="70"/>
        <v>David Low</v>
      </c>
    </row>
    <row r="2289" spans="1:11" hidden="1" x14ac:dyDescent="0.35">
      <c r="A2289">
        <f t="shared" si="71"/>
        <v>2288</v>
      </c>
      <c r="B2289">
        <v>2014</v>
      </c>
      <c r="C2289" t="s">
        <v>263</v>
      </c>
      <c r="D2289" t="s">
        <v>110</v>
      </c>
      <c r="E2289" t="s">
        <v>1430</v>
      </c>
      <c r="F2289" s="2">
        <v>1105</v>
      </c>
      <c r="G2289" s="2">
        <v>4</v>
      </c>
      <c r="H2289" t="s">
        <v>148</v>
      </c>
      <c r="I2289" t="s">
        <v>149</v>
      </c>
      <c r="J2289" s="11">
        <v>1525.0448070368452</v>
      </c>
      <c r="K2289" t="str">
        <f t="shared" si="70"/>
        <v>Alex Ziselman</v>
      </c>
    </row>
    <row r="2290" spans="1:11" hidden="1" x14ac:dyDescent="0.35">
      <c r="A2290">
        <f t="shared" si="71"/>
        <v>2289</v>
      </c>
      <c r="B2290">
        <v>2014</v>
      </c>
      <c r="C2290" t="s">
        <v>263</v>
      </c>
      <c r="D2290" t="s">
        <v>110</v>
      </c>
      <c r="E2290" t="s">
        <v>1430</v>
      </c>
      <c r="F2290" s="2">
        <v>805</v>
      </c>
      <c r="G2290" s="2">
        <v>5</v>
      </c>
      <c r="H2290" t="s">
        <v>15</v>
      </c>
      <c r="I2290" t="s">
        <v>28</v>
      </c>
      <c r="J2290" s="11">
        <v>1428.134794028789</v>
      </c>
      <c r="K2290" t="str">
        <f t="shared" si="70"/>
        <v>Chris Kluchman</v>
      </c>
    </row>
    <row r="2291" spans="1:11" hidden="1" x14ac:dyDescent="0.35">
      <c r="A2291">
        <f t="shared" si="71"/>
        <v>2290</v>
      </c>
      <c r="B2291">
        <v>2014</v>
      </c>
      <c r="C2291" t="s">
        <v>263</v>
      </c>
      <c r="D2291" t="s">
        <v>110</v>
      </c>
      <c r="E2291" t="s">
        <v>1430</v>
      </c>
      <c r="F2291" s="2">
        <v>605</v>
      </c>
      <c r="G2291" s="2">
        <v>6</v>
      </c>
      <c r="H2291" t="s">
        <v>517</v>
      </c>
      <c r="I2291" t="s">
        <v>413</v>
      </c>
      <c r="J2291" s="11">
        <v>1348.9535479811641</v>
      </c>
      <c r="K2291" t="str">
        <f t="shared" si="70"/>
        <v>Bruce Iwamoto</v>
      </c>
    </row>
    <row r="2292" spans="1:11" hidden="1" x14ac:dyDescent="0.35">
      <c r="A2292">
        <f t="shared" si="71"/>
        <v>2291</v>
      </c>
      <c r="B2292">
        <v>2014</v>
      </c>
      <c r="C2292" t="s">
        <v>263</v>
      </c>
      <c r="D2292" t="s">
        <v>110</v>
      </c>
      <c r="E2292" t="s">
        <v>1430</v>
      </c>
      <c r="F2292" s="2">
        <v>400</v>
      </c>
      <c r="G2292" s="2">
        <v>7</v>
      </c>
      <c r="H2292" t="s">
        <v>585</v>
      </c>
      <c r="I2292" t="s">
        <v>676</v>
      </c>
      <c r="J2292" s="11">
        <v>1282.0067583505509</v>
      </c>
      <c r="K2292" t="str">
        <f t="shared" si="70"/>
        <v>Dianne Pickels</v>
      </c>
    </row>
    <row r="2293" spans="1:11" hidden="1" x14ac:dyDescent="0.35">
      <c r="A2293">
        <f t="shared" si="71"/>
        <v>2292</v>
      </c>
      <c r="B2293">
        <v>2014</v>
      </c>
      <c r="C2293" t="s">
        <v>263</v>
      </c>
      <c r="D2293" t="s">
        <v>110</v>
      </c>
      <c r="E2293" t="s">
        <v>1430</v>
      </c>
      <c r="F2293" s="2">
        <v>300</v>
      </c>
      <c r="G2293" s="2">
        <v>8</v>
      </c>
      <c r="H2293" t="s">
        <v>99</v>
      </c>
      <c r="I2293" t="s">
        <v>2500</v>
      </c>
      <c r="J2293" s="11">
        <v>1224.0148113728642</v>
      </c>
      <c r="K2293" t="str">
        <f t="shared" si="70"/>
        <v>Bex Kerl</v>
      </c>
    </row>
    <row r="2294" spans="1:11" hidden="1" x14ac:dyDescent="0.35">
      <c r="A2294">
        <f t="shared" si="71"/>
        <v>2293</v>
      </c>
      <c r="B2294">
        <v>2014</v>
      </c>
      <c r="C2294" t="s">
        <v>263</v>
      </c>
      <c r="D2294" t="s">
        <v>110</v>
      </c>
      <c r="E2294" t="s">
        <v>1430</v>
      </c>
      <c r="F2294" s="2">
        <v>200</v>
      </c>
      <c r="G2294" s="2">
        <v>9</v>
      </c>
      <c r="H2294" t="s">
        <v>161</v>
      </c>
      <c r="I2294" t="s">
        <v>200</v>
      </c>
      <c r="J2294" s="11">
        <v>1172.862288925483</v>
      </c>
      <c r="K2294" t="str">
        <f t="shared" si="70"/>
        <v>Rick Becker</v>
      </c>
    </row>
    <row r="2295" spans="1:11" hidden="1" x14ac:dyDescent="0.35">
      <c r="A2295">
        <f t="shared" si="71"/>
        <v>2294</v>
      </c>
      <c r="B2295">
        <v>2014</v>
      </c>
      <c r="C2295" t="s">
        <v>263</v>
      </c>
      <c r="D2295" t="s">
        <v>110</v>
      </c>
      <c r="E2295" t="s">
        <v>1430</v>
      </c>
      <c r="F2295" s="2">
        <v>200</v>
      </c>
      <c r="G2295" s="2">
        <v>10</v>
      </c>
      <c r="H2295" t="s">
        <v>72</v>
      </c>
      <c r="I2295" t="s">
        <v>73</v>
      </c>
      <c r="J2295" s="11">
        <v>1127.1047983648077</v>
      </c>
      <c r="K2295" t="str">
        <f t="shared" si="70"/>
        <v>Corey Imsdahl</v>
      </c>
    </row>
    <row r="2296" spans="1:11" hidden="1" x14ac:dyDescent="0.35">
      <c r="A2296">
        <f t="shared" si="71"/>
        <v>2295</v>
      </c>
      <c r="B2296">
        <v>2014</v>
      </c>
      <c r="C2296" t="s">
        <v>263</v>
      </c>
      <c r="D2296" t="s">
        <v>110</v>
      </c>
      <c r="E2296" t="s">
        <v>1430</v>
      </c>
      <c r="F2296" s="2">
        <v>150</v>
      </c>
      <c r="G2296" s="2">
        <v>11</v>
      </c>
      <c r="H2296" t="s">
        <v>713</v>
      </c>
      <c r="I2296" t="s">
        <v>28</v>
      </c>
      <c r="J2296" s="11">
        <v>1085.7121132065827</v>
      </c>
      <c r="K2296" t="str">
        <f t="shared" si="70"/>
        <v>Chris Jepsen</v>
      </c>
    </row>
    <row r="2297" spans="1:11" hidden="1" x14ac:dyDescent="0.35">
      <c r="A2297">
        <f t="shared" si="71"/>
        <v>2296</v>
      </c>
      <c r="B2297">
        <v>2014</v>
      </c>
      <c r="C2297" t="s">
        <v>263</v>
      </c>
      <c r="D2297" t="s">
        <v>110</v>
      </c>
      <c r="E2297" t="s">
        <v>1430</v>
      </c>
      <c r="F2297" s="2">
        <v>150</v>
      </c>
      <c r="G2297" s="2">
        <v>12</v>
      </c>
      <c r="H2297" t="s">
        <v>39</v>
      </c>
      <c r="I2297" t="s">
        <v>40</v>
      </c>
      <c r="J2297" s="11">
        <v>1047.9235523171828</v>
      </c>
      <c r="K2297" t="str">
        <f t="shared" si="70"/>
        <v>Katie Baxter</v>
      </c>
    </row>
    <row r="2298" spans="1:11" hidden="1" x14ac:dyDescent="0.35">
      <c r="A2298">
        <f t="shared" si="71"/>
        <v>2297</v>
      </c>
      <c r="B2298">
        <v>2014</v>
      </c>
      <c r="C2298" t="s">
        <v>263</v>
      </c>
      <c r="D2298" t="s">
        <v>110</v>
      </c>
      <c r="E2298" t="s">
        <v>1430</v>
      </c>
      <c r="F2298" s="2">
        <v>105</v>
      </c>
      <c r="G2298" s="2">
        <v>13</v>
      </c>
      <c r="H2298" t="s">
        <v>95</v>
      </c>
      <c r="I2298" t="s">
        <v>71</v>
      </c>
      <c r="J2298" s="11">
        <v>1013.161446057971</v>
      </c>
      <c r="K2298" t="str">
        <f t="shared" si="70"/>
        <v>Scott Samarel</v>
      </c>
    </row>
    <row r="2299" spans="1:11" hidden="1" x14ac:dyDescent="0.35">
      <c r="A2299">
        <f t="shared" si="71"/>
        <v>2298</v>
      </c>
      <c r="B2299">
        <v>2014</v>
      </c>
      <c r="C2299" t="s">
        <v>263</v>
      </c>
      <c r="D2299" t="s">
        <v>110</v>
      </c>
      <c r="E2299" t="s">
        <v>1430</v>
      </c>
      <c r="F2299" s="2">
        <v>105</v>
      </c>
      <c r="G2299" s="2">
        <v>14</v>
      </c>
      <c r="H2299" t="s">
        <v>1459</v>
      </c>
      <c r="I2299" t="s">
        <v>516</v>
      </c>
      <c r="J2299" s="11">
        <v>980.97676268656971</v>
      </c>
      <c r="K2299" t="str">
        <f t="shared" si="70"/>
        <v>Erin Ramsay</v>
      </c>
    </row>
    <row r="2300" spans="1:11" hidden="1" x14ac:dyDescent="0.35">
      <c r="A2300">
        <f t="shared" si="71"/>
        <v>2299</v>
      </c>
      <c r="B2300">
        <v>2014</v>
      </c>
      <c r="C2300" t="s">
        <v>263</v>
      </c>
      <c r="D2300" t="s">
        <v>110</v>
      </c>
      <c r="E2300" t="s">
        <v>1430</v>
      </c>
      <c r="F2300" s="2">
        <v>105</v>
      </c>
      <c r="G2300" s="2">
        <v>15</v>
      </c>
      <c r="H2300" t="s">
        <v>968</v>
      </c>
      <c r="I2300" t="s">
        <v>701</v>
      </c>
      <c r="J2300" s="11">
        <v>951.01353930912637</v>
      </c>
      <c r="K2300" t="str">
        <f t="shared" si="70"/>
        <v>Bryan Juliano</v>
      </c>
    </row>
    <row r="2301" spans="1:11" hidden="1" x14ac:dyDescent="0.35">
      <c r="A2301">
        <f t="shared" si="71"/>
        <v>2300</v>
      </c>
      <c r="B2301">
        <v>2014</v>
      </c>
      <c r="C2301" t="s">
        <v>68</v>
      </c>
      <c r="D2301" t="s">
        <v>91</v>
      </c>
      <c r="E2301" t="s">
        <v>1432</v>
      </c>
      <c r="F2301" s="2">
        <v>803</v>
      </c>
      <c r="G2301" s="1">
        <v>1</v>
      </c>
      <c r="H2301" t="s">
        <v>277</v>
      </c>
      <c r="I2301" t="s">
        <v>16</v>
      </c>
      <c r="J2301" s="11">
        <v>1643.4526764861873</v>
      </c>
      <c r="K2301" t="str">
        <f t="shared" si="70"/>
        <v>David Lawful</v>
      </c>
    </row>
    <row r="2302" spans="1:11" hidden="1" x14ac:dyDescent="0.35">
      <c r="A2302">
        <f t="shared" si="71"/>
        <v>2301</v>
      </c>
      <c r="B2302">
        <v>2014</v>
      </c>
      <c r="C2302" t="s">
        <v>68</v>
      </c>
      <c r="D2302" t="s">
        <v>91</v>
      </c>
      <c r="E2302" t="s">
        <v>1432</v>
      </c>
      <c r="F2302" s="2">
        <v>570</v>
      </c>
      <c r="G2302" s="1">
        <v>2</v>
      </c>
      <c r="H2302" t="s">
        <v>543</v>
      </c>
      <c r="I2302" t="s">
        <v>67</v>
      </c>
      <c r="J2302" s="11">
        <v>1342.4226808222061</v>
      </c>
      <c r="K2302" t="str">
        <f t="shared" si="70"/>
        <v>Bob Herlien</v>
      </c>
    </row>
    <row r="2303" spans="1:11" hidden="1" x14ac:dyDescent="0.35">
      <c r="A2303">
        <f t="shared" si="71"/>
        <v>2302</v>
      </c>
      <c r="B2303">
        <v>2014</v>
      </c>
      <c r="C2303" t="s">
        <v>68</v>
      </c>
      <c r="D2303" t="s">
        <v>91</v>
      </c>
      <c r="E2303" t="s">
        <v>1432</v>
      </c>
      <c r="F2303" s="2">
        <v>439</v>
      </c>
      <c r="G2303" s="1">
        <v>3</v>
      </c>
      <c r="H2303" t="s">
        <v>220</v>
      </c>
      <c r="I2303" t="s">
        <v>221</v>
      </c>
      <c r="J2303" s="11">
        <v>1166.331421766525</v>
      </c>
      <c r="K2303" t="str">
        <f t="shared" si="70"/>
        <v>Rodney Chen</v>
      </c>
    </row>
    <row r="2304" spans="1:11" hidden="1" x14ac:dyDescent="0.35">
      <c r="A2304">
        <f t="shared" si="71"/>
        <v>2303</v>
      </c>
      <c r="B2304">
        <v>2014</v>
      </c>
      <c r="C2304" t="s">
        <v>68</v>
      </c>
      <c r="D2304" t="s">
        <v>91</v>
      </c>
      <c r="E2304" t="s">
        <v>1432</v>
      </c>
      <c r="F2304" s="2">
        <v>333</v>
      </c>
      <c r="G2304" s="1">
        <v>4</v>
      </c>
      <c r="H2304" t="s">
        <v>72</v>
      </c>
      <c r="I2304" t="s">
        <v>73</v>
      </c>
      <c r="J2304" s="11">
        <v>1041.3926851582248</v>
      </c>
      <c r="K2304" t="str">
        <f t="shared" si="70"/>
        <v>Corey Imsdahl</v>
      </c>
    </row>
    <row r="2305" spans="1:11" hidden="1" x14ac:dyDescent="0.35">
      <c r="A2305">
        <f t="shared" si="71"/>
        <v>2304</v>
      </c>
      <c r="B2305">
        <v>2014</v>
      </c>
      <c r="C2305" t="s">
        <v>68</v>
      </c>
      <c r="D2305" t="s">
        <v>91</v>
      </c>
      <c r="E2305" t="s">
        <v>1432</v>
      </c>
      <c r="F2305" s="2">
        <v>255</v>
      </c>
      <c r="G2305" s="1">
        <v>5</v>
      </c>
      <c r="H2305" t="s">
        <v>294</v>
      </c>
      <c r="I2305" t="s">
        <v>16</v>
      </c>
      <c r="J2305" s="11">
        <v>944.48267215016858</v>
      </c>
      <c r="K2305" t="str">
        <f t="shared" si="70"/>
        <v>David Low</v>
      </c>
    </row>
    <row r="2306" spans="1:11" hidden="1" x14ac:dyDescent="0.35">
      <c r="A2306">
        <f t="shared" si="71"/>
        <v>2305</v>
      </c>
      <c r="B2306">
        <v>2014</v>
      </c>
      <c r="C2306" t="s">
        <v>68</v>
      </c>
      <c r="D2306" t="s">
        <v>91</v>
      </c>
      <c r="E2306" t="s">
        <v>1432</v>
      </c>
      <c r="F2306" s="2">
        <v>175</v>
      </c>
      <c r="G2306" s="1">
        <v>6</v>
      </c>
      <c r="H2306" t="s">
        <v>211</v>
      </c>
      <c r="I2306" t="s">
        <v>187</v>
      </c>
      <c r="J2306" s="11">
        <v>865.30142610254381</v>
      </c>
      <c r="K2306" t="str">
        <f t="shared" ref="K2306:K2369" si="72">I2306&amp;" "&amp;H2306</f>
        <v>Joe Long</v>
      </c>
    </row>
    <row r="2307" spans="1:11" hidden="1" x14ac:dyDescent="0.35">
      <c r="A2307">
        <f t="shared" si="71"/>
        <v>2306</v>
      </c>
      <c r="B2307">
        <v>2014</v>
      </c>
      <c r="C2307" t="s">
        <v>68</v>
      </c>
      <c r="D2307" t="s">
        <v>91</v>
      </c>
      <c r="E2307" t="s">
        <v>1432</v>
      </c>
      <c r="F2307" s="2">
        <v>65</v>
      </c>
      <c r="G2307" s="1">
        <v>7</v>
      </c>
      <c r="H2307" t="s">
        <v>702</v>
      </c>
      <c r="I2307" t="s">
        <v>703</v>
      </c>
      <c r="J2307" s="11">
        <v>798.35463647193058</v>
      </c>
      <c r="K2307" t="str">
        <f t="shared" si="72"/>
        <v>Bart Simpson</v>
      </c>
    </row>
    <row r="2308" spans="1:11" hidden="1" x14ac:dyDescent="0.35">
      <c r="A2308">
        <f t="shared" ref="A2308:A2371" si="73">A2307+1</f>
        <v>2307</v>
      </c>
      <c r="B2308">
        <v>2014</v>
      </c>
      <c r="C2308" t="s">
        <v>68</v>
      </c>
      <c r="D2308" t="s">
        <v>1441</v>
      </c>
      <c r="E2308" t="s">
        <v>1430</v>
      </c>
      <c r="F2308" s="2">
        <v>1085</v>
      </c>
      <c r="G2308" s="1">
        <v>1</v>
      </c>
      <c r="H2308" t="s">
        <v>16</v>
      </c>
      <c r="I2308" t="s">
        <v>59</v>
      </c>
      <c r="J2308" s="11">
        <v>1826.0748027008265</v>
      </c>
      <c r="K2308" t="str">
        <f t="shared" si="72"/>
        <v>Jeanne David</v>
      </c>
    </row>
    <row r="2309" spans="1:11" hidden="1" x14ac:dyDescent="0.35">
      <c r="A2309">
        <f t="shared" si="73"/>
        <v>2308</v>
      </c>
      <c r="B2309">
        <v>2014</v>
      </c>
      <c r="C2309" t="s">
        <v>68</v>
      </c>
      <c r="D2309" t="s">
        <v>1441</v>
      </c>
      <c r="E2309" t="s">
        <v>1430</v>
      </c>
      <c r="F2309" s="2">
        <v>804</v>
      </c>
      <c r="G2309" s="1">
        <v>2</v>
      </c>
      <c r="H2309" t="s">
        <v>90</v>
      </c>
      <c r="I2309" t="s">
        <v>22</v>
      </c>
      <c r="J2309" s="11">
        <v>1525.0448070368452</v>
      </c>
      <c r="K2309" t="str">
        <f t="shared" si="72"/>
        <v>Rich Strauss</v>
      </c>
    </row>
    <row r="2310" spans="1:11" hidden="1" x14ac:dyDescent="0.35">
      <c r="A2310">
        <f t="shared" si="73"/>
        <v>2309</v>
      </c>
      <c r="B2310">
        <v>2014</v>
      </c>
      <c r="C2310" t="s">
        <v>68</v>
      </c>
      <c r="D2310" t="s">
        <v>1441</v>
      </c>
      <c r="E2310" t="s">
        <v>1430</v>
      </c>
      <c r="F2310" s="2">
        <v>603</v>
      </c>
      <c r="G2310" s="1">
        <v>3</v>
      </c>
      <c r="H2310" t="s">
        <v>1442</v>
      </c>
      <c r="I2310" t="s">
        <v>737</v>
      </c>
      <c r="J2310" s="11">
        <v>1348.9535479811641</v>
      </c>
      <c r="K2310" t="str">
        <f t="shared" si="72"/>
        <v>Lawrence Wu</v>
      </c>
    </row>
    <row r="2311" spans="1:11" hidden="1" x14ac:dyDescent="0.35">
      <c r="A2311">
        <f t="shared" si="73"/>
        <v>2310</v>
      </c>
      <c r="B2311">
        <v>2014</v>
      </c>
      <c r="C2311" t="s">
        <v>68</v>
      </c>
      <c r="D2311" t="s">
        <v>1441</v>
      </c>
      <c r="E2311" t="s">
        <v>1430</v>
      </c>
      <c r="F2311" s="2">
        <v>482</v>
      </c>
      <c r="G2311" s="1">
        <v>4</v>
      </c>
      <c r="H2311" t="s">
        <v>99</v>
      </c>
      <c r="I2311" t="s">
        <v>2500</v>
      </c>
      <c r="J2311" s="11">
        <v>1224.014811372864</v>
      </c>
      <c r="K2311" t="str">
        <f t="shared" si="72"/>
        <v>Bex Kerl</v>
      </c>
    </row>
    <row r="2312" spans="1:11" hidden="1" x14ac:dyDescent="0.35">
      <c r="A2312">
        <f t="shared" si="73"/>
        <v>2311</v>
      </c>
      <c r="B2312">
        <v>2014</v>
      </c>
      <c r="C2312" t="s">
        <v>68</v>
      </c>
      <c r="D2312" t="s">
        <v>1441</v>
      </c>
      <c r="E2312" t="s">
        <v>1430</v>
      </c>
      <c r="F2312" s="2">
        <v>402</v>
      </c>
      <c r="G2312" s="1">
        <v>5</v>
      </c>
      <c r="H2312" t="s">
        <v>76</v>
      </c>
      <c r="I2312" t="s">
        <v>77</v>
      </c>
      <c r="J2312" s="11">
        <v>1127.1047983648077</v>
      </c>
      <c r="K2312" t="str">
        <f t="shared" si="72"/>
        <v>Eric Rosenberger</v>
      </c>
    </row>
    <row r="2313" spans="1:11" hidden="1" x14ac:dyDescent="0.35">
      <c r="A2313">
        <f t="shared" si="73"/>
        <v>2312</v>
      </c>
      <c r="B2313">
        <v>2014</v>
      </c>
      <c r="C2313" t="s">
        <v>68</v>
      </c>
      <c r="D2313" t="s">
        <v>1441</v>
      </c>
      <c r="E2313" t="s">
        <v>1430</v>
      </c>
      <c r="F2313" s="2">
        <v>281</v>
      </c>
      <c r="G2313" s="1">
        <v>6</v>
      </c>
      <c r="H2313" t="s">
        <v>107</v>
      </c>
      <c r="I2313" t="s">
        <v>108</v>
      </c>
      <c r="J2313" s="11">
        <v>1047.9235523171828</v>
      </c>
      <c r="K2313" t="str">
        <f t="shared" si="72"/>
        <v>Kyle Minnis</v>
      </c>
    </row>
    <row r="2314" spans="1:11" hidden="1" x14ac:dyDescent="0.35">
      <c r="A2314">
        <f t="shared" si="73"/>
        <v>2313</v>
      </c>
      <c r="B2314">
        <v>2014</v>
      </c>
      <c r="C2314" t="s">
        <v>68</v>
      </c>
      <c r="D2314" t="s">
        <v>1441</v>
      </c>
      <c r="E2314" t="s">
        <v>1430</v>
      </c>
      <c r="F2314" s="2">
        <v>201</v>
      </c>
      <c r="G2314" s="1">
        <v>7</v>
      </c>
      <c r="H2314" t="s">
        <v>39</v>
      </c>
      <c r="I2314" t="s">
        <v>40</v>
      </c>
      <c r="J2314" s="11">
        <v>980.9767626865696</v>
      </c>
      <c r="K2314" t="str">
        <f t="shared" si="72"/>
        <v>Katie Baxter</v>
      </c>
    </row>
    <row r="2315" spans="1:11" hidden="1" x14ac:dyDescent="0.35">
      <c r="A2315">
        <f t="shared" si="73"/>
        <v>2314</v>
      </c>
      <c r="B2315">
        <v>2014</v>
      </c>
      <c r="C2315" t="s">
        <v>68</v>
      </c>
      <c r="D2315" t="s">
        <v>1441</v>
      </c>
      <c r="E2315" t="s">
        <v>1430</v>
      </c>
      <c r="F2315" s="2">
        <v>162</v>
      </c>
      <c r="G2315" s="1">
        <v>8</v>
      </c>
      <c r="H2315" t="s">
        <v>299</v>
      </c>
      <c r="I2315" t="s">
        <v>300</v>
      </c>
      <c r="J2315" s="11">
        <v>922.98481570888293</v>
      </c>
      <c r="K2315" t="str">
        <f t="shared" si="72"/>
        <v>Gillian Groves</v>
      </c>
    </row>
    <row r="2316" spans="1:11" hidden="1" x14ac:dyDescent="0.35">
      <c r="A2316">
        <f t="shared" si="73"/>
        <v>2315</v>
      </c>
      <c r="B2316">
        <v>2014</v>
      </c>
      <c r="C2316" t="s">
        <v>68</v>
      </c>
      <c r="D2316" t="s">
        <v>1443</v>
      </c>
      <c r="E2316" t="s">
        <v>1429</v>
      </c>
      <c r="F2316" s="2">
        <v>698</v>
      </c>
      <c r="G2316" s="1">
        <v>1</v>
      </c>
      <c r="H2316" t="s">
        <v>281</v>
      </c>
      <c r="I2316" t="s">
        <v>282</v>
      </c>
      <c r="J2316" s="11">
        <v>1653.2125137753437</v>
      </c>
      <c r="K2316" t="str">
        <f t="shared" si="72"/>
        <v>Randy Collack</v>
      </c>
    </row>
    <row r="2317" spans="1:11" hidden="1" x14ac:dyDescent="0.35">
      <c r="A2317">
        <f t="shared" si="73"/>
        <v>2316</v>
      </c>
      <c r="B2317">
        <v>2014</v>
      </c>
      <c r="C2317" t="s">
        <v>68</v>
      </c>
      <c r="D2317" t="s">
        <v>1443</v>
      </c>
      <c r="E2317" t="s">
        <v>1429</v>
      </c>
      <c r="F2317" s="2">
        <v>495</v>
      </c>
      <c r="G2317" s="1">
        <v>2</v>
      </c>
      <c r="H2317" t="s">
        <v>1442</v>
      </c>
      <c r="I2317" t="s">
        <v>1444</v>
      </c>
      <c r="J2317" s="11">
        <v>1352.1825181113625</v>
      </c>
      <c r="K2317" t="str">
        <f t="shared" si="72"/>
        <v>Polly Wu</v>
      </c>
    </row>
    <row r="2318" spans="1:11" hidden="1" x14ac:dyDescent="0.35">
      <c r="A2318">
        <f t="shared" si="73"/>
        <v>2317</v>
      </c>
      <c r="B2318">
        <v>2014</v>
      </c>
      <c r="C2318" t="s">
        <v>68</v>
      </c>
      <c r="D2318" t="s">
        <v>1443</v>
      </c>
      <c r="E2318" t="s">
        <v>1429</v>
      </c>
      <c r="F2318" s="2">
        <v>382</v>
      </c>
      <c r="G2318" s="1">
        <v>3</v>
      </c>
      <c r="H2318" t="s">
        <v>66</v>
      </c>
      <c r="I2318" t="s">
        <v>67</v>
      </c>
      <c r="J2318" s="11">
        <v>1176.0912590556813</v>
      </c>
      <c r="K2318" t="str">
        <f t="shared" si="72"/>
        <v>Bob Lauria</v>
      </c>
    </row>
    <row r="2319" spans="1:11" hidden="1" x14ac:dyDescent="0.35">
      <c r="A2319">
        <f t="shared" si="73"/>
        <v>2318</v>
      </c>
      <c r="B2319">
        <v>2014</v>
      </c>
      <c r="C2319" t="s">
        <v>68</v>
      </c>
      <c r="D2319" t="s">
        <v>1443</v>
      </c>
      <c r="E2319" t="s">
        <v>1429</v>
      </c>
      <c r="F2319" s="2">
        <v>293</v>
      </c>
      <c r="G2319" s="1">
        <v>4</v>
      </c>
      <c r="H2319" t="s">
        <v>88</v>
      </c>
      <c r="I2319" t="s">
        <v>89</v>
      </c>
      <c r="J2319" s="11">
        <v>1051.1525224473814</v>
      </c>
      <c r="K2319" t="str">
        <f t="shared" si="72"/>
        <v>Ken Kubey</v>
      </c>
    </row>
    <row r="2320" spans="1:11" hidden="1" x14ac:dyDescent="0.35">
      <c r="A2320">
        <f t="shared" si="73"/>
        <v>2319</v>
      </c>
      <c r="B2320">
        <v>2014</v>
      </c>
      <c r="C2320" t="s">
        <v>68</v>
      </c>
      <c r="D2320" t="s">
        <v>1443</v>
      </c>
      <c r="E2320" t="s">
        <v>1429</v>
      </c>
      <c r="F2320" s="2">
        <v>225</v>
      </c>
      <c r="G2320" s="1">
        <v>5</v>
      </c>
      <c r="H2320" t="s">
        <v>86</v>
      </c>
      <c r="I2320" t="s">
        <v>271</v>
      </c>
      <c r="J2320" s="11">
        <v>954.24250943932486</v>
      </c>
      <c r="K2320" t="str">
        <f t="shared" si="72"/>
        <v>Dan Goldman</v>
      </c>
    </row>
    <row r="2321" spans="1:11" hidden="1" x14ac:dyDescent="0.35">
      <c r="A2321">
        <f t="shared" si="73"/>
        <v>2320</v>
      </c>
      <c r="B2321">
        <v>2014</v>
      </c>
      <c r="C2321" t="s">
        <v>68</v>
      </c>
      <c r="D2321" t="s">
        <v>1443</v>
      </c>
      <c r="E2321" t="s">
        <v>1429</v>
      </c>
      <c r="F2321" s="2">
        <v>157</v>
      </c>
      <c r="G2321" s="1">
        <v>6</v>
      </c>
      <c r="H2321" t="s">
        <v>1445</v>
      </c>
      <c r="I2321" t="s">
        <v>1011</v>
      </c>
      <c r="J2321" s="11">
        <v>875.06126339170009</v>
      </c>
      <c r="K2321" t="str">
        <f t="shared" si="72"/>
        <v>Barbara Garrett</v>
      </c>
    </row>
    <row r="2322" spans="1:11" hidden="1" x14ac:dyDescent="0.35">
      <c r="A2322">
        <f t="shared" si="73"/>
        <v>2321</v>
      </c>
      <c r="B2322">
        <v>2014</v>
      </c>
      <c r="C2322" t="s">
        <v>8</v>
      </c>
      <c r="D2322" t="s">
        <v>9</v>
      </c>
      <c r="E2322" t="s">
        <v>1429</v>
      </c>
      <c r="F2322" s="2">
        <v>875</v>
      </c>
      <c r="G2322" s="2">
        <v>1</v>
      </c>
      <c r="H2322" t="s">
        <v>33</v>
      </c>
      <c r="I2322" t="s">
        <v>34</v>
      </c>
      <c r="J2322" s="11">
        <v>1505.149978319906</v>
      </c>
      <c r="K2322" t="str">
        <f t="shared" si="72"/>
        <v>Meredith Holtzman</v>
      </c>
    </row>
    <row r="2323" spans="1:11" hidden="1" x14ac:dyDescent="0.35">
      <c r="A2323">
        <f t="shared" si="73"/>
        <v>2322</v>
      </c>
      <c r="B2323">
        <v>2014</v>
      </c>
      <c r="C2323" t="s">
        <v>8</v>
      </c>
      <c r="D2323" t="s">
        <v>9</v>
      </c>
      <c r="E2323" t="s">
        <v>1429</v>
      </c>
      <c r="F2323" s="2">
        <v>600</v>
      </c>
      <c r="G2323" s="2">
        <v>2</v>
      </c>
      <c r="H2323" t="s">
        <v>407</v>
      </c>
      <c r="I2323" t="s">
        <v>406</v>
      </c>
      <c r="J2323" s="11">
        <v>1204.1199826559248</v>
      </c>
      <c r="K2323" t="str">
        <f t="shared" si="72"/>
        <v>Howard Jackson</v>
      </c>
    </row>
    <row r="2324" spans="1:11" hidden="1" x14ac:dyDescent="0.35">
      <c r="A2324">
        <f t="shared" si="73"/>
        <v>2323</v>
      </c>
      <c r="B2324">
        <v>2014</v>
      </c>
      <c r="C2324" t="s">
        <v>8</v>
      </c>
      <c r="D2324" t="s">
        <v>9</v>
      </c>
      <c r="E2324" t="s">
        <v>1429</v>
      </c>
      <c r="F2324" s="2">
        <v>400</v>
      </c>
      <c r="G2324" s="2">
        <v>3</v>
      </c>
      <c r="H2324" t="s">
        <v>128</v>
      </c>
      <c r="I2324" t="s">
        <v>443</v>
      </c>
      <c r="J2324" s="11">
        <v>1028.0287236002437</v>
      </c>
      <c r="K2324" t="str">
        <f t="shared" si="72"/>
        <v>Ming Lee</v>
      </c>
    </row>
    <row r="2325" spans="1:11" hidden="1" x14ac:dyDescent="0.35">
      <c r="A2325">
        <f t="shared" si="73"/>
        <v>2324</v>
      </c>
      <c r="B2325">
        <v>2014</v>
      </c>
      <c r="C2325" t="s">
        <v>8</v>
      </c>
      <c r="D2325" t="s">
        <v>9</v>
      </c>
      <c r="E2325" t="s">
        <v>1429</v>
      </c>
      <c r="F2325" s="2">
        <v>325</v>
      </c>
      <c r="G2325" s="2">
        <v>4</v>
      </c>
      <c r="H2325" t="s">
        <v>351</v>
      </c>
      <c r="I2325" t="s">
        <v>153</v>
      </c>
      <c r="J2325" s="11">
        <v>903.08998699194365</v>
      </c>
      <c r="K2325" t="str">
        <f t="shared" si="72"/>
        <v>Stephen Lewin-Berlin</v>
      </c>
    </row>
    <row r="2326" spans="1:11" hidden="1" x14ac:dyDescent="0.35">
      <c r="A2326">
        <f t="shared" si="73"/>
        <v>2325</v>
      </c>
      <c r="B2326">
        <v>2014</v>
      </c>
      <c r="C2326" t="s">
        <v>8</v>
      </c>
      <c r="D2326" t="s">
        <v>9</v>
      </c>
      <c r="E2326" t="s">
        <v>1429</v>
      </c>
      <c r="F2326" s="2">
        <v>250</v>
      </c>
      <c r="G2326" s="2">
        <v>5</v>
      </c>
      <c r="H2326" t="s">
        <v>29</v>
      </c>
      <c r="I2326" t="s">
        <v>30</v>
      </c>
      <c r="J2326" s="11">
        <v>806.17997398388718</v>
      </c>
      <c r="K2326" t="str">
        <f t="shared" si="72"/>
        <v>Tedford Armistead</v>
      </c>
    </row>
    <row r="2327" spans="1:11" hidden="1" x14ac:dyDescent="0.35">
      <c r="A2327">
        <f t="shared" si="73"/>
        <v>2326</v>
      </c>
      <c r="B2327">
        <v>2014</v>
      </c>
      <c r="C2327" t="s">
        <v>8</v>
      </c>
      <c r="D2327" t="s">
        <v>9</v>
      </c>
      <c r="E2327" t="s">
        <v>1429</v>
      </c>
      <c r="F2327" s="2">
        <v>250</v>
      </c>
      <c r="G2327" s="2">
        <v>5</v>
      </c>
      <c r="H2327" t="s">
        <v>21</v>
      </c>
      <c r="I2327" t="s">
        <v>463</v>
      </c>
      <c r="J2327" s="11">
        <v>806.17997398388718</v>
      </c>
      <c r="K2327" t="str">
        <f t="shared" si="72"/>
        <v>Richard Bremer</v>
      </c>
    </row>
    <row r="2328" spans="1:11" hidden="1" x14ac:dyDescent="0.35">
      <c r="A2328">
        <f t="shared" si="73"/>
        <v>2327</v>
      </c>
      <c r="B2328">
        <v>2014</v>
      </c>
      <c r="C2328" t="s">
        <v>8</v>
      </c>
      <c r="D2328" t="s">
        <v>9</v>
      </c>
      <c r="E2328" t="s">
        <v>1429</v>
      </c>
      <c r="F2328" s="2">
        <v>250</v>
      </c>
      <c r="G2328" s="2">
        <v>5</v>
      </c>
      <c r="H2328" t="s">
        <v>10</v>
      </c>
      <c r="I2328" t="s">
        <v>11</v>
      </c>
      <c r="J2328" s="11">
        <v>806.17997398388718</v>
      </c>
      <c r="K2328" t="str">
        <f t="shared" si="72"/>
        <v>Paul Chakoian</v>
      </c>
    </row>
    <row r="2329" spans="1:11" hidden="1" x14ac:dyDescent="0.35">
      <c r="A2329">
        <f t="shared" si="73"/>
        <v>2328</v>
      </c>
      <c r="B2329">
        <v>2014</v>
      </c>
      <c r="C2329" t="s">
        <v>8</v>
      </c>
      <c r="D2329" t="s">
        <v>9</v>
      </c>
      <c r="E2329" t="s">
        <v>1429</v>
      </c>
      <c r="F2329" s="2">
        <v>250</v>
      </c>
      <c r="G2329" s="2">
        <v>5</v>
      </c>
      <c r="H2329" t="s">
        <v>183</v>
      </c>
      <c r="I2329" t="s">
        <v>101</v>
      </c>
      <c r="J2329" s="11">
        <v>806.17997398388718</v>
      </c>
      <c r="K2329" t="str">
        <f t="shared" si="72"/>
        <v>Dean White</v>
      </c>
    </row>
    <row r="2330" spans="1:11" hidden="1" x14ac:dyDescent="0.35">
      <c r="A2330">
        <f t="shared" si="73"/>
        <v>2329</v>
      </c>
      <c r="B2330">
        <v>2014</v>
      </c>
      <c r="C2330" t="s">
        <v>8</v>
      </c>
      <c r="D2330" t="s">
        <v>45</v>
      </c>
      <c r="E2330" t="s">
        <v>1429</v>
      </c>
      <c r="F2330" s="2">
        <v>1766</v>
      </c>
      <c r="G2330" s="2">
        <v>1</v>
      </c>
      <c r="H2330" t="s">
        <v>161</v>
      </c>
      <c r="I2330" t="s">
        <v>162</v>
      </c>
      <c r="J2330" s="11">
        <v>1857.3324964312685</v>
      </c>
      <c r="K2330" t="str">
        <f t="shared" si="72"/>
        <v>Tracy Becker</v>
      </c>
    </row>
    <row r="2331" spans="1:11" hidden="1" x14ac:dyDescent="0.35">
      <c r="A2331">
        <f t="shared" si="73"/>
        <v>2330</v>
      </c>
      <c r="B2331">
        <v>2014</v>
      </c>
      <c r="C2331" t="s">
        <v>8</v>
      </c>
      <c r="D2331" t="s">
        <v>45</v>
      </c>
      <c r="E2331" t="s">
        <v>1429</v>
      </c>
      <c r="F2331" s="2">
        <v>1766</v>
      </c>
      <c r="G2331" s="2">
        <v>2</v>
      </c>
      <c r="H2331" t="s">
        <v>2539</v>
      </c>
      <c r="I2331" t="s">
        <v>28</v>
      </c>
      <c r="J2331" s="11">
        <v>1556.3025007672873</v>
      </c>
      <c r="K2331" t="str">
        <f t="shared" si="72"/>
        <v>Chris O’Connor</v>
      </c>
    </row>
    <row r="2332" spans="1:11" hidden="1" x14ac:dyDescent="0.35">
      <c r="A2332">
        <f t="shared" si="73"/>
        <v>2331</v>
      </c>
      <c r="B2332">
        <v>2014</v>
      </c>
      <c r="C2332" t="s">
        <v>8</v>
      </c>
      <c r="D2332" t="s">
        <v>45</v>
      </c>
      <c r="E2332" t="s">
        <v>1429</v>
      </c>
      <c r="F2332" s="2">
        <v>928</v>
      </c>
      <c r="G2332" s="2">
        <v>3</v>
      </c>
      <c r="H2332" t="s">
        <v>238</v>
      </c>
      <c r="I2332" t="s">
        <v>16</v>
      </c>
      <c r="J2332" s="11">
        <v>1380.2112417116061</v>
      </c>
      <c r="K2332" t="str">
        <f t="shared" si="72"/>
        <v>David Kuznick</v>
      </c>
    </row>
    <row r="2333" spans="1:11" hidden="1" x14ac:dyDescent="0.35">
      <c r="A2333">
        <f t="shared" si="73"/>
        <v>2332</v>
      </c>
      <c r="B2333">
        <v>2014</v>
      </c>
      <c r="C2333" t="s">
        <v>8</v>
      </c>
      <c r="D2333" t="s">
        <v>45</v>
      </c>
      <c r="E2333" t="s">
        <v>1429</v>
      </c>
      <c r="F2333" s="2">
        <v>684</v>
      </c>
      <c r="G2333" s="2">
        <v>4</v>
      </c>
      <c r="H2333" t="s">
        <v>1438</v>
      </c>
      <c r="I2333" t="s">
        <v>982</v>
      </c>
      <c r="J2333" s="11">
        <v>1255.272505103306</v>
      </c>
      <c r="K2333" t="str">
        <f t="shared" si="72"/>
        <v>Jerry D'Amaro</v>
      </c>
    </row>
    <row r="2334" spans="1:11" hidden="1" x14ac:dyDescent="0.35">
      <c r="A2334">
        <f t="shared" si="73"/>
        <v>2333</v>
      </c>
      <c r="B2334">
        <v>2014</v>
      </c>
      <c r="C2334" t="s">
        <v>8</v>
      </c>
      <c r="D2334" t="s">
        <v>45</v>
      </c>
      <c r="E2334" t="s">
        <v>1429</v>
      </c>
      <c r="F2334" s="2">
        <v>508</v>
      </c>
      <c r="G2334" s="2">
        <v>5</v>
      </c>
      <c r="H2334" t="s">
        <v>1439</v>
      </c>
      <c r="I2334" t="s">
        <v>384</v>
      </c>
      <c r="J2334" s="11">
        <v>1158.3624920952498</v>
      </c>
      <c r="K2334" t="str">
        <f t="shared" si="72"/>
        <v>Jeff Palmucci</v>
      </c>
    </row>
    <row r="2335" spans="1:11" hidden="1" x14ac:dyDescent="0.35">
      <c r="A2335">
        <f t="shared" si="73"/>
        <v>2334</v>
      </c>
      <c r="B2335">
        <v>2014</v>
      </c>
      <c r="C2335" t="s">
        <v>8</v>
      </c>
      <c r="D2335" t="s">
        <v>45</v>
      </c>
      <c r="E2335" t="s">
        <v>1429</v>
      </c>
      <c r="F2335" s="2">
        <v>404</v>
      </c>
      <c r="G2335" s="2">
        <v>6</v>
      </c>
      <c r="H2335" t="s">
        <v>170</v>
      </c>
      <c r="I2335" t="s">
        <v>171</v>
      </c>
      <c r="J2335" s="11">
        <v>1079.1812460476249</v>
      </c>
      <c r="K2335" t="str">
        <f t="shared" si="72"/>
        <v>Brenda Mowrey</v>
      </c>
    </row>
    <row r="2336" spans="1:11" hidden="1" x14ac:dyDescent="0.35">
      <c r="A2336">
        <f t="shared" si="73"/>
        <v>2335</v>
      </c>
      <c r="B2336">
        <v>2014</v>
      </c>
      <c r="C2336" t="s">
        <v>8</v>
      </c>
      <c r="D2336" t="s">
        <v>45</v>
      </c>
      <c r="E2336" t="s">
        <v>1429</v>
      </c>
      <c r="F2336" s="2">
        <v>335</v>
      </c>
      <c r="G2336" s="2">
        <v>7</v>
      </c>
      <c r="H2336" t="s">
        <v>118</v>
      </c>
      <c r="I2336" t="s">
        <v>243</v>
      </c>
      <c r="J2336" s="11">
        <v>1012.2344564170116</v>
      </c>
      <c r="K2336" t="str">
        <f t="shared" si="72"/>
        <v>Marsha Segal</v>
      </c>
    </row>
    <row r="2337" spans="1:11" hidden="1" x14ac:dyDescent="0.35">
      <c r="A2337">
        <f t="shared" si="73"/>
        <v>2336</v>
      </c>
      <c r="B2337">
        <v>2014</v>
      </c>
      <c r="C2337" t="s">
        <v>8</v>
      </c>
      <c r="D2337" t="s">
        <v>45</v>
      </c>
      <c r="E2337" t="s">
        <v>1429</v>
      </c>
      <c r="F2337" s="2">
        <v>264</v>
      </c>
      <c r="G2337" s="2">
        <v>8</v>
      </c>
      <c r="H2337" t="s">
        <v>16</v>
      </c>
      <c r="I2337" t="s">
        <v>59</v>
      </c>
      <c r="J2337" s="11">
        <v>954.24250943932498</v>
      </c>
      <c r="K2337" t="str">
        <f t="shared" si="72"/>
        <v>Jeanne David</v>
      </c>
    </row>
    <row r="2338" spans="1:11" hidden="1" x14ac:dyDescent="0.35">
      <c r="A2338">
        <f t="shared" si="73"/>
        <v>2337</v>
      </c>
      <c r="B2338">
        <v>2014</v>
      </c>
      <c r="C2338" t="s">
        <v>8</v>
      </c>
      <c r="D2338" t="s">
        <v>45</v>
      </c>
      <c r="E2338" t="s">
        <v>1429</v>
      </c>
      <c r="F2338" s="2">
        <v>194</v>
      </c>
      <c r="G2338" s="2">
        <v>9</v>
      </c>
      <c r="H2338" t="s">
        <v>251</v>
      </c>
      <c r="I2338" t="s">
        <v>252</v>
      </c>
      <c r="J2338" s="11">
        <v>903.08998699194365</v>
      </c>
      <c r="K2338" t="str">
        <f t="shared" si="72"/>
        <v>Linda Lewis</v>
      </c>
    </row>
    <row r="2339" spans="1:11" hidden="1" x14ac:dyDescent="0.35">
      <c r="A2339">
        <f t="shared" si="73"/>
        <v>2338</v>
      </c>
      <c r="B2339">
        <v>2014</v>
      </c>
      <c r="C2339" t="s">
        <v>8</v>
      </c>
      <c r="D2339" t="s">
        <v>45</v>
      </c>
      <c r="E2339" t="s">
        <v>1429</v>
      </c>
      <c r="F2339" s="2">
        <v>135</v>
      </c>
      <c r="G2339" s="2">
        <v>10</v>
      </c>
      <c r="H2339" t="s">
        <v>161</v>
      </c>
      <c r="I2339" t="s">
        <v>200</v>
      </c>
      <c r="J2339" s="11">
        <v>857.33249643126851</v>
      </c>
      <c r="K2339" t="str">
        <f t="shared" si="72"/>
        <v>Rick Becker</v>
      </c>
    </row>
    <row r="2340" spans="1:11" hidden="1" x14ac:dyDescent="0.35">
      <c r="A2340">
        <f t="shared" si="73"/>
        <v>2339</v>
      </c>
      <c r="B2340">
        <v>2014</v>
      </c>
      <c r="C2340" t="s">
        <v>8</v>
      </c>
      <c r="D2340" t="s">
        <v>24</v>
      </c>
      <c r="E2340" t="s">
        <v>1432</v>
      </c>
      <c r="F2340" s="2">
        <v>943</v>
      </c>
      <c r="G2340" s="2">
        <v>1</v>
      </c>
      <c r="H2340" t="s">
        <v>407</v>
      </c>
      <c r="I2340" t="s">
        <v>406</v>
      </c>
      <c r="J2340" s="11">
        <v>745.68084691713636</v>
      </c>
      <c r="K2340" t="str">
        <f t="shared" si="72"/>
        <v>Howard Jackson</v>
      </c>
    </row>
    <row r="2341" spans="1:11" hidden="1" x14ac:dyDescent="0.35">
      <c r="A2341">
        <f t="shared" si="73"/>
        <v>2340</v>
      </c>
      <c r="B2341">
        <v>2014</v>
      </c>
      <c r="C2341" t="s">
        <v>8</v>
      </c>
      <c r="D2341" t="s">
        <v>24</v>
      </c>
      <c r="E2341" t="s">
        <v>1432</v>
      </c>
      <c r="F2341" s="2">
        <v>943</v>
      </c>
      <c r="G2341" s="2">
        <v>1</v>
      </c>
      <c r="H2341" t="s">
        <v>198</v>
      </c>
      <c r="I2341" t="s">
        <v>149</v>
      </c>
      <c r="J2341" s="11">
        <v>745.68084691713636</v>
      </c>
      <c r="K2341" t="str">
        <f t="shared" si="72"/>
        <v>Alex Lahoski</v>
      </c>
    </row>
    <row r="2342" spans="1:11" hidden="1" x14ac:dyDescent="0.35">
      <c r="A2342">
        <f t="shared" si="73"/>
        <v>2341</v>
      </c>
      <c r="B2342">
        <v>2014</v>
      </c>
      <c r="C2342" t="s">
        <v>8</v>
      </c>
      <c r="D2342" t="s">
        <v>24</v>
      </c>
      <c r="E2342" t="s">
        <v>1432</v>
      </c>
      <c r="F2342" s="2">
        <v>657</v>
      </c>
      <c r="G2342" s="2">
        <v>2</v>
      </c>
      <c r="H2342" t="s">
        <v>472</v>
      </c>
      <c r="I2342" t="s">
        <v>473</v>
      </c>
      <c r="J2342" s="11">
        <v>595.16584908514574</v>
      </c>
      <c r="K2342" t="str">
        <f t="shared" si="72"/>
        <v>Noah Daiell</v>
      </c>
    </row>
    <row r="2343" spans="1:11" hidden="1" x14ac:dyDescent="0.35">
      <c r="A2343">
        <f t="shared" si="73"/>
        <v>2342</v>
      </c>
      <c r="B2343">
        <v>2014</v>
      </c>
      <c r="C2343" t="s">
        <v>8</v>
      </c>
      <c r="D2343" t="s">
        <v>24</v>
      </c>
      <c r="E2343" t="s">
        <v>1432</v>
      </c>
      <c r="F2343" s="2">
        <v>656</v>
      </c>
      <c r="G2343" s="2">
        <v>2</v>
      </c>
      <c r="H2343" t="s">
        <v>455</v>
      </c>
      <c r="I2343" t="s">
        <v>136</v>
      </c>
      <c r="J2343" s="11">
        <v>595.16584908514574</v>
      </c>
      <c r="K2343" t="str">
        <f t="shared" si="72"/>
        <v>John Segovia</v>
      </c>
    </row>
    <row r="2344" spans="1:11" hidden="1" x14ac:dyDescent="0.35">
      <c r="A2344">
        <f t="shared" si="73"/>
        <v>2343</v>
      </c>
      <c r="B2344">
        <v>2014</v>
      </c>
      <c r="C2344" t="s">
        <v>8</v>
      </c>
      <c r="D2344" t="s">
        <v>24</v>
      </c>
      <c r="E2344" t="s">
        <v>1432</v>
      </c>
      <c r="F2344" s="2">
        <v>536</v>
      </c>
      <c r="G2344" s="2">
        <v>3</v>
      </c>
      <c r="H2344" t="s">
        <v>164</v>
      </c>
      <c r="I2344" t="s">
        <v>165</v>
      </c>
      <c r="J2344" s="11">
        <v>507.12021955730512</v>
      </c>
      <c r="K2344" t="str">
        <f t="shared" si="72"/>
        <v>Dominic Colfer</v>
      </c>
    </row>
    <row r="2345" spans="1:11" hidden="1" x14ac:dyDescent="0.35">
      <c r="A2345">
        <f t="shared" si="73"/>
        <v>2344</v>
      </c>
      <c r="B2345">
        <v>2014</v>
      </c>
      <c r="C2345" t="s">
        <v>8</v>
      </c>
      <c r="D2345" t="s">
        <v>24</v>
      </c>
      <c r="E2345" t="s">
        <v>1432</v>
      </c>
      <c r="F2345" s="2">
        <v>536</v>
      </c>
      <c r="G2345" s="2">
        <v>3</v>
      </c>
      <c r="H2345" t="s">
        <v>1437</v>
      </c>
      <c r="I2345" t="s">
        <v>44</v>
      </c>
      <c r="J2345" s="11">
        <v>507.12021955730512</v>
      </c>
      <c r="K2345" t="str">
        <f t="shared" si="72"/>
        <v>Mike Fujita</v>
      </c>
    </row>
    <row r="2346" spans="1:11" hidden="1" x14ac:dyDescent="0.35">
      <c r="A2346">
        <f t="shared" si="73"/>
        <v>2345</v>
      </c>
      <c r="B2346">
        <v>2014</v>
      </c>
      <c r="C2346" t="s">
        <v>8</v>
      </c>
      <c r="D2346" t="s">
        <v>24</v>
      </c>
      <c r="E2346" t="s">
        <v>1432</v>
      </c>
      <c r="F2346" s="2">
        <v>536</v>
      </c>
      <c r="G2346" s="2">
        <v>4</v>
      </c>
      <c r="H2346" t="s">
        <v>57</v>
      </c>
      <c r="I2346" t="s">
        <v>350</v>
      </c>
      <c r="J2346" s="11">
        <v>444.65085125315511</v>
      </c>
      <c r="K2346" t="str">
        <f t="shared" si="72"/>
        <v>Helen Rogers</v>
      </c>
    </row>
    <row r="2347" spans="1:11" hidden="1" x14ac:dyDescent="0.35">
      <c r="A2347">
        <f t="shared" si="73"/>
        <v>2346</v>
      </c>
      <c r="B2347">
        <v>2014</v>
      </c>
      <c r="C2347" t="s">
        <v>8</v>
      </c>
      <c r="D2347" t="s">
        <v>24</v>
      </c>
      <c r="E2347" t="s">
        <v>1432</v>
      </c>
      <c r="F2347" s="2">
        <v>536</v>
      </c>
      <c r="G2347" s="2">
        <v>4</v>
      </c>
      <c r="H2347" t="s">
        <v>57</v>
      </c>
      <c r="I2347" t="s">
        <v>58</v>
      </c>
      <c r="J2347" s="11">
        <v>444.65085125315511</v>
      </c>
      <c r="K2347" t="str">
        <f t="shared" si="72"/>
        <v>Jim Rogers</v>
      </c>
    </row>
    <row r="2348" spans="1:11" hidden="1" x14ac:dyDescent="0.35">
      <c r="A2348">
        <f t="shared" si="73"/>
        <v>2347</v>
      </c>
      <c r="B2348">
        <v>2014</v>
      </c>
      <c r="C2348" t="s">
        <v>8</v>
      </c>
      <c r="D2348" t="s">
        <v>24</v>
      </c>
      <c r="E2348" t="s">
        <v>1432</v>
      </c>
      <c r="F2348" s="2">
        <v>281</v>
      </c>
      <c r="G2348" s="2">
        <v>5</v>
      </c>
      <c r="H2348" t="s">
        <v>238</v>
      </c>
      <c r="I2348" t="s">
        <v>16</v>
      </c>
      <c r="J2348" s="11">
        <v>396.19584474912688</v>
      </c>
      <c r="K2348" t="str">
        <f t="shared" si="72"/>
        <v>David Kuznick</v>
      </c>
    </row>
    <row r="2349" spans="1:11" hidden="1" x14ac:dyDescent="0.35">
      <c r="A2349">
        <f t="shared" si="73"/>
        <v>2348</v>
      </c>
      <c r="B2349">
        <v>2014</v>
      </c>
      <c r="C2349" t="s">
        <v>8</v>
      </c>
      <c r="D2349" t="s">
        <v>24</v>
      </c>
      <c r="E2349" t="s">
        <v>1432</v>
      </c>
      <c r="F2349" s="2">
        <v>280</v>
      </c>
      <c r="G2349" s="2">
        <v>5</v>
      </c>
      <c r="H2349" t="s">
        <v>351</v>
      </c>
      <c r="I2349" t="s">
        <v>153</v>
      </c>
      <c r="J2349" s="11">
        <v>396.19584474912688</v>
      </c>
      <c r="K2349" t="str">
        <f t="shared" si="72"/>
        <v>Stephen Lewin-Berlin</v>
      </c>
    </row>
    <row r="2350" spans="1:11" hidden="1" x14ac:dyDescent="0.35">
      <c r="A2350">
        <f t="shared" si="73"/>
        <v>2349</v>
      </c>
      <c r="B2350">
        <v>2014</v>
      </c>
      <c r="C2350" t="s">
        <v>8</v>
      </c>
      <c r="D2350" t="s">
        <v>24</v>
      </c>
      <c r="E2350" t="s">
        <v>1432</v>
      </c>
      <c r="F2350" s="2">
        <v>100</v>
      </c>
      <c r="G2350" s="2">
        <v>6</v>
      </c>
      <c r="H2350" t="s">
        <v>161</v>
      </c>
      <c r="I2350" t="s">
        <v>200</v>
      </c>
      <c r="J2350" s="11">
        <v>356.60522172531449</v>
      </c>
      <c r="K2350" t="str">
        <f t="shared" si="72"/>
        <v>Rick Becker</v>
      </c>
    </row>
    <row r="2351" spans="1:11" hidden="1" x14ac:dyDescent="0.35">
      <c r="A2351">
        <f t="shared" si="73"/>
        <v>2350</v>
      </c>
      <c r="B2351">
        <v>2014</v>
      </c>
      <c r="C2351" t="s">
        <v>8</v>
      </c>
      <c r="D2351" t="s">
        <v>24</v>
      </c>
      <c r="E2351" t="s">
        <v>1432</v>
      </c>
      <c r="F2351" s="2">
        <v>100</v>
      </c>
      <c r="G2351" s="2">
        <v>6</v>
      </c>
      <c r="H2351" t="s">
        <v>161</v>
      </c>
      <c r="I2351" t="s">
        <v>162</v>
      </c>
      <c r="J2351" s="11">
        <v>356.60522172531449</v>
      </c>
      <c r="K2351" t="str">
        <f t="shared" si="72"/>
        <v>Tracy Becker</v>
      </c>
    </row>
    <row r="2352" spans="1:11" hidden="1" x14ac:dyDescent="0.35">
      <c r="A2352">
        <f t="shared" si="73"/>
        <v>2351</v>
      </c>
      <c r="B2352">
        <v>2014</v>
      </c>
      <c r="C2352" t="s">
        <v>8</v>
      </c>
      <c r="D2352" t="s">
        <v>1440</v>
      </c>
      <c r="E2352" t="s">
        <v>1434</v>
      </c>
      <c r="F2352" s="2">
        <v>1111</v>
      </c>
      <c r="G2352" s="2">
        <v>1</v>
      </c>
      <c r="H2352" t="s">
        <v>455</v>
      </c>
      <c r="I2352" t="s">
        <v>136</v>
      </c>
      <c r="J2352" s="11">
        <v>1556.3025007672873</v>
      </c>
      <c r="K2352" t="str">
        <f t="shared" si="72"/>
        <v>John Segovia</v>
      </c>
    </row>
    <row r="2353" spans="1:11" hidden="1" x14ac:dyDescent="0.35">
      <c r="A2353">
        <f t="shared" si="73"/>
        <v>2352</v>
      </c>
      <c r="B2353">
        <v>2014</v>
      </c>
      <c r="C2353" t="s">
        <v>8</v>
      </c>
      <c r="D2353" t="s">
        <v>1440</v>
      </c>
      <c r="E2353" t="s">
        <v>1434</v>
      </c>
      <c r="F2353" s="2">
        <v>1020</v>
      </c>
      <c r="G2353" s="2">
        <v>2</v>
      </c>
      <c r="H2353" t="s">
        <v>51</v>
      </c>
      <c r="I2353" t="s">
        <v>153</v>
      </c>
      <c r="J2353" s="11">
        <v>1255.272505103306</v>
      </c>
      <c r="K2353" t="str">
        <f t="shared" si="72"/>
        <v>Stephen Rosenblatt</v>
      </c>
    </row>
    <row r="2354" spans="1:11" hidden="1" x14ac:dyDescent="0.35">
      <c r="A2354">
        <f t="shared" si="73"/>
        <v>2353</v>
      </c>
      <c r="B2354">
        <v>2014</v>
      </c>
      <c r="C2354" t="s">
        <v>8</v>
      </c>
      <c r="D2354" t="s">
        <v>1440</v>
      </c>
      <c r="E2354" t="s">
        <v>1434</v>
      </c>
      <c r="F2354" s="2">
        <v>558</v>
      </c>
      <c r="G2354" s="2">
        <v>3</v>
      </c>
      <c r="H2354" t="s">
        <v>12</v>
      </c>
      <c r="I2354" t="s">
        <v>13</v>
      </c>
      <c r="J2354" s="11">
        <v>1079.1812460476249</v>
      </c>
      <c r="K2354" t="str">
        <f t="shared" si="72"/>
        <v>Tom Bessoir</v>
      </c>
    </row>
    <row r="2355" spans="1:11" hidden="1" x14ac:dyDescent="0.35">
      <c r="A2355">
        <f t="shared" si="73"/>
        <v>2354</v>
      </c>
      <c r="B2355">
        <v>2014</v>
      </c>
      <c r="C2355" t="s">
        <v>8</v>
      </c>
      <c r="D2355" t="s">
        <v>1440</v>
      </c>
      <c r="E2355" t="s">
        <v>1434</v>
      </c>
      <c r="F2355" s="2">
        <v>454</v>
      </c>
      <c r="G2355" s="1">
        <v>4</v>
      </c>
      <c r="H2355" t="s">
        <v>441</v>
      </c>
      <c r="I2355" t="s">
        <v>58</v>
      </c>
      <c r="J2355" s="11">
        <v>954.24250943932486</v>
      </c>
      <c r="K2355" t="str">
        <f t="shared" si="72"/>
        <v>Jim Hexter</v>
      </c>
    </row>
    <row r="2356" spans="1:11" hidden="1" x14ac:dyDescent="0.35">
      <c r="A2356">
        <f t="shared" si="73"/>
        <v>2355</v>
      </c>
      <c r="B2356">
        <v>2014</v>
      </c>
      <c r="C2356" t="s">
        <v>8</v>
      </c>
      <c r="D2356" t="s">
        <v>1440</v>
      </c>
      <c r="E2356" t="s">
        <v>1434</v>
      </c>
      <c r="F2356" s="2">
        <v>349</v>
      </c>
      <c r="G2356" s="1">
        <v>5</v>
      </c>
      <c r="H2356" t="s">
        <v>351</v>
      </c>
      <c r="I2356" t="s">
        <v>153</v>
      </c>
      <c r="J2356" s="11">
        <v>857.3324964312684</v>
      </c>
      <c r="K2356" t="str">
        <f t="shared" si="72"/>
        <v>Stephen Lewin-Berlin</v>
      </c>
    </row>
    <row r="2357" spans="1:11" hidden="1" x14ac:dyDescent="0.35">
      <c r="A2357">
        <f t="shared" si="73"/>
        <v>2356</v>
      </c>
      <c r="B2357">
        <v>2015</v>
      </c>
      <c r="C2357" t="s">
        <v>109</v>
      </c>
      <c r="D2357" t="s">
        <v>45</v>
      </c>
      <c r="E2357" t="s">
        <v>1429</v>
      </c>
      <c r="F2357" s="2">
        <v>2920</v>
      </c>
      <c r="G2357" s="2">
        <v>1</v>
      </c>
      <c r="H2357" t="s">
        <v>14</v>
      </c>
      <c r="I2357" t="s">
        <v>11</v>
      </c>
      <c r="J2357" s="11">
        <v>1857.3324964312685</v>
      </c>
      <c r="K2357" t="str">
        <f t="shared" si="72"/>
        <v>Paul McMullin</v>
      </c>
    </row>
    <row r="2358" spans="1:11" hidden="1" x14ac:dyDescent="0.35">
      <c r="A2358">
        <f t="shared" si="73"/>
        <v>2357</v>
      </c>
      <c r="B2358">
        <v>2015</v>
      </c>
      <c r="C2358" t="s">
        <v>109</v>
      </c>
      <c r="D2358" t="s">
        <v>45</v>
      </c>
      <c r="E2358" t="s">
        <v>1429</v>
      </c>
      <c r="F2358" s="2">
        <v>1606</v>
      </c>
      <c r="G2358" s="2">
        <v>2</v>
      </c>
      <c r="H2358" t="s">
        <v>33</v>
      </c>
      <c r="I2358" t="s">
        <v>34</v>
      </c>
      <c r="J2358" s="11">
        <v>1556.3025007672873</v>
      </c>
      <c r="K2358" t="str">
        <f t="shared" si="72"/>
        <v>Meredith Holtzman</v>
      </c>
    </row>
    <row r="2359" spans="1:11" hidden="1" x14ac:dyDescent="0.35">
      <c r="A2359">
        <f t="shared" si="73"/>
        <v>2358</v>
      </c>
      <c r="B2359">
        <v>2015</v>
      </c>
      <c r="C2359" t="s">
        <v>109</v>
      </c>
      <c r="D2359" t="s">
        <v>45</v>
      </c>
      <c r="E2359" t="s">
        <v>1429</v>
      </c>
      <c r="F2359" s="2">
        <v>949</v>
      </c>
      <c r="G2359" s="2">
        <v>3</v>
      </c>
      <c r="H2359" t="s">
        <v>111</v>
      </c>
      <c r="I2359" t="s">
        <v>16</v>
      </c>
      <c r="J2359" s="11">
        <v>1380.2112417116061</v>
      </c>
      <c r="K2359" t="str">
        <f t="shared" si="72"/>
        <v>David Fruchter</v>
      </c>
    </row>
    <row r="2360" spans="1:11" hidden="1" x14ac:dyDescent="0.35">
      <c r="A2360">
        <f t="shared" si="73"/>
        <v>2359</v>
      </c>
      <c r="B2360">
        <v>2015</v>
      </c>
      <c r="C2360" t="s">
        <v>109</v>
      </c>
      <c r="D2360" t="s">
        <v>45</v>
      </c>
      <c r="E2360" t="s">
        <v>1429</v>
      </c>
      <c r="F2360" s="2">
        <v>657</v>
      </c>
      <c r="G2360" s="2">
        <v>4</v>
      </c>
      <c r="H2360" t="s">
        <v>121</v>
      </c>
      <c r="I2360" t="s">
        <v>122</v>
      </c>
      <c r="J2360" s="11">
        <v>1255.272505103306</v>
      </c>
      <c r="K2360" t="str">
        <f t="shared" si="72"/>
        <v>Andy Bartalone</v>
      </c>
    </row>
    <row r="2361" spans="1:11" hidden="1" x14ac:dyDescent="0.35">
      <c r="A2361">
        <f t="shared" si="73"/>
        <v>2360</v>
      </c>
      <c r="B2361">
        <v>2015</v>
      </c>
      <c r="C2361" t="s">
        <v>109</v>
      </c>
      <c r="D2361" t="s">
        <v>45</v>
      </c>
      <c r="E2361" t="s">
        <v>1429</v>
      </c>
      <c r="F2361" s="2">
        <v>511</v>
      </c>
      <c r="G2361" s="2">
        <v>5</v>
      </c>
      <c r="H2361" t="s">
        <v>124</v>
      </c>
      <c r="I2361" t="s">
        <v>125</v>
      </c>
      <c r="J2361" s="11">
        <v>1158.3624920952498</v>
      </c>
      <c r="K2361" t="str">
        <f t="shared" si="72"/>
        <v>Ronald Farrar</v>
      </c>
    </row>
    <row r="2362" spans="1:11" hidden="1" x14ac:dyDescent="0.35">
      <c r="A2362">
        <f t="shared" si="73"/>
        <v>2361</v>
      </c>
      <c r="B2362">
        <v>2015</v>
      </c>
      <c r="C2362" t="s">
        <v>109</v>
      </c>
      <c r="D2362" t="s">
        <v>45</v>
      </c>
      <c r="E2362" t="s">
        <v>1429</v>
      </c>
      <c r="F2362" s="2">
        <v>365</v>
      </c>
      <c r="G2362" s="2">
        <v>6</v>
      </c>
      <c r="H2362" t="s">
        <v>127</v>
      </c>
      <c r="I2362" t="s">
        <v>128</v>
      </c>
      <c r="J2362" s="11">
        <v>1079.1812460476249</v>
      </c>
      <c r="K2362" t="str">
        <f t="shared" si="72"/>
        <v>Lee Ilagan</v>
      </c>
    </row>
    <row r="2363" spans="1:11" hidden="1" x14ac:dyDescent="0.35">
      <c r="A2363">
        <f t="shared" si="73"/>
        <v>2362</v>
      </c>
      <c r="B2363">
        <v>2015</v>
      </c>
      <c r="C2363" t="s">
        <v>109</v>
      </c>
      <c r="D2363" t="s">
        <v>45</v>
      </c>
      <c r="E2363" t="s">
        <v>1429</v>
      </c>
      <c r="F2363" s="2">
        <v>292</v>
      </c>
      <c r="G2363" s="2">
        <v>7</v>
      </c>
      <c r="H2363" t="s">
        <v>130</v>
      </c>
      <c r="I2363" t="s">
        <v>131</v>
      </c>
      <c r="J2363" s="11">
        <v>1012.2344564170116</v>
      </c>
      <c r="K2363" t="str">
        <f t="shared" si="72"/>
        <v>Alan Stuart</v>
      </c>
    </row>
    <row r="2364" spans="1:11" hidden="1" x14ac:dyDescent="0.35">
      <c r="A2364">
        <f t="shared" si="73"/>
        <v>2363</v>
      </c>
      <c r="B2364">
        <v>2015</v>
      </c>
      <c r="C2364" t="s">
        <v>109</v>
      </c>
      <c r="D2364" t="s">
        <v>133</v>
      </c>
      <c r="E2364" t="s">
        <v>133</v>
      </c>
      <c r="F2364" s="2">
        <v>1595</v>
      </c>
      <c r="G2364" s="2">
        <v>1</v>
      </c>
      <c r="H2364" t="s">
        <v>86</v>
      </c>
      <c r="I2364" t="s">
        <v>87</v>
      </c>
      <c r="J2364" s="11">
        <v>1462.3979978989562</v>
      </c>
      <c r="K2364" t="str">
        <f t="shared" si="72"/>
        <v>Stevan Goldman</v>
      </c>
    </row>
    <row r="2365" spans="1:11" hidden="1" x14ac:dyDescent="0.35">
      <c r="A2365">
        <f t="shared" si="73"/>
        <v>2364</v>
      </c>
      <c r="B2365">
        <v>2015</v>
      </c>
      <c r="C2365" t="s">
        <v>109</v>
      </c>
      <c r="D2365" t="s">
        <v>133</v>
      </c>
      <c r="E2365" t="s">
        <v>133</v>
      </c>
      <c r="F2365" s="2">
        <v>870</v>
      </c>
      <c r="G2365" s="2">
        <v>2</v>
      </c>
      <c r="H2365" t="s">
        <v>135</v>
      </c>
      <c r="I2365" t="s">
        <v>136</v>
      </c>
      <c r="J2365" s="11">
        <v>1161.3680022349749</v>
      </c>
      <c r="K2365" t="str">
        <f t="shared" si="72"/>
        <v>John Scheinberg</v>
      </c>
    </row>
    <row r="2366" spans="1:11" hidden="1" x14ac:dyDescent="0.35">
      <c r="A2366">
        <f t="shared" si="73"/>
        <v>2365</v>
      </c>
      <c r="B2366">
        <v>2015</v>
      </c>
      <c r="C2366" t="s">
        <v>109</v>
      </c>
      <c r="D2366" t="s">
        <v>133</v>
      </c>
      <c r="E2366" t="s">
        <v>133</v>
      </c>
      <c r="F2366" s="2">
        <v>435</v>
      </c>
      <c r="G2366" s="2">
        <v>3</v>
      </c>
      <c r="H2366" t="s">
        <v>138</v>
      </c>
      <c r="I2366" t="s">
        <v>139</v>
      </c>
      <c r="J2366" s="11">
        <v>985.2767431792937</v>
      </c>
      <c r="K2366" t="str">
        <f t="shared" si="72"/>
        <v>Mark Wileczek</v>
      </c>
    </row>
    <row r="2367" spans="1:11" hidden="1" x14ac:dyDescent="0.35">
      <c r="A2367">
        <f t="shared" si="73"/>
        <v>2366</v>
      </c>
      <c r="B2367">
        <v>2015</v>
      </c>
      <c r="C2367" t="s">
        <v>109</v>
      </c>
      <c r="D2367" t="s">
        <v>110</v>
      </c>
      <c r="E2367" t="s">
        <v>1430</v>
      </c>
      <c r="F2367" s="2">
        <v>2440</v>
      </c>
      <c r="G2367" s="2">
        <v>1</v>
      </c>
      <c r="H2367" t="s">
        <v>111</v>
      </c>
      <c r="I2367" t="s">
        <v>16</v>
      </c>
      <c r="J2367" s="11">
        <v>1785.3298350107671</v>
      </c>
      <c r="K2367" t="str">
        <f t="shared" si="72"/>
        <v>David Fruchter</v>
      </c>
    </row>
    <row r="2368" spans="1:11" hidden="1" x14ac:dyDescent="0.35">
      <c r="A2368">
        <f t="shared" si="73"/>
        <v>2367</v>
      </c>
      <c r="B2368">
        <v>2015</v>
      </c>
      <c r="C2368" t="s">
        <v>109</v>
      </c>
      <c r="D2368" t="s">
        <v>110</v>
      </c>
      <c r="E2368" t="s">
        <v>1430</v>
      </c>
      <c r="F2368" s="2">
        <v>1342</v>
      </c>
      <c r="G2368" s="2">
        <v>2</v>
      </c>
      <c r="H2368" t="s">
        <v>21</v>
      </c>
      <c r="I2368" t="s">
        <v>463</v>
      </c>
      <c r="J2368" s="11">
        <v>1484.2998393467858</v>
      </c>
      <c r="K2368" t="str">
        <f t="shared" si="72"/>
        <v>Richard Bremer</v>
      </c>
    </row>
    <row r="2369" spans="1:11" hidden="1" x14ac:dyDescent="0.35">
      <c r="A2369">
        <f t="shared" si="73"/>
        <v>2368</v>
      </c>
      <c r="B2369">
        <v>2015</v>
      </c>
      <c r="C2369" t="s">
        <v>109</v>
      </c>
      <c r="D2369" t="s">
        <v>110</v>
      </c>
      <c r="E2369" t="s">
        <v>1430</v>
      </c>
      <c r="F2369" s="2">
        <v>793</v>
      </c>
      <c r="G2369" s="2">
        <v>3</v>
      </c>
      <c r="H2369" t="s">
        <v>2539</v>
      </c>
      <c r="I2369" t="s">
        <v>28</v>
      </c>
      <c r="J2369" s="11">
        <v>1308.2085802911047</v>
      </c>
      <c r="K2369" t="str">
        <f t="shared" si="72"/>
        <v>Chris O’Connor</v>
      </c>
    </row>
    <row r="2370" spans="1:11" hidden="1" x14ac:dyDescent="0.35">
      <c r="A2370">
        <f t="shared" si="73"/>
        <v>2369</v>
      </c>
      <c r="B2370">
        <v>2015</v>
      </c>
      <c r="C2370" t="s">
        <v>109</v>
      </c>
      <c r="D2370" t="s">
        <v>110</v>
      </c>
      <c r="E2370" t="s">
        <v>1430</v>
      </c>
      <c r="F2370" s="2">
        <v>549</v>
      </c>
      <c r="G2370" s="2">
        <v>4</v>
      </c>
      <c r="H2370" t="s">
        <v>14</v>
      </c>
      <c r="I2370" t="s">
        <v>11</v>
      </c>
      <c r="J2370" s="11">
        <v>1183.2698436828045</v>
      </c>
      <c r="K2370" t="str">
        <f t="shared" ref="K2370:K2433" si="74">I2370&amp;" "&amp;H2370</f>
        <v>Paul McMullin</v>
      </c>
    </row>
    <row r="2371" spans="1:11" hidden="1" x14ac:dyDescent="0.35">
      <c r="A2371">
        <f t="shared" si="73"/>
        <v>2370</v>
      </c>
      <c r="B2371">
        <v>2015</v>
      </c>
      <c r="C2371" t="s">
        <v>109</v>
      </c>
      <c r="D2371" t="s">
        <v>110</v>
      </c>
      <c r="E2371" t="s">
        <v>1430</v>
      </c>
      <c r="F2371" s="2">
        <v>427</v>
      </c>
      <c r="G2371" s="2">
        <v>5</v>
      </c>
      <c r="H2371" t="s">
        <v>114</v>
      </c>
      <c r="I2371" t="s">
        <v>187</v>
      </c>
      <c r="J2371" s="11">
        <v>1086.3598306747483</v>
      </c>
      <c r="K2371" t="str">
        <f t="shared" si="74"/>
        <v>Joe Morrissette</v>
      </c>
    </row>
    <row r="2372" spans="1:11" hidden="1" x14ac:dyDescent="0.35">
      <c r="A2372">
        <f t="shared" ref="A2372:A2435" si="75">A2371+1</f>
        <v>2371</v>
      </c>
      <c r="B2372">
        <v>2015</v>
      </c>
      <c r="C2372" t="s">
        <v>109</v>
      </c>
      <c r="D2372" t="s">
        <v>110</v>
      </c>
      <c r="E2372" t="s">
        <v>1430</v>
      </c>
      <c r="F2372" s="2">
        <v>305</v>
      </c>
      <c r="G2372" s="2">
        <v>6</v>
      </c>
      <c r="H2372" t="s">
        <v>116</v>
      </c>
      <c r="I2372" t="s">
        <v>117</v>
      </c>
      <c r="J2372" s="11">
        <v>1007.1785846271235</v>
      </c>
      <c r="K2372" t="str">
        <f t="shared" si="74"/>
        <v>Thomas Kracinovich</v>
      </c>
    </row>
    <row r="2373" spans="1:11" hidden="1" x14ac:dyDescent="0.35">
      <c r="A2373">
        <f t="shared" si="75"/>
        <v>2372</v>
      </c>
      <c r="B2373">
        <v>2015</v>
      </c>
      <c r="C2373" t="s">
        <v>109</v>
      </c>
      <c r="D2373" t="s">
        <v>110</v>
      </c>
      <c r="E2373" t="s">
        <v>1430</v>
      </c>
      <c r="F2373" s="2">
        <v>244</v>
      </c>
      <c r="G2373" s="2">
        <v>7</v>
      </c>
      <c r="H2373" t="s">
        <v>118</v>
      </c>
      <c r="I2373" t="s">
        <v>415</v>
      </c>
      <c r="J2373" s="11">
        <v>940.2317949965103</v>
      </c>
      <c r="K2373" t="str">
        <f t="shared" si="74"/>
        <v>Pete Segal</v>
      </c>
    </row>
    <row r="2374" spans="1:11" hidden="1" x14ac:dyDescent="0.35">
      <c r="A2374">
        <f t="shared" si="75"/>
        <v>2373</v>
      </c>
      <c r="B2374">
        <v>2015</v>
      </c>
      <c r="C2374" t="s">
        <v>263</v>
      </c>
      <c r="D2374" t="s">
        <v>1506</v>
      </c>
      <c r="E2374" t="s">
        <v>1430</v>
      </c>
      <c r="F2374" s="2">
        <v>1145</v>
      </c>
      <c r="G2374" s="2">
        <v>1</v>
      </c>
      <c r="H2374" t="s">
        <v>266</v>
      </c>
      <c r="I2374" t="s">
        <v>28</v>
      </c>
      <c r="J2374" s="11">
        <v>1799.3405494535816</v>
      </c>
      <c r="K2374" t="str">
        <f t="shared" si="74"/>
        <v>Chris Mecklin</v>
      </c>
    </row>
    <row r="2375" spans="1:11" hidden="1" x14ac:dyDescent="0.35">
      <c r="A2375">
        <f t="shared" si="75"/>
        <v>2374</v>
      </c>
      <c r="B2375">
        <v>2015</v>
      </c>
      <c r="C2375" t="s">
        <v>263</v>
      </c>
      <c r="D2375" t="s">
        <v>1506</v>
      </c>
      <c r="E2375" t="s">
        <v>1430</v>
      </c>
      <c r="F2375" s="2">
        <v>830</v>
      </c>
      <c r="G2375" s="2">
        <v>2</v>
      </c>
      <c r="H2375" t="s">
        <v>37</v>
      </c>
      <c r="I2375" t="s">
        <v>38</v>
      </c>
      <c r="J2375" s="11">
        <v>1498.3105537896004</v>
      </c>
      <c r="K2375" t="str">
        <f t="shared" si="74"/>
        <v>Doug Grismore</v>
      </c>
    </row>
    <row r="2376" spans="1:11" hidden="1" x14ac:dyDescent="0.35">
      <c r="A2376">
        <f t="shared" si="75"/>
        <v>2375</v>
      </c>
      <c r="B2376">
        <v>2015</v>
      </c>
      <c r="C2376" t="s">
        <v>263</v>
      </c>
      <c r="D2376" t="s">
        <v>1506</v>
      </c>
      <c r="E2376" t="s">
        <v>1430</v>
      </c>
      <c r="F2376" s="2">
        <v>660</v>
      </c>
      <c r="G2376" s="2">
        <v>3</v>
      </c>
      <c r="H2376" t="s">
        <v>999</v>
      </c>
      <c r="I2376" t="s">
        <v>815</v>
      </c>
      <c r="J2376" s="11">
        <v>1322.2192947339192</v>
      </c>
      <c r="K2376" t="str">
        <f t="shared" si="74"/>
        <v>Sean McGuiness</v>
      </c>
    </row>
    <row r="2377" spans="1:11" hidden="1" x14ac:dyDescent="0.35">
      <c r="A2377">
        <f t="shared" si="75"/>
        <v>2376</v>
      </c>
      <c r="B2377">
        <v>2015</v>
      </c>
      <c r="C2377" t="s">
        <v>263</v>
      </c>
      <c r="D2377" t="s">
        <v>1506</v>
      </c>
      <c r="E2377" t="s">
        <v>1430</v>
      </c>
      <c r="F2377" s="2">
        <v>530</v>
      </c>
      <c r="G2377" s="2">
        <v>4</v>
      </c>
      <c r="H2377" t="s">
        <v>14</v>
      </c>
      <c r="I2377" t="s">
        <v>11</v>
      </c>
      <c r="J2377" s="11">
        <v>1197.2805581256191</v>
      </c>
      <c r="K2377" t="str">
        <f t="shared" si="74"/>
        <v>Paul McMullin</v>
      </c>
    </row>
    <row r="2378" spans="1:11" hidden="1" x14ac:dyDescent="0.35">
      <c r="A2378">
        <f t="shared" si="75"/>
        <v>2377</v>
      </c>
      <c r="B2378">
        <v>2015</v>
      </c>
      <c r="C2378" t="s">
        <v>263</v>
      </c>
      <c r="D2378" t="s">
        <v>1506</v>
      </c>
      <c r="E2378" t="s">
        <v>1430</v>
      </c>
      <c r="F2378" s="2">
        <v>440</v>
      </c>
      <c r="G2378" s="2">
        <v>5</v>
      </c>
      <c r="H2378" t="s">
        <v>277</v>
      </c>
      <c r="I2378" t="s">
        <v>16</v>
      </c>
      <c r="J2378" s="11">
        <v>1100.3705451175629</v>
      </c>
      <c r="K2378" t="str">
        <f t="shared" si="74"/>
        <v>David Lawful</v>
      </c>
    </row>
    <row r="2379" spans="1:11" hidden="1" x14ac:dyDescent="0.35">
      <c r="A2379">
        <f t="shared" si="75"/>
        <v>2378</v>
      </c>
      <c r="B2379">
        <v>2015</v>
      </c>
      <c r="C2379" t="s">
        <v>263</v>
      </c>
      <c r="D2379" t="s">
        <v>1506</v>
      </c>
      <c r="E2379" t="s">
        <v>1430</v>
      </c>
      <c r="F2379" s="2">
        <v>310</v>
      </c>
      <c r="G2379" s="2">
        <v>6</v>
      </c>
      <c r="H2379" t="s">
        <v>90</v>
      </c>
      <c r="I2379" t="s">
        <v>22</v>
      </c>
      <c r="J2379" s="11">
        <v>1021.1892990699381</v>
      </c>
      <c r="K2379" t="str">
        <f t="shared" si="74"/>
        <v>Rich Strauss</v>
      </c>
    </row>
    <row r="2380" spans="1:11" hidden="1" x14ac:dyDescent="0.35">
      <c r="A2380">
        <f t="shared" si="75"/>
        <v>2379</v>
      </c>
      <c r="B2380">
        <v>2015</v>
      </c>
      <c r="C2380" t="s">
        <v>263</v>
      </c>
      <c r="D2380" t="s">
        <v>1506</v>
      </c>
      <c r="E2380" t="s">
        <v>1430</v>
      </c>
      <c r="F2380" s="2">
        <v>220</v>
      </c>
      <c r="G2380" s="2">
        <v>7</v>
      </c>
      <c r="H2380" t="s">
        <v>86</v>
      </c>
      <c r="I2380" t="s">
        <v>271</v>
      </c>
      <c r="J2380" s="11">
        <v>954.24250943932486</v>
      </c>
      <c r="K2380" t="str">
        <f t="shared" si="74"/>
        <v>Dan Goldman</v>
      </c>
    </row>
    <row r="2381" spans="1:11" hidden="1" x14ac:dyDescent="0.35">
      <c r="A2381">
        <f t="shared" si="75"/>
        <v>2380</v>
      </c>
      <c r="B2381">
        <v>2015</v>
      </c>
      <c r="C2381" t="s">
        <v>263</v>
      </c>
      <c r="D2381" t="s">
        <v>1506</v>
      </c>
      <c r="E2381" t="s">
        <v>1430</v>
      </c>
      <c r="F2381" s="2">
        <v>175</v>
      </c>
      <c r="G2381" s="2">
        <v>8</v>
      </c>
      <c r="H2381" t="s">
        <v>88</v>
      </c>
      <c r="I2381" t="s">
        <v>89</v>
      </c>
      <c r="J2381" s="11">
        <v>896.2505624616382</v>
      </c>
      <c r="K2381" t="str">
        <f t="shared" si="74"/>
        <v>Ken Kubey</v>
      </c>
    </row>
    <row r="2382" spans="1:11" hidden="1" x14ac:dyDescent="0.35">
      <c r="A2382">
        <f t="shared" si="75"/>
        <v>2381</v>
      </c>
      <c r="B2382">
        <v>2015</v>
      </c>
      <c r="C2382" t="s">
        <v>263</v>
      </c>
      <c r="D2382" t="s">
        <v>1506</v>
      </c>
      <c r="E2382" t="s">
        <v>1430</v>
      </c>
      <c r="F2382" s="2">
        <v>100</v>
      </c>
      <c r="G2382" s="2">
        <v>9</v>
      </c>
      <c r="H2382" t="s">
        <v>1507</v>
      </c>
      <c r="I2382" t="s">
        <v>153</v>
      </c>
      <c r="J2382" s="11">
        <v>845.09804001425687</v>
      </c>
      <c r="K2382" t="str">
        <f t="shared" si="74"/>
        <v>Stephen Rokitka</v>
      </c>
    </row>
    <row r="2383" spans="1:11" hidden="1" x14ac:dyDescent="0.35">
      <c r="A2383">
        <f t="shared" si="75"/>
        <v>2382</v>
      </c>
      <c r="B2383">
        <v>2015</v>
      </c>
      <c r="C2383" t="s">
        <v>263</v>
      </c>
      <c r="D2383" t="s">
        <v>84</v>
      </c>
      <c r="E2383" t="s">
        <v>84</v>
      </c>
      <c r="F2383" s="2">
        <v>480</v>
      </c>
      <c r="G2383" s="2">
        <v>1</v>
      </c>
      <c r="H2383" t="s">
        <v>72</v>
      </c>
      <c r="I2383" t="s">
        <v>73</v>
      </c>
      <c r="J2383" s="11">
        <v>1462.3979978989562</v>
      </c>
      <c r="K2383" t="str">
        <f t="shared" si="74"/>
        <v>Corey Imsdahl</v>
      </c>
    </row>
    <row r="2384" spans="1:11" hidden="1" x14ac:dyDescent="0.35">
      <c r="A2384">
        <f t="shared" si="75"/>
        <v>2383</v>
      </c>
      <c r="B2384">
        <v>2015</v>
      </c>
      <c r="C2384" t="s">
        <v>263</v>
      </c>
      <c r="D2384" t="s">
        <v>84</v>
      </c>
      <c r="E2384" t="s">
        <v>84</v>
      </c>
      <c r="F2384" s="2">
        <v>480</v>
      </c>
      <c r="G2384" s="2">
        <v>2</v>
      </c>
      <c r="H2384" t="s">
        <v>16</v>
      </c>
      <c r="I2384" t="s">
        <v>59</v>
      </c>
      <c r="J2384" s="11">
        <v>1161.3680022349749</v>
      </c>
      <c r="K2384" t="str">
        <f t="shared" si="74"/>
        <v>Jeanne David</v>
      </c>
    </row>
    <row r="2385" spans="1:11" hidden="1" x14ac:dyDescent="0.35">
      <c r="A2385">
        <f t="shared" si="75"/>
        <v>2384</v>
      </c>
      <c r="B2385">
        <v>2015</v>
      </c>
      <c r="C2385" t="s">
        <v>263</v>
      </c>
      <c r="D2385" t="s">
        <v>84</v>
      </c>
      <c r="E2385" t="s">
        <v>84</v>
      </c>
      <c r="F2385" s="2">
        <v>270</v>
      </c>
      <c r="G2385" s="2">
        <v>3</v>
      </c>
      <c r="H2385" t="s">
        <v>1111</v>
      </c>
      <c r="I2385" t="s">
        <v>1112</v>
      </c>
      <c r="J2385" s="11">
        <v>985.2767431792937</v>
      </c>
      <c r="K2385" t="str">
        <f t="shared" si="74"/>
        <v>Oliver Juang</v>
      </c>
    </row>
    <row r="2386" spans="1:11" hidden="1" x14ac:dyDescent="0.35">
      <c r="A2386">
        <f t="shared" si="75"/>
        <v>2385</v>
      </c>
      <c r="B2386">
        <v>2015</v>
      </c>
      <c r="C2386" t="s">
        <v>263</v>
      </c>
      <c r="D2386" t="s">
        <v>84</v>
      </c>
      <c r="E2386" t="s">
        <v>84</v>
      </c>
      <c r="F2386" s="2">
        <v>205</v>
      </c>
      <c r="G2386" s="2">
        <v>4</v>
      </c>
      <c r="H2386" t="s">
        <v>97</v>
      </c>
      <c r="I2386" t="s">
        <v>98</v>
      </c>
      <c r="J2386" s="11">
        <v>860.33800657099368</v>
      </c>
      <c r="K2386" t="str">
        <f t="shared" si="74"/>
        <v>Ryan Troll</v>
      </c>
    </row>
    <row r="2387" spans="1:11" hidden="1" x14ac:dyDescent="0.35">
      <c r="A2387">
        <f t="shared" si="75"/>
        <v>2386</v>
      </c>
      <c r="B2387">
        <v>2015</v>
      </c>
      <c r="C2387" t="s">
        <v>263</v>
      </c>
      <c r="D2387" t="s">
        <v>84</v>
      </c>
      <c r="E2387" t="s">
        <v>84</v>
      </c>
      <c r="F2387" s="2">
        <v>160</v>
      </c>
      <c r="G2387" s="2">
        <v>5</v>
      </c>
      <c r="H2387" t="s">
        <v>394</v>
      </c>
      <c r="I2387" t="s">
        <v>1516</v>
      </c>
      <c r="J2387" s="11">
        <v>763.42799356293722</v>
      </c>
      <c r="K2387" t="str">
        <f t="shared" si="74"/>
        <v>Lori Miller</v>
      </c>
    </row>
    <row r="2388" spans="1:11" hidden="1" x14ac:dyDescent="0.35">
      <c r="A2388">
        <f t="shared" si="75"/>
        <v>2387</v>
      </c>
      <c r="B2388">
        <v>2015</v>
      </c>
      <c r="C2388" t="s">
        <v>263</v>
      </c>
      <c r="D2388" t="s">
        <v>557</v>
      </c>
      <c r="E2388" t="s">
        <v>1430</v>
      </c>
      <c r="F2388" s="2">
        <v>1620</v>
      </c>
      <c r="G2388" s="2">
        <v>1</v>
      </c>
      <c r="H2388" t="s">
        <v>482</v>
      </c>
      <c r="I2388" t="s">
        <v>410</v>
      </c>
      <c r="J2388" s="11">
        <v>1919.078092376074</v>
      </c>
      <c r="K2388" t="str">
        <f t="shared" si="74"/>
        <v>Larry Bierman</v>
      </c>
    </row>
    <row r="2389" spans="1:11" hidden="1" x14ac:dyDescent="0.35">
      <c r="A2389">
        <f t="shared" si="75"/>
        <v>2388</v>
      </c>
      <c r="B2389">
        <v>2015</v>
      </c>
      <c r="C2389" t="s">
        <v>263</v>
      </c>
      <c r="D2389" t="s">
        <v>557</v>
      </c>
      <c r="E2389" t="s">
        <v>1430</v>
      </c>
      <c r="F2389" s="2">
        <v>1186</v>
      </c>
      <c r="G2389" s="2">
        <v>2</v>
      </c>
      <c r="H2389" t="s">
        <v>95</v>
      </c>
      <c r="I2389" t="s">
        <v>71</v>
      </c>
      <c r="J2389" s="11">
        <v>1618.0480967120927</v>
      </c>
      <c r="K2389" t="str">
        <f t="shared" si="74"/>
        <v>Scott Samarel</v>
      </c>
    </row>
    <row r="2390" spans="1:11" hidden="1" x14ac:dyDescent="0.35">
      <c r="A2390">
        <f t="shared" si="75"/>
        <v>2389</v>
      </c>
      <c r="B2390">
        <v>2015</v>
      </c>
      <c r="C2390" t="s">
        <v>263</v>
      </c>
      <c r="D2390" t="s">
        <v>557</v>
      </c>
      <c r="E2390" t="s">
        <v>1430</v>
      </c>
      <c r="F2390" s="2">
        <v>935</v>
      </c>
      <c r="G2390" s="2">
        <v>3</v>
      </c>
      <c r="H2390" t="s">
        <v>527</v>
      </c>
      <c r="I2390" t="s">
        <v>11</v>
      </c>
      <c r="J2390" s="11">
        <v>1441.9568376564116</v>
      </c>
      <c r="K2390" t="str">
        <f t="shared" si="74"/>
        <v>Paul Stine</v>
      </c>
    </row>
    <row r="2391" spans="1:11" hidden="1" x14ac:dyDescent="0.35">
      <c r="A2391">
        <f t="shared" si="75"/>
        <v>2390</v>
      </c>
      <c r="B2391">
        <v>2015</v>
      </c>
      <c r="C2391" t="s">
        <v>263</v>
      </c>
      <c r="D2391" t="s">
        <v>557</v>
      </c>
      <c r="E2391" t="s">
        <v>1430</v>
      </c>
      <c r="F2391" s="2">
        <v>745</v>
      </c>
      <c r="G2391" s="2">
        <v>4</v>
      </c>
      <c r="H2391" t="s">
        <v>868</v>
      </c>
      <c r="I2391" t="s">
        <v>63</v>
      </c>
      <c r="J2391" s="11">
        <v>1317.0181010481117</v>
      </c>
      <c r="K2391" t="str">
        <f t="shared" si="74"/>
        <v>Claudia Mastroianni</v>
      </c>
    </row>
    <row r="2392" spans="1:11" hidden="1" x14ac:dyDescent="0.35">
      <c r="A2392">
        <f t="shared" si="75"/>
        <v>2391</v>
      </c>
      <c r="B2392">
        <v>2015</v>
      </c>
      <c r="C2392" t="s">
        <v>263</v>
      </c>
      <c r="D2392" t="s">
        <v>557</v>
      </c>
      <c r="E2392" t="s">
        <v>1430</v>
      </c>
      <c r="F2392" s="2">
        <v>560</v>
      </c>
      <c r="G2392" s="2">
        <v>5</v>
      </c>
      <c r="H2392" t="s">
        <v>43</v>
      </c>
      <c r="I2392" t="s">
        <v>218</v>
      </c>
      <c r="J2392" s="11">
        <v>1220.108088040055</v>
      </c>
      <c r="K2392" t="str">
        <f t="shared" si="74"/>
        <v>Michael Klein</v>
      </c>
    </row>
    <row r="2393" spans="1:11" hidden="1" x14ac:dyDescent="0.35">
      <c r="A2393">
        <f t="shared" si="75"/>
        <v>2392</v>
      </c>
      <c r="B2393">
        <v>2015</v>
      </c>
      <c r="C2393" t="s">
        <v>263</v>
      </c>
      <c r="D2393" t="s">
        <v>557</v>
      </c>
      <c r="E2393" t="s">
        <v>1430</v>
      </c>
      <c r="F2393" s="2">
        <v>435</v>
      </c>
      <c r="G2393" s="2">
        <v>6</v>
      </c>
      <c r="H2393" t="s">
        <v>31</v>
      </c>
      <c r="I2393" t="s">
        <v>32</v>
      </c>
      <c r="J2393" s="11">
        <v>1140.9268419924304</v>
      </c>
      <c r="K2393" t="str">
        <f t="shared" si="74"/>
        <v>Caryl Aronson</v>
      </c>
    </row>
    <row r="2394" spans="1:11" hidden="1" x14ac:dyDescent="0.35">
      <c r="A2394">
        <f t="shared" si="75"/>
        <v>2393</v>
      </c>
      <c r="B2394">
        <v>2015</v>
      </c>
      <c r="C2394" t="s">
        <v>263</v>
      </c>
      <c r="D2394" t="s">
        <v>557</v>
      </c>
      <c r="E2394" t="s">
        <v>1430</v>
      </c>
      <c r="F2394" s="2">
        <v>310</v>
      </c>
      <c r="G2394" s="2">
        <v>7</v>
      </c>
      <c r="H2394" t="s">
        <v>35</v>
      </c>
      <c r="I2394" t="s">
        <v>36</v>
      </c>
      <c r="J2394" s="11">
        <v>1073.9800523618173</v>
      </c>
      <c r="K2394" t="str">
        <f t="shared" si="74"/>
        <v>Nolan Dalla</v>
      </c>
    </row>
    <row r="2395" spans="1:11" hidden="1" x14ac:dyDescent="0.35">
      <c r="A2395">
        <f t="shared" si="75"/>
        <v>2394</v>
      </c>
      <c r="B2395">
        <v>2015</v>
      </c>
      <c r="C2395" t="s">
        <v>263</v>
      </c>
      <c r="D2395" t="s">
        <v>557</v>
      </c>
      <c r="E2395" t="s">
        <v>1430</v>
      </c>
      <c r="F2395" s="2">
        <v>185</v>
      </c>
      <c r="G2395" s="2">
        <v>8</v>
      </c>
      <c r="H2395" t="s">
        <v>16</v>
      </c>
      <c r="I2395" t="s">
        <v>59</v>
      </c>
      <c r="J2395" s="11">
        <v>1015.9881053841304</v>
      </c>
      <c r="K2395" t="str">
        <f t="shared" si="74"/>
        <v>Jeanne David</v>
      </c>
    </row>
    <row r="2396" spans="1:11" hidden="1" x14ac:dyDescent="0.35">
      <c r="A2396">
        <f t="shared" si="75"/>
        <v>2395</v>
      </c>
      <c r="B2396">
        <v>2015</v>
      </c>
      <c r="C2396" t="s">
        <v>263</v>
      </c>
      <c r="D2396" t="s">
        <v>557</v>
      </c>
      <c r="E2396" t="s">
        <v>1430</v>
      </c>
      <c r="F2396" s="2">
        <v>125</v>
      </c>
      <c r="G2396" s="2">
        <v>9</v>
      </c>
      <c r="H2396" t="s">
        <v>37</v>
      </c>
      <c r="I2396" t="s">
        <v>38</v>
      </c>
      <c r="J2396" s="11">
        <v>964.83558293674912</v>
      </c>
      <c r="K2396" t="str">
        <f t="shared" si="74"/>
        <v>Doug Grismore</v>
      </c>
    </row>
    <row r="2397" spans="1:11" hidden="1" x14ac:dyDescent="0.35">
      <c r="A2397">
        <f t="shared" si="75"/>
        <v>2396</v>
      </c>
      <c r="B2397">
        <v>2015</v>
      </c>
      <c r="C2397" t="s">
        <v>263</v>
      </c>
      <c r="D2397" t="s">
        <v>557</v>
      </c>
      <c r="E2397" t="s">
        <v>1430</v>
      </c>
      <c r="F2397" s="2">
        <v>125</v>
      </c>
      <c r="G2397" s="2">
        <v>10</v>
      </c>
      <c r="H2397" t="s">
        <v>86</v>
      </c>
      <c r="I2397" t="s">
        <v>510</v>
      </c>
      <c r="J2397" s="11">
        <v>919.07809237607398</v>
      </c>
      <c r="K2397" t="str">
        <f t="shared" si="74"/>
        <v>Sharon Goldman</v>
      </c>
    </row>
    <row r="2398" spans="1:11" hidden="1" x14ac:dyDescent="0.35">
      <c r="A2398">
        <f t="shared" si="75"/>
        <v>2397</v>
      </c>
      <c r="B2398">
        <v>2015</v>
      </c>
      <c r="C2398" t="s">
        <v>263</v>
      </c>
      <c r="D2398" t="s">
        <v>45</v>
      </c>
      <c r="E2398" t="s">
        <v>1429</v>
      </c>
      <c r="F2398" s="2">
        <v>4215</v>
      </c>
      <c r="G2398" s="2">
        <v>1</v>
      </c>
      <c r="H2398" t="s">
        <v>1517</v>
      </c>
      <c r="I2398" t="s">
        <v>1005</v>
      </c>
      <c r="J2398" s="11">
        <v>2149.2191126553798</v>
      </c>
      <c r="K2398" t="str">
        <f t="shared" si="74"/>
        <v>Jennifer Shahade</v>
      </c>
    </row>
    <row r="2399" spans="1:11" hidden="1" x14ac:dyDescent="0.35">
      <c r="A2399">
        <f t="shared" si="75"/>
        <v>2398</v>
      </c>
      <c r="B2399">
        <v>2015</v>
      </c>
      <c r="C2399" t="s">
        <v>263</v>
      </c>
      <c r="D2399" t="s">
        <v>45</v>
      </c>
      <c r="E2399" t="s">
        <v>1429</v>
      </c>
      <c r="F2399" s="2">
        <v>3030</v>
      </c>
      <c r="G2399" s="2">
        <v>2</v>
      </c>
      <c r="H2399" t="s">
        <v>86</v>
      </c>
      <c r="I2399" t="s">
        <v>393</v>
      </c>
      <c r="J2399" s="11">
        <v>1848.1891169913984</v>
      </c>
      <c r="K2399" t="str">
        <f t="shared" si="74"/>
        <v>Bree Goldman</v>
      </c>
    </row>
    <row r="2400" spans="1:11" hidden="1" x14ac:dyDescent="0.35">
      <c r="A2400">
        <f t="shared" si="75"/>
        <v>2399</v>
      </c>
      <c r="B2400">
        <v>2015</v>
      </c>
      <c r="C2400" t="s">
        <v>263</v>
      </c>
      <c r="D2400" t="s">
        <v>45</v>
      </c>
      <c r="E2400" t="s">
        <v>1429</v>
      </c>
      <c r="F2400" s="2">
        <v>2360</v>
      </c>
      <c r="G2400" s="2">
        <v>3</v>
      </c>
      <c r="H2400" t="s">
        <v>603</v>
      </c>
      <c r="I2400" t="s">
        <v>604</v>
      </c>
      <c r="J2400" s="11">
        <v>1672.0978579357172</v>
      </c>
      <c r="K2400" t="str">
        <f t="shared" si="74"/>
        <v>Jordan Devenport</v>
      </c>
    </row>
    <row r="2401" spans="1:11" hidden="1" x14ac:dyDescent="0.35">
      <c r="A2401">
        <f t="shared" si="75"/>
        <v>2400</v>
      </c>
      <c r="B2401">
        <v>2015</v>
      </c>
      <c r="C2401" t="s">
        <v>263</v>
      </c>
      <c r="D2401" t="s">
        <v>45</v>
      </c>
      <c r="E2401" t="s">
        <v>1429</v>
      </c>
      <c r="F2401" s="2">
        <v>1850</v>
      </c>
      <c r="G2401" s="2">
        <v>4</v>
      </c>
      <c r="H2401" t="s">
        <v>1518</v>
      </c>
      <c r="I2401" t="s">
        <v>136</v>
      </c>
      <c r="J2401" s="11">
        <v>1547.1591213274171</v>
      </c>
      <c r="K2401" t="str">
        <f t="shared" si="74"/>
        <v>John Caldwell</v>
      </c>
    </row>
    <row r="2402" spans="1:11" hidden="1" x14ac:dyDescent="0.35">
      <c r="A2402">
        <f t="shared" si="75"/>
        <v>2401</v>
      </c>
      <c r="B2402">
        <v>2015</v>
      </c>
      <c r="C2402" t="s">
        <v>263</v>
      </c>
      <c r="D2402" t="s">
        <v>45</v>
      </c>
      <c r="E2402" t="s">
        <v>1429</v>
      </c>
      <c r="F2402" s="2">
        <v>1345</v>
      </c>
      <c r="G2402" s="2">
        <v>5</v>
      </c>
      <c r="H2402" t="s">
        <v>204</v>
      </c>
      <c r="I2402" t="s">
        <v>205</v>
      </c>
      <c r="J2402" s="11">
        <v>1450.2491083193609</v>
      </c>
      <c r="K2402" t="str">
        <f t="shared" si="74"/>
        <v>Ron Grossberg</v>
      </c>
    </row>
    <row r="2403" spans="1:11" hidden="1" x14ac:dyDescent="0.35">
      <c r="A2403">
        <f t="shared" si="75"/>
        <v>2402</v>
      </c>
      <c r="B2403">
        <v>2015</v>
      </c>
      <c r="C2403" t="s">
        <v>263</v>
      </c>
      <c r="D2403" t="s">
        <v>45</v>
      </c>
      <c r="E2403" t="s">
        <v>1429</v>
      </c>
      <c r="F2403" s="2">
        <v>1005</v>
      </c>
      <c r="G2403" s="2">
        <v>6</v>
      </c>
      <c r="H2403" t="s">
        <v>86</v>
      </c>
      <c r="I2403" t="s">
        <v>510</v>
      </c>
      <c r="J2403" s="11">
        <v>1371.067862271736</v>
      </c>
      <c r="K2403" t="str">
        <f t="shared" si="74"/>
        <v>Sharon Goldman</v>
      </c>
    </row>
    <row r="2404" spans="1:11" hidden="1" x14ac:dyDescent="0.35">
      <c r="A2404">
        <f t="shared" si="75"/>
        <v>2403</v>
      </c>
      <c r="B2404">
        <v>2015</v>
      </c>
      <c r="C2404" t="s">
        <v>263</v>
      </c>
      <c r="D2404" t="s">
        <v>45</v>
      </c>
      <c r="E2404" t="s">
        <v>1429</v>
      </c>
      <c r="F2404" s="2">
        <v>665</v>
      </c>
      <c r="G2404" s="2">
        <v>7</v>
      </c>
      <c r="H2404" t="s">
        <v>351</v>
      </c>
      <c r="I2404" t="s">
        <v>153</v>
      </c>
      <c r="J2404" s="11">
        <v>1304.1210726411227</v>
      </c>
      <c r="K2404" t="str">
        <f t="shared" si="74"/>
        <v>Stephen Lewin-Berlin</v>
      </c>
    </row>
    <row r="2405" spans="1:11" hidden="1" x14ac:dyDescent="0.35">
      <c r="A2405">
        <f t="shared" si="75"/>
        <v>2404</v>
      </c>
      <c r="B2405">
        <v>2015</v>
      </c>
      <c r="C2405" t="s">
        <v>263</v>
      </c>
      <c r="D2405" t="s">
        <v>45</v>
      </c>
      <c r="E2405" t="s">
        <v>1429</v>
      </c>
      <c r="F2405" s="2">
        <v>500</v>
      </c>
      <c r="G2405" s="2">
        <v>8</v>
      </c>
      <c r="H2405" t="s">
        <v>1519</v>
      </c>
      <c r="I2405" t="s">
        <v>153</v>
      </c>
      <c r="J2405" s="11">
        <v>1246.1291256634361</v>
      </c>
      <c r="K2405" t="str">
        <f t="shared" si="74"/>
        <v>Stephen Blackstock</v>
      </c>
    </row>
    <row r="2406" spans="1:11" hidden="1" x14ac:dyDescent="0.35">
      <c r="A2406">
        <f t="shared" si="75"/>
        <v>2405</v>
      </c>
      <c r="B2406">
        <v>2015</v>
      </c>
      <c r="C2406" t="s">
        <v>263</v>
      </c>
      <c r="D2406" t="s">
        <v>45</v>
      </c>
      <c r="E2406" t="s">
        <v>1429</v>
      </c>
      <c r="F2406" s="2">
        <v>330</v>
      </c>
      <c r="G2406" s="2">
        <v>9</v>
      </c>
      <c r="H2406" t="s">
        <v>1111</v>
      </c>
      <c r="I2406" t="s">
        <v>1112</v>
      </c>
      <c r="J2406" s="11">
        <v>1194.9766032160549</v>
      </c>
      <c r="K2406" t="str">
        <f t="shared" si="74"/>
        <v>Oliver Juang</v>
      </c>
    </row>
    <row r="2407" spans="1:11" hidden="1" x14ac:dyDescent="0.35">
      <c r="A2407">
        <f t="shared" si="75"/>
        <v>2406</v>
      </c>
      <c r="B2407">
        <v>2015</v>
      </c>
      <c r="C2407" t="s">
        <v>263</v>
      </c>
      <c r="D2407" t="s">
        <v>45</v>
      </c>
      <c r="E2407" t="s">
        <v>1429</v>
      </c>
      <c r="F2407" s="2">
        <v>330</v>
      </c>
      <c r="G2407" s="2">
        <v>10</v>
      </c>
      <c r="H2407" t="s">
        <v>35</v>
      </c>
      <c r="I2407" t="s">
        <v>36</v>
      </c>
      <c r="J2407" s="11">
        <v>1149.2191126553796</v>
      </c>
      <c r="K2407" t="str">
        <f t="shared" si="74"/>
        <v>Nolan Dalla</v>
      </c>
    </row>
    <row r="2408" spans="1:11" hidden="1" x14ac:dyDescent="0.35">
      <c r="A2408">
        <f t="shared" si="75"/>
        <v>2407</v>
      </c>
      <c r="B2408">
        <v>2015</v>
      </c>
      <c r="C2408" t="s">
        <v>263</v>
      </c>
      <c r="D2408" t="s">
        <v>45</v>
      </c>
      <c r="E2408" t="s">
        <v>1429</v>
      </c>
      <c r="F2408" s="2">
        <v>245</v>
      </c>
      <c r="G2408" s="2">
        <v>11</v>
      </c>
      <c r="H2408" t="s">
        <v>545</v>
      </c>
      <c r="I2408" t="s">
        <v>425</v>
      </c>
      <c r="J2408" s="11">
        <v>1107.8264274971546</v>
      </c>
      <c r="K2408" t="str">
        <f t="shared" si="74"/>
        <v>Tony Goldstein</v>
      </c>
    </row>
    <row r="2409" spans="1:11" hidden="1" x14ac:dyDescent="0.35">
      <c r="A2409">
        <f t="shared" si="75"/>
        <v>2408</v>
      </c>
      <c r="B2409">
        <v>2015</v>
      </c>
      <c r="C2409" t="s">
        <v>263</v>
      </c>
      <c r="D2409" t="s">
        <v>45</v>
      </c>
      <c r="E2409" t="s">
        <v>1429</v>
      </c>
      <c r="F2409" s="2">
        <v>245</v>
      </c>
      <c r="G2409" s="2">
        <v>12</v>
      </c>
      <c r="H2409" t="s">
        <v>16</v>
      </c>
      <c r="I2409" t="s">
        <v>59</v>
      </c>
      <c r="J2409" s="11">
        <v>1070.0378666077547</v>
      </c>
      <c r="K2409" t="str">
        <f t="shared" si="74"/>
        <v>Jeanne David</v>
      </c>
    </row>
    <row r="2410" spans="1:11" hidden="1" x14ac:dyDescent="0.35">
      <c r="A2410">
        <f t="shared" si="75"/>
        <v>2409</v>
      </c>
      <c r="B2410">
        <v>2015</v>
      </c>
      <c r="C2410" t="s">
        <v>263</v>
      </c>
      <c r="D2410" t="s">
        <v>45</v>
      </c>
      <c r="E2410" t="s">
        <v>1429</v>
      </c>
      <c r="F2410" s="2">
        <v>160</v>
      </c>
      <c r="G2410" s="2">
        <v>13</v>
      </c>
      <c r="H2410" t="s">
        <v>398</v>
      </c>
      <c r="I2410" t="s">
        <v>399</v>
      </c>
      <c r="J2410" s="11">
        <v>1035.2757603485429</v>
      </c>
      <c r="K2410" t="str">
        <f t="shared" si="74"/>
        <v>Arthur Goltz</v>
      </c>
    </row>
    <row r="2411" spans="1:11" hidden="1" x14ac:dyDescent="0.35">
      <c r="A2411">
        <f t="shared" si="75"/>
        <v>2410</v>
      </c>
      <c r="B2411">
        <v>2015</v>
      </c>
      <c r="C2411" t="s">
        <v>263</v>
      </c>
      <c r="D2411" t="s">
        <v>45</v>
      </c>
      <c r="E2411" t="s">
        <v>1429</v>
      </c>
      <c r="F2411" s="2">
        <v>160</v>
      </c>
      <c r="G2411" s="2">
        <v>14</v>
      </c>
      <c r="H2411" t="s">
        <v>1520</v>
      </c>
      <c r="I2411" t="s">
        <v>1521</v>
      </c>
      <c r="J2411" s="11">
        <v>1003.0910769771417</v>
      </c>
      <c r="K2411" t="str">
        <f t="shared" si="74"/>
        <v>Wendy Freedman</v>
      </c>
    </row>
    <row r="2412" spans="1:11" hidden="1" x14ac:dyDescent="0.35">
      <c r="A2412">
        <f t="shared" si="75"/>
        <v>2411</v>
      </c>
      <c r="B2412">
        <v>2015</v>
      </c>
      <c r="C2412" t="s">
        <v>263</v>
      </c>
      <c r="D2412" t="s">
        <v>45</v>
      </c>
      <c r="E2412" t="s">
        <v>1429</v>
      </c>
      <c r="F2412" s="2">
        <v>160</v>
      </c>
      <c r="G2412" s="2">
        <v>15</v>
      </c>
      <c r="H2412" t="s">
        <v>72</v>
      </c>
      <c r="I2412" t="s">
        <v>73</v>
      </c>
      <c r="J2412" s="11">
        <v>973.12785359969837</v>
      </c>
      <c r="K2412" t="str">
        <f t="shared" si="74"/>
        <v>Corey Imsdahl</v>
      </c>
    </row>
    <row r="2413" spans="1:11" hidden="1" x14ac:dyDescent="0.35">
      <c r="A2413">
        <f t="shared" si="75"/>
        <v>2412</v>
      </c>
      <c r="B2413">
        <v>2015</v>
      </c>
      <c r="C2413" t="s">
        <v>263</v>
      </c>
      <c r="D2413" t="s">
        <v>45</v>
      </c>
      <c r="E2413" t="s">
        <v>1429</v>
      </c>
      <c r="F2413" s="2">
        <v>160</v>
      </c>
      <c r="G2413" s="2">
        <v>16</v>
      </c>
      <c r="H2413" t="s">
        <v>895</v>
      </c>
      <c r="I2413" t="s">
        <v>38</v>
      </c>
      <c r="J2413" s="11">
        <v>945.09912999945493</v>
      </c>
      <c r="K2413" t="str">
        <f t="shared" si="74"/>
        <v>Doug Maher</v>
      </c>
    </row>
    <row r="2414" spans="1:11" hidden="1" x14ac:dyDescent="0.35">
      <c r="A2414">
        <f t="shared" si="75"/>
        <v>2413</v>
      </c>
      <c r="B2414">
        <v>2015</v>
      </c>
      <c r="C2414" t="s">
        <v>263</v>
      </c>
      <c r="D2414" t="s">
        <v>45</v>
      </c>
      <c r="E2414" t="s">
        <v>1429</v>
      </c>
      <c r="F2414" s="2">
        <v>160</v>
      </c>
      <c r="G2414" s="2">
        <v>17</v>
      </c>
      <c r="H2414" t="s">
        <v>836</v>
      </c>
      <c r="I2414" t="s">
        <v>136</v>
      </c>
      <c r="J2414" s="11">
        <v>918.77019127710582</v>
      </c>
      <c r="K2414" t="str">
        <f t="shared" si="74"/>
        <v>John Grout</v>
      </c>
    </row>
    <row r="2415" spans="1:11" hidden="1" x14ac:dyDescent="0.35">
      <c r="A2415">
        <f t="shared" si="75"/>
        <v>2414</v>
      </c>
      <c r="B2415">
        <v>2015</v>
      </c>
      <c r="C2415" t="s">
        <v>263</v>
      </c>
      <c r="D2415" t="s">
        <v>1443</v>
      </c>
      <c r="E2415" t="s">
        <v>1429</v>
      </c>
      <c r="F2415" s="2">
        <v>925</v>
      </c>
      <c r="G2415" s="2">
        <v>1</v>
      </c>
      <c r="H2415" t="s">
        <v>363</v>
      </c>
      <c r="I2415" t="s">
        <v>364</v>
      </c>
      <c r="J2415" s="11">
        <v>1845.0980400142569</v>
      </c>
      <c r="K2415" t="str">
        <f t="shared" si="74"/>
        <v>Warren Sander</v>
      </c>
    </row>
    <row r="2416" spans="1:11" hidden="1" x14ac:dyDescent="0.35">
      <c r="A2416">
        <f t="shared" si="75"/>
        <v>2415</v>
      </c>
      <c r="B2416">
        <v>2015</v>
      </c>
      <c r="C2416" t="s">
        <v>263</v>
      </c>
      <c r="D2416" t="s">
        <v>1443</v>
      </c>
      <c r="E2416" t="s">
        <v>1429</v>
      </c>
      <c r="F2416" s="2">
        <v>680</v>
      </c>
      <c r="G2416" s="2">
        <v>2</v>
      </c>
      <c r="H2416" t="s">
        <v>277</v>
      </c>
      <c r="I2416" t="s">
        <v>16</v>
      </c>
      <c r="J2416" s="11">
        <v>1544.0680443502756</v>
      </c>
      <c r="K2416" t="str">
        <f t="shared" si="74"/>
        <v>David Lawful</v>
      </c>
    </row>
    <row r="2417" spans="1:11" hidden="1" x14ac:dyDescent="0.35">
      <c r="A2417">
        <f t="shared" si="75"/>
        <v>2416</v>
      </c>
      <c r="B2417">
        <v>2015</v>
      </c>
      <c r="C2417" t="s">
        <v>263</v>
      </c>
      <c r="D2417" t="s">
        <v>1443</v>
      </c>
      <c r="E2417" t="s">
        <v>1429</v>
      </c>
      <c r="F2417" s="2">
        <v>505</v>
      </c>
      <c r="G2417" s="2">
        <v>3</v>
      </c>
      <c r="H2417" t="s">
        <v>50</v>
      </c>
      <c r="I2417" t="s">
        <v>25</v>
      </c>
      <c r="J2417" s="11">
        <v>1367.9767852945945</v>
      </c>
      <c r="K2417" t="str">
        <f t="shared" si="74"/>
        <v>Russell Fox</v>
      </c>
    </row>
    <row r="2418" spans="1:11" hidden="1" x14ac:dyDescent="0.35">
      <c r="A2418">
        <f t="shared" si="75"/>
        <v>2417</v>
      </c>
      <c r="B2418">
        <v>2015</v>
      </c>
      <c r="C2418" t="s">
        <v>263</v>
      </c>
      <c r="D2418" t="s">
        <v>1443</v>
      </c>
      <c r="E2418" t="s">
        <v>1429</v>
      </c>
      <c r="F2418" s="2">
        <v>410</v>
      </c>
      <c r="G2418" s="2">
        <v>4</v>
      </c>
      <c r="H2418" t="s">
        <v>21</v>
      </c>
      <c r="I2418" t="s">
        <v>463</v>
      </c>
      <c r="J2418" s="11">
        <v>1243.0380486862944</v>
      </c>
      <c r="K2418" t="str">
        <f t="shared" si="74"/>
        <v>Richard Bremer</v>
      </c>
    </row>
    <row r="2419" spans="1:11" hidden="1" x14ac:dyDescent="0.35">
      <c r="A2419">
        <f t="shared" si="75"/>
        <v>2418</v>
      </c>
      <c r="B2419">
        <v>2015</v>
      </c>
      <c r="C2419" t="s">
        <v>263</v>
      </c>
      <c r="D2419" t="s">
        <v>1443</v>
      </c>
      <c r="E2419" t="s">
        <v>1429</v>
      </c>
      <c r="F2419" s="2">
        <v>340</v>
      </c>
      <c r="G2419" s="2">
        <v>5</v>
      </c>
      <c r="H2419" t="s">
        <v>1505</v>
      </c>
      <c r="I2419" t="s">
        <v>52</v>
      </c>
      <c r="J2419" s="11">
        <v>1146.1280356782381</v>
      </c>
      <c r="K2419" t="str">
        <f t="shared" si="74"/>
        <v>Steven Markowitz</v>
      </c>
    </row>
    <row r="2420" spans="1:11" hidden="1" x14ac:dyDescent="0.35">
      <c r="A2420">
        <f t="shared" si="75"/>
        <v>2419</v>
      </c>
      <c r="B2420">
        <v>2015</v>
      </c>
      <c r="C2420" t="s">
        <v>263</v>
      </c>
      <c r="D2420" t="s">
        <v>1443</v>
      </c>
      <c r="E2420" t="s">
        <v>1429</v>
      </c>
      <c r="F2420" s="2">
        <v>235</v>
      </c>
      <c r="G2420" s="2">
        <v>6</v>
      </c>
      <c r="H2420" t="s">
        <v>307</v>
      </c>
      <c r="I2420" t="s">
        <v>67</v>
      </c>
      <c r="J2420" s="11">
        <v>1066.9467896306132</v>
      </c>
      <c r="K2420" t="str">
        <f t="shared" si="74"/>
        <v>Bob Ogus</v>
      </c>
    </row>
    <row r="2421" spans="1:11" hidden="1" x14ac:dyDescent="0.35">
      <c r="A2421">
        <f t="shared" si="75"/>
        <v>2420</v>
      </c>
      <c r="B2421">
        <v>2015</v>
      </c>
      <c r="C2421" t="s">
        <v>263</v>
      </c>
      <c r="D2421" t="s">
        <v>1443</v>
      </c>
      <c r="E2421" t="s">
        <v>1429</v>
      </c>
      <c r="F2421" s="2">
        <v>170</v>
      </c>
      <c r="G2421" s="2">
        <v>7</v>
      </c>
      <c r="H2421" t="s">
        <v>19</v>
      </c>
      <c r="I2421" t="s">
        <v>20</v>
      </c>
      <c r="J2421" s="11">
        <v>1000</v>
      </c>
      <c r="K2421" t="str">
        <f t="shared" si="74"/>
        <v>Barry Kornspan</v>
      </c>
    </row>
    <row r="2422" spans="1:11" hidden="1" x14ac:dyDescent="0.35">
      <c r="A2422">
        <f t="shared" si="75"/>
        <v>2421</v>
      </c>
      <c r="B2422">
        <v>2015</v>
      </c>
      <c r="C2422" t="s">
        <v>263</v>
      </c>
      <c r="D2422" t="s">
        <v>1443</v>
      </c>
      <c r="E2422" t="s">
        <v>1429</v>
      </c>
      <c r="F2422" s="2">
        <v>135</v>
      </c>
      <c r="G2422" s="2">
        <v>8</v>
      </c>
      <c r="H2422" t="s">
        <v>251</v>
      </c>
      <c r="I2422" t="s">
        <v>252</v>
      </c>
      <c r="J2422" s="11">
        <v>942.00805302231333</v>
      </c>
      <c r="K2422" t="str">
        <f t="shared" si="74"/>
        <v>Linda Lewis</v>
      </c>
    </row>
    <row r="2423" spans="1:11" hidden="1" x14ac:dyDescent="0.35">
      <c r="A2423">
        <f t="shared" si="75"/>
        <v>2422</v>
      </c>
      <c r="B2423">
        <v>2015</v>
      </c>
      <c r="C2423" t="s">
        <v>263</v>
      </c>
      <c r="D2423" t="s">
        <v>1443</v>
      </c>
      <c r="E2423" t="s">
        <v>1429</v>
      </c>
      <c r="F2423" s="2">
        <v>100</v>
      </c>
      <c r="G2423" s="2">
        <v>9</v>
      </c>
      <c r="H2423" t="s">
        <v>543</v>
      </c>
      <c r="I2423" t="s">
        <v>67</v>
      </c>
      <c r="J2423" s="11">
        <v>890.855530574932</v>
      </c>
      <c r="K2423" t="str">
        <f t="shared" si="74"/>
        <v>Bob Herlien</v>
      </c>
    </row>
    <row r="2424" spans="1:11" hidden="1" x14ac:dyDescent="0.35">
      <c r="A2424">
        <f t="shared" si="75"/>
        <v>2423</v>
      </c>
      <c r="B2424">
        <v>2015</v>
      </c>
      <c r="C2424" t="s">
        <v>263</v>
      </c>
      <c r="D2424" t="s">
        <v>1508</v>
      </c>
      <c r="E2424" t="s">
        <v>1429</v>
      </c>
      <c r="F2424" s="2">
        <v>910</v>
      </c>
      <c r="G2424" s="2">
        <v>1</v>
      </c>
      <c r="H2424" t="s">
        <v>105</v>
      </c>
      <c r="I2424" t="s">
        <v>106</v>
      </c>
      <c r="J2424" s="11">
        <v>1612.7838567197355</v>
      </c>
      <c r="K2424" t="str">
        <f t="shared" si="74"/>
        <v>Kenny Shei</v>
      </c>
    </row>
    <row r="2425" spans="1:11" hidden="1" x14ac:dyDescent="0.35">
      <c r="A2425">
        <f t="shared" si="75"/>
        <v>2424</v>
      </c>
      <c r="B2425">
        <v>2015</v>
      </c>
      <c r="C2425" t="s">
        <v>263</v>
      </c>
      <c r="D2425" t="s">
        <v>1508</v>
      </c>
      <c r="E2425" t="s">
        <v>1429</v>
      </c>
      <c r="F2425" s="2">
        <v>565</v>
      </c>
      <c r="G2425" s="2">
        <v>2</v>
      </c>
      <c r="H2425" t="s">
        <v>226</v>
      </c>
      <c r="I2425" t="s">
        <v>227</v>
      </c>
      <c r="J2425" s="11">
        <v>1311.7538610557542</v>
      </c>
      <c r="K2425" t="str">
        <f t="shared" si="74"/>
        <v>Patti Beadles</v>
      </c>
    </row>
    <row r="2426" spans="1:11" hidden="1" x14ac:dyDescent="0.35">
      <c r="A2426">
        <f t="shared" si="75"/>
        <v>2425</v>
      </c>
      <c r="B2426">
        <v>2015</v>
      </c>
      <c r="C2426" t="s">
        <v>263</v>
      </c>
      <c r="D2426" t="s">
        <v>1508</v>
      </c>
      <c r="E2426" t="s">
        <v>1429</v>
      </c>
      <c r="F2426" s="2">
        <v>390</v>
      </c>
      <c r="G2426" s="2">
        <v>3</v>
      </c>
      <c r="H2426" t="s">
        <v>1311</v>
      </c>
      <c r="I2426" t="s">
        <v>16</v>
      </c>
      <c r="J2426" s="11">
        <v>1135.6626020000731</v>
      </c>
      <c r="K2426" t="str">
        <f t="shared" si="74"/>
        <v>David Croson</v>
      </c>
    </row>
    <row r="2427" spans="1:11" hidden="1" x14ac:dyDescent="0.35">
      <c r="A2427">
        <f t="shared" si="75"/>
        <v>2426</v>
      </c>
      <c r="B2427">
        <v>2015</v>
      </c>
      <c r="C2427" t="s">
        <v>263</v>
      </c>
      <c r="D2427" t="s">
        <v>1508</v>
      </c>
      <c r="E2427" t="s">
        <v>1429</v>
      </c>
      <c r="F2427" s="2">
        <v>305</v>
      </c>
      <c r="G2427" s="2">
        <v>4</v>
      </c>
      <c r="H2427" t="s">
        <v>603</v>
      </c>
      <c r="I2427" t="s">
        <v>604</v>
      </c>
      <c r="J2427" s="11">
        <v>1010.723865391773</v>
      </c>
      <c r="K2427" t="str">
        <f t="shared" si="74"/>
        <v>Jordan Devenport</v>
      </c>
    </row>
    <row r="2428" spans="1:11" hidden="1" x14ac:dyDescent="0.35">
      <c r="A2428">
        <f t="shared" si="75"/>
        <v>2427</v>
      </c>
      <c r="B2428">
        <v>2015</v>
      </c>
      <c r="C2428" t="s">
        <v>263</v>
      </c>
      <c r="D2428" t="s">
        <v>133</v>
      </c>
      <c r="E2428" t="s">
        <v>133</v>
      </c>
      <c r="F2428" s="2">
        <v>1645</v>
      </c>
      <c r="G2428" s="2">
        <v>1</v>
      </c>
      <c r="H2428" t="s">
        <v>273</v>
      </c>
      <c r="I2428" t="s">
        <v>218</v>
      </c>
      <c r="J2428" s="11">
        <v>1929.4189257142925</v>
      </c>
      <c r="K2428" t="str">
        <f t="shared" si="74"/>
        <v>Michael Maurer</v>
      </c>
    </row>
    <row r="2429" spans="1:11" hidden="1" x14ac:dyDescent="0.35">
      <c r="A2429">
        <f t="shared" si="75"/>
        <v>2428</v>
      </c>
      <c r="B2429">
        <v>2015</v>
      </c>
      <c r="C2429" t="s">
        <v>263</v>
      </c>
      <c r="D2429" t="s">
        <v>133</v>
      </c>
      <c r="E2429" t="s">
        <v>133</v>
      </c>
      <c r="F2429" s="2">
        <v>1200</v>
      </c>
      <c r="G2429" s="2">
        <v>2</v>
      </c>
      <c r="H2429" t="s">
        <v>86</v>
      </c>
      <c r="I2429" t="s">
        <v>510</v>
      </c>
      <c r="J2429" s="11">
        <v>1628.3889300503113</v>
      </c>
      <c r="K2429" t="str">
        <f t="shared" si="74"/>
        <v>Sharon Goldman</v>
      </c>
    </row>
    <row r="2430" spans="1:11" hidden="1" x14ac:dyDescent="0.35">
      <c r="A2430">
        <f t="shared" si="75"/>
        <v>2429</v>
      </c>
      <c r="B2430">
        <v>2015</v>
      </c>
      <c r="C2430" t="s">
        <v>263</v>
      </c>
      <c r="D2430" t="s">
        <v>133</v>
      </c>
      <c r="E2430" t="s">
        <v>133</v>
      </c>
      <c r="F2430" s="2">
        <v>945</v>
      </c>
      <c r="G2430" s="2">
        <v>3</v>
      </c>
      <c r="H2430" t="s">
        <v>99</v>
      </c>
      <c r="I2430" t="s">
        <v>101</v>
      </c>
      <c r="J2430" s="11">
        <v>1452.2976709946302</v>
      </c>
      <c r="K2430" t="str">
        <f t="shared" si="74"/>
        <v>Dean Kerl</v>
      </c>
    </row>
    <row r="2431" spans="1:11" hidden="1" x14ac:dyDescent="0.35">
      <c r="A2431">
        <f t="shared" si="75"/>
        <v>2430</v>
      </c>
      <c r="B2431">
        <v>2015</v>
      </c>
      <c r="C2431" t="s">
        <v>263</v>
      </c>
      <c r="D2431" t="s">
        <v>133</v>
      </c>
      <c r="E2431" t="s">
        <v>133</v>
      </c>
      <c r="F2431" s="2">
        <v>755</v>
      </c>
      <c r="G2431" s="2">
        <v>4</v>
      </c>
      <c r="H2431" t="s">
        <v>1504</v>
      </c>
      <c r="I2431" t="s">
        <v>85</v>
      </c>
      <c r="J2431" s="11">
        <v>1327.3589343863302</v>
      </c>
      <c r="K2431" t="str">
        <f t="shared" si="74"/>
        <v>Patrick Milligan</v>
      </c>
    </row>
    <row r="2432" spans="1:11" hidden="1" x14ac:dyDescent="0.35">
      <c r="A2432">
        <f t="shared" si="75"/>
        <v>2431</v>
      </c>
      <c r="B2432">
        <v>2015</v>
      </c>
      <c r="C2432" t="s">
        <v>263</v>
      </c>
      <c r="D2432" t="s">
        <v>133</v>
      </c>
      <c r="E2432" t="s">
        <v>133</v>
      </c>
      <c r="F2432" s="2">
        <v>565</v>
      </c>
      <c r="G2432" s="2">
        <v>5</v>
      </c>
      <c r="H2432" t="s">
        <v>105</v>
      </c>
      <c r="I2432" t="s">
        <v>106</v>
      </c>
      <c r="J2432" s="11">
        <v>1230.4489213782736</v>
      </c>
      <c r="K2432" t="str">
        <f t="shared" si="74"/>
        <v>Kenny Shei</v>
      </c>
    </row>
    <row r="2433" spans="1:11" hidden="1" x14ac:dyDescent="0.35">
      <c r="A2433">
        <f t="shared" si="75"/>
        <v>2432</v>
      </c>
      <c r="B2433">
        <v>2015</v>
      </c>
      <c r="C2433" t="s">
        <v>263</v>
      </c>
      <c r="D2433" t="s">
        <v>133</v>
      </c>
      <c r="E2433" t="s">
        <v>133</v>
      </c>
      <c r="F2433" s="2">
        <v>435</v>
      </c>
      <c r="G2433" s="2">
        <v>6</v>
      </c>
      <c r="H2433" t="s">
        <v>713</v>
      </c>
      <c r="I2433" t="s">
        <v>28</v>
      </c>
      <c r="J2433" s="11">
        <v>1151.2676753306489</v>
      </c>
      <c r="K2433" t="str">
        <f t="shared" si="74"/>
        <v>Chris Jepsen</v>
      </c>
    </row>
    <row r="2434" spans="1:11" hidden="1" x14ac:dyDescent="0.35">
      <c r="A2434">
        <f t="shared" si="75"/>
        <v>2433</v>
      </c>
      <c r="B2434">
        <v>2015</v>
      </c>
      <c r="C2434" t="s">
        <v>263</v>
      </c>
      <c r="D2434" t="s">
        <v>133</v>
      </c>
      <c r="E2434" t="s">
        <v>133</v>
      </c>
      <c r="F2434" s="2">
        <v>310</v>
      </c>
      <c r="G2434" s="2">
        <v>7</v>
      </c>
      <c r="H2434" t="s">
        <v>294</v>
      </c>
      <c r="I2434" t="s">
        <v>16</v>
      </c>
      <c r="J2434" s="11">
        <v>1084.3208857000359</v>
      </c>
      <c r="K2434" t="str">
        <f t="shared" ref="K2434:K2497" si="76">I2434&amp;" "&amp;H2434</f>
        <v>David Low</v>
      </c>
    </row>
    <row r="2435" spans="1:11" hidden="1" x14ac:dyDescent="0.35">
      <c r="A2435">
        <f t="shared" si="75"/>
        <v>2434</v>
      </c>
      <c r="B2435">
        <v>2015</v>
      </c>
      <c r="C2435" t="s">
        <v>263</v>
      </c>
      <c r="D2435" t="s">
        <v>133</v>
      </c>
      <c r="E2435" t="s">
        <v>133</v>
      </c>
      <c r="F2435" s="2">
        <v>180</v>
      </c>
      <c r="G2435" s="2">
        <v>8</v>
      </c>
      <c r="H2435" t="s">
        <v>299</v>
      </c>
      <c r="I2435" t="s">
        <v>300</v>
      </c>
      <c r="J2435" s="11">
        <v>1026.328938722349</v>
      </c>
      <c r="K2435" t="str">
        <f t="shared" si="76"/>
        <v>Gillian Groves</v>
      </c>
    </row>
    <row r="2436" spans="1:11" hidden="1" x14ac:dyDescent="0.35">
      <c r="A2436">
        <f t="shared" ref="A2436:A2499" si="77">A2435+1</f>
        <v>2435</v>
      </c>
      <c r="B2436">
        <v>2015</v>
      </c>
      <c r="C2436" t="s">
        <v>263</v>
      </c>
      <c r="D2436" t="s">
        <v>133</v>
      </c>
      <c r="E2436" t="s">
        <v>133</v>
      </c>
      <c r="F2436" s="2">
        <v>120</v>
      </c>
      <c r="G2436" s="2">
        <v>9</v>
      </c>
      <c r="H2436" t="s">
        <v>1509</v>
      </c>
      <c r="I2436" t="s">
        <v>1510</v>
      </c>
      <c r="J2436" s="11">
        <v>975.17641627496778</v>
      </c>
      <c r="K2436" t="str">
        <f t="shared" si="76"/>
        <v>Nathan Hess</v>
      </c>
    </row>
    <row r="2437" spans="1:11" hidden="1" x14ac:dyDescent="0.35">
      <c r="A2437">
        <f t="shared" si="77"/>
        <v>2436</v>
      </c>
      <c r="B2437">
        <v>2015</v>
      </c>
      <c r="C2437" t="s">
        <v>263</v>
      </c>
      <c r="D2437" t="s">
        <v>133</v>
      </c>
      <c r="E2437" t="s">
        <v>133</v>
      </c>
      <c r="F2437" s="2">
        <v>120</v>
      </c>
      <c r="G2437" s="2">
        <v>10</v>
      </c>
      <c r="H2437" t="s">
        <v>135</v>
      </c>
      <c r="I2437" t="s">
        <v>136</v>
      </c>
      <c r="J2437" s="11">
        <v>929.41892571429264</v>
      </c>
      <c r="K2437" t="str">
        <f t="shared" si="76"/>
        <v>John Scheinberg</v>
      </c>
    </row>
    <row r="2438" spans="1:11" hidden="1" x14ac:dyDescent="0.35">
      <c r="A2438">
        <f t="shared" si="77"/>
        <v>2437</v>
      </c>
      <c r="B2438">
        <v>2015</v>
      </c>
      <c r="C2438" t="s">
        <v>263</v>
      </c>
      <c r="D2438" t="s">
        <v>133</v>
      </c>
      <c r="E2438" t="s">
        <v>133</v>
      </c>
      <c r="F2438" s="2">
        <v>100</v>
      </c>
      <c r="G2438" s="2">
        <v>11</v>
      </c>
      <c r="H2438" t="s">
        <v>265</v>
      </c>
      <c r="I2438" t="s">
        <v>139</v>
      </c>
      <c r="J2438" s="11">
        <v>888.02624055606748</v>
      </c>
      <c r="K2438" t="str">
        <f t="shared" si="76"/>
        <v>Mark Hughes</v>
      </c>
    </row>
    <row r="2439" spans="1:11" hidden="1" x14ac:dyDescent="0.35">
      <c r="A2439">
        <f t="shared" si="77"/>
        <v>2438</v>
      </c>
      <c r="B2439">
        <v>2015</v>
      </c>
      <c r="C2439" t="s">
        <v>263</v>
      </c>
      <c r="D2439" t="s">
        <v>1511</v>
      </c>
      <c r="E2439" t="s">
        <v>133</v>
      </c>
      <c r="F2439" s="2">
        <v>490</v>
      </c>
      <c r="G2439" s="2">
        <v>1</v>
      </c>
      <c r="H2439" t="s">
        <v>1459</v>
      </c>
      <c r="I2439" t="s">
        <v>516</v>
      </c>
      <c r="J2439" s="11">
        <v>1397.9400086720377</v>
      </c>
      <c r="K2439" t="str">
        <f t="shared" si="76"/>
        <v>Erin Ramsay</v>
      </c>
    </row>
    <row r="2440" spans="1:11" hidden="1" x14ac:dyDescent="0.35">
      <c r="A2440">
        <f t="shared" si="77"/>
        <v>2439</v>
      </c>
      <c r="B2440">
        <v>2015</v>
      </c>
      <c r="C2440" t="s">
        <v>263</v>
      </c>
      <c r="D2440" t="s">
        <v>1511</v>
      </c>
      <c r="E2440" t="s">
        <v>133</v>
      </c>
      <c r="F2440" s="2">
        <v>330</v>
      </c>
      <c r="G2440" s="2">
        <v>2</v>
      </c>
      <c r="H2440" t="s">
        <v>603</v>
      </c>
      <c r="I2440" t="s">
        <v>604</v>
      </c>
      <c r="J2440" s="11">
        <v>1096.9100130080565</v>
      </c>
      <c r="K2440" t="str">
        <f t="shared" si="76"/>
        <v>Jordan Devenport</v>
      </c>
    </row>
    <row r="2441" spans="1:11" hidden="1" x14ac:dyDescent="0.35">
      <c r="A2441">
        <f t="shared" si="77"/>
        <v>2440</v>
      </c>
      <c r="B2441">
        <v>2015</v>
      </c>
      <c r="C2441" t="s">
        <v>263</v>
      </c>
      <c r="D2441" t="s">
        <v>1511</v>
      </c>
      <c r="E2441" t="s">
        <v>133</v>
      </c>
      <c r="F2441" s="2">
        <v>235</v>
      </c>
      <c r="G2441" s="2">
        <v>3</v>
      </c>
      <c r="H2441" t="s">
        <v>86</v>
      </c>
      <c r="I2441" t="s">
        <v>271</v>
      </c>
      <c r="J2441" s="11">
        <v>920.81875395237535</v>
      </c>
      <c r="K2441" t="str">
        <f t="shared" si="76"/>
        <v>Dan Goldman</v>
      </c>
    </row>
    <row r="2442" spans="1:11" hidden="1" x14ac:dyDescent="0.35">
      <c r="A2442">
        <f t="shared" si="77"/>
        <v>2441</v>
      </c>
      <c r="B2442">
        <v>2015</v>
      </c>
      <c r="C2442" t="s">
        <v>263</v>
      </c>
      <c r="D2442" t="s">
        <v>1511</v>
      </c>
      <c r="E2442" t="s">
        <v>133</v>
      </c>
      <c r="F2442" s="2">
        <v>180</v>
      </c>
      <c r="G2442" s="2">
        <v>4</v>
      </c>
      <c r="H2442" t="s">
        <v>148</v>
      </c>
      <c r="I2442" t="s">
        <v>149</v>
      </c>
      <c r="J2442" s="11">
        <v>795.88001734407533</v>
      </c>
      <c r="K2442" t="str">
        <f t="shared" si="76"/>
        <v>Alex Ziselman</v>
      </c>
    </row>
    <row r="2443" spans="1:11" hidden="1" x14ac:dyDescent="0.35">
      <c r="A2443">
        <f t="shared" si="77"/>
        <v>2442</v>
      </c>
      <c r="B2443">
        <v>2015</v>
      </c>
      <c r="C2443" t="s">
        <v>263</v>
      </c>
      <c r="D2443" t="s">
        <v>1511</v>
      </c>
      <c r="E2443" t="s">
        <v>133</v>
      </c>
      <c r="F2443" s="2">
        <v>140</v>
      </c>
      <c r="G2443" s="2">
        <v>5</v>
      </c>
      <c r="H2443" t="s">
        <v>536</v>
      </c>
      <c r="I2443" t="s">
        <v>52</v>
      </c>
      <c r="J2443" s="11">
        <v>698.97000433601886</v>
      </c>
      <c r="K2443" t="str">
        <f t="shared" si="76"/>
        <v>Steven McLaughlin</v>
      </c>
    </row>
    <row r="2444" spans="1:11" hidden="1" x14ac:dyDescent="0.35">
      <c r="A2444">
        <f t="shared" si="77"/>
        <v>2443</v>
      </c>
      <c r="B2444">
        <v>2015</v>
      </c>
      <c r="C2444" t="s">
        <v>263</v>
      </c>
      <c r="D2444" t="s">
        <v>110</v>
      </c>
      <c r="E2444" t="s">
        <v>1430</v>
      </c>
      <c r="F2444" s="2">
        <v>2860</v>
      </c>
      <c r="G2444" s="2">
        <v>1</v>
      </c>
      <c r="H2444" t="s">
        <v>603</v>
      </c>
      <c r="I2444" t="s">
        <v>604</v>
      </c>
      <c r="J2444" s="11">
        <v>2060.6978403536118</v>
      </c>
      <c r="K2444" t="str">
        <f t="shared" si="76"/>
        <v>Jordan Devenport</v>
      </c>
    </row>
    <row r="2445" spans="1:11" hidden="1" x14ac:dyDescent="0.35">
      <c r="A2445">
        <f t="shared" si="77"/>
        <v>2444</v>
      </c>
      <c r="B2445">
        <v>2015</v>
      </c>
      <c r="C2445" t="s">
        <v>263</v>
      </c>
      <c r="D2445" t="s">
        <v>110</v>
      </c>
      <c r="E2445" t="s">
        <v>1430</v>
      </c>
      <c r="F2445" s="2">
        <v>2175</v>
      </c>
      <c r="G2445" s="2">
        <v>2</v>
      </c>
      <c r="H2445" t="s">
        <v>1512</v>
      </c>
      <c r="I2445" t="s">
        <v>44</v>
      </c>
      <c r="J2445" s="11">
        <v>1759.6678446896306</v>
      </c>
      <c r="K2445" t="str">
        <f t="shared" si="76"/>
        <v>Mike Connors</v>
      </c>
    </row>
    <row r="2446" spans="1:11" hidden="1" x14ac:dyDescent="0.35">
      <c r="A2446">
        <f t="shared" si="77"/>
        <v>2445</v>
      </c>
      <c r="B2446">
        <v>2015</v>
      </c>
      <c r="C2446" t="s">
        <v>263</v>
      </c>
      <c r="D2446" t="s">
        <v>110</v>
      </c>
      <c r="E2446" t="s">
        <v>1430</v>
      </c>
      <c r="F2446" s="2">
        <v>1600</v>
      </c>
      <c r="G2446" s="2">
        <v>3</v>
      </c>
      <c r="H2446" t="s">
        <v>1513</v>
      </c>
      <c r="I2446" t="s">
        <v>1514</v>
      </c>
      <c r="J2446" s="11">
        <v>1583.5765856339494</v>
      </c>
      <c r="K2446" t="str">
        <f t="shared" si="76"/>
        <v>Melissa Hayden</v>
      </c>
    </row>
    <row r="2447" spans="1:11" hidden="1" x14ac:dyDescent="0.35">
      <c r="A2447">
        <f t="shared" si="77"/>
        <v>2446</v>
      </c>
      <c r="B2447">
        <v>2015</v>
      </c>
      <c r="C2447" t="s">
        <v>263</v>
      </c>
      <c r="D2447" t="s">
        <v>110</v>
      </c>
      <c r="E2447" t="s">
        <v>1430</v>
      </c>
      <c r="F2447" s="2">
        <v>1255</v>
      </c>
      <c r="G2447" s="2">
        <v>4</v>
      </c>
      <c r="H2447" t="s">
        <v>214</v>
      </c>
      <c r="I2447" t="s">
        <v>215</v>
      </c>
      <c r="J2447" s="11">
        <v>1458.6378490256493</v>
      </c>
      <c r="K2447" t="str">
        <f t="shared" si="76"/>
        <v>Derek Gomez</v>
      </c>
    </row>
    <row r="2448" spans="1:11" hidden="1" x14ac:dyDescent="0.35">
      <c r="A2448">
        <f t="shared" si="77"/>
        <v>2447</v>
      </c>
      <c r="B2448">
        <v>2015</v>
      </c>
      <c r="C2448" t="s">
        <v>263</v>
      </c>
      <c r="D2448" t="s">
        <v>110</v>
      </c>
      <c r="E2448" t="s">
        <v>1430</v>
      </c>
      <c r="F2448" s="2">
        <v>1025</v>
      </c>
      <c r="G2448" s="2">
        <v>5</v>
      </c>
      <c r="H2448" t="s">
        <v>266</v>
      </c>
      <c r="I2448" t="s">
        <v>28</v>
      </c>
      <c r="J2448" s="11">
        <v>1361.7278360175931</v>
      </c>
      <c r="K2448" t="str">
        <f t="shared" si="76"/>
        <v>Chris Mecklin</v>
      </c>
    </row>
    <row r="2449" spans="1:11" hidden="1" x14ac:dyDescent="0.35">
      <c r="A2449">
        <f t="shared" si="77"/>
        <v>2448</v>
      </c>
      <c r="B2449">
        <v>2015</v>
      </c>
      <c r="C2449" t="s">
        <v>263</v>
      </c>
      <c r="D2449" t="s">
        <v>110</v>
      </c>
      <c r="E2449" t="s">
        <v>1430</v>
      </c>
      <c r="F2449" s="2">
        <v>785</v>
      </c>
      <c r="G2449" s="2">
        <v>6</v>
      </c>
      <c r="H2449" t="s">
        <v>405</v>
      </c>
      <c r="I2449" t="s">
        <v>404</v>
      </c>
      <c r="J2449" s="11">
        <v>1282.5465899699682</v>
      </c>
      <c r="K2449" t="str">
        <f t="shared" si="76"/>
        <v>George Wattman</v>
      </c>
    </row>
    <row r="2450" spans="1:11" hidden="1" x14ac:dyDescent="0.35">
      <c r="A2450">
        <f t="shared" si="77"/>
        <v>2449</v>
      </c>
      <c r="B2450">
        <v>2015</v>
      </c>
      <c r="C2450" t="s">
        <v>263</v>
      </c>
      <c r="D2450" t="s">
        <v>110</v>
      </c>
      <c r="E2450" t="s">
        <v>1430</v>
      </c>
      <c r="F2450" s="2">
        <v>565</v>
      </c>
      <c r="G2450" s="2">
        <v>7</v>
      </c>
      <c r="H2450" t="s">
        <v>1311</v>
      </c>
      <c r="I2450" t="s">
        <v>16</v>
      </c>
      <c r="J2450" s="11">
        <v>1215.5998003393549</v>
      </c>
      <c r="K2450" t="str">
        <f t="shared" si="76"/>
        <v>David Croson</v>
      </c>
    </row>
    <row r="2451" spans="1:11" hidden="1" x14ac:dyDescent="0.35">
      <c r="A2451">
        <f t="shared" si="77"/>
        <v>2450</v>
      </c>
      <c r="B2451">
        <v>2015</v>
      </c>
      <c r="C2451" t="s">
        <v>263</v>
      </c>
      <c r="D2451" t="s">
        <v>110</v>
      </c>
      <c r="E2451" t="s">
        <v>1430</v>
      </c>
      <c r="F2451" s="2">
        <v>335</v>
      </c>
      <c r="G2451" s="2">
        <v>8</v>
      </c>
      <c r="H2451" t="s">
        <v>531</v>
      </c>
      <c r="I2451" t="s">
        <v>271</v>
      </c>
      <c r="J2451" s="11">
        <v>1157.6078533616683</v>
      </c>
      <c r="K2451" t="str">
        <f t="shared" si="76"/>
        <v>Dan Nussbaum</v>
      </c>
    </row>
    <row r="2452" spans="1:11" hidden="1" x14ac:dyDescent="0.35">
      <c r="A2452">
        <f t="shared" si="77"/>
        <v>2451</v>
      </c>
      <c r="B2452">
        <v>2015</v>
      </c>
      <c r="C2452" t="s">
        <v>263</v>
      </c>
      <c r="D2452" t="s">
        <v>110</v>
      </c>
      <c r="E2452" t="s">
        <v>1430</v>
      </c>
      <c r="F2452" s="2">
        <v>220</v>
      </c>
      <c r="G2452" s="2">
        <v>9</v>
      </c>
      <c r="H2452" t="s">
        <v>1719</v>
      </c>
      <c r="I2452" t="s">
        <v>524</v>
      </c>
      <c r="J2452" s="11">
        <v>1106.4553309142871</v>
      </c>
      <c r="K2452" t="str">
        <f t="shared" si="76"/>
        <v>Guy Berentsen</v>
      </c>
    </row>
    <row r="2453" spans="1:11" hidden="1" x14ac:dyDescent="0.35">
      <c r="A2453">
        <f t="shared" si="77"/>
        <v>2452</v>
      </c>
      <c r="B2453">
        <v>2015</v>
      </c>
      <c r="C2453" t="s">
        <v>263</v>
      </c>
      <c r="D2453" t="s">
        <v>110</v>
      </c>
      <c r="E2453" t="s">
        <v>1430</v>
      </c>
      <c r="F2453" s="2">
        <v>220</v>
      </c>
      <c r="G2453" s="2">
        <v>10</v>
      </c>
      <c r="H2453" t="s">
        <v>231</v>
      </c>
      <c r="I2453" t="s">
        <v>232</v>
      </c>
      <c r="J2453" s="11">
        <v>1060.6978403536118</v>
      </c>
      <c r="K2453" t="str">
        <f t="shared" si="76"/>
        <v>Adam Bachrach</v>
      </c>
    </row>
    <row r="2454" spans="1:11" hidden="1" x14ac:dyDescent="0.35">
      <c r="A2454">
        <f t="shared" si="77"/>
        <v>2453</v>
      </c>
      <c r="B2454">
        <v>2015</v>
      </c>
      <c r="C2454" t="s">
        <v>263</v>
      </c>
      <c r="D2454" t="s">
        <v>110</v>
      </c>
      <c r="E2454" t="s">
        <v>1430</v>
      </c>
      <c r="F2454" s="2">
        <v>165</v>
      </c>
      <c r="G2454" s="2">
        <v>11</v>
      </c>
      <c r="H2454" t="s">
        <v>118</v>
      </c>
      <c r="I2454" t="s">
        <v>415</v>
      </c>
      <c r="J2454" s="11">
        <v>1019.3051551953866</v>
      </c>
      <c r="K2454" t="str">
        <f t="shared" si="76"/>
        <v>Pete Segal</v>
      </c>
    </row>
    <row r="2455" spans="1:11" hidden="1" x14ac:dyDescent="0.35">
      <c r="A2455">
        <f t="shared" si="77"/>
        <v>2454</v>
      </c>
      <c r="B2455">
        <v>2015</v>
      </c>
      <c r="C2455" t="s">
        <v>263</v>
      </c>
      <c r="D2455" t="s">
        <v>110</v>
      </c>
      <c r="E2455" t="s">
        <v>1430</v>
      </c>
      <c r="F2455" s="2">
        <v>165</v>
      </c>
      <c r="G2455" s="2">
        <v>12</v>
      </c>
      <c r="H2455" t="s">
        <v>204</v>
      </c>
      <c r="I2455" t="s">
        <v>205</v>
      </c>
      <c r="J2455" s="11">
        <v>981.51659430598693</v>
      </c>
      <c r="K2455" t="str">
        <f t="shared" si="76"/>
        <v>Ron Grossberg</v>
      </c>
    </row>
    <row r="2456" spans="1:11" hidden="1" x14ac:dyDescent="0.35">
      <c r="A2456">
        <f t="shared" si="77"/>
        <v>2455</v>
      </c>
      <c r="B2456">
        <v>2015</v>
      </c>
      <c r="C2456" t="s">
        <v>263</v>
      </c>
      <c r="D2456" t="s">
        <v>110</v>
      </c>
      <c r="E2456" t="s">
        <v>1430</v>
      </c>
      <c r="F2456" s="2">
        <v>120</v>
      </c>
      <c r="G2456" s="2">
        <v>13</v>
      </c>
      <c r="H2456" t="s">
        <v>1515</v>
      </c>
      <c r="I2456" t="s">
        <v>815</v>
      </c>
      <c r="J2456" s="11">
        <v>946.75448804677512</v>
      </c>
      <c r="K2456" t="str">
        <f t="shared" si="76"/>
        <v>Sean Morrow</v>
      </c>
    </row>
    <row r="2457" spans="1:11" hidden="1" x14ac:dyDescent="0.35">
      <c r="A2457">
        <f t="shared" si="77"/>
        <v>2456</v>
      </c>
      <c r="B2457">
        <v>2015</v>
      </c>
      <c r="C2457" t="s">
        <v>68</v>
      </c>
      <c r="D2457" t="s">
        <v>91</v>
      </c>
      <c r="E2457" t="s">
        <v>1432</v>
      </c>
      <c r="F2457" s="2">
        <v>965</v>
      </c>
      <c r="G2457" s="2">
        <v>1</v>
      </c>
      <c r="H2457" t="s">
        <v>35</v>
      </c>
      <c r="I2457" t="s">
        <v>36</v>
      </c>
      <c r="J2457" s="11">
        <v>1724.2758696007888</v>
      </c>
      <c r="K2457" t="str">
        <f t="shared" si="76"/>
        <v>Nolan Dalla</v>
      </c>
    </row>
    <row r="2458" spans="1:11" hidden="1" x14ac:dyDescent="0.35">
      <c r="A2458">
        <f t="shared" si="77"/>
        <v>2457</v>
      </c>
      <c r="B2458">
        <v>2015</v>
      </c>
      <c r="C2458" t="s">
        <v>68</v>
      </c>
      <c r="D2458" t="s">
        <v>91</v>
      </c>
      <c r="E2458" t="s">
        <v>1432</v>
      </c>
      <c r="F2458" s="2">
        <v>740</v>
      </c>
      <c r="G2458" s="2">
        <v>2</v>
      </c>
      <c r="H2458" t="s">
        <v>92</v>
      </c>
      <c r="I2458" t="s">
        <v>93</v>
      </c>
      <c r="J2458" s="11">
        <v>1423.2458739368076</v>
      </c>
      <c r="K2458" t="str">
        <f t="shared" si="76"/>
        <v>Kirk Oshiro</v>
      </c>
    </row>
    <row r="2459" spans="1:11" hidden="1" x14ac:dyDescent="0.35">
      <c r="A2459">
        <f t="shared" si="77"/>
        <v>2458</v>
      </c>
      <c r="B2459">
        <v>2015</v>
      </c>
      <c r="C2459" t="s">
        <v>68</v>
      </c>
      <c r="D2459" t="s">
        <v>91</v>
      </c>
      <c r="E2459" t="s">
        <v>1432</v>
      </c>
      <c r="F2459" s="2">
        <v>550</v>
      </c>
      <c r="G2459" s="2">
        <v>3</v>
      </c>
      <c r="H2459" t="s">
        <v>83</v>
      </c>
      <c r="I2459" t="s">
        <v>36</v>
      </c>
      <c r="J2459" s="11">
        <v>1247.1546148811265</v>
      </c>
      <c r="K2459" t="str">
        <f t="shared" si="76"/>
        <v>Nolan Hee</v>
      </c>
    </row>
    <row r="2460" spans="1:11" hidden="1" x14ac:dyDescent="0.35">
      <c r="A2460">
        <f t="shared" si="77"/>
        <v>2459</v>
      </c>
      <c r="B2460">
        <v>2015</v>
      </c>
      <c r="C2460" t="s">
        <v>68</v>
      </c>
      <c r="D2460" t="s">
        <v>91</v>
      </c>
      <c r="E2460" t="s">
        <v>1432</v>
      </c>
      <c r="F2460" s="2">
        <v>420</v>
      </c>
      <c r="G2460" s="2">
        <v>4</v>
      </c>
      <c r="H2460" t="s">
        <v>70</v>
      </c>
      <c r="I2460" t="s">
        <v>71</v>
      </c>
      <c r="J2460" s="11">
        <v>1122.2158782728266</v>
      </c>
      <c r="K2460" t="str">
        <f t="shared" si="76"/>
        <v>Scott Byron</v>
      </c>
    </row>
    <row r="2461" spans="1:11" hidden="1" x14ac:dyDescent="0.35">
      <c r="A2461">
        <f t="shared" si="77"/>
        <v>2460</v>
      </c>
      <c r="B2461">
        <v>2015</v>
      </c>
      <c r="C2461" t="s">
        <v>68</v>
      </c>
      <c r="D2461" t="s">
        <v>91</v>
      </c>
      <c r="E2461" t="s">
        <v>1432</v>
      </c>
      <c r="F2461" s="2">
        <v>325</v>
      </c>
      <c r="G2461" s="2">
        <v>5</v>
      </c>
      <c r="H2461" t="s">
        <v>94</v>
      </c>
      <c r="I2461" t="s">
        <v>16</v>
      </c>
      <c r="J2461" s="11">
        <v>1025.3058652647699</v>
      </c>
      <c r="K2461" t="str">
        <f t="shared" si="76"/>
        <v>David Heller</v>
      </c>
    </row>
    <row r="2462" spans="1:11" hidden="1" x14ac:dyDescent="0.35">
      <c r="A2462">
        <f t="shared" si="77"/>
        <v>2461</v>
      </c>
      <c r="B2462">
        <v>2015</v>
      </c>
      <c r="C2462" t="s">
        <v>68</v>
      </c>
      <c r="D2462" t="s">
        <v>91</v>
      </c>
      <c r="E2462" t="s">
        <v>1432</v>
      </c>
      <c r="F2462" s="2">
        <v>225</v>
      </c>
      <c r="G2462" s="2">
        <v>6</v>
      </c>
      <c r="H2462" t="s">
        <v>95</v>
      </c>
      <c r="I2462" t="s">
        <v>71</v>
      </c>
      <c r="J2462" s="11">
        <v>946.12461921714532</v>
      </c>
      <c r="K2462" t="str">
        <f t="shared" si="76"/>
        <v>Scott Samarel</v>
      </c>
    </row>
    <row r="2463" spans="1:11" hidden="1" x14ac:dyDescent="0.35">
      <c r="A2463">
        <f t="shared" si="77"/>
        <v>2462</v>
      </c>
      <c r="B2463">
        <v>2015</v>
      </c>
      <c r="C2463" t="s">
        <v>68</v>
      </c>
      <c r="D2463" t="s">
        <v>84</v>
      </c>
      <c r="E2463" t="s">
        <v>84</v>
      </c>
      <c r="F2463" s="2">
        <v>835</v>
      </c>
      <c r="G2463" s="2">
        <v>1</v>
      </c>
      <c r="H2463" t="s">
        <v>21</v>
      </c>
      <c r="I2463" t="s">
        <v>463</v>
      </c>
      <c r="J2463" s="11">
        <v>1707.5701760979362</v>
      </c>
      <c r="K2463" t="str">
        <f t="shared" si="76"/>
        <v>Richard Bremer</v>
      </c>
    </row>
    <row r="2464" spans="1:11" hidden="1" x14ac:dyDescent="0.35">
      <c r="A2464">
        <f t="shared" si="77"/>
        <v>2463</v>
      </c>
      <c r="B2464">
        <v>2015</v>
      </c>
      <c r="C2464" t="s">
        <v>68</v>
      </c>
      <c r="D2464" t="s">
        <v>84</v>
      </c>
      <c r="E2464" t="s">
        <v>84</v>
      </c>
      <c r="F2464" s="2">
        <v>630</v>
      </c>
      <c r="G2464" s="2">
        <v>2</v>
      </c>
      <c r="H2464" t="s">
        <v>1504</v>
      </c>
      <c r="I2464" t="s">
        <v>85</v>
      </c>
      <c r="J2464" s="11">
        <v>1406.5401804339549</v>
      </c>
      <c r="K2464" t="str">
        <f t="shared" si="76"/>
        <v>Patrick Milligan</v>
      </c>
    </row>
    <row r="2465" spans="1:11" hidden="1" x14ac:dyDescent="0.35">
      <c r="A2465">
        <f t="shared" si="77"/>
        <v>2464</v>
      </c>
      <c r="B2465">
        <v>2015</v>
      </c>
      <c r="C2465" t="s">
        <v>68</v>
      </c>
      <c r="D2465" t="s">
        <v>84</v>
      </c>
      <c r="E2465" t="s">
        <v>84</v>
      </c>
      <c r="F2465" s="2">
        <v>475</v>
      </c>
      <c r="G2465" s="2">
        <v>3</v>
      </c>
      <c r="H2465" t="s">
        <v>86</v>
      </c>
      <c r="I2465" t="s">
        <v>87</v>
      </c>
      <c r="J2465" s="11">
        <v>1230.4489213782738</v>
      </c>
      <c r="K2465" t="str">
        <f t="shared" si="76"/>
        <v>Stevan Goldman</v>
      </c>
    </row>
    <row r="2466" spans="1:11" hidden="1" x14ac:dyDescent="0.35">
      <c r="A2466">
        <f t="shared" si="77"/>
        <v>2465</v>
      </c>
      <c r="B2466">
        <v>2015</v>
      </c>
      <c r="C2466" t="s">
        <v>68</v>
      </c>
      <c r="D2466" t="s">
        <v>84</v>
      </c>
      <c r="E2466" t="s">
        <v>84</v>
      </c>
      <c r="F2466" s="2">
        <v>385</v>
      </c>
      <c r="G2466" s="2">
        <v>4</v>
      </c>
      <c r="H2466" t="s">
        <v>83</v>
      </c>
      <c r="I2466" t="s">
        <v>36</v>
      </c>
      <c r="J2466" s="11">
        <v>1105.5101847699736</v>
      </c>
      <c r="K2466" t="str">
        <f t="shared" si="76"/>
        <v>Nolan Hee</v>
      </c>
    </row>
    <row r="2467" spans="1:11" hidden="1" x14ac:dyDescent="0.35">
      <c r="A2467">
        <f t="shared" si="77"/>
        <v>2466</v>
      </c>
      <c r="B2467">
        <v>2015</v>
      </c>
      <c r="C2467" t="s">
        <v>68</v>
      </c>
      <c r="D2467" t="s">
        <v>84</v>
      </c>
      <c r="E2467" t="s">
        <v>84</v>
      </c>
      <c r="F2467" s="2">
        <v>290</v>
      </c>
      <c r="G2467" s="2">
        <v>5</v>
      </c>
      <c r="H2467" t="s">
        <v>88</v>
      </c>
      <c r="I2467" t="s">
        <v>89</v>
      </c>
      <c r="J2467" s="11">
        <v>1008.6001717619175</v>
      </c>
      <c r="K2467" t="str">
        <f t="shared" si="76"/>
        <v>Ken Kubey</v>
      </c>
    </row>
    <row r="2468" spans="1:11" hidden="1" x14ac:dyDescent="0.35">
      <c r="A2468">
        <f t="shared" si="77"/>
        <v>2467</v>
      </c>
      <c r="B2468">
        <v>2015</v>
      </c>
      <c r="C2468" t="s">
        <v>68</v>
      </c>
      <c r="D2468" t="s">
        <v>84</v>
      </c>
      <c r="E2468" t="s">
        <v>84</v>
      </c>
      <c r="F2468" s="2">
        <v>170</v>
      </c>
      <c r="G2468" s="2">
        <v>6</v>
      </c>
      <c r="H2468" t="s">
        <v>78</v>
      </c>
      <c r="I2468" t="s">
        <v>79</v>
      </c>
      <c r="J2468" s="11">
        <v>929.41892571429264</v>
      </c>
      <c r="K2468" t="str">
        <f t="shared" si="76"/>
        <v>Kevin Knourek</v>
      </c>
    </row>
    <row r="2469" spans="1:11" hidden="1" x14ac:dyDescent="0.35">
      <c r="A2469">
        <f t="shared" si="77"/>
        <v>2468</v>
      </c>
      <c r="B2469">
        <v>2015</v>
      </c>
      <c r="C2469" t="s">
        <v>68</v>
      </c>
      <c r="D2469" t="s">
        <v>84</v>
      </c>
      <c r="E2469" t="s">
        <v>84</v>
      </c>
      <c r="F2469" s="2">
        <v>170</v>
      </c>
      <c r="G2469" s="2">
        <v>7</v>
      </c>
      <c r="H2469" t="s">
        <v>90</v>
      </c>
      <c r="I2469" t="s">
        <v>22</v>
      </c>
      <c r="J2469" s="11">
        <v>862.4721360836794</v>
      </c>
      <c r="K2469" t="str">
        <f t="shared" si="76"/>
        <v>Rich Strauss</v>
      </c>
    </row>
    <row r="2470" spans="1:11" hidden="1" x14ac:dyDescent="0.35">
      <c r="A2470">
        <f t="shared" si="77"/>
        <v>2469</v>
      </c>
      <c r="B2470">
        <v>2015</v>
      </c>
      <c r="C2470" t="s">
        <v>68</v>
      </c>
      <c r="D2470" t="s">
        <v>84</v>
      </c>
      <c r="E2470" t="s">
        <v>84</v>
      </c>
      <c r="F2470" s="2">
        <v>105</v>
      </c>
      <c r="G2470" s="2">
        <v>8</v>
      </c>
      <c r="H2470" t="s">
        <v>72</v>
      </c>
      <c r="I2470" t="s">
        <v>73</v>
      </c>
      <c r="J2470" s="11">
        <v>804.48018910599274</v>
      </c>
      <c r="K2470" t="str">
        <f t="shared" si="76"/>
        <v>Corey Imsdahl</v>
      </c>
    </row>
    <row r="2471" spans="1:11" hidden="1" x14ac:dyDescent="0.35">
      <c r="A2471">
        <f t="shared" si="77"/>
        <v>2470</v>
      </c>
      <c r="B2471">
        <v>2015</v>
      </c>
      <c r="C2471" t="s">
        <v>68</v>
      </c>
      <c r="D2471" t="s">
        <v>102</v>
      </c>
      <c r="E2471" t="s">
        <v>1051</v>
      </c>
      <c r="F2471" s="2">
        <v>580</v>
      </c>
      <c r="G2471" s="2">
        <v>1</v>
      </c>
      <c r="H2471" t="s">
        <v>70</v>
      </c>
      <c r="I2471" t="s">
        <v>71</v>
      </c>
      <c r="J2471" s="11">
        <v>1380.2112417116059</v>
      </c>
      <c r="K2471" t="str">
        <f t="shared" si="76"/>
        <v>Scott Byron</v>
      </c>
    </row>
    <row r="2472" spans="1:11" hidden="1" x14ac:dyDescent="0.35">
      <c r="A2472">
        <f t="shared" si="77"/>
        <v>2471</v>
      </c>
      <c r="B2472">
        <v>2015</v>
      </c>
      <c r="C2472" t="s">
        <v>68</v>
      </c>
      <c r="D2472" t="s">
        <v>102</v>
      </c>
      <c r="E2472" t="s">
        <v>1051</v>
      </c>
      <c r="F2472" s="2">
        <v>350</v>
      </c>
      <c r="G2472" s="2">
        <v>2</v>
      </c>
      <c r="H2472" t="s">
        <v>78</v>
      </c>
      <c r="I2472" t="s">
        <v>79</v>
      </c>
      <c r="J2472" s="11">
        <v>1079.1812460476247</v>
      </c>
      <c r="K2472" t="str">
        <f t="shared" si="76"/>
        <v>Kevin Knourek</v>
      </c>
    </row>
    <row r="2473" spans="1:11" hidden="1" x14ac:dyDescent="0.35">
      <c r="A2473">
        <f t="shared" si="77"/>
        <v>2472</v>
      </c>
      <c r="B2473">
        <v>2015</v>
      </c>
      <c r="C2473" t="s">
        <v>68</v>
      </c>
      <c r="D2473" t="s">
        <v>102</v>
      </c>
      <c r="E2473" t="s">
        <v>1051</v>
      </c>
      <c r="F2473" s="2">
        <v>235</v>
      </c>
      <c r="G2473" s="2">
        <v>3</v>
      </c>
      <c r="H2473" t="s">
        <v>103</v>
      </c>
      <c r="I2473" t="s">
        <v>104</v>
      </c>
      <c r="J2473" s="11">
        <v>903.08998699194353</v>
      </c>
      <c r="K2473" t="str">
        <f t="shared" si="76"/>
        <v>Masanobu Fujioka</v>
      </c>
    </row>
    <row r="2474" spans="1:11" hidden="1" x14ac:dyDescent="0.35">
      <c r="A2474">
        <f t="shared" si="77"/>
        <v>2473</v>
      </c>
      <c r="B2474">
        <v>2015</v>
      </c>
      <c r="C2474" t="s">
        <v>68</v>
      </c>
      <c r="D2474" t="s">
        <v>102</v>
      </c>
      <c r="E2474" t="s">
        <v>1051</v>
      </c>
      <c r="F2474" s="2">
        <v>175</v>
      </c>
      <c r="G2474" s="2">
        <v>4</v>
      </c>
      <c r="H2474" t="s">
        <v>105</v>
      </c>
      <c r="I2474" t="s">
        <v>106</v>
      </c>
      <c r="J2474" s="11">
        <v>778.15125038364351</v>
      </c>
      <c r="K2474" t="str">
        <f t="shared" si="76"/>
        <v>Kenny Shei</v>
      </c>
    </row>
    <row r="2475" spans="1:11" hidden="1" x14ac:dyDescent="0.35">
      <c r="A2475">
        <f t="shared" si="77"/>
        <v>2474</v>
      </c>
      <c r="B2475">
        <v>2015</v>
      </c>
      <c r="C2475" t="s">
        <v>68</v>
      </c>
      <c r="D2475" t="s">
        <v>102</v>
      </c>
      <c r="E2475" t="s">
        <v>1051</v>
      </c>
      <c r="F2475" s="2">
        <v>100</v>
      </c>
      <c r="G2475" s="2">
        <v>5</v>
      </c>
      <c r="H2475" t="s">
        <v>107</v>
      </c>
      <c r="I2475" t="s">
        <v>108</v>
      </c>
      <c r="J2475" s="11">
        <v>681.24123737558705</v>
      </c>
      <c r="K2475" t="str">
        <f t="shared" si="76"/>
        <v>Kyle Minnis</v>
      </c>
    </row>
    <row r="2476" spans="1:11" hidden="1" x14ac:dyDescent="0.35">
      <c r="A2476">
        <f t="shared" si="77"/>
        <v>2475</v>
      </c>
      <c r="B2476">
        <v>2015</v>
      </c>
      <c r="C2476" t="s">
        <v>68</v>
      </c>
      <c r="D2476" t="s">
        <v>69</v>
      </c>
      <c r="E2476" t="s">
        <v>1430</v>
      </c>
      <c r="F2476" s="2">
        <v>1165</v>
      </c>
      <c r="G2476" s="2">
        <v>1</v>
      </c>
      <c r="H2476" t="s">
        <v>70</v>
      </c>
      <c r="I2476" t="s">
        <v>71</v>
      </c>
      <c r="J2476" s="11">
        <v>1748.1880270062004</v>
      </c>
      <c r="K2476" t="str">
        <f t="shared" si="76"/>
        <v>Scott Byron</v>
      </c>
    </row>
    <row r="2477" spans="1:11" hidden="1" x14ac:dyDescent="0.35">
      <c r="A2477">
        <f t="shared" si="77"/>
        <v>2476</v>
      </c>
      <c r="B2477">
        <v>2015</v>
      </c>
      <c r="C2477" t="s">
        <v>68</v>
      </c>
      <c r="D2477" t="s">
        <v>69</v>
      </c>
      <c r="E2477" t="s">
        <v>1430</v>
      </c>
      <c r="F2477" s="2">
        <v>865</v>
      </c>
      <c r="G2477" s="2">
        <v>2</v>
      </c>
      <c r="H2477" t="s">
        <v>72</v>
      </c>
      <c r="I2477" t="s">
        <v>73</v>
      </c>
      <c r="J2477" s="11">
        <v>1447.1580313422191</v>
      </c>
      <c r="K2477" t="str">
        <f t="shared" si="76"/>
        <v>Corey Imsdahl</v>
      </c>
    </row>
    <row r="2478" spans="1:11" hidden="1" x14ac:dyDescent="0.35">
      <c r="A2478">
        <f t="shared" si="77"/>
        <v>2477</v>
      </c>
      <c r="B2478">
        <v>2015</v>
      </c>
      <c r="C2478" t="s">
        <v>68</v>
      </c>
      <c r="D2478" t="s">
        <v>69</v>
      </c>
      <c r="E2478" t="s">
        <v>1430</v>
      </c>
      <c r="F2478" s="2">
        <v>655</v>
      </c>
      <c r="G2478" s="2">
        <v>3</v>
      </c>
      <c r="H2478" t="s">
        <v>74</v>
      </c>
      <c r="I2478" t="s">
        <v>75</v>
      </c>
      <c r="J2478" s="11">
        <v>1271.066772286538</v>
      </c>
      <c r="K2478" t="str">
        <f t="shared" si="76"/>
        <v>Sabyl Landrum</v>
      </c>
    </row>
    <row r="2479" spans="1:11" hidden="1" x14ac:dyDescent="0.35">
      <c r="A2479">
        <f t="shared" si="77"/>
        <v>2478</v>
      </c>
      <c r="B2479">
        <v>2015</v>
      </c>
      <c r="C2479" t="s">
        <v>68</v>
      </c>
      <c r="D2479" t="s">
        <v>69</v>
      </c>
      <c r="E2479" t="s">
        <v>1430</v>
      </c>
      <c r="F2479" s="2">
        <v>530</v>
      </c>
      <c r="G2479" s="2">
        <v>4</v>
      </c>
      <c r="H2479" t="s">
        <v>76</v>
      </c>
      <c r="I2479" t="s">
        <v>77</v>
      </c>
      <c r="J2479" s="11">
        <v>1146.1280356782381</v>
      </c>
      <c r="K2479" t="str">
        <f t="shared" si="76"/>
        <v>Eric Rosenberger</v>
      </c>
    </row>
    <row r="2480" spans="1:11" hidden="1" x14ac:dyDescent="0.35">
      <c r="A2480">
        <f t="shared" si="77"/>
        <v>2479</v>
      </c>
      <c r="B2480">
        <v>2015</v>
      </c>
      <c r="C2480" t="s">
        <v>68</v>
      </c>
      <c r="D2480" t="s">
        <v>69</v>
      </c>
      <c r="E2480" t="s">
        <v>1430</v>
      </c>
      <c r="F2480" s="2">
        <v>405</v>
      </c>
      <c r="G2480" s="2">
        <v>5</v>
      </c>
      <c r="H2480" t="s">
        <v>78</v>
      </c>
      <c r="I2480" t="s">
        <v>79</v>
      </c>
      <c r="J2480" s="11">
        <v>1049.2180226701814</v>
      </c>
      <c r="K2480" t="str">
        <f t="shared" si="76"/>
        <v>Kevin Knourek</v>
      </c>
    </row>
    <row r="2481" spans="1:11" hidden="1" x14ac:dyDescent="0.35">
      <c r="A2481">
        <f t="shared" si="77"/>
        <v>2480</v>
      </c>
      <c r="B2481">
        <v>2015</v>
      </c>
      <c r="C2481" t="s">
        <v>68</v>
      </c>
      <c r="D2481" t="s">
        <v>69</v>
      </c>
      <c r="E2481" t="s">
        <v>1430</v>
      </c>
      <c r="F2481" s="2">
        <v>280</v>
      </c>
      <c r="G2481" s="2">
        <v>6</v>
      </c>
      <c r="H2481" t="s">
        <v>80</v>
      </c>
      <c r="I2481" t="s">
        <v>81</v>
      </c>
      <c r="J2481" s="11">
        <v>970.03677662255677</v>
      </c>
      <c r="K2481" t="str">
        <f t="shared" si="76"/>
        <v>Don Adams</v>
      </c>
    </row>
    <row r="2482" spans="1:11" hidden="1" x14ac:dyDescent="0.35">
      <c r="A2482">
        <f t="shared" si="77"/>
        <v>2481</v>
      </c>
      <c r="B2482">
        <v>2015</v>
      </c>
      <c r="C2482" t="s">
        <v>68</v>
      </c>
      <c r="D2482" t="s">
        <v>69</v>
      </c>
      <c r="E2482" t="s">
        <v>1430</v>
      </c>
      <c r="F2482" s="2">
        <v>195</v>
      </c>
      <c r="G2482" s="2">
        <v>7</v>
      </c>
      <c r="H2482" t="s">
        <v>80</v>
      </c>
      <c r="I2482" t="s">
        <v>82</v>
      </c>
      <c r="J2482" s="11">
        <v>903.08998699194365</v>
      </c>
      <c r="K2482" t="str">
        <f t="shared" si="76"/>
        <v>Karen Adams</v>
      </c>
    </row>
    <row r="2483" spans="1:11" hidden="1" x14ac:dyDescent="0.35">
      <c r="A2483">
        <f t="shared" si="77"/>
        <v>2482</v>
      </c>
      <c r="B2483">
        <v>2015</v>
      </c>
      <c r="C2483" t="s">
        <v>68</v>
      </c>
      <c r="D2483" t="s">
        <v>69</v>
      </c>
      <c r="E2483" t="s">
        <v>1430</v>
      </c>
      <c r="F2483" s="2">
        <v>105</v>
      </c>
      <c r="G2483" s="2">
        <v>8</v>
      </c>
      <c r="H2483" t="s">
        <v>83</v>
      </c>
      <c r="I2483" t="s">
        <v>36</v>
      </c>
      <c r="J2483" s="11">
        <v>845.09804001425687</v>
      </c>
      <c r="K2483" t="str">
        <f t="shared" si="76"/>
        <v>Nolan Hee</v>
      </c>
    </row>
    <row r="2484" spans="1:11" hidden="1" x14ac:dyDescent="0.35">
      <c r="A2484">
        <f t="shared" si="77"/>
        <v>2483</v>
      </c>
      <c r="B2484">
        <v>2015</v>
      </c>
      <c r="C2484" t="s">
        <v>68</v>
      </c>
      <c r="D2484" t="s">
        <v>96</v>
      </c>
      <c r="E2484" t="s">
        <v>1429</v>
      </c>
      <c r="F2484" s="2">
        <v>1550</v>
      </c>
      <c r="G2484" s="2">
        <v>1</v>
      </c>
      <c r="H2484" t="s">
        <v>97</v>
      </c>
      <c r="I2484" t="s">
        <v>98</v>
      </c>
      <c r="J2484" s="11">
        <v>1748.1880270062004</v>
      </c>
      <c r="K2484" t="str">
        <f t="shared" si="76"/>
        <v>Ryan Troll</v>
      </c>
    </row>
    <row r="2485" spans="1:11" hidden="1" x14ac:dyDescent="0.35">
      <c r="A2485">
        <f t="shared" si="77"/>
        <v>2484</v>
      </c>
      <c r="B2485">
        <v>2015</v>
      </c>
      <c r="C2485" t="s">
        <v>68</v>
      </c>
      <c r="D2485" t="s">
        <v>96</v>
      </c>
      <c r="E2485" t="s">
        <v>1429</v>
      </c>
      <c r="F2485" s="2">
        <v>1155</v>
      </c>
      <c r="G2485" s="2">
        <v>2</v>
      </c>
      <c r="H2485" t="s">
        <v>16</v>
      </c>
      <c r="I2485" t="s">
        <v>59</v>
      </c>
      <c r="J2485" s="11">
        <v>1447.1580313422191</v>
      </c>
      <c r="K2485" t="str">
        <f t="shared" si="76"/>
        <v>Jeanne David</v>
      </c>
    </row>
    <row r="2486" spans="1:11" hidden="1" x14ac:dyDescent="0.35">
      <c r="A2486">
        <f t="shared" si="77"/>
        <v>2485</v>
      </c>
      <c r="B2486">
        <v>2015</v>
      </c>
      <c r="C2486" t="s">
        <v>68</v>
      </c>
      <c r="D2486" t="s">
        <v>96</v>
      </c>
      <c r="E2486" t="s">
        <v>1429</v>
      </c>
      <c r="F2486" s="2">
        <v>875</v>
      </c>
      <c r="G2486" s="2">
        <v>3</v>
      </c>
      <c r="H2486" t="s">
        <v>99</v>
      </c>
      <c r="I2486" t="s">
        <v>2500</v>
      </c>
      <c r="J2486" s="11">
        <v>1271.066772286538</v>
      </c>
      <c r="K2486" t="str">
        <f t="shared" si="76"/>
        <v>Bex Kerl</v>
      </c>
    </row>
    <row r="2487" spans="1:11" hidden="1" x14ac:dyDescent="0.35">
      <c r="A2487">
        <f t="shared" si="77"/>
        <v>2486</v>
      </c>
      <c r="B2487">
        <v>2015</v>
      </c>
      <c r="C2487" t="s">
        <v>68</v>
      </c>
      <c r="D2487" t="s">
        <v>96</v>
      </c>
      <c r="E2487" t="s">
        <v>1429</v>
      </c>
      <c r="F2487" s="2">
        <v>710</v>
      </c>
      <c r="G2487" s="2">
        <v>4</v>
      </c>
      <c r="H2487" t="s">
        <v>100</v>
      </c>
      <c r="I2487" t="s">
        <v>52</v>
      </c>
      <c r="J2487" s="11">
        <v>1146.1280356782381</v>
      </c>
      <c r="K2487" t="str">
        <f t="shared" si="76"/>
        <v>Steven Eisenstein</v>
      </c>
    </row>
    <row r="2488" spans="1:11" hidden="1" x14ac:dyDescent="0.35">
      <c r="A2488">
        <f t="shared" si="77"/>
        <v>2487</v>
      </c>
      <c r="B2488">
        <v>2015</v>
      </c>
      <c r="C2488" t="s">
        <v>68</v>
      </c>
      <c r="D2488" t="s">
        <v>96</v>
      </c>
      <c r="E2488" t="s">
        <v>1429</v>
      </c>
      <c r="F2488" s="2">
        <v>540</v>
      </c>
      <c r="G2488" s="2">
        <v>5</v>
      </c>
      <c r="H2488" t="s">
        <v>70</v>
      </c>
      <c r="I2488" t="s">
        <v>71</v>
      </c>
      <c r="J2488" s="11">
        <v>1049.2180226701814</v>
      </c>
      <c r="K2488" t="str">
        <f t="shared" si="76"/>
        <v>Scott Byron</v>
      </c>
    </row>
    <row r="2489" spans="1:11" hidden="1" x14ac:dyDescent="0.35">
      <c r="A2489">
        <f t="shared" si="77"/>
        <v>2488</v>
      </c>
      <c r="B2489">
        <v>2015</v>
      </c>
      <c r="C2489" t="s">
        <v>68</v>
      </c>
      <c r="D2489" t="s">
        <v>96</v>
      </c>
      <c r="E2489" t="s">
        <v>1429</v>
      </c>
      <c r="F2489" s="2">
        <v>370</v>
      </c>
      <c r="G2489" s="2">
        <v>6</v>
      </c>
      <c r="H2489" t="s">
        <v>35</v>
      </c>
      <c r="I2489" t="s">
        <v>36</v>
      </c>
      <c r="J2489" s="11">
        <v>970.03677662255677</v>
      </c>
      <c r="K2489" t="str">
        <f t="shared" si="76"/>
        <v>Nolan Dalla</v>
      </c>
    </row>
    <row r="2490" spans="1:11" hidden="1" x14ac:dyDescent="0.35">
      <c r="A2490">
        <f t="shared" si="77"/>
        <v>2489</v>
      </c>
      <c r="B2490">
        <v>2015</v>
      </c>
      <c r="C2490" t="s">
        <v>68</v>
      </c>
      <c r="D2490" t="s">
        <v>96</v>
      </c>
      <c r="E2490" t="s">
        <v>1429</v>
      </c>
      <c r="F2490" s="2">
        <v>260</v>
      </c>
      <c r="G2490" s="2">
        <v>7</v>
      </c>
      <c r="H2490" t="s">
        <v>76</v>
      </c>
      <c r="I2490" t="s">
        <v>77</v>
      </c>
      <c r="J2490" s="11">
        <v>903.08998699194365</v>
      </c>
      <c r="K2490" t="str">
        <f t="shared" si="76"/>
        <v>Eric Rosenberger</v>
      </c>
    </row>
    <row r="2491" spans="1:11" hidden="1" x14ac:dyDescent="0.35">
      <c r="A2491">
        <f t="shared" si="77"/>
        <v>2490</v>
      </c>
      <c r="B2491">
        <v>2015</v>
      </c>
      <c r="C2491" t="s">
        <v>68</v>
      </c>
      <c r="D2491" t="s">
        <v>96</v>
      </c>
      <c r="E2491" t="s">
        <v>1429</v>
      </c>
      <c r="F2491" s="2">
        <v>140</v>
      </c>
      <c r="G2491" s="2">
        <v>8</v>
      </c>
      <c r="H2491" t="s">
        <v>99</v>
      </c>
      <c r="I2491" t="s">
        <v>101</v>
      </c>
      <c r="J2491" s="11">
        <v>845.09804001425687</v>
      </c>
      <c r="K2491" t="str">
        <f t="shared" si="76"/>
        <v>Dean Kerl</v>
      </c>
    </row>
    <row r="2492" spans="1:11" hidden="1" x14ac:dyDescent="0.35">
      <c r="A2492">
        <f t="shared" si="77"/>
        <v>2491</v>
      </c>
      <c r="B2492">
        <v>2015</v>
      </c>
      <c r="C2492" t="s">
        <v>8</v>
      </c>
      <c r="D2492" t="s">
        <v>62</v>
      </c>
      <c r="E2492" t="s">
        <v>1430</v>
      </c>
      <c r="F2492" s="2">
        <v>1670</v>
      </c>
      <c r="G2492" s="2">
        <v>1</v>
      </c>
      <c r="H2492" t="s">
        <v>50</v>
      </c>
      <c r="I2492" t="s">
        <v>25</v>
      </c>
      <c r="J2492" s="11">
        <v>1612.7838567197355</v>
      </c>
      <c r="K2492" t="str">
        <f t="shared" si="76"/>
        <v>Russell Fox</v>
      </c>
    </row>
    <row r="2493" spans="1:11" hidden="1" x14ac:dyDescent="0.35">
      <c r="A2493">
        <f t="shared" si="77"/>
        <v>2492</v>
      </c>
      <c r="B2493">
        <v>2015</v>
      </c>
      <c r="C2493" t="s">
        <v>8</v>
      </c>
      <c r="D2493" t="s">
        <v>62</v>
      </c>
      <c r="E2493" t="s">
        <v>1430</v>
      </c>
      <c r="F2493" s="2">
        <v>835</v>
      </c>
      <c r="G2493" s="2">
        <v>2</v>
      </c>
      <c r="H2493" t="s">
        <v>868</v>
      </c>
      <c r="I2493" t="s">
        <v>63</v>
      </c>
      <c r="J2493" s="11">
        <v>1311.7538610557542</v>
      </c>
      <c r="K2493" t="str">
        <f t="shared" si="76"/>
        <v>Claudia Mastroianni</v>
      </c>
    </row>
    <row r="2494" spans="1:11" hidden="1" x14ac:dyDescent="0.35">
      <c r="A2494">
        <f t="shared" si="77"/>
        <v>2493</v>
      </c>
      <c r="B2494">
        <v>2015</v>
      </c>
      <c r="C2494" t="s">
        <v>8</v>
      </c>
      <c r="D2494" t="s">
        <v>62</v>
      </c>
      <c r="E2494" t="s">
        <v>1430</v>
      </c>
      <c r="F2494" s="2">
        <v>517</v>
      </c>
      <c r="G2494" s="1">
        <v>3</v>
      </c>
      <c r="H2494" t="s">
        <v>12</v>
      </c>
      <c r="I2494" t="s">
        <v>13</v>
      </c>
      <c r="J2494" s="11">
        <v>1135.6626020000731</v>
      </c>
      <c r="K2494" t="str">
        <f t="shared" si="76"/>
        <v>Tom Bessoir</v>
      </c>
    </row>
    <row r="2495" spans="1:11" hidden="1" x14ac:dyDescent="0.35">
      <c r="A2495">
        <f t="shared" si="77"/>
        <v>2494</v>
      </c>
      <c r="B2495">
        <v>2015</v>
      </c>
      <c r="C2495" t="s">
        <v>8</v>
      </c>
      <c r="D2495" t="s">
        <v>62</v>
      </c>
      <c r="E2495" t="s">
        <v>1430</v>
      </c>
      <c r="F2495" s="2">
        <v>398</v>
      </c>
      <c r="G2495" s="1">
        <v>4</v>
      </c>
      <c r="H2495" t="s">
        <v>35</v>
      </c>
      <c r="I2495" t="s">
        <v>36</v>
      </c>
      <c r="J2495" s="11">
        <v>1010.723865391773</v>
      </c>
      <c r="K2495" t="str">
        <f t="shared" si="76"/>
        <v>Nolan Dalla</v>
      </c>
    </row>
    <row r="2496" spans="1:11" hidden="1" x14ac:dyDescent="0.35">
      <c r="A2496">
        <f t="shared" si="77"/>
        <v>2495</v>
      </c>
      <c r="B2496">
        <v>2015</v>
      </c>
      <c r="C2496" t="s">
        <v>8</v>
      </c>
      <c r="D2496" t="s">
        <v>62</v>
      </c>
      <c r="E2496" t="s">
        <v>1430</v>
      </c>
      <c r="F2496" s="2">
        <v>318</v>
      </c>
      <c r="G2496" s="1">
        <v>5</v>
      </c>
      <c r="H2496" t="s">
        <v>64</v>
      </c>
      <c r="I2496" t="s">
        <v>65</v>
      </c>
      <c r="J2496" s="11">
        <v>913.81385238371661</v>
      </c>
      <c r="K2496" t="str">
        <f t="shared" si="76"/>
        <v>Steve Daniel</v>
      </c>
    </row>
    <row r="2497" spans="1:11" hidden="1" x14ac:dyDescent="0.35">
      <c r="A2497">
        <f t="shared" si="77"/>
        <v>2496</v>
      </c>
      <c r="B2497">
        <v>2015</v>
      </c>
      <c r="C2497" t="s">
        <v>8</v>
      </c>
      <c r="D2497" t="s">
        <v>62</v>
      </c>
      <c r="E2497" t="s">
        <v>1430</v>
      </c>
      <c r="F2497" s="2">
        <v>239</v>
      </c>
      <c r="G2497" s="1">
        <v>6</v>
      </c>
      <c r="H2497" t="s">
        <v>66</v>
      </c>
      <c r="I2497" t="s">
        <v>67</v>
      </c>
      <c r="J2497" s="11">
        <v>834.63260633609184</v>
      </c>
      <c r="K2497" t="str">
        <f t="shared" si="76"/>
        <v>Bob Lauria</v>
      </c>
    </row>
    <row r="2498" spans="1:11" hidden="1" x14ac:dyDescent="0.35">
      <c r="A2498">
        <f t="shared" si="77"/>
        <v>2497</v>
      </c>
      <c r="B2498">
        <v>2015</v>
      </c>
      <c r="C2498" t="s">
        <v>8</v>
      </c>
      <c r="D2498" t="s">
        <v>9</v>
      </c>
      <c r="E2498" t="s">
        <v>1429</v>
      </c>
      <c r="F2498" s="2">
        <v>1100</v>
      </c>
      <c r="G2498" s="2">
        <v>1</v>
      </c>
      <c r="H2498" t="s">
        <v>10</v>
      </c>
      <c r="I2498" t="s">
        <v>11</v>
      </c>
      <c r="J2498" s="11">
        <v>1633.4684555795864</v>
      </c>
      <c r="K2498" t="str">
        <f t="shared" ref="K2498:K2561" si="78">I2498&amp;" "&amp;H2498</f>
        <v>Paul Chakoian</v>
      </c>
    </row>
    <row r="2499" spans="1:11" hidden="1" x14ac:dyDescent="0.35">
      <c r="A2499">
        <f t="shared" si="77"/>
        <v>2498</v>
      </c>
      <c r="B2499">
        <v>2015</v>
      </c>
      <c r="C2499" t="s">
        <v>8</v>
      </c>
      <c r="D2499" t="s">
        <v>9</v>
      </c>
      <c r="E2499" t="s">
        <v>1429</v>
      </c>
      <c r="F2499" s="2">
        <v>800</v>
      </c>
      <c r="G2499" s="2">
        <v>2</v>
      </c>
      <c r="H2499" t="s">
        <v>12</v>
      </c>
      <c r="I2499" t="s">
        <v>13</v>
      </c>
      <c r="J2499" s="11">
        <v>1332.4384599156051</v>
      </c>
      <c r="K2499" t="str">
        <f t="shared" si="78"/>
        <v>Tom Bessoir</v>
      </c>
    </row>
    <row r="2500" spans="1:11" hidden="1" x14ac:dyDescent="0.35">
      <c r="A2500">
        <f t="shared" ref="A2500:A2563" si="79">A2499+1</f>
        <v>2499</v>
      </c>
      <c r="B2500">
        <v>2015</v>
      </c>
      <c r="C2500" t="s">
        <v>8</v>
      </c>
      <c r="D2500" t="s">
        <v>9</v>
      </c>
      <c r="E2500" t="s">
        <v>1429</v>
      </c>
      <c r="F2500" s="2">
        <v>550</v>
      </c>
      <c r="G2500" s="2">
        <v>3</v>
      </c>
      <c r="H2500" t="s">
        <v>14</v>
      </c>
      <c r="I2500" t="s">
        <v>11</v>
      </c>
      <c r="J2500" s="11">
        <v>1156.347200859924</v>
      </c>
      <c r="K2500" t="str">
        <f t="shared" si="78"/>
        <v>Paul McMullin</v>
      </c>
    </row>
    <row r="2501" spans="1:11" hidden="1" x14ac:dyDescent="0.35">
      <c r="A2501">
        <f t="shared" si="79"/>
        <v>2500</v>
      </c>
      <c r="B2501">
        <v>2015</v>
      </c>
      <c r="C2501" t="s">
        <v>8</v>
      </c>
      <c r="D2501" t="s">
        <v>9</v>
      </c>
      <c r="E2501" t="s">
        <v>1429</v>
      </c>
      <c r="F2501" s="2">
        <v>450</v>
      </c>
      <c r="G2501" s="2">
        <v>4</v>
      </c>
      <c r="H2501" t="s">
        <v>15</v>
      </c>
      <c r="I2501" t="s">
        <v>16</v>
      </c>
      <c r="J2501" s="11">
        <v>1031.4084642516241</v>
      </c>
      <c r="K2501" t="str">
        <f t="shared" si="78"/>
        <v>David Kluchman</v>
      </c>
    </row>
    <row r="2502" spans="1:11" hidden="1" x14ac:dyDescent="0.35">
      <c r="A2502">
        <f t="shared" si="79"/>
        <v>2501</v>
      </c>
      <c r="B2502">
        <v>2015</v>
      </c>
      <c r="C2502" t="s">
        <v>8</v>
      </c>
      <c r="D2502" t="s">
        <v>9</v>
      </c>
      <c r="E2502" t="s">
        <v>1429</v>
      </c>
      <c r="F2502" s="2">
        <v>350</v>
      </c>
      <c r="G2502" s="2">
        <v>5</v>
      </c>
      <c r="H2502" t="s">
        <v>21</v>
      </c>
      <c r="I2502" t="s">
        <v>463</v>
      </c>
      <c r="J2502" s="11">
        <v>934.49845124356762</v>
      </c>
      <c r="K2502" t="str">
        <f t="shared" si="78"/>
        <v>Richard Bremer</v>
      </c>
    </row>
    <row r="2503" spans="1:11" hidden="1" x14ac:dyDescent="0.35">
      <c r="A2503">
        <f t="shared" si="79"/>
        <v>2502</v>
      </c>
      <c r="B2503">
        <v>2015</v>
      </c>
      <c r="C2503" t="s">
        <v>8</v>
      </c>
      <c r="D2503" t="s">
        <v>9</v>
      </c>
      <c r="E2503" t="s">
        <v>1429</v>
      </c>
      <c r="F2503" s="2">
        <v>350</v>
      </c>
      <c r="G2503" s="2">
        <v>5</v>
      </c>
      <c r="H2503" t="s">
        <v>23</v>
      </c>
      <c r="I2503" t="s">
        <v>13</v>
      </c>
      <c r="J2503" s="11">
        <v>934.49845124356762</v>
      </c>
      <c r="K2503" t="str">
        <f t="shared" si="78"/>
        <v>Tom Hummel</v>
      </c>
    </row>
    <row r="2504" spans="1:11" hidden="1" x14ac:dyDescent="0.35">
      <c r="A2504">
        <f t="shared" si="79"/>
        <v>2503</v>
      </c>
      <c r="B2504">
        <v>2015</v>
      </c>
      <c r="C2504" t="s">
        <v>8</v>
      </c>
      <c r="D2504" t="s">
        <v>9</v>
      </c>
      <c r="E2504" t="s">
        <v>1429</v>
      </c>
      <c r="F2504" s="2">
        <v>350</v>
      </c>
      <c r="G2504" s="2">
        <v>5</v>
      </c>
      <c r="H2504" t="s">
        <v>19</v>
      </c>
      <c r="I2504" t="s">
        <v>20</v>
      </c>
      <c r="J2504" s="11">
        <v>934.49845124356762</v>
      </c>
      <c r="K2504" t="str">
        <f t="shared" si="78"/>
        <v>Barry Kornspan</v>
      </c>
    </row>
    <row r="2505" spans="1:11" hidden="1" x14ac:dyDescent="0.35">
      <c r="A2505">
        <f t="shared" si="79"/>
        <v>2504</v>
      </c>
      <c r="B2505">
        <v>2015</v>
      </c>
      <c r="C2505" t="s">
        <v>8</v>
      </c>
      <c r="D2505" t="s">
        <v>9</v>
      </c>
      <c r="E2505" t="s">
        <v>1429</v>
      </c>
      <c r="F2505" s="2">
        <v>350</v>
      </c>
      <c r="G2505" s="2">
        <v>5</v>
      </c>
      <c r="H2505" t="s">
        <v>17</v>
      </c>
      <c r="I2505" t="s">
        <v>18</v>
      </c>
      <c r="J2505" s="11">
        <v>934.49845124356762</v>
      </c>
      <c r="K2505" t="str">
        <f t="shared" si="78"/>
        <v>Gus Ruggieri</v>
      </c>
    </row>
    <row r="2506" spans="1:11" hidden="1" x14ac:dyDescent="0.35">
      <c r="A2506">
        <f t="shared" si="79"/>
        <v>2505</v>
      </c>
      <c r="B2506">
        <v>2015</v>
      </c>
      <c r="C2506" t="s">
        <v>8</v>
      </c>
      <c r="D2506" t="s">
        <v>45</v>
      </c>
      <c r="E2506" t="s">
        <v>1429</v>
      </c>
      <c r="F2506" s="2">
        <v>1000</v>
      </c>
      <c r="G2506" s="2">
        <v>1</v>
      </c>
      <c r="H2506" t="s">
        <v>46</v>
      </c>
      <c r="I2506" t="s">
        <v>47</v>
      </c>
      <c r="J2506" s="11">
        <v>1913.8138523837167</v>
      </c>
      <c r="K2506" t="str">
        <f t="shared" si="78"/>
        <v>Alpo Kallio</v>
      </c>
    </row>
    <row r="2507" spans="1:11" hidden="1" x14ac:dyDescent="0.35">
      <c r="A2507">
        <f t="shared" si="79"/>
        <v>2506</v>
      </c>
      <c r="B2507">
        <v>2015</v>
      </c>
      <c r="C2507" t="s">
        <v>8</v>
      </c>
      <c r="D2507" t="s">
        <v>45</v>
      </c>
      <c r="E2507" t="s">
        <v>1429</v>
      </c>
      <c r="F2507" s="2">
        <v>1000</v>
      </c>
      <c r="G2507" s="2">
        <v>2</v>
      </c>
      <c r="H2507" t="s">
        <v>48</v>
      </c>
      <c r="I2507" t="s">
        <v>49</v>
      </c>
      <c r="J2507" s="11">
        <v>1612.7838567197355</v>
      </c>
      <c r="K2507" t="str">
        <f t="shared" si="78"/>
        <v>Regis Donovan</v>
      </c>
    </row>
    <row r="2508" spans="1:11" hidden="1" x14ac:dyDescent="0.35">
      <c r="A2508">
        <f t="shared" si="79"/>
        <v>2507</v>
      </c>
      <c r="B2508">
        <v>2015</v>
      </c>
      <c r="C2508" t="s">
        <v>8</v>
      </c>
      <c r="D2508" t="s">
        <v>45</v>
      </c>
      <c r="E2508" t="s">
        <v>1429</v>
      </c>
      <c r="F2508" s="2">
        <v>1000</v>
      </c>
      <c r="G2508" s="2">
        <v>3</v>
      </c>
      <c r="H2508" t="s">
        <v>50</v>
      </c>
      <c r="I2508" t="s">
        <v>25</v>
      </c>
      <c r="J2508" s="11">
        <v>1436.6925976640543</v>
      </c>
      <c r="K2508" t="str">
        <f t="shared" si="78"/>
        <v>Russell Fox</v>
      </c>
    </row>
    <row r="2509" spans="1:11" hidden="1" x14ac:dyDescent="0.35">
      <c r="A2509">
        <f t="shared" si="79"/>
        <v>2508</v>
      </c>
      <c r="B2509">
        <v>2015</v>
      </c>
      <c r="C2509" t="s">
        <v>8</v>
      </c>
      <c r="D2509" t="s">
        <v>45</v>
      </c>
      <c r="E2509" t="s">
        <v>1429</v>
      </c>
      <c r="F2509" s="2">
        <v>1000</v>
      </c>
      <c r="G2509" s="2">
        <v>4</v>
      </c>
      <c r="H2509" t="s">
        <v>51</v>
      </c>
      <c r="I2509" t="s">
        <v>153</v>
      </c>
      <c r="J2509" s="11">
        <v>1311.7538610557542</v>
      </c>
      <c r="K2509" t="str">
        <f t="shared" si="78"/>
        <v>Stephen Rosenblatt</v>
      </c>
    </row>
    <row r="2510" spans="1:11" hidden="1" x14ac:dyDescent="0.35">
      <c r="A2510">
        <f t="shared" si="79"/>
        <v>2509</v>
      </c>
      <c r="B2510">
        <v>2015</v>
      </c>
      <c r="C2510" t="s">
        <v>8</v>
      </c>
      <c r="D2510" t="s">
        <v>45</v>
      </c>
      <c r="E2510" t="s">
        <v>1429</v>
      </c>
      <c r="F2510" s="2">
        <v>1000</v>
      </c>
      <c r="G2510" s="2">
        <v>5</v>
      </c>
      <c r="H2510" t="s">
        <v>53</v>
      </c>
      <c r="I2510" t="s">
        <v>54</v>
      </c>
      <c r="J2510" s="11">
        <v>1214.843848047698</v>
      </c>
      <c r="K2510" t="str">
        <f t="shared" si="78"/>
        <v>Joyce Ciotti</v>
      </c>
    </row>
    <row r="2511" spans="1:11" hidden="1" x14ac:dyDescent="0.35">
      <c r="A2511">
        <f t="shared" si="79"/>
        <v>2510</v>
      </c>
      <c r="B2511">
        <v>2015</v>
      </c>
      <c r="C2511" t="s">
        <v>8</v>
      </c>
      <c r="D2511" t="s">
        <v>45</v>
      </c>
      <c r="E2511" t="s">
        <v>1429</v>
      </c>
      <c r="F2511" s="2">
        <v>1000</v>
      </c>
      <c r="G2511" s="2">
        <v>6</v>
      </c>
      <c r="H2511" t="s">
        <v>55</v>
      </c>
      <c r="I2511" t="s">
        <v>56</v>
      </c>
      <c r="J2511" s="11">
        <v>1135.6626020000731</v>
      </c>
      <c r="K2511" t="str">
        <f t="shared" si="78"/>
        <v>Brandon Gerson</v>
      </c>
    </row>
    <row r="2512" spans="1:11" hidden="1" x14ac:dyDescent="0.35">
      <c r="A2512">
        <f t="shared" si="79"/>
        <v>2511</v>
      </c>
      <c r="B2512">
        <v>2015</v>
      </c>
      <c r="C2512" t="s">
        <v>8</v>
      </c>
      <c r="D2512" t="s">
        <v>45</v>
      </c>
      <c r="E2512" t="s">
        <v>1429</v>
      </c>
      <c r="F2512" s="2">
        <v>999</v>
      </c>
      <c r="G2512" s="2">
        <v>7</v>
      </c>
      <c r="H2512" t="s">
        <v>2539</v>
      </c>
      <c r="I2512" t="s">
        <v>28</v>
      </c>
      <c r="J2512" s="11">
        <v>1068.7158123694599</v>
      </c>
      <c r="K2512" t="str">
        <f t="shared" si="78"/>
        <v>Chris O’Connor</v>
      </c>
    </row>
    <row r="2513" spans="1:11" hidden="1" x14ac:dyDescent="0.35">
      <c r="A2513">
        <f t="shared" si="79"/>
        <v>2512</v>
      </c>
      <c r="B2513">
        <v>2015</v>
      </c>
      <c r="C2513" t="s">
        <v>8</v>
      </c>
      <c r="D2513" t="s">
        <v>45</v>
      </c>
      <c r="E2513" t="s">
        <v>1429</v>
      </c>
      <c r="F2513" s="2">
        <v>398</v>
      </c>
      <c r="G2513" s="2">
        <v>8</v>
      </c>
      <c r="H2513" t="s">
        <v>57</v>
      </c>
      <c r="I2513" t="s">
        <v>58</v>
      </c>
      <c r="J2513" s="11">
        <v>1010.7238653917732</v>
      </c>
      <c r="K2513" t="str">
        <f t="shared" si="78"/>
        <v>Jim Rogers</v>
      </c>
    </row>
    <row r="2514" spans="1:11" hidden="1" x14ac:dyDescent="0.35">
      <c r="A2514">
        <f t="shared" si="79"/>
        <v>2513</v>
      </c>
      <c r="B2514">
        <v>2015</v>
      </c>
      <c r="C2514" t="s">
        <v>8</v>
      </c>
      <c r="D2514" t="s">
        <v>45</v>
      </c>
      <c r="E2514" t="s">
        <v>1429</v>
      </c>
      <c r="F2514" s="2">
        <v>318</v>
      </c>
      <c r="G2514" s="2">
        <v>9</v>
      </c>
      <c r="H2514" t="s">
        <v>16</v>
      </c>
      <c r="I2514" t="s">
        <v>59</v>
      </c>
      <c r="J2514" s="11">
        <v>959.57134294439186</v>
      </c>
      <c r="K2514" t="str">
        <f t="shared" si="78"/>
        <v>Jeanne David</v>
      </c>
    </row>
    <row r="2515" spans="1:11" hidden="1" x14ac:dyDescent="0.35">
      <c r="A2515">
        <f t="shared" si="79"/>
        <v>2514</v>
      </c>
      <c r="B2515">
        <v>2015</v>
      </c>
      <c r="C2515" t="s">
        <v>8</v>
      </c>
      <c r="D2515" t="s">
        <v>45</v>
      </c>
      <c r="E2515" t="s">
        <v>1429</v>
      </c>
      <c r="F2515" s="2">
        <v>239</v>
      </c>
      <c r="G2515" s="2">
        <v>10</v>
      </c>
      <c r="H2515" t="s">
        <v>60</v>
      </c>
      <c r="I2515" t="s">
        <v>61</v>
      </c>
      <c r="J2515" s="11">
        <v>913.81385238371672</v>
      </c>
      <c r="K2515" t="str">
        <f t="shared" si="78"/>
        <v>Len Parness</v>
      </c>
    </row>
    <row r="2516" spans="1:11" hidden="1" x14ac:dyDescent="0.35">
      <c r="A2516">
        <f t="shared" si="79"/>
        <v>2515</v>
      </c>
      <c r="B2516">
        <v>2015</v>
      </c>
      <c r="C2516" t="s">
        <v>8</v>
      </c>
      <c r="D2516" t="s">
        <v>24</v>
      </c>
      <c r="E2516" t="s">
        <v>1432</v>
      </c>
      <c r="F2516" s="2">
        <v>925</v>
      </c>
      <c r="G2516" s="2">
        <v>1</v>
      </c>
      <c r="H2516" t="s">
        <v>27</v>
      </c>
      <c r="I2516" t="s">
        <v>28</v>
      </c>
      <c r="J2516" s="11">
        <v>778.15125038364363</v>
      </c>
      <c r="K2516" t="str">
        <f t="shared" si="78"/>
        <v>Chris Richards</v>
      </c>
    </row>
    <row r="2517" spans="1:11" hidden="1" x14ac:dyDescent="0.35">
      <c r="A2517">
        <f t="shared" si="79"/>
        <v>2516</v>
      </c>
      <c r="B2517">
        <v>2015</v>
      </c>
      <c r="C2517" t="s">
        <v>8</v>
      </c>
      <c r="D2517" t="s">
        <v>24</v>
      </c>
      <c r="E2517" t="s">
        <v>1432</v>
      </c>
      <c r="F2517" s="2">
        <v>926</v>
      </c>
      <c r="G2517" s="2">
        <v>1</v>
      </c>
      <c r="H2517" t="s">
        <v>25</v>
      </c>
      <c r="I2517" t="s">
        <v>26</v>
      </c>
      <c r="J2517" s="11">
        <v>778.15125038364363</v>
      </c>
      <c r="K2517" t="str">
        <f t="shared" si="78"/>
        <v>Louise Russell</v>
      </c>
    </row>
    <row r="2518" spans="1:11" hidden="1" x14ac:dyDescent="0.35">
      <c r="A2518">
        <f t="shared" si="79"/>
        <v>2517</v>
      </c>
      <c r="B2518">
        <v>2015</v>
      </c>
      <c r="C2518" t="s">
        <v>8</v>
      </c>
      <c r="D2518" t="s">
        <v>24</v>
      </c>
      <c r="E2518" t="s">
        <v>1432</v>
      </c>
      <c r="F2518" s="2">
        <v>925</v>
      </c>
      <c r="G2518" s="2">
        <v>2</v>
      </c>
      <c r="H2518" t="s">
        <v>29</v>
      </c>
      <c r="I2518" t="s">
        <v>30</v>
      </c>
      <c r="J2518" s="11">
        <v>627.636252551653</v>
      </c>
      <c r="K2518" t="str">
        <f t="shared" si="78"/>
        <v>Tedford Armistead</v>
      </c>
    </row>
    <row r="2519" spans="1:11" hidden="1" x14ac:dyDescent="0.35">
      <c r="A2519">
        <f t="shared" si="79"/>
        <v>2518</v>
      </c>
      <c r="B2519">
        <v>2015</v>
      </c>
      <c r="C2519" t="s">
        <v>8</v>
      </c>
      <c r="D2519" t="s">
        <v>24</v>
      </c>
      <c r="E2519" t="s">
        <v>1432</v>
      </c>
      <c r="F2519" s="2">
        <v>925</v>
      </c>
      <c r="G2519" s="2">
        <v>2</v>
      </c>
      <c r="H2519" t="s">
        <v>10</v>
      </c>
      <c r="I2519" t="s">
        <v>11</v>
      </c>
      <c r="J2519" s="11">
        <v>627.636252551653</v>
      </c>
      <c r="K2519" t="str">
        <f t="shared" si="78"/>
        <v>Paul Chakoian</v>
      </c>
    </row>
    <row r="2520" spans="1:11" hidden="1" x14ac:dyDescent="0.35">
      <c r="A2520">
        <f t="shared" si="79"/>
        <v>2519</v>
      </c>
      <c r="B2520">
        <v>2015</v>
      </c>
      <c r="C2520" t="s">
        <v>8</v>
      </c>
      <c r="D2520" t="s">
        <v>24</v>
      </c>
      <c r="E2520" t="s">
        <v>1432</v>
      </c>
      <c r="F2520" s="2">
        <v>454</v>
      </c>
      <c r="G2520" s="2">
        <v>3</v>
      </c>
      <c r="H2520" t="s">
        <v>31</v>
      </c>
      <c r="I2520" t="s">
        <v>16</v>
      </c>
      <c r="J2520" s="11">
        <v>539.59062302381244</v>
      </c>
      <c r="K2520" t="str">
        <f t="shared" si="78"/>
        <v>David Aronson</v>
      </c>
    </row>
    <row r="2521" spans="1:11" hidden="1" x14ac:dyDescent="0.35">
      <c r="A2521">
        <f t="shared" si="79"/>
        <v>2520</v>
      </c>
      <c r="B2521">
        <v>2015</v>
      </c>
      <c r="C2521" t="s">
        <v>8</v>
      </c>
      <c r="D2521" t="s">
        <v>24</v>
      </c>
      <c r="E2521" t="s">
        <v>1432</v>
      </c>
      <c r="F2521" s="2">
        <v>454</v>
      </c>
      <c r="G2521" s="2">
        <v>3</v>
      </c>
      <c r="H2521" t="s">
        <v>31</v>
      </c>
      <c r="I2521" t="s">
        <v>32</v>
      </c>
      <c r="J2521" s="11">
        <v>539.59062302381244</v>
      </c>
      <c r="K2521" t="str">
        <f t="shared" si="78"/>
        <v>Caryl Aronson</v>
      </c>
    </row>
    <row r="2522" spans="1:11" hidden="1" x14ac:dyDescent="0.35">
      <c r="A2522">
        <f t="shared" si="79"/>
        <v>2521</v>
      </c>
      <c r="B2522">
        <v>2015</v>
      </c>
      <c r="C2522" t="s">
        <v>8</v>
      </c>
      <c r="D2522" t="s">
        <v>24</v>
      </c>
      <c r="E2522" t="s">
        <v>1432</v>
      </c>
      <c r="F2522" s="2">
        <v>349</v>
      </c>
      <c r="G2522" s="2">
        <v>4</v>
      </c>
      <c r="H2522" t="s">
        <v>12</v>
      </c>
      <c r="I2522" t="s">
        <v>13</v>
      </c>
      <c r="J2522" s="11">
        <v>477.12125471966243</v>
      </c>
      <c r="K2522" t="str">
        <f t="shared" si="78"/>
        <v>Tom Bessoir</v>
      </c>
    </row>
    <row r="2523" spans="1:11" hidden="1" x14ac:dyDescent="0.35">
      <c r="A2523">
        <f t="shared" si="79"/>
        <v>2522</v>
      </c>
      <c r="B2523">
        <v>2015</v>
      </c>
      <c r="C2523" t="s">
        <v>8</v>
      </c>
      <c r="D2523" t="s">
        <v>24</v>
      </c>
      <c r="E2523" t="s">
        <v>1432</v>
      </c>
      <c r="F2523" s="2">
        <v>349</v>
      </c>
      <c r="G2523" s="2">
        <v>4</v>
      </c>
      <c r="H2523" t="s">
        <v>33</v>
      </c>
      <c r="I2523" t="s">
        <v>34</v>
      </c>
      <c r="J2523" s="11">
        <v>477.12125471966243</v>
      </c>
      <c r="K2523" t="str">
        <f t="shared" si="78"/>
        <v>Meredith Holtzman</v>
      </c>
    </row>
    <row r="2524" spans="1:11" hidden="1" x14ac:dyDescent="0.35">
      <c r="A2524">
        <f t="shared" si="79"/>
        <v>2523</v>
      </c>
      <c r="B2524">
        <v>2015</v>
      </c>
      <c r="C2524" t="s">
        <v>8</v>
      </c>
      <c r="D2524" t="s">
        <v>24</v>
      </c>
      <c r="E2524" t="s">
        <v>1432</v>
      </c>
      <c r="F2524" s="2">
        <v>315</v>
      </c>
      <c r="G2524" s="2">
        <v>5</v>
      </c>
      <c r="H2524" t="s">
        <v>35</v>
      </c>
      <c r="I2524" t="s">
        <v>36</v>
      </c>
      <c r="J2524" s="11">
        <v>428.6662482156342</v>
      </c>
      <c r="K2524" t="str">
        <f t="shared" si="78"/>
        <v>Nolan Dalla</v>
      </c>
    </row>
    <row r="2525" spans="1:11" hidden="1" x14ac:dyDescent="0.35">
      <c r="A2525">
        <f t="shared" si="79"/>
        <v>2524</v>
      </c>
      <c r="B2525">
        <v>2015</v>
      </c>
      <c r="C2525" t="s">
        <v>8</v>
      </c>
      <c r="D2525" t="s">
        <v>24</v>
      </c>
      <c r="E2525" t="s">
        <v>1432</v>
      </c>
      <c r="F2525" s="2">
        <v>314</v>
      </c>
      <c r="G2525" s="2">
        <v>5</v>
      </c>
      <c r="H2525" t="s">
        <v>37</v>
      </c>
      <c r="I2525" t="s">
        <v>38</v>
      </c>
      <c r="J2525" s="11">
        <v>428.6662482156342</v>
      </c>
      <c r="K2525" t="str">
        <f t="shared" si="78"/>
        <v>Doug Grismore</v>
      </c>
    </row>
    <row r="2526" spans="1:11" hidden="1" x14ac:dyDescent="0.35">
      <c r="A2526">
        <f t="shared" si="79"/>
        <v>2525</v>
      </c>
      <c r="B2526">
        <v>2015</v>
      </c>
      <c r="C2526" t="s">
        <v>8</v>
      </c>
      <c r="D2526" t="s">
        <v>24</v>
      </c>
      <c r="E2526" t="s">
        <v>1432</v>
      </c>
      <c r="F2526" s="2">
        <v>280</v>
      </c>
      <c r="G2526" s="2">
        <v>6</v>
      </c>
      <c r="H2526" t="s">
        <v>39</v>
      </c>
      <c r="I2526" t="s">
        <v>40</v>
      </c>
      <c r="J2526" s="11">
        <v>389.07562519182181</v>
      </c>
      <c r="K2526" t="str">
        <f t="shared" si="78"/>
        <v>Katie Baxter</v>
      </c>
    </row>
    <row r="2527" spans="1:11" hidden="1" x14ac:dyDescent="0.35">
      <c r="A2527">
        <f t="shared" si="79"/>
        <v>2526</v>
      </c>
      <c r="B2527">
        <v>2015</v>
      </c>
      <c r="C2527" t="s">
        <v>8</v>
      </c>
      <c r="D2527" t="s">
        <v>24</v>
      </c>
      <c r="E2527" t="s">
        <v>1432</v>
      </c>
      <c r="F2527" s="2">
        <v>279</v>
      </c>
      <c r="G2527" s="2">
        <v>6</v>
      </c>
      <c r="H2527" t="s">
        <v>41</v>
      </c>
      <c r="I2527" t="s">
        <v>42</v>
      </c>
      <c r="J2527" s="11">
        <v>389.07562519182181</v>
      </c>
      <c r="K2527" t="str">
        <f t="shared" si="78"/>
        <v>Karl Zipple</v>
      </c>
    </row>
    <row r="2528" spans="1:11" hidden="1" x14ac:dyDescent="0.35">
      <c r="A2528">
        <f t="shared" si="79"/>
        <v>2527</v>
      </c>
      <c r="B2528">
        <v>2015</v>
      </c>
      <c r="C2528" t="s">
        <v>8</v>
      </c>
      <c r="D2528" t="s">
        <v>24</v>
      </c>
      <c r="E2528" t="s">
        <v>1432</v>
      </c>
      <c r="F2528" s="2">
        <v>244</v>
      </c>
      <c r="G2528" s="2">
        <v>7</v>
      </c>
      <c r="H2528" t="s">
        <v>43</v>
      </c>
      <c r="I2528" t="s">
        <v>218</v>
      </c>
      <c r="J2528" s="11">
        <v>355.60223037651525</v>
      </c>
      <c r="K2528" t="str">
        <f t="shared" si="78"/>
        <v>Michael Klein</v>
      </c>
    </row>
    <row r="2529" spans="1:11" hidden="1" x14ac:dyDescent="0.35">
      <c r="A2529">
        <f t="shared" si="79"/>
        <v>2528</v>
      </c>
      <c r="B2529">
        <v>2015</v>
      </c>
      <c r="C2529" t="s">
        <v>8</v>
      </c>
      <c r="D2529" t="s">
        <v>24</v>
      </c>
      <c r="E2529" t="s">
        <v>1432</v>
      </c>
      <c r="F2529" s="2">
        <v>245</v>
      </c>
      <c r="G2529" s="2">
        <v>7</v>
      </c>
      <c r="H2529" t="s">
        <v>2539</v>
      </c>
      <c r="I2529" t="s">
        <v>28</v>
      </c>
      <c r="J2529" s="11">
        <v>355.60223037651525</v>
      </c>
      <c r="K2529" t="str">
        <f t="shared" si="78"/>
        <v>Chris O’Connor</v>
      </c>
    </row>
    <row r="2530" spans="1:11" hidden="1" x14ac:dyDescent="0.35">
      <c r="A2530">
        <f t="shared" si="79"/>
        <v>2529</v>
      </c>
      <c r="B2530">
        <v>2016</v>
      </c>
      <c r="C2530" t="s">
        <v>109</v>
      </c>
      <c r="D2530" t="s">
        <v>45</v>
      </c>
      <c r="E2530" t="s">
        <v>1429</v>
      </c>
      <c r="F2530" s="2">
        <v>2483</v>
      </c>
      <c r="G2530" s="2">
        <v>1</v>
      </c>
      <c r="H2530" t="s">
        <v>2287</v>
      </c>
      <c r="I2530" t="s">
        <v>139</v>
      </c>
      <c r="J2530" s="11">
        <v>1724.2758696007888</v>
      </c>
      <c r="K2530" t="str">
        <f t="shared" si="78"/>
        <v>Mark Sobieski</v>
      </c>
    </row>
    <row r="2531" spans="1:11" hidden="1" x14ac:dyDescent="0.35">
      <c r="A2531">
        <f t="shared" si="79"/>
        <v>2530</v>
      </c>
      <c r="B2531">
        <v>2016</v>
      </c>
      <c r="C2531" t="s">
        <v>109</v>
      </c>
      <c r="D2531" t="s">
        <v>45</v>
      </c>
      <c r="E2531" t="s">
        <v>1429</v>
      </c>
      <c r="F2531" s="2">
        <v>1366</v>
      </c>
      <c r="G2531" s="2">
        <v>2</v>
      </c>
      <c r="H2531" t="s">
        <v>775</v>
      </c>
      <c r="I2531" t="s">
        <v>139</v>
      </c>
      <c r="J2531" s="11">
        <v>1423.2458739368076</v>
      </c>
      <c r="K2531" t="str">
        <f t="shared" si="78"/>
        <v>Mark Richardson</v>
      </c>
    </row>
    <row r="2532" spans="1:11" hidden="1" x14ac:dyDescent="0.35">
      <c r="A2532">
        <f t="shared" si="79"/>
        <v>2531</v>
      </c>
      <c r="B2532">
        <v>2016</v>
      </c>
      <c r="C2532" t="s">
        <v>109</v>
      </c>
      <c r="D2532" t="s">
        <v>45</v>
      </c>
      <c r="E2532" t="s">
        <v>1429</v>
      </c>
      <c r="F2532" s="2">
        <v>807</v>
      </c>
      <c r="G2532" s="2">
        <v>3</v>
      </c>
      <c r="H2532" t="s">
        <v>43</v>
      </c>
      <c r="I2532" t="s">
        <v>218</v>
      </c>
      <c r="J2532" s="11">
        <v>1247.1546148811265</v>
      </c>
      <c r="K2532" t="str">
        <f t="shared" si="78"/>
        <v>Michael Klein</v>
      </c>
    </row>
    <row r="2533" spans="1:11" hidden="1" x14ac:dyDescent="0.35">
      <c r="A2533">
        <f t="shared" si="79"/>
        <v>2532</v>
      </c>
      <c r="B2533">
        <v>2016</v>
      </c>
      <c r="C2533" t="s">
        <v>109</v>
      </c>
      <c r="D2533" t="s">
        <v>45</v>
      </c>
      <c r="E2533" t="s">
        <v>1429</v>
      </c>
      <c r="F2533" s="2">
        <v>559</v>
      </c>
      <c r="G2533" s="2">
        <v>4</v>
      </c>
      <c r="H2533" t="s">
        <v>130</v>
      </c>
      <c r="I2533" t="s">
        <v>131</v>
      </c>
      <c r="J2533" s="11">
        <v>1122.2158782728266</v>
      </c>
      <c r="K2533" t="str">
        <f t="shared" si="78"/>
        <v>Alan Stuart</v>
      </c>
    </row>
    <row r="2534" spans="1:11" hidden="1" x14ac:dyDescent="0.35">
      <c r="A2534">
        <f t="shared" si="79"/>
        <v>2533</v>
      </c>
      <c r="B2534">
        <v>2016</v>
      </c>
      <c r="C2534" t="s">
        <v>109</v>
      </c>
      <c r="D2534" t="s">
        <v>45</v>
      </c>
      <c r="E2534" t="s">
        <v>1429</v>
      </c>
      <c r="F2534" s="2">
        <v>435</v>
      </c>
      <c r="G2534" s="2">
        <v>5</v>
      </c>
      <c r="H2534" t="s">
        <v>57</v>
      </c>
      <c r="I2534" t="s">
        <v>58</v>
      </c>
      <c r="J2534" s="11">
        <v>1025.3058652647699</v>
      </c>
      <c r="K2534" t="str">
        <f t="shared" si="78"/>
        <v>Jim Rogers</v>
      </c>
    </row>
    <row r="2535" spans="1:11" hidden="1" x14ac:dyDescent="0.35">
      <c r="A2535">
        <f t="shared" si="79"/>
        <v>2534</v>
      </c>
      <c r="B2535">
        <v>2016</v>
      </c>
      <c r="C2535" t="s">
        <v>109</v>
      </c>
      <c r="D2535" t="s">
        <v>45</v>
      </c>
      <c r="E2535" t="s">
        <v>1429</v>
      </c>
      <c r="F2535" s="2">
        <v>310</v>
      </c>
      <c r="G2535" s="2">
        <v>6</v>
      </c>
      <c r="H2535" t="s">
        <v>127</v>
      </c>
      <c r="I2535" t="s">
        <v>128</v>
      </c>
      <c r="J2535" s="11">
        <v>946.12461921714532</v>
      </c>
      <c r="K2535" t="str">
        <f t="shared" si="78"/>
        <v>Lee Ilagan</v>
      </c>
    </row>
    <row r="2536" spans="1:11" hidden="1" x14ac:dyDescent="0.35">
      <c r="A2536">
        <f t="shared" si="79"/>
        <v>2535</v>
      </c>
      <c r="B2536">
        <v>2016</v>
      </c>
      <c r="C2536" t="s">
        <v>109</v>
      </c>
      <c r="D2536" t="s">
        <v>45</v>
      </c>
      <c r="E2536" t="s">
        <v>1429</v>
      </c>
      <c r="F2536" s="2">
        <v>248</v>
      </c>
      <c r="G2536" s="2">
        <v>7</v>
      </c>
      <c r="H2536" t="s">
        <v>105</v>
      </c>
      <c r="I2536" t="s">
        <v>106</v>
      </c>
      <c r="J2536" s="11">
        <v>879.17782958653208</v>
      </c>
      <c r="K2536" t="str">
        <f t="shared" si="78"/>
        <v>Kenny Shei</v>
      </c>
    </row>
    <row r="2537" spans="1:11" hidden="1" x14ac:dyDescent="0.35">
      <c r="A2537">
        <f t="shared" si="79"/>
        <v>2536</v>
      </c>
      <c r="B2537">
        <v>2016</v>
      </c>
      <c r="C2537" t="s">
        <v>109</v>
      </c>
      <c r="D2537" t="s">
        <v>2277</v>
      </c>
      <c r="E2537" t="s">
        <v>1430</v>
      </c>
      <c r="F2537" s="2">
        <v>1280</v>
      </c>
      <c r="G2537" s="2">
        <v>1</v>
      </c>
      <c r="H2537" t="s">
        <v>21</v>
      </c>
      <c r="I2537" t="s">
        <v>463</v>
      </c>
      <c r="J2537" s="11">
        <v>1301.0299956639813</v>
      </c>
      <c r="K2537" t="str">
        <f t="shared" si="78"/>
        <v>Richard Bremer</v>
      </c>
    </row>
    <row r="2538" spans="1:11" hidden="1" x14ac:dyDescent="0.35">
      <c r="A2538">
        <f t="shared" si="79"/>
        <v>2537</v>
      </c>
      <c r="B2538">
        <v>2016</v>
      </c>
      <c r="C2538" t="s">
        <v>109</v>
      </c>
      <c r="D2538" t="s">
        <v>2277</v>
      </c>
      <c r="E2538" t="s">
        <v>1430</v>
      </c>
      <c r="F2538" s="2">
        <v>699</v>
      </c>
      <c r="G2538" s="2">
        <v>2</v>
      </c>
      <c r="H2538" t="s">
        <v>1437</v>
      </c>
      <c r="I2538" t="s">
        <v>44</v>
      </c>
      <c r="J2538" s="11">
        <v>1000</v>
      </c>
      <c r="K2538" t="str">
        <f t="shared" si="78"/>
        <v>Mike Fujita</v>
      </c>
    </row>
    <row r="2539" spans="1:11" hidden="1" x14ac:dyDescent="0.35">
      <c r="A2539">
        <f t="shared" si="79"/>
        <v>2538</v>
      </c>
      <c r="B2539">
        <v>2016</v>
      </c>
      <c r="C2539" t="s">
        <v>109</v>
      </c>
      <c r="D2539" t="s">
        <v>2277</v>
      </c>
      <c r="E2539" t="s">
        <v>1430</v>
      </c>
      <c r="F2539" s="2">
        <v>349</v>
      </c>
      <c r="G2539" s="2">
        <v>3</v>
      </c>
      <c r="H2539" t="s">
        <v>202</v>
      </c>
      <c r="I2539" t="s">
        <v>205</v>
      </c>
      <c r="J2539" s="11">
        <v>823.90874094431888</v>
      </c>
      <c r="K2539" t="str">
        <f t="shared" si="78"/>
        <v>Ron Lyons</v>
      </c>
    </row>
    <row r="2540" spans="1:11" hidden="1" x14ac:dyDescent="0.35">
      <c r="A2540">
        <f t="shared" si="79"/>
        <v>2539</v>
      </c>
      <c r="B2540">
        <v>2016</v>
      </c>
      <c r="C2540" t="s">
        <v>109</v>
      </c>
      <c r="D2540" t="s">
        <v>770</v>
      </c>
      <c r="E2540" t="s">
        <v>1430</v>
      </c>
      <c r="F2540" s="2">
        <v>1500</v>
      </c>
      <c r="G2540" s="2">
        <v>1</v>
      </c>
      <c r="H2540" t="s">
        <v>114</v>
      </c>
      <c r="I2540" t="s">
        <v>187</v>
      </c>
      <c r="J2540" s="11">
        <v>1698.9700043360187</v>
      </c>
      <c r="K2540" t="str">
        <f t="shared" si="78"/>
        <v>Joe Morrissette</v>
      </c>
    </row>
    <row r="2541" spans="1:11" hidden="1" x14ac:dyDescent="0.35">
      <c r="A2541">
        <f t="shared" si="79"/>
        <v>2540</v>
      </c>
      <c r="B2541">
        <v>2016</v>
      </c>
      <c r="C2541" t="s">
        <v>109</v>
      </c>
      <c r="D2541" t="s">
        <v>770</v>
      </c>
      <c r="E2541" t="s">
        <v>1430</v>
      </c>
      <c r="F2541" s="2">
        <v>1400</v>
      </c>
      <c r="G2541" s="2">
        <v>2</v>
      </c>
      <c r="H2541" t="s">
        <v>204</v>
      </c>
      <c r="I2541" t="s">
        <v>205</v>
      </c>
      <c r="J2541" s="11">
        <v>1397.9400086720375</v>
      </c>
      <c r="K2541" t="str">
        <f t="shared" si="78"/>
        <v>Ron Grossberg</v>
      </c>
    </row>
    <row r="2542" spans="1:11" hidden="1" x14ac:dyDescent="0.35">
      <c r="A2542">
        <f t="shared" si="79"/>
        <v>2541</v>
      </c>
      <c r="B2542">
        <v>2016</v>
      </c>
      <c r="C2542" t="s">
        <v>109</v>
      </c>
      <c r="D2542" t="s">
        <v>770</v>
      </c>
      <c r="E2542" t="s">
        <v>1430</v>
      </c>
      <c r="F2542" s="2">
        <v>1400</v>
      </c>
      <c r="G2542" s="2">
        <v>3</v>
      </c>
      <c r="H2542" t="s">
        <v>161</v>
      </c>
      <c r="I2542" t="s">
        <v>200</v>
      </c>
      <c r="J2542" s="11">
        <v>1221.8487496163564</v>
      </c>
      <c r="K2542" t="str">
        <f t="shared" si="78"/>
        <v>Rick Becker</v>
      </c>
    </row>
    <row r="2543" spans="1:11" hidden="1" x14ac:dyDescent="0.35">
      <c r="A2543">
        <f t="shared" si="79"/>
        <v>2542</v>
      </c>
      <c r="B2543">
        <v>2016</v>
      </c>
      <c r="C2543" t="s">
        <v>109</v>
      </c>
      <c r="D2543" t="s">
        <v>770</v>
      </c>
      <c r="E2543" t="s">
        <v>1430</v>
      </c>
      <c r="F2543" s="2">
        <v>524</v>
      </c>
      <c r="G2543" s="2">
        <v>4</v>
      </c>
      <c r="H2543" t="s">
        <v>366</v>
      </c>
      <c r="I2543" t="s">
        <v>61</v>
      </c>
      <c r="J2543" s="11">
        <v>1096.9100130080562</v>
      </c>
      <c r="K2543" t="str">
        <f t="shared" si="78"/>
        <v>Len Greenberg</v>
      </c>
    </row>
    <row r="2544" spans="1:11" hidden="1" x14ac:dyDescent="0.35">
      <c r="A2544">
        <f t="shared" si="79"/>
        <v>2543</v>
      </c>
      <c r="B2544">
        <v>2016</v>
      </c>
      <c r="C2544" t="s">
        <v>109</v>
      </c>
      <c r="D2544" t="s">
        <v>770</v>
      </c>
      <c r="E2544" t="s">
        <v>1430</v>
      </c>
      <c r="F2544" s="2">
        <v>407</v>
      </c>
      <c r="G2544" s="2">
        <v>5</v>
      </c>
      <c r="H2544" t="s">
        <v>116</v>
      </c>
      <c r="I2544" t="s">
        <v>489</v>
      </c>
      <c r="J2544" s="11">
        <v>999.99999999999989</v>
      </c>
      <c r="K2544" t="str">
        <f t="shared" si="78"/>
        <v>Donna Kracinovich</v>
      </c>
    </row>
    <row r="2545" spans="1:11" hidden="1" x14ac:dyDescent="0.35">
      <c r="A2545">
        <f t="shared" si="79"/>
        <v>2544</v>
      </c>
      <c r="B2545">
        <v>2016</v>
      </c>
      <c r="C2545" t="s">
        <v>109</v>
      </c>
      <c r="D2545" t="s">
        <v>770</v>
      </c>
      <c r="E2545" t="s">
        <v>1430</v>
      </c>
      <c r="F2545" s="2">
        <v>291</v>
      </c>
      <c r="G2545" s="2">
        <v>6</v>
      </c>
      <c r="H2545" t="s">
        <v>558</v>
      </c>
      <c r="I2545" t="s">
        <v>79</v>
      </c>
      <c r="J2545" s="11">
        <v>920.81875395237512</v>
      </c>
      <c r="K2545" t="str">
        <f t="shared" si="78"/>
        <v>Kevin Conlon</v>
      </c>
    </row>
    <row r="2546" spans="1:11" hidden="1" x14ac:dyDescent="0.35">
      <c r="A2546">
        <f t="shared" si="79"/>
        <v>2545</v>
      </c>
      <c r="B2546">
        <v>2016</v>
      </c>
      <c r="C2546" t="s">
        <v>109</v>
      </c>
      <c r="D2546" t="s">
        <v>770</v>
      </c>
      <c r="E2546" t="s">
        <v>1430</v>
      </c>
      <c r="F2546" s="2">
        <v>233</v>
      </c>
      <c r="G2546" s="2">
        <v>7</v>
      </c>
      <c r="H2546" t="s">
        <v>2285</v>
      </c>
      <c r="I2546" t="s">
        <v>2286</v>
      </c>
      <c r="J2546" s="11">
        <v>853.87196432176188</v>
      </c>
      <c r="K2546" t="str">
        <f t="shared" si="78"/>
        <v>Antoinett Pennington</v>
      </c>
    </row>
    <row r="2547" spans="1:11" hidden="1" x14ac:dyDescent="0.35">
      <c r="A2547">
        <f t="shared" si="79"/>
        <v>2546</v>
      </c>
      <c r="B2547">
        <v>2016</v>
      </c>
      <c r="C2547" t="s">
        <v>263</v>
      </c>
      <c r="D2547" t="s">
        <v>2297</v>
      </c>
      <c r="E2547" t="s">
        <v>1430</v>
      </c>
      <c r="F2547" s="2">
        <v>1552</v>
      </c>
      <c r="G2547" s="2">
        <v>1</v>
      </c>
      <c r="H2547" t="s">
        <v>2298</v>
      </c>
      <c r="I2547" t="s">
        <v>28</v>
      </c>
      <c r="J2547" s="11">
        <v>1819.5439355418687</v>
      </c>
      <c r="K2547" t="str">
        <f t="shared" si="78"/>
        <v>Chris Quan</v>
      </c>
    </row>
    <row r="2548" spans="1:11" hidden="1" x14ac:dyDescent="0.35">
      <c r="A2548">
        <f t="shared" si="79"/>
        <v>2547</v>
      </c>
      <c r="B2548">
        <v>2016</v>
      </c>
      <c r="C2548" t="s">
        <v>263</v>
      </c>
      <c r="D2548" t="s">
        <v>2297</v>
      </c>
      <c r="E2548" t="s">
        <v>1430</v>
      </c>
      <c r="F2548" s="2">
        <v>1150</v>
      </c>
      <c r="G2548" s="2">
        <v>2</v>
      </c>
      <c r="H2548" t="s">
        <v>204</v>
      </c>
      <c r="I2548" t="s">
        <v>205</v>
      </c>
      <c r="J2548" s="11">
        <v>1518.5139398778874</v>
      </c>
      <c r="K2548" t="str">
        <f t="shared" si="78"/>
        <v>Ron Grossberg</v>
      </c>
    </row>
    <row r="2549" spans="1:11" x14ac:dyDescent="0.35">
      <c r="A2549">
        <f t="shared" si="79"/>
        <v>2548</v>
      </c>
      <c r="B2549">
        <v>2016</v>
      </c>
      <c r="C2549" t="s">
        <v>263</v>
      </c>
      <c r="D2549" t="s">
        <v>2297</v>
      </c>
      <c r="E2549" t="s">
        <v>1430</v>
      </c>
      <c r="F2549" s="2">
        <v>860</v>
      </c>
      <c r="G2549" s="2">
        <v>3</v>
      </c>
      <c r="H2549" t="s">
        <v>313</v>
      </c>
      <c r="I2549" t="s">
        <v>314</v>
      </c>
      <c r="J2549" s="11">
        <v>1342.4226808222063</v>
      </c>
      <c r="K2549" t="str">
        <f t="shared" si="78"/>
        <v>Gerald Petersen</v>
      </c>
    </row>
    <row r="2550" spans="1:11" hidden="1" x14ac:dyDescent="0.35">
      <c r="A2550">
        <f t="shared" si="79"/>
        <v>2549</v>
      </c>
      <c r="B2550">
        <v>2016</v>
      </c>
      <c r="C2550" t="s">
        <v>263</v>
      </c>
      <c r="D2550" t="s">
        <v>2297</v>
      </c>
      <c r="E2550" t="s">
        <v>1430</v>
      </c>
      <c r="F2550" s="2">
        <v>690</v>
      </c>
      <c r="G2550" s="2">
        <v>4</v>
      </c>
      <c r="H2550" t="s">
        <v>600</v>
      </c>
      <c r="I2550" t="s">
        <v>142</v>
      </c>
      <c r="J2550" s="11">
        <v>1217.4839442139062</v>
      </c>
      <c r="K2550" t="str">
        <f t="shared" si="78"/>
        <v>Matt Grapenthien</v>
      </c>
    </row>
    <row r="2551" spans="1:11" hidden="1" x14ac:dyDescent="0.35">
      <c r="A2551">
        <f t="shared" si="79"/>
        <v>2550</v>
      </c>
      <c r="B2551">
        <v>2016</v>
      </c>
      <c r="C2551" t="s">
        <v>263</v>
      </c>
      <c r="D2551" t="s">
        <v>2297</v>
      </c>
      <c r="E2551" t="s">
        <v>1430</v>
      </c>
      <c r="F2551" s="2">
        <v>575</v>
      </c>
      <c r="G2551" s="2">
        <v>5</v>
      </c>
      <c r="H2551" t="s">
        <v>1507</v>
      </c>
      <c r="I2551" t="s">
        <v>153</v>
      </c>
      <c r="J2551" s="11">
        <v>1120.5739312058499</v>
      </c>
      <c r="K2551" t="str">
        <f t="shared" si="78"/>
        <v>Stephen Rokitka</v>
      </c>
    </row>
    <row r="2552" spans="1:11" hidden="1" x14ac:dyDescent="0.35">
      <c r="A2552">
        <f t="shared" si="79"/>
        <v>2551</v>
      </c>
      <c r="B2552">
        <v>2016</v>
      </c>
      <c r="C2552" t="s">
        <v>263</v>
      </c>
      <c r="D2552" t="s">
        <v>2297</v>
      </c>
      <c r="E2552" t="s">
        <v>1430</v>
      </c>
      <c r="F2552" s="2">
        <v>400</v>
      </c>
      <c r="G2552" s="2">
        <v>6</v>
      </c>
      <c r="H2552" t="s">
        <v>294</v>
      </c>
      <c r="I2552" t="s">
        <v>16</v>
      </c>
      <c r="J2552" s="11">
        <v>1041.392685158225</v>
      </c>
      <c r="K2552" t="str">
        <f t="shared" si="78"/>
        <v>David Low</v>
      </c>
    </row>
    <row r="2553" spans="1:11" hidden="1" x14ac:dyDescent="0.35">
      <c r="A2553">
        <f t="shared" si="79"/>
        <v>2552</v>
      </c>
      <c r="B2553">
        <v>2016</v>
      </c>
      <c r="C2553" t="s">
        <v>263</v>
      </c>
      <c r="D2553" t="s">
        <v>2297</v>
      </c>
      <c r="E2553" t="s">
        <v>1430</v>
      </c>
      <c r="F2553" s="2">
        <v>285</v>
      </c>
      <c r="G2553" s="2">
        <v>7</v>
      </c>
      <c r="H2553" t="s">
        <v>103</v>
      </c>
      <c r="I2553" t="s">
        <v>104</v>
      </c>
      <c r="J2553" s="11">
        <v>974.44589552761192</v>
      </c>
      <c r="K2553" t="str">
        <f t="shared" si="78"/>
        <v>Masanobu Fujioka</v>
      </c>
    </row>
    <row r="2554" spans="1:11" hidden="1" x14ac:dyDescent="0.35">
      <c r="A2554">
        <f t="shared" si="79"/>
        <v>2553</v>
      </c>
      <c r="B2554">
        <v>2016</v>
      </c>
      <c r="C2554" t="s">
        <v>263</v>
      </c>
      <c r="D2554" t="s">
        <v>2297</v>
      </c>
      <c r="E2554" t="s">
        <v>1430</v>
      </c>
      <c r="F2554" s="2">
        <v>230</v>
      </c>
      <c r="G2554" s="2">
        <v>8</v>
      </c>
      <c r="H2554" t="s">
        <v>2300</v>
      </c>
      <c r="I2554" t="s">
        <v>2301</v>
      </c>
      <c r="J2554" s="11">
        <v>916.45394854992526</v>
      </c>
      <c r="K2554" t="str">
        <f t="shared" si="78"/>
        <v>Blair Rodman</v>
      </c>
    </row>
    <row r="2555" spans="1:11" hidden="1" x14ac:dyDescent="0.35">
      <c r="A2555">
        <f t="shared" si="79"/>
        <v>2554</v>
      </c>
      <c r="B2555">
        <v>2016</v>
      </c>
      <c r="C2555" t="s">
        <v>263</v>
      </c>
      <c r="D2555" t="s">
        <v>2310</v>
      </c>
      <c r="E2555" t="s">
        <v>1432</v>
      </c>
      <c r="F2555" s="2">
        <v>510</v>
      </c>
      <c r="G2555" s="2">
        <v>1</v>
      </c>
      <c r="H2555" t="s">
        <v>2311</v>
      </c>
      <c r="I2555" t="s">
        <v>1393</v>
      </c>
      <c r="J2555" s="11">
        <v>1414.9733479708179</v>
      </c>
      <c r="K2555" t="str">
        <f t="shared" si="78"/>
        <v>Ira Wiedman</v>
      </c>
    </row>
    <row r="2556" spans="1:11" hidden="1" x14ac:dyDescent="0.35">
      <c r="A2556">
        <f t="shared" si="79"/>
        <v>2555</v>
      </c>
      <c r="B2556">
        <v>2016</v>
      </c>
      <c r="C2556" t="s">
        <v>263</v>
      </c>
      <c r="D2556" t="s">
        <v>2310</v>
      </c>
      <c r="E2556" t="s">
        <v>1432</v>
      </c>
      <c r="F2556" s="2">
        <v>345</v>
      </c>
      <c r="G2556" s="2">
        <v>2</v>
      </c>
      <c r="H2556" t="s">
        <v>148</v>
      </c>
      <c r="I2556" t="s">
        <v>149</v>
      </c>
      <c r="J2556" s="11">
        <v>1113.9433523068367</v>
      </c>
      <c r="K2556" t="str">
        <f t="shared" si="78"/>
        <v>Alex Ziselman</v>
      </c>
    </row>
    <row r="2557" spans="1:11" hidden="1" x14ac:dyDescent="0.35">
      <c r="A2557">
        <f t="shared" si="79"/>
        <v>2556</v>
      </c>
      <c r="B2557">
        <v>2016</v>
      </c>
      <c r="C2557" t="s">
        <v>263</v>
      </c>
      <c r="D2557" t="s">
        <v>2310</v>
      </c>
      <c r="E2557" t="s">
        <v>1432</v>
      </c>
      <c r="F2557" s="2">
        <v>245</v>
      </c>
      <c r="G2557" s="2">
        <v>3</v>
      </c>
      <c r="H2557" t="s">
        <v>266</v>
      </c>
      <c r="I2557" t="s">
        <v>28</v>
      </c>
      <c r="J2557" s="11">
        <v>937.85209325115557</v>
      </c>
      <c r="K2557" t="str">
        <f t="shared" si="78"/>
        <v>Chris Mecklin</v>
      </c>
    </row>
    <row r="2558" spans="1:11" hidden="1" x14ac:dyDescent="0.35">
      <c r="A2558">
        <f t="shared" si="79"/>
        <v>2557</v>
      </c>
      <c r="B2558">
        <v>2016</v>
      </c>
      <c r="C2558" t="s">
        <v>263</v>
      </c>
      <c r="D2558" t="s">
        <v>2310</v>
      </c>
      <c r="E2558" t="s">
        <v>1432</v>
      </c>
      <c r="F2558" s="2">
        <v>185</v>
      </c>
      <c r="G2558" s="2">
        <v>4</v>
      </c>
      <c r="H2558" t="s">
        <v>105</v>
      </c>
      <c r="I2558" t="s">
        <v>106</v>
      </c>
      <c r="J2558" s="11">
        <v>812.91335664285555</v>
      </c>
      <c r="K2558" t="str">
        <f t="shared" si="78"/>
        <v>Kenny Shei</v>
      </c>
    </row>
    <row r="2559" spans="1:11" hidden="1" x14ac:dyDescent="0.35">
      <c r="A2559">
        <f t="shared" si="79"/>
        <v>2558</v>
      </c>
      <c r="B2559">
        <v>2016</v>
      </c>
      <c r="C2559" t="s">
        <v>263</v>
      </c>
      <c r="D2559" t="s">
        <v>2310</v>
      </c>
      <c r="E2559" t="s">
        <v>1432</v>
      </c>
      <c r="F2559" s="2">
        <v>145</v>
      </c>
      <c r="G2559" s="2">
        <v>5</v>
      </c>
      <c r="H2559" t="s">
        <v>294</v>
      </c>
      <c r="I2559" t="s">
        <v>16</v>
      </c>
      <c r="J2559" s="11">
        <v>716.00334363479908</v>
      </c>
      <c r="K2559" t="str">
        <f t="shared" si="78"/>
        <v>David Low</v>
      </c>
    </row>
    <row r="2560" spans="1:11" hidden="1" x14ac:dyDescent="0.35">
      <c r="A2560">
        <f t="shared" si="79"/>
        <v>2559</v>
      </c>
      <c r="B2560">
        <v>2016</v>
      </c>
      <c r="C2560" t="s">
        <v>263</v>
      </c>
      <c r="D2560" t="s">
        <v>2303</v>
      </c>
      <c r="E2560" t="s">
        <v>1051</v>
      </c>
      <c r="F2560" s="2">
        <v>1286</v>
      </c>
      <c r="G2560" s="2">
        <v>1</v>
      </c>
      <c r="H2560" t="s">
        <v>31</v>
      </c>
      <c r="I2560" t="s">
        <v>16</v>
      </c>
      <c r="J2560" s="11">
        <v>1799.3405494535816</v>
      </c>
      <c r="K2560" t="str">
        <f t="shared" si="78"/>
        <v>David Aronson</v>
      </c>
    </row>
    <row r="2561" spans="1:11" hidden="1" x14ac:dyDescent="0.35">
      <c r="A2561">
        <f t="shared" si="79"/>
        <v>2560</v>
      </c>
      <c r="B2561">
        <v>2016</v>
      </c>
      <c r="C2561" t="s">
        <v>263</v>
      </c>
      <c r="D2561" t="s">
        <v>2303</v>
      </c>
      <c r="E2561" t="s">
        <v>1051</v>
      </c>
      <c r="F2561" s="2">
        <v>1285</v>
      </c>
      <c r="G2561" s="2">
        <v>2</v>
      </c>
      <c r="H2561" t="s">
        <v>294</v>
      </c>
      <c r="I2561" t="s">
        <v>16</v>
      </c>
      <c r="J2561" s="11">
        <v>1498.3105537896004</v>
      </c>
      <c r="K2561" t="str">
        <f t="shared" si="78"/>
        <v>David Low</v>
      </c>
    </row>
    <row r="2562" spans="1:11" hidden="1" x14ac:dyDescent="0.35">
      <c r="A2562">
        <f t="shared" si="79"/>
        <v>2561</v>
      </c>
      <c r="B2562">
        <v>2016</v>
      </c>
      <c r="C2562" t="s">
        <v>263</v>
      </c>
      <c r="D2562" t="s">
        <v>2303</v>
      </c>
      <c r="E2562" t="s">
        <v>1051</v>
      </c>
      <c r="F2562" s="2">
        <v>820</v>
      </c>
      <c r="G2562" s="2">
        <v>3</v>
      </c>
      <c r="H2562" t="s">
        <v>1504</v>
      </c>
      <c r="I2562" t="s">
        <v>85</v>
      </c>
      <c r="J2562" s="11">
        <v>1322.2192947339192</v>
      </c>
      <c r="K2562" t="str">
        <f t="shared" ref="K2562:K2625" si="80">I2562&amp;" "&amp;H2562</f>
        <v>Patrick Milligan</v>
      </c>
    </row>
    <row r="2563" spans="1:11" hidden="1" x14ac:dyDescent="0.35">
      <c r="A2563">
        <f t="shared" si="79"/>
        <v>2562</v>
      </c>
      <c r="B2563">
        <v>2016</v>
      </c>
      <c r="C2563" t="s">
        <v>263</v>
      </c>
      <c r="D2563" t="s">
        <v>2303</v>
      </c>
      <c r="E2563" t="s">
        <v>1051</v>
      </c>
      <c r="F2563" s="2">
        <v>660</v>
      </c>
      <c r="G2563" s="2">
        <v>4</v>
      </c>
      <c r="H2563" t="s">
        <v>21</v>
      </c>
      <c r="I2563" t="s">
        <v>463</v>
      </c>
      <c r="J2563" s="11">
        <v>1197.2805581256191</v>
      </c>
      <c r="K2563" t="str">
        <f t="shared" si="80"/>
        <v>Richard Bremer</v>
      </c>
    </row>
    <row r="2564" spans="1:11" hidden="1" x14ac:dyDescent="0.35">
      <c r="A2564">
        <f t="shared" ref="A2564:A2627" si="81">A2563+1</f>
        <v>2563</v>
      </c>
      <c r="B2564">
        <v>2016</v>
      </c>
      <c r="C2564" t="s">
        <v>263</v>
      </c>
      <c r="D2564" t="s">
        <v>2303</v>
      </c>
      <c r="E2564" t="s">
        <v>1051</v>
      </c>
      <c r="F2564" s="2">
        <v>550</v>
      </c>
      <c r="G2564" s="2">
        <v>5</v>
      </c>
      <c r="H2564" t="s">
        <v>35</v>
      </c>
      <c r="I2564" t="s">
        <v>36</v>
      </c>
      <c r="J2564" s="11">
        <v>1100.3705451175629</v>
      </c>
      <c r="K2564" t="str">
        <f t="shared" si="80"/>
        <v>Nolan Dalla</v>
      </c>
    </row>
    <row r="2565" spans="1:11" hidden="1" x14ac:dyDescent="0.35">
      <c r="A2565">
        <f t="shared" si="81"/>
        <v>2564</v>
      </c>
      <c r="B2565">
        <v>2016</v>
      </c>
      <c r="C2565" t="s">
        <v>263</v>
      </c>
      <c r="D2565" t="s">
        <v>2303</v>
      </c>
      <c r="E2565" t="s">
        <v>1051</v>
      </c>
      <c r="F2565" s="2">
        <v>385</v>
      </c>
      <c r="G2565" s="2">
        <v>6</v>
      </c>
      <c r="H2565" t="s">
        <v>543</v>
      </c>
      <c r="I2565" t="s">
        <v>67</v>
      </c>
      <c r="J2565" s="11">
        <v>1021.1892990699381</v>
      </c>
      <c r="K2565" t="str">
        <f t="shared" si="80"/>
        <v>Bob Herlien</v>
      </c>
    </row>
    <row r="2566" spans="1:11" hidden="1" x14ac:dyDescent="0.35">
      <c r="A2566">
        <f t="shared" si="81"/>
        <v>2565</v>
      </c>
      <c r="B2566">
        <v>2016</v>
      </c>
      <c r="C2566" t="s">
        <v>263</v>
      </c>
      <c r="D2566" t="s">
        <v>2303</v>
      </c>
      <c r="E2566" t="s">
        <v>1051</v>
      </c>
      <c r="F2566" s="2">
        <v>275</v>
      </c>
      <c r="G2566" s="2">
        <v>7</v>
      </c>
      <c r="H2566" t="s">
        <v>74</v>
      </c>
      <c r="I2566" t="s">
        <v>75</v>
      </c>
      <c r="J2566" s="11">
        <v>954.24250943932486</v>
      </c>
      <c r="K2566" t="str">
        <f t="shared" si="80"/>
        <v>Sabyl Landrum</v>
      </c>
    </row>
    <row r="2567" spans="1:11" hidden="1" x14ac:dyDescent="0.35">
      <c r="A2567">
        <f t="shared" si="81"/>
        <v>2566</v>
      </c>
      <c r="B2567">
        <v>2016</v>
      </c>
      <c r="C2567" t="s">
        <v>263</v>
      </c>
      <c r="D2567" t="s">
        <v>2303</v>
      </c>
      <c r="E2567" t="s">
        <v>1051</v>
      </c>
      <c r="F2567" s="2">
        <v>220</v>
      </c>
      <c r="G2567" s="2">
        <v>8</v>
      </c>
      <c r="H2567" t="s">
        <v>629</v>
      </c>
      <c r="I2567" t="s">
        <v>630</v>
      </c>
      <c r="J2567" s="11">
        <v>896.2505624616382</v>
      </c>
      <c r="K2567" t="str">
        <f t="shared" si="80"/>
        <v>Betty Tanenbaum</v>
      </c>
    </row>
    <row r="2568" spans="1:11" hidden="1" x14ac:dyDescent="0.35">
      <c r="A2568">
        <f t="shared" si="81"/>
        <v>2567</v>
      </c>
      <c r="B2568">
        <v>2016</v>
      </c>
      <c r="C2568" t="s">
        <v>263</v>
      </c>
      <c r="D2568" t="s">
        <v>1429</v>
      </c>
      <c r="E2568" t="s">
        <v>1429</v>
      </c>
      <c r="F2568" s="2">
        <v>3886</v>
      </c>
      <c r="G2568" s="2">
        <v>1</v>
      </c>
      <c r="H2568" t="s">
        <v>99</v>
      </c>
      <c r="I2568" t="s">
        <v>2500</v>
      </c>
      <c r="J2568" s="11">
        <v>2139.8790864012367</v>
      </c>
      <c r="K2568" t="str">
        <f t="shared" si="80"/>
        <v>Bex Kerl</v>
      </c>
    </row>
    <row r="2569" spans="1:11" hidden="1" x14ac:dyDescent="0.35">
      <c r="A2569">
        <f t="shared" si="81"/>
        <v>2568</v>
      </c>
      <c r="B2569">
        <v>2016</v>
      </c>
      <c r="C2569" t="s">
        <v>263</v>
      </c>
      <c r="D2569" t="s">
        <v>1429</v>
      </c>
      <c r="E2569" t="s">
        <v>1429</v>
      </c>
      <c r="F2569" s="2">
        <v>3385</v>
      </c>
      <c r="G2569" s="2">
        <v>2</v>
      </c>
      <c r="H2569" t="s">
        <v>220</v>
      </c>
      <c r="I2569" t="s">
        <v>221</v>
      </c>
      <c r="J2569" s="11">
        <v>1838.8490907372552</v>
      </c>
      <c r="K2569" t="str">
        <f t="shared" si="80"/>
        <v>Rodney Chen</v>
      </c>
    </row>
    <row r="2570" spans="1:11" hidden="1" x14ac:dyDescent="0.35">
      <c r="A2570">
        <f t="shared" si="81"/>
        <v>2569</v>
      </c>
      <c r="B2570">
        <v>2016</v>
      </c>
      <c r="C2570" t="s">
        <v>263</v>
      </c>
      <c r="D2570" t="s">
        <v>1429</v>
      </c>
      <c r="E2570" t="s">
        <v>1429</v>
      </c>
      <c r="F2570" s="2">
        <v>2320</v>
      </c>
      <c r="G2570" s="2">
        <v>3</v>
      </c>
      <c r="H2570" t="s">
        <v>148</v>
      </c>
      <c r="I2570" t="s">
        <v>149</v>
      </c>
      <c r="J2570" s="11">
        <v>1662.7578316815741</v>
      </c>
      <c r="K2570" t="str">
        <f t="shared" si="80"/>
        <v>Alex Ziselman</v>
      </c>
    </row>
    <row r="2571" spans="1:11" hidden="1" x14ac:dyDescent="0.35">
      <c r="A2571">
        <f t="shared" si="81"/>
        <v>2570</v>
      </c>
      <c r="B2571">
        <v>2016</v>
      </c>
      <c r="C2571" t="s">
        <v>263</v>
      </c>
      <c r="D2571" t="s">
        <v>1429</v>
      </c>
      <c r="E2571" t="s">
        <v>1429</v>
      </c>
      <c r="F2571" s="2">
        <v>1850</v>
      </c>
      <c r="G2571" s="2">
        <v>4</v>
      </c>
      <c r="H2571" t="s">
        <v>366</v>
      </c>
      <c r="I2571" t="s">
        <v>61</v>
      </c>
      <c r="J2571" s="11">
        <v>1537.819095073274</v>
      </c>
      <c r="K2571" t="str">
        <f t="shared" si="80"/>
        <v>Len Greenberg</v>
      </c>
    </row>
    <row r="2572" spans="1:11" hidden="1" x14ac:dyDescent="0.35">
      <c r="A2572">
        <f t="shared" si="81"/>
        <v>2571</v>
      </c>
      <c r="B2572">
        <v>2016</v>
      </c>
      <c r="C2572" t="s">
        <v>263</v>
      </c>
      <c r="D2572" t="s">
        <v>1429</v>
      </c>
      <c r="E2572" t="s">
        <v>1429</v>
      </c>
      <c r="F2572" s="2">
        <v>1345</v>
      </c>
      <c r="G2572" s="2">
        <v>5</v>
      </c>
      <c r="H2572" t="s">
        <v>1459</v>
      </c>
      <c r="I2572" t="s">
        <v>516</v>
      </c>
      <c r="J2572" s="11">
        <v>1440.9090820652177</v>
      </c>
      <c r="K2572" t="str">
        <f t="shared" si="80"/>
        <v>Erin Ramsay</v>
      </c>
    </row>
    <row r="2573" spans="1:11" hidden="1" x14ac:dyDescent="0.35">
      <c r="A2573">
        <f t="shared" si="81"/>
        <v>2572</v>
      </c>
      <c r="B2573">
        <v>2016</v>
      </c>
      <c r="C2573" t="s">
        <v>263</v>
      </c>
      <c r="D2573" t="s">
        <v>1429</v>
      </c>
      <c r="E2573" t="s">
        <v>1429</v>
      </c>
      <c r="F2573" s="2">
        <v>1010</v>
      </c>
      <c r="G2573" s="2">
        <v>6</v>
      </c>
      <c r="H2573" t="s">
        <v>1060</v>
      </c>
      <c r="I2573" t="s">
        <v>1962</v>
      </c>
      <c r="J2573" s="11">
        <v>1361.7278360175928</v>
      </c>
      <c r="K2573" t="str">
        <f t="shared" si="80"/>
        <v>Susan Abraham</v>
      </c>
    </row>
    <row r="2574" spans="1:11" hidden="1" x14ac:dyDescent="0.35">
      <c r="A2574">
        <f t="shared" si="81"/>
        <v>2573</v>
      </c>
      <c r="B2574">
        <v>2016</v>
      </c>
      <c r="C2574" t="s">
        <v>263</v>
      </c>
      <c r="D2574" t="s">
        <v>1429</v>
      </c>
      <c r="E2574" t="s">
        <v>1429</v>
      </c>
      <c r="F2574" s="2">
        <v>675</v>
      </c>
      <c r="G2574" s="2">
        <v>7</v>
      </c>
      <c r="H2574" t="s">
        <v>784</v>
      </c>
      <c r="I2574" t="s">
        <v>136</v>
      </c>
      <c r="J2574" s="11">
        <v>1294.7810463869796</v>
      </c>
      <c r="K2574" t="str">
        <f t="shared" si="80"/>
        <v>John Campbell</v>
      </c>
    </row>
    <row r="2575" spans="1:11" hidden="1" x14ac:dyDescent="0.35">
      <c r="A2575">
        <f t="shared" si="81"/>
        <v>2574</v>
      </c>
      <c r="B2575">
        <v>2016</v>
      </c>
      <c r="C2575" t="s">
        <v>263</v>
      </c>
      <c r="D2575" t="s">
        <v>1429</v>
      </c>
      <c r="E2575" t="s">
        <v>1429</v>
      </c>
      <c r="F2575" s="2">
        <v>505</v>
      </c>
      <c r="G2575" s="2">
        <v>8</v>
      </c>
      <c r="H2575" t="s">
        <v>37</v>
      </c>
      <c r="I2575" t="s">
        <v>38</v>
      </c>
      <c r="J2575" s="11">
        <v>1236.7890994092929</v>
      </c>
      <c r="K2575" t="str">
        <f t="shared" si="80"/>
        <v>Doug Grismore</v>
      </c>
    </row>
    <row r="2576" spans="1:11" hidden="1" x14ac:dyDescent="0.35">
      <c r="A2576">
        <f t="shared" si="81"/>
        <v>2575</v>
      </c>
      <c r="B2576">
        <v>2016</v>
      </c>
      <c r="C2576" t="s">
        <v>263</v>
      </c>
      <c r="D2576" t="s">
        <v>1429</v>
      </c>
      <c r="E2576" t="s">
        <v>1429</v>
      </c>
      <c r="F2576" s="2">
        <v>335</v>
      </c>
      <c r="G2576" s="2">
        <v>9</v>
      </c>
      <c r="H2576" t="s">
        <v>161</v>
      </c>
      <c r="I2576" t="s">
        <v>200</v>
      </c>
      <c r="J2576" s="11">
        <v>1185.6365769619117</v>
      </c>
      <c r="K2576" t="str">
        <f t="shared" si="80"/>
        <v>Rick Becker</v>
      </c>
    </row>
    <row r="2577" spans="1:11" hidden="1" x14ac:dyDescent="0.35">
      <c r="A2577">
        <f t="shared" si="81"/>
        <v>2576</v>
      </c>
      <c r="B2577">
        <v>2016</v>
      </c>
      <c r="C2577" t="s">
        <v>263</v>
      </c>
      <c r="D2577" t="s">
        <v>1429</v>
      </c>
      <c r="E2577" t="s">
        <v>1429</v>
      </c>
      <c r="F2577" s="2">
        <v>335</v>
      </c>
      <c r="G2577" s="2">
        <v>10</v>
      </c>
      <c r="H2577" t="s">
        <v>50</v>
      </c>
      <c r="I2577" t="s">
        <v>25</v>
      </c>
      <c r="J2577" s="11">
        <v>1139.8790864012365</v>
      </c>
      <c r="K2577" t="str">
        <f t="shared" si="80"/>
        <v>Russell Fox</v>
      </c>
    </row>
    <row r="2578" spans="1:11" hidden="1" x14ac:dyDescent="0.35">
      <c r="A2578">
        <f t="shared" si="81"/>
        <v>2577</v>
      </c>
      <c r="B2578">
        <v>2016</v>
      </c>
      <c r="C2578" t="s">
        <v>263</v>
      </c>
      <c r="D2578" t="s">
        <v>1429</v>
      </c>
      <c r="E2578" t="s">
        <v>1429</v>
      </c>
      <c r="F2578" s="2">
        <v>255</v>
      </c>
      <c r="G2578" s="2">
        <v>11</v>
      </c>
      <c r="H2578" t="s">
        <v>285</v>
      </c>
      <c r="I2578" t="s">
        <v>119</v>
      </c>
      <c r="J2578" s="11">
        <v>1098.4864012430114</v>
      </c>
      <c r="K2578" t="str">
        <f t="shared" si="80"/>
        <v>Peter Secor</v>
      </c>
    </row>
    <row r="2579" spans="1:11" hidden="1" x14ac:dyDescent="0.35">
      <c r="A2579">
        <f t="shared" si="81"/>
        <v>2578</v>
      </c>
      <c r="B2579">
        <v>2016</v>
      </c>
      <c r="C2579" t="s">
        <v>263</v>
      </c>
      <c r="D2579" t="s">
        <v>1429</v>
      </c>
      <c r="E2579" t="s">
        <v>1429</v>
      </c>
      <c r="F2579" s="2">
        <v>255</v>
      </c>
      <c r="G2579" s="2">
        <v>12</v>
      </c>
      <c r="H2579" t="s">
        <v>78</v>
      </c>
      <c r="I2579" t="s">
        <v>79</v>
      </c>
      <c r="J2579" s="11">
        <v>1060.6978403536116</v>
      </c>
      <c r="K2579" t="str">
        <f t="shared" si="80"/>
        <v>Kevin Knourek</v>
      </c>
    </row>
    <row r="2580" spans="1:11" hidden="1" x14ac:dyDescent="0.35">
      <c r="A2580">
        <f t="shared" si="81"/>
        <v>2579</v>
      </c>
      <c r="B2580">
        <v>2016</v>
      </c>
      <c r="C2580" t="s">
        <v>263</v>
      </c>
      <c r="D2580" t="s">
        <v>1429</v>
      </c>
      <c r="E2580" t="s">
        <v>1429</v>
      </c>
      <c r="F2580" s="2">
        <v>170</v>
      </c>
      <c r="G2580" s="2">
        <v>13</v>
      </c>
      <c r="H2580" t="s">
        <v>525</v>
      </c>
      <c r="I2580" t="s">
        <v>327</v>
      </c>
      <c r="J2580" s="11">
        <v>1025.9357340943998</v>
      </c>
      <c r="K2580" t="str">
        <f t="shared" si="80"/>
        <v>Carol Anderson</v>
      </c>
    </row>
    <row r="2581" spans="1:11" hidden="1" x14ac:dyDescent="0.35">
      <c r="A2581">
        <f t="shared" si="81"/>
        <v>2580</v>
      </c>
      <c r="B2581">
        <v>2016</v>
      </c>
      <c r="C2581" t="s">
        <v>263</v>
      </c>
      <c r="D2581" t="s">
        <v>1429</v>
      </c>
      <c r="E2581" t="s">
        <v>1429</v>
      </c>
      <c r="F2581" s="2">
        <v>170</v>
      </c>
      <c r="G2581" s="2">
        <v>14</v>
      </c>
      <c r="H2581" t="s">
        <v>277</v>
      </c>
      <c r="I2581" t="s">
        <v>16</v>
      </c>
      <c r="J2581" s="11">
        <v>993.75105072299857</v>
      </c>
      <c r="K2581" t="str">
        <f t="shared" si="80"/>
        <v>David Lawful</v>
      </c>
    </row>
    <row r="2582" spans="1:11" hidden="1" x14ac:dyDescent="0.35">
      <c r="A2582">
        <f t="shared" si="81"/>
        <v>2581</v>
      </c>
      <c r="B2582">
        <v>2016</v>
      </c>
      <c r="C2582" t="s">
        <v>263</v>
      </c>
      <c r="D2582" t="s">
        <v>1429</v>
      </c>
      <c r="E2582" t="s">
        <v>1429</v>
      </c>
      <c r="F2582" s="2">
        <v>170</v>
      </c>
      <c r="G2582" s="2">
        <v>15</v>
      </c>
      <c r="H2582" t="s">
        <v>118</v>
      </c>
      <c r="I2582" t="s">
        <v>415</v>
      </c>
      <c r="J2582" s="11">
        <v>963.78782734555512</v>
      </c>
      <c r="K2582" t="str">
        <f t="shared" si="80"/>
        <v>Pete Segal</v>
      </c>
    </row>
    <row r="2583" spans="1:11" hidden="1" x14ac:dyDescent="0.35">
      <c r="A2583">
        <f t="shared" si="81"/>
        <v>2582</v>
      </c>
      <c r="B2583">
        <v>2016</v>
      </c>
      <c r="C2583" t="s">
        <v>263</v>
      </c>
      <c r="D2583" t="s">
        <v>1429</v>
      </c>
      <c r="E2583" t="s">
        <v>1429</v>
      </c>
      <c r="F2583" s="2">
        <v>170</v>
      </c>
      <c r="G2583" s="2">
        <v>16</v>
      </c>
      <c r="H2583" t="s">
        <v>2317</v>
      </c>
      <c r="I2583" t="s">
        <v>799</v>
      </c>
      <c r="J2583" s="11">
        <v>935.75910374531168</v>
      </c>
      <c r="K2583" t="str">
        <f t="shared" si="80"/>
        <v>Martin Davidson</v>
      </c>
    </row>
    <row r="2584" spans="1:11" hidden="1" x14ac:dyDescent="0.35">
      <c r="A2584">
        <f t="shared" si="81"/>
        <v>2583</v>
      </c>
      <c r="B2584">
        <v>2016</v>
      </c>
      <c r="C2584" t="s">
        <v>263</v>
      </c>
      <c r="D2584" t="s">
        <v>2319</v>
      </c>
      <c r="E2584" t="s">
        <v>1429</v>
      </c>
      <c r="F2584" s="2">
        <v>365</v>
      </c>
      <c r="G2584" s="2">
        <v>1</v>
      </c>
      <c r="H2584" t="s">
        <v>251</v>
      </c>
      <c r="I2584" t="s">
        <v>252</v>
      </c>
      <c r="J2584" s="11">
        <v>1204.1199826559248</v>
      </c>
      <c r="K2584" t="str">
        <f t="shared" si="80"/>
        <v>Linda Lewis</v>
      </c>
    </row>
    <row r="2585" spans="1:11" hidden="1" x14ac:dyDescent="0.35">
      <c r="A2585">
        <f t="shared" si="81"/>
        <v>2584</v>
      </c>
      <c r="B2585">
        <v>2016</v>
      </c>
      <c r="C2585" t="s">
        <v>263</v>
      </c>
      <c r="D2585" t="s">
        <v>2319</v>
      </c>
      <c r="E2585" t="s">
        <v>1429</v>
      </c>
      <c r="F2585" s="2">
        <v>230</v>
      </c>
      <c r="G2585" s="2">
        <v>2</v>
      </c>
      <c r="H2585" t="s">
        <v>525</v>
      </c>
      <c r="I2585" t="s">
        <v>2320</v>
      </c>
      <c r="J2585" s="11">
        <v>903.08998699194353</v>
      </c>
      <c r="K2585" t="str">
        <f t="shared" si="80"/>
        <v>Jared Anderson</v>
      </c>
    </row>
    <row r="2586" spans="1:11" hidden="1" x14ac:dyDescent="0.35">
      <c r="A2586">
        <f t="shared" si="81"/>
        <v>2585</v>
      </c>
      <c r="B2586">
        <v>2016</v>
      </c>
      <c r="C2586" t="s">
        <v>263</v>
      </c>
      <c r="D2586" t="s">
        <v>2319</v>
      </c>
      <c r="E2586" t="s">
        <v>1429</v>
      </c>
      <c r="F2586" s="2">
        <v>160</v>
      </c>
      <c r="G2586" s="2">
        <v>3</v>
      </c>
      <c r="H2586" t="s">
        <v>204</v>
      </c>
      <c r="I2586" t="s">
        <v>205</v>
      </c>
      <c r="J2586" s="11">
        <v>726.99872793626241</v>
      </c>
      <c r="K2586" t="str">
        <f t="shared" si="80"/>
        <v>Ron Grossberg</v>
      </c>
    </row>
    <row r="2587" spans="1:11" hidden="1" x14ac:dyDescent="0.35">
      <c r="A2587">
        <f t="shared" si="81"/>
        <v>2586</v>
      </c>
      <c r="B2587">
        <v>2016</v>
      </c>
      <c r="C2587" t="s">
        <v>263</v>
      </c>
      <c r="D2587" t="s">
        <v>2319</v>
      </c>
      <c r="E2587" t="s">
        <v>1429</v>
      </c>
      <c r="F2587" s="2">
        <v>125</v>
      </c>
      <c r="G2587" s="2">
        <v>4</v>
      </c>
      <c r="H2587" t="s">
        <v>533</v>
      </c>
      <c r="I2587" t="s">
        <v>534</v>
      </c>
      <c r="J2587" s="11">
        <v>602.05999132796239</v>
      </c>
      <c r="K2587" t="str">
        <f t="shared" si="80"/>
        <v>Edmund Hack</v>
      </c>
    </row>
    <row r="2588" spans="1:11" hidden="1" x14ac:dyDescent="0.35">
      <c r="A2588">
        <f t="shared" si="81"/>
        <v>2587</v>
      </c>
      <c r="B2588">
        <v>2016</v>
      </c>
      <c r="C2588" t="s">
        <v>263</v>
      </c>
      <c r="D2588" t="s">
        <v>2295</v>
      </c>
      <c r="E2588" t="s">
        <v>1429</v>
      </c>
      <c r="F2588" s="2">
        <v>1410</v>
      </c>
      <c r="G2588" s="2">
        <v>1</v>
      </c>
      <c r="H2588" t="s">
        <v>90</v>
      </c>
      <c r="I2588" t="s">
        <v>22</v>
      </c>
      <c r="J2588" s="11">
        <v>1732.3937598229686</v>
      </c>
      <c r="K2588" t="str">
        <f t="shared" si="80"/>
        <v>Rich Strauss</v>
      </c>
    </row>
    <row r="2589" spans="1:11" hidden="1" x14ac:dyDescent="0.35">
      <c r="A2589">
        <f t="shared" si="81"/>
        <v>2588</v>
      </c>
      <c r="B2589">
        <v>2016</v>
      </c>
      <c r="C2589" t="s">
        <v>263</v>
      </c>
      <c r="D2589" t="s">
        <v>2295</v>
      </c>
      <c r="E2589" t="s">
        <v>1429</v>
      </c>
      <c r="F2589" s="2">
        <v>1080</v>
      </c>
      <c r="G2589" s="2">
        <v>2</v>
      </c>
      <c r="H2589" t="s">
        <v>692</v>
      </c>
      <c r="I2589" t="s">
        <v>200</v>
      </c>
      <c r="J2589" s="11">
        <v>1431.3637641589874</v>
      </c>
      <c r="K2589" t="str">
        <f t="shared" si="80"/>
        <v>Rick Monbourquette</v>
      </c>
    </row>
    <row r="2590" spans="1:11" hidden="1" x14ac:dyDescent="0.35">
      <c r="A2590">
        <f t="shared" si="81"/>
        <v>2589</v>
      </c>
      <c r="B2590">
        <v>2016</v>
      </c>
      <c r="C2590" t="s">
        <v>263</v>
      </c>
      <c r="D2590" t="s">
        <v>2295</v>
      </c>
      <c r="E2590" t="s">
        <v>1429</v>
      </c>
      <c r="F2590" s="2">
        <v>800</v>
      </c>
      <c r="G2590" s="2">
        <v>3</v>
      </c>
      <c r="H2590" t="s">
        <v>784</v>
      </c>
      <c r="I2590" t="s">
        <v>136</v>
      </c>
      <c r="J2590" s="11">
        <v>1255.2725051033062</v>
      </c>
      <c r="K2590" t="str">
        <f t="shared" si="80"/>
        <v>John Campbell</v>
      </c>
    </row>
    <row r="2591" spans="1:11" hidden="1" x14ac:dyDescent="0.35">
      <c r="A2591">
        <f t="shared" si="81"/>
        <v>2590</v>
      </c>
      <c r="B2591">
        <v>2016</v>
      </c>
      <c r="C2591" t="s">
        <v>263</v>
      </c>
      <c r="D2591" t="s">
        <v>2295</v>
      </c>
      <c r="E2591" t="s">
        <v>1429</v>
      </c>
      <c r="F2591" s="2">
        <v>610</v>
      </c>
      <c r="G2591" s="2">
        <v>4</v>
      </c>
      <c r="H2591" t="s">
        <v>1519</v>
      </c>
      <c r="I2591" t="s">
        <v>153</v>
      </c>
      <c r="J2591" s="11">
        <v>1130.3337684950061</v>
      </c>
      <c r="K2591" t="str">
        <f t="shared" si="80"/>
        <v>Stephen Blackstock</v>
      </c>
    </row>
    <row r="2592" spans="1:11" hidden="1" x14ac:dyDescent="0.35">
      <c r="A2592">
        <f t="shared" si="81"/>
        <v>2591</v>
      </c>
      <c r="B2592">
        <v>2016</v>
      </c>
      <c r="C2592" t="s">
        <v>263</v>
      </c>
      <c r="D2592" t="s">
        <v>2295</v>
      </c>
      <c r="E2592" t="s">
        <v>1429</v>
      </c>
      <c r="F2592" s="2">
        <v>470</v>
      </c>
      <c r="G2592" s="2">
        <v>5</v>
      </c>
      <c r="H2592" t="s">
        <v>103</v>
      </c>
      <c r="I2592" t="s">
        <v>104</v>
      </c>
      <c r="J2592" s="11">
        <v>1033.4237554869499</v>
      </c>
      <c r="K2592" t="str">
        <f t="shared" si="80"/>
        <v>Masanobu Fujioka</v>
      </c>
    </row>
    <row r="2593" spans="1:11" hidden="1" x14ac:dyDescent="0.35">
      <c r="A2593">
        <f t="shared" si="81"/>
        <v>2592</v>
      </c>
      <c r="B2593">
        <v>2016</v>
      </c>
      <c r="C2593" t="s">
        <v>263</v>
      </c>
      <c r="D2593" t="s">
        <v>2295</v>
      </c>
      <c r="E2593" t="s">
        <v>1429</v>
      </c>
      <c r="F2593" s="2">
        <v>328</v>
      </c>
      <c r="G2593" s="2">
        <v>6</v>
      </c>
      <c r="H2593" t="s">
        <v>266</v>
      </c>
      <c r="I2593" t="s">
        <v>28</v>
      </c>
      <c r="J2593" s="11">
        <v>954.24250943932498</v>
      </c>
      <c r="K2593" t="str">
        <f t="shared" si="80"/>
        <v>Chris Mecklin</v>
      </c>
    </row>
    <row r="2594" spans="1:11" hidden="1" x14ac:dyDescent="0.35">
      <c r="A2594">
        <f t="shared" si="81"/>
        <v>2593</v>
      </c>
      <c r="B2594">
        <v>2016</v>
      </c>
      <c r="C2594" t="s">
        <v>263</v>
      </c>
      <c r="D2594" t="s">
        <v>133</v>
      </c>
      <c r="E2594" t="s">
        <v>133</v>
      </c>
      <c r="F2594" s="2">
        <v>1981</v>
      </c>
      <c r="G2594" s="2">
        <v>1</v>
      </c>
      <c r="H2594" t="s">
        <v>111</v>
      </c>
      <c r="I2594" t="s">
        <v>16</v>
      </c>
      <c r="J2594" s="11">
        <v>1944.4826721501686</v>
      </c>
      <c r="K2594" t="str">
        <f t="shared" si="80"/>
        <v>David Fruchter</v>
      </c>
    </row>
    <row r="2595" spans="1:11" hidden="1" x14ac:dyDescent="0.35">
      <c r="A2595">
        <f t="shared" si="81"/>
        <v>2594</v>
      </c>
      <c r="B2595">
        <v>2016</v>
      </c>
      <c r="C2595" t="s">
        <v>263</v>
      </c>
      <c r="D2595" t="s">
        <v>133</v>
      </c>
      <c r="E2595" t="s">
        <v>133</v>
      </c>
      <c r="F2595" s="2">
        <v>1455</v>
      </c>
      <c r="G2595" s="2">
        <v>2</v>
      </c>
      <c r="H2595" t="s">
        <v>99</v>
      </c>
      <c r="I2595" t="s">
        <v>101</v>
      </c>
      <c r="J2595" s="11">
        <v>1643.4526764861873</v>
      </c>
      <c r="K2595" t="str">
        <f t="shared" si="80"/>
        <v>Dean Kerl</v>
      </c>
    </row>
    <row r="2596" spans="1:11" hidden="1" x14ac:dyDescent="0.35">
      <c r="A2596">
        <f t="shared" si="81"/>
        <v>2595</v>
      </c>
      <c r="B2596">
        <v>2016</v>
      </c>
      <c r="C2596" t="s">
        <v>263</v>
      </c>
      <c r="D2596" t="s">
        <v>133</v>
      </c>
      <c r="E2596" t="s">
        <v>133</v>
      </c>
      <c r="F2596" s="2">
        <v>1150</v>
      </c>
      <c r="G2596" s="2">
        <v>3</v>
      </c>
      <c r="H2596" t="s">
        <v>231</v>
      </c>
      <c r="I2596" t="s">
        <v>232</v>
      </c>
      <c r="J2596" s="11">
        <v>1467.3614174305062</v>
      </c>
      <c r="K2596" t="str">
        <f t="shared" si="80"/>
        <v>Adam Bachrach</v>
      </c>
    </row>
    <row r="2597" spans="1:11" hidden="1" x14ac:dyDescent="0.35">
      <c r="A2597">
        <f t="shared" si="81"/>
        <v>2596</v>
      </c>
      <c r="B2597">
        <v>2016</v>
      </c>
      <c r="C2597" t="s">
        <v>263</v>
      </c>
      <c r="D2597" t="s">
        <v>133</v>
      </c>
      <c r="E2597" t="s">
        <v>133</v>
      </c>
      <c r="F2597" s="2">
        <v>920</v>
      </c>
      <c r="G2597" s="2">
        <v>4</v>
      </c>
      <c r="H2597" t="s">
        <v>2305</v>
      </c>
      <c r="I2597" t="s">
        <v>2306</v>
      </c>
      <c r="J2597" s="11">
        <v>1342.4226808222061</v>
      </c>
      <c r="K2597" t="str">
        <f t="shared" si="80"/>
        <v>Randal Hennemuth</v>
      </c>
    </row>
    <row r="2598" spans="1:11" hidden="1" x14ac:dyDescent="0.35">
      <c r="A2598">
        <f t="shared" si="81"/>
        <v>2597</v>
      </c>
      <c r="B2598">
        <v>2016</v>
      </c>
      <c r="C2598" t="s">
        <v>263</v>
      </c>
      <c r="D2598" t="s">
        <v>133</v>
      </c>
      <c r="E2598" t="s">
        <v>133</v>
      </c>
      <c r="F2598" s="2">
        <v>690</v>
      </c>
      <c r="G2598" s="2">
        <v>5</v>
      </c>
      <c r="H2598" t="s">
        <v>86</v>
      </c>
      <c r="I2598" t="s">
        <v>271</v>
      </c>
      <c r="J2598" s="11">
        <v>1245.5126678141498</v>
      </c>
      <c r="K2598" t="str">
        <f t="shared" si="80"/>
        <v>Dan Goldman</v>
      </c>
    </row>
    <row r="2599" spans="1:11" hidden="1" x14ac:dyDescent="0.35">
      <c r="A2599">
        <f t="shared" si="81"/>
        <v>2598</v>
      </c>
      <c r="B2599">
        <v>2016</v>
      </c>
      <c r="C2599" t="s">
        <v>263</v>
      </c>
      <c r="D2599" t="s">
        <v>133</v>
      </c>
      <c r="E2599" t="s">
        <v>133</v>
      </c>
      <c r="F2599" s="2">
        <v>535</v>
      </c>
      <c r="G2599" s="2">
        <v>6</v>
      </c>
      <c r="H2599" t="s">
        <v>161</v>
      </c>
      <c r="I2599" t="s">
        <v>162</v>
      </c>
      <c r="J2599" s="11">
        <v>1166.331421766525</v>
      </c>
      <c r="K2599" t="str">
        <f t="shared" si="80"/>
        <v>Tracy Becker</v>
      </c>
    </row>
    <row r="2600" spans="1:11" hidden="1" x14ac:dyDescent="0.35">
      <c r="A2600">
        <f t="shared" si="81"/>
        <v>2599</v>
      </c>
      <c r="B2600">
        <v>2016</v>
      </c>
      <c r="C2600" t="s">
        <v>263</v>
      </c>
      <c r="D2600" t="s">
        <v>133</v>
      </c>
      <c r="E2600" t="s">
        <v>133</v>
      </c>
      <c r="F2600" s="2">
        <v>385</v>
      </c>
      <c r="G2600" s="2">
        <v>7</v>
      </c>
      <c r="H2600" t="s">
        <v>490</v>
      </c>
      <c r="I2600" t="s">
        <v>2308</v>
      </c>
      <c r="J2600" s="11">
        <v>1099.3846321359117</v>
      </c>
      <c r="K2600" t="str">
        <f t="shared" si="80"/>
        <v>Justin Hammer</v>
      </c>
    </row>
    <row r="2601" spans="1:11" hidden="1" x14ac:dyDescent="0.35">
      <c r="A2601">
        <f t="shared" si="81"/>
        <v>2600</v>
      </c>
      <c r="B2601">
        <v>2016</v>
      </c>
      <c r="C2601" t="s">
        <v>263</v>
      </c>
      <c r="D2601" t="s">
        <v>133</v>
      </c>
      <c r="E2601" t="s">
        <v>133</v>
      </c>
      <c r="F2601" s="2">
        <v>230</v>
      </c>
      <c r="G2601" s="2">
        <v>8</v>
      </c>
      <c r="H2601" t="s">
        <v>366</v>
      </c>
      <c r="I2601" t="s">
        <v>61</v>
      </c>
      <c r="J2601" s="11">
        <v>1041.392685158225</v>
      </c>
      <c r="K2601" t="str">
        <f t="shared" si="80"/>
        <v>Len Greenberg</v>
      </c>
    </row>
    <row r="2602" spans="1:11" hidden="1" x14ac:dyDescent="0.35">
      <c r="A2602">
        <f t="shared" si="81"/>
        <v>2601</v>
      </c>
      <c r="B2602">
        <v>2016</v>
      </c>
      <c r="C2602" t="s">
        <v>263</v>
      </c>
      <c r="D2602" t="s">
        <v>133</v>
      </c>
      <c r="E2602" t="s">
        <v>133</v>
      </c>
      <c r="F2602" s="2">
        <v>155</v>
      </c>
      <c r="G2602" s="2">
        <v>9</v>
      </c>
      <c r="H2602" t="s">
        <v>1172</v>
      </c>
      <c r="I2602" t="s">
        <v>11</v>
      </c>
      <c r="J2602" s="11">
        <v>990.24016271084383</v>
      </c>
      <c r="K2602" t="str">
        <f t="shared" si="80"/>
        <v>Paul Zuzelo</v>
      </c>
    </row>
    <row r="2603" spans="1:11" hidden="1" x14ac:dyDescent="0.35">
      <c r="A2603">
        <f t="shared" si="81"/>
        <v>2602</v>
      </c>
      <c r="B2603">
        <v>2016</v>
      </c>
      <c r="C2603" t="s">
        <v>263</v>
      </c>
      <c r="D2603" t="s">
        <v>133</v>
      </c>
      <c r="E2603" t="s">
        <v>133</v>
      </c>
      <c r="F2603" s="2">
        <v>155</v>
      </c>
      <c r="G2603" s="2">
        <v>10</v>
      </c>
      <c r="H2603" t="s">
        <v>537</v>
      </c>
      <c r="I2603" t="s">
        <v>538</v>
      </c>
      <c r="J2603" s="11">
        <v>944.4826721501687</v>
      </c>
      <c r="K2603" t="str">
        <f t="shared" si="80"/>
        <v>Cliff Matthews</v>
      </c>
    </row>
    <row r="2604" spans="1:11" hidden="1" x14ac:dyDescent="0.35">
      <c r="A2604">
        <f t="shared" si="81"/>
        <v>2603</v>
      </c>
      <c r="B2604">
        <v>2016</v>
      </c>
      <c r="C2604" t="s">
        <v>263</v>
      </c>
      <c r="D2604" t="s">
        <v>110</v>
      </c>
      <c r="E2604" t="s">
        <v>1430</v>
      </c>
      <c r="F2604" s="2">
        <v>2572</v>
      </c>
      <c r="G2604" s="2">
        <v>1</v>
      </c>
      <c r="H2604" t="s">
        <v>442</v>
      </c>
      <c r="I2604" t="s">
        <v>429</v>
      </c>
      <c r="J2604" s="11">
        <v>2068.1858617461617</v>
      </c>
      <c r="K2604" t="str">
        <f t="shared" si="80"/>
        <v>Mary Massey</v>
      </c>
    </row>
    <row r="2605" spans="1:11" hidden="1" x14ac:dyDescent="0.35">
      <c r="A2605">
        <f t="shared" si="81"/>
        <v>2604</v>
      </c>
      <c r="B2605">
        <v>2016</v>
      </c>
      <c r="C2605" t="s">
        <v>263</v>
      </c>
      <c r="D2605" t="s">
        <v>110</v>
      </c>
      <c r="E2605" t="s">
        <v>1430</v>
      </c>
      <c r="F2605" s="2">
        <v>2572</v>
      </c>
      <c r="G2605" s="2">
        <v>2</v>
      </c>
      <c r="H2605" t="s">
        <v>72</v>
      </c>
      <c r="I2605" t="s">
        <v>73</v>
      </c>
      <c r="J2605" s="11">
        <v>1767.1558660821804</v>
      </c>
      <c r="K2605" t="str">
        <f t="shared" si="80"/>
        <v>Corey Imsdahl</v>
      </c>
    </row>
    <row r="2606" spans="1:11" hidden="1" x14ac:dyDescent="0.35">
      <c r="A2606">
        <f t="shared" si="81"/>
        <v>2605</v>
      </c>
      <c r="B2606">
        <v>2016</v>
      </c>
      <c r="C2606" t="s">
        <v>263</v>
      </c>
      <c r="D2606" t="s">
        <v>110</v>
      </c>
      <c r="E2606" t="s">
        <v>1430</v>
      </c>
      <c r="F2606" s="2">
        <v>1670</v>
      </c>
      <c r="G2606" s="2">
        <v>3</v>
      </c>
      <c r="H2606" t="s">
        <v>70</v>
      </c>
      <c r="I2606" t="s">
        <v>71</v>
      </c>
      <c r="J2606" s="11">
        <v>1591.0646070264993</v>
      </c>
      <c r="K2606" t="str">
        <f t="shared" si="80"/>
        <v>Scott Byron</v>
      </c>
    </row>
    <row r="2607" spans="1:11" hidden="1" x14ac:dyDescent="0.35">
      <c r="A2607">
        <f t="shared" si="81"/>
        <v>2606</v>
      </c>
      <c r="B2607">
        <v>2016</v>
      </c>
      <c r="C2607" t="s">
        <v>263</v>
      </c>
      <c r="D2607" t="s">
        <v>110</v>
      </c>
      <c r="E2607" t="s">
        <v>1430</v>
      </c>
      <c r="F2607" s="2">
        <v>1325</v>
      </c>
      <c r="G2607" s="2">
        <v>4</v>
      </c>
      <c r="H2607" t="s">
        <v>380</v>
      </c>
      <c r="I2607" t="s">
        <v>381</v>
      </c>
      <c r="J2607" s="11">
        <v>1466.1258704181992</v>
      </c>
      <c r="K2607" t="str">
        <f t="shared" si="80"/>
        <v>Monte Christensen</v>
      </c>
    </row>
    <row r="2608" spans="1:11" hidden="1" x14ac:dyDescent="0.35">
      <c r="A2608">
        <f t="shared" si="81"/>
        <v>2607</v>
      </c>
      <c r="B2608">
        <v>2016</v>
      </c>
      <c r="C2608" t="s">
        <v>263</v>
      </c>
      <c r="D2608" t="s">
        <v>110</v>
      </c>
      <c r="E2608" t="s">
        <v>1430</v>
      </c>
      <c r="F2608" s="2">
        <v>1075</v>
      </c>
      <c r="G2608" s="2">
        <v>5</v>
      </c>
      <c r="H2608" t="s">
        <v>2313</v>
      </c>
      <c r="I2608" t="s">
        <v>1011</v>
      </c>
      <c r="J2608" s="11">
        <v>1369.2158574101429</v>
      </c>
      <c r="K2608" t="str">
        <f t="shared" si="80"/>
        <v>Barbara Zangaro</v>
      </c>
    </row>
    <row r="2609" spans="1:11" hidden="1" x14ac:dyDescent="0.35">
      <c r="A2609">
        <f t="shared" si="81"/>
        <v>2608</v>
      </c>
      <c r="B2609">
        <v>2016</v>
      </c>
      <c r="C2609" t="s">
        <v>263</v>
      </c>
      <c r="D2609" t="s">
        <v>110</v>
      </c>
      <c r="E2609" t="s">
        <v>1430</v>
      </c>
      <c r="F2609" s="2">
        <v>835</v>
      </c>
      <c r="G2609" s="2">
        <v>6</v>
      </c>
      <c r="H2609" t="s">
        <v>531</v>
      </c>
      <c r="I2609" t="s">
        <v>271</v>
      </c>
      <c r="J2609" s="11">
        <v>1290.034611362518</v>
      </c>
      <c r="K2609" t="str">
        <f t="shared" si="80"/>
        <v>Dan Nussbaum</v>
      </c>
    </row>
    <row r="2610" spans="1:11" hidden="1" x14ac:dyDescent="0.35">
      <c r="A2610">
        <f t="shared" si="81"/>
        <v>2609</v>
      </c>
      <c r="B2610">
        <v>2016</v>
      </c>
      <c r="C2610" t="s">
        <v>263</v>
      </c>
      <c r="D2610" t="s">
        <v>110</v>
      </c>
      <c r="E2610" t="s">
        <v>1430</v>
      </c>
      <c r="F2610" s="2">
        <v>594</v>
      </c>
      <c r="G2610" s="2">
        <v>7</v>
      </c>
      <c r="H2610" t="s">
        <v>2539</v>
      </c>
      <c r="I2610" t="s">
        <v>28</v>
      </c>
      <c r="J2610" s="11">
        <v>1223.0878217319048</v>
      </c>
      <c r="K2610" t="str">
        <f t="shared" si="80"/>
        <v>Chris O’Connor</v>
      </c>
    </row>
    <row r="2611" spans="1:11" hidden="1" x14ac:dyDescent="0.35">
      <c r="A2611">
        <f t="shared" si="81"/>
        <v>2610</v>
      </c>
      <c r="B2611">
        <v>2016</v>
      </c>
      <c r="C2611" t="s">
        <v>263</v>
      </c>
      <c r="D2611" t="s">
        <v>110</v>
      </c>
      <c r="E2611" t="s">
        <v>1430</v>
      </c>
      <c r="F2611" s="2">
        <v>360</v>
      </c>
      <c r="G2611" s="2">
        <v>8</v>
      </c>
      <c r="H2611" t="s">
        <v>299</v>
      </c>
      <c r="I2611" t="s">
        <v>300</v>
      </c>
      <c r="J2611" s="11">
        <v>1165.0958747542181</v>
      </c>
      <c r="K2611" t="str">
        <f t="shared" si="80"/>
        <v>Gillian Groves</v>
      </c>
    </row>
    <row r="2612" spans="1:11" hidden="1" x14ac:dyDescent="0.35">
      <c r="A2612">
        <f t="shared" si="81"/>
        <v>2611</v>
      </c>
      <c r="B2612">
        <v>2016</v>
      </c>
      <c r="C2612" t="s">
        <v>263</v>
      </c>
      <c r="D2612" t="s">
        <v>110</v>
      </c>
      <c r="E2612" t="s">
        <v>1430</v>
      </c>
      <c r="F2612" s="2">
        <v>240</v>
      </c>
      <c r="G2612" s="2">
        <v>9</v>
      </c>
      <c r="H2612" t="s">
        <v>482</v>
      </c>
      <c r="I2612" t="s">
        <v>410</v>
      </c>
      <c r="J2612" s="11">
        <v>1113.9433523068369</v>
      </c>
      <c r="K2612" t="str">
        <f t="shared" si="80"/>
        <v>Larry Bierman</v>
      </c>
    </row>
    <row r="2613" spans="1:11" hidden="1" x14ac:dyDescent="0.35">
      <c r="A2613">
        <f t="shared" si="81"/>
        <v>2612</v>
      </c>
      <c r="B2613">
        <v>2016</v>
      </c>
      <c r="C2613" t="s">
        <v>263</v>
      </c>
      <c r="D2613" t="s">
        <v>110</v>
      </c>
      <c r="E2613" t="s">
        <v>1430</v>
      </c>
      <c r="F2613" s="2">
        <v>240</v>
      </c>
      <c r="G2613" s="2">
        <v>10</v>
      </c>
      <c r="H2613" t="s">
        <v>394</v>
      </c>
      <c r="I2613" t="s">
        <v>1516</v>
      </c>
      <c r="J2613" s="11">
        <v>1068.1858617461617</v>
      </c>
      <c r="K2613" t="str">
        <f t="shared" si="80"/>
        <v>Lori Miller</v>
      </c>
    </row>
    <row r="2614" spans="1:11" hidden="1" x14ac:dyDescent="0.35">
      <c r="A2614">
        <f t="shared" si="81"/>
        <v>2613</v>
      </c>
      <c r="B2614">
        <v>2016</v>
      </c>
      <c r="C2614" t="s">
        <v>263</v>
      </c>
      <c r="D2614" t="s">
        <v>110</v>
      </c>
      <c r="E2614" t="s">
        <v>1430</v>
      </c>
      <c r="F2614" s="2">
        <v>180</v>
      </c>
      <c r="G2614" s="2">
        <v>11</v>
      </c>
      <c r="H2614" t="s">
        <v>1111</v>
      </c>
      <c r="I2614" t="s">
        <v>1112</v>
      </c>
      <c r="J2614" s="11">
        <v>1026.7931765879366</v>
      </c>
      <c r="K2614" t="str">
        <f t="shared" si="80"/>
        <v>Oliver Juang</v>
      </c>
    </row>
    <row r="2615" spans="1:11" hidden="1" x14ac:dyDescent="0.35">
      <c r="A2615">
        <f t="shared" si="81"/>
        <v>2614</v>
      </c>
      <c r="B2615">
        <v>2016</v>
      </c>
      <c r="C2615" t="s">
        <v>263</v>
      </c>
      <c r="D2615" t="s">
        <v>110</v>
      </c>
      <c r="E2615" t="s">
        <v>1430</v>
      </c>
      <c r="F2615" s="2">
        <v>180</v>
      </c>
      <c r="G2615" s="2">
        <v>12</v>
      </c>
      <c r="H2615" t="s">
        <v>95</v>
      </c>
      <c r="I2615" t="s">
        <v>71</v>
      </c>
      <c r="J2615" s="11">
        <v>989.00461569853678</v>
      </c>
      <c r="K2615" t="str">
        <f t="shared" si="80"/>
        <v>Scott Samarel</v>
      </c>
    </row>
    <row r="2616" spans="1:11" hidden="1" x14ac:dyDescent="0.35">
      <c r="A2616">
        <f t="shared" si="81"/>
        <v>2615</v>
      </c>
      <c r="B2616">
        <v>2016</v>
      </c>
      <c r="C2616" t="s">
        <v>263</v>
      </c>
      <c r="D2616" t="s">
        <v>110</v>
      </c>
      <c r="E2616" t="s">
        <v>1430</v>
      </c>
      <c r="F2616" s="2">
        <v>100</v>
      </c>
      <c r="G2616" s="2">
        <v>13</v>
      </c>
      <c r="H2616" t="s">
        <v>287</v>
      </c>
      <c r="I2616" t="s">
        <v>125</v>
      </c>
      <c r="J2616" s="11">
        <v>954.24250943932498</v>
      </c>
      <c r="K2616" t="str">
        <f t="shared" si="80"/>
        <v>Ronald Nutt</v>
      </c>
    </row>
    <row r="2617" spans="1:11" hidden="1" x14ac:dyDescent="0.35">
      <c r="A2617">
        <f t="shared" si="81"/>
        <v>2616</v>
      </c>
      <c r="B2617">
        <v>2016</v>
      </c>
      <c r="C2617" t="s">
        <v>263</v>
      </c>
      <c r="D2617" t="s">
        <v>2304</v>
      </c>
      <c r="E2617" t="s">
        <v>1430</v>
      </c>
      <c r="F2617" s="2">
        <v>460</v>
      </c>
      <c r="G2617" s="2">
        <v>1</v>
      </c>
      <c r="H2617" t="s">
        <v>514</v>
      </c>
      <c r="I2617" t="s">
        <v>515</v>
      </c>
      <c r="J2617" s="11">
        <v>1397.9400086720377</v>
      </c>
      <c r="K2617" t="str">
        <f t="shared" si="80"/>
        <v>Darlene Springman</v>
      </c>
    </row>
    <row r="2618" spans="1:11" hidden="1" x14ac:dyDescent="0.35">
      <c r="A2618">
        <f t="shared" si="81"/>
        <v>2617</v>
      </c>
      <c r="B2618">
        <v>2016</v>
      </c>
      <c r="C2618" t="s">
        <v>263</v>
      </c>
      <c r="D2618" t="s">
        <v>2304</v>
      </c>
      <c r="E2618" t="s">
        <v>1430</v>
      </c>
      <c r="F2618" s="2">
        <v>305</v>
      </c>
      <c r="G2618" s="2">
        <v>2</v>
      </c>
      <c r="H2618" t="s">
        <v>251</v>
      </c>
      <c r="I2618" t="s">
        <v>252</v>
      </c>
      <c r="J2618" s="11">
        <v>1096.9100130080565</v>
      </c>
      <c r="K2618" t="str">
        <f t="shared" si="80"/>
        <v>Linda Lewis</v>
      </c>
    </row>
    <row r="2619" spans="1:11" hidden="1" x14ac:dyDescent="0.35">
      <c r="A2619">
        <f t="shared" si="81"/>
        <v>2618</v>
      </c>
      <c r="B2619">
        <v>2016</v>
      </c>
      <c r="C2619" t="s">
        <v>263</v>
      </c>
      <c r="D2619" t="s">
        <v>2304</v>
      </c>
      <c r="E2619" t="s">
        <v>1430</v>
      </c>
      <c r="F2619" s="2">
        <v>215</v>
      </c>
      <c r="G2619" s="2">
        <v>3</v>
      </c>
      <c r="H2619" t="s">
        <v>211</v>
      </c>
      <c r="I2619" t="s">
        <v>187</v>
      </c>
      <c r="J2619" s="11">
        <v>920.81875395237535</v>
      </c>
      <c r="K2619" t="str">
        <f t="shared" si="80"/>
        <v>Joe Long</v>
      </c>
    </row>
    <row r="2620" spans="1:11" hidden="1" x14ac:dyDescent="0.35">
      <c r="A2620">
        <f t="shared" si="81"/>
        <v>2619</v>
      </c>
      <c r="B2620">
        <v>2016</v>
      </c>
      <c r="C2620" t="s">
        <v>263</v>
      </c>
      <c r="D2620" t="s">
        <v>2304</v>
      </c>
      <c r="E2620" t="s">
        <v>1430</v>
      </c>
      <c r="F2620" s="2">
        <v>165</v>
      </c>
      <c r="G2620" s="2">
        <v>4</v>
      </c>
      <c r="H2620" t="s">
        <v>266</v>
      </c>
      <c r="I2620" t="s">
        <v>28</v>
      </c>
      <c r="J2620" s="11">
        <v>795.88001734407533</v>
      </c>
      <c r="K2620" t="str">
        <f t="shared" si="80"/>
        <v>Chris Mecklin</v>
      </c>
    </row>
    <row r="2621" spans="1:11" hidden="1" x14ac:dyDescent="0.35">
      <c r="A2621">
        <f t="shared" si="81"/>
        <v>2620</v>
      </c>
      <c r="B2621">
        <v>2016</v>
      </c>
      <c r="C2621" t="s">
        <v>263</v>
      </c>
      <c r="D2621" t="s">
        <v>2304</v>
      </c>
      <c r="E2621" t="s">
        <v>1430</v>
      </c>
      <c r="F2621" s="2">
        <v>130</v>
      </c>
      <c r="G2621" s="2">
        <v>5</v>
      </c>
      <c r="H2621" t="s">
        <v>55</v>
      </c>
      <c r="I2621" t="s">
        <v>56</v>
      </c>
      <c r="J2621" s="11">
        <v>698.97000433601886</v>
      </c>
      <c r="K2621" t="str">
        <f t="shared" si="80"/>
        <v>Brandon Gerson</v>
      </c>
    </row>
    <row r="2622" spans="1:11" hidden="1" x14ac:dyDescent="0.35">
      <c r="A2622">
        <f t="shared" si="81"/>
        <v>2621</v>
      </c>
      <c r="B2622">
        <v>2016</v>
      </c>
      <c r="C2622" t="s">
        <v>263</v>
      </c>
      <c r="D2622" t="s">
        <v>2304</v>
      </c>
      <c r="E2622" t="s">
        <v>1430</v>
      </c>
      <c r="F2622" s="2">
        <v>100</v>
      </c>
      <c r="G2622" s="2">
        <v>6</v>
      </c>
      <c r="H2622" t="s">
        <v>600</v>
      </c>
      <c r="I2622" t="s">
        <v>142</v>
      </c>
      <c r="J2622" s="11">
        <v>619.78875828839409</v>
      </c>
      <c r="K2622" t="str">
        <f t="shared" si="80"/>
        <v>Matt Grapenthien</v>
      </c>
    </row>
    <row r="2623" spans="1:11" hidden="1" x14ac:dyDescent="0.35">
      <c r="A2623">
        <f t="shared" si="81"/>
        <v>2622</v>
      </c>
      <c r="B2623">
        <v>2016</v>
      </c>
      <c r="C2623" t="s">
        <v>68</v>
      </c>
      <c r="D2623" t="s">
        <v>2276</v>
      </c>
      <c r="E2623" t="s">
        <v>133</v>
      </c>
      <c r="F2623" s="2">
        <v>890</v>
      </c>
      <c r="G2623" s="2">
        <v>1</v>
      </c>
      <c r="H2623" t="s">
        <v>204</v>
      </c>
      <c r="I2623" t="s">
        <v>205</v>
      </c>
      <c r="J2623" s="11">
        <v>1518.5139398778874</v>
      </c>
      <c r="K2623" t="str">
        <f t="shared" si="80"/>
        <v>Ron Grossberg</v>
      </c>
    </row>
    <row r="2624" spans="1:11" hidden="1" x14ac:dyDescent="0.35">
      <c r="A2624">
        <f t="shared" si="81"/>
        <v>2623</v>
      </c>
      <c r="B2624">
        <v>2016</v>
      </c>
      <c r="C2624" t="s">
        <v>68</v>
      </c>
      <c r="D2624" t="s">
        <v>2276</v>
      </c>
      <c r="E2624" t="s">
        <v>133</v>
      </c>
      <c r="F2624" s="2">
        <v>595</v>
      </c>
      <c r="G2624" s="2">
        <v>2</v>
      </c>
      <c r="H2624" t="s">
        <v>211</v>
      </c>
      <c r="I2624" t="s">
        <v>187</v>
      </c>
      <c r="J2624" s="11">
        <v>1217.4839442139062</v>
      </c>
      <c r="K2624" t="str">
        <f t="shared" si="80"/>
        <v>Joe Long</v>
      </c>
    </row>
    <row r="2625" spans="1:11" hidden="1" x14ac:dyDescent="0.35">
      <c r="A2625">
        <f t="shared" si="81"/>
        <v>2624</v>
      </c>
      <c r="B2625">
        <v>2016</v>
      </c>
      <c r="C2625" t="s">
        <v>68</v>
      </c>
      <c r="D2625" t="s">
        <v>2276</v>
      </c>
      <c r="E2625" t="s">
        <v>133</v>
      </c>
      <c r="F2625" s="2">
        <v>420</v>
      </c>
      <c r="G2625" s="2">
        <v>3</v>
      </c>
      <c r="H2625" t="s">
        <v>105</v>
      </c>
      <c r="I2625" t="s">
        <v>106</v>
      </c>
      <c r="J2625" s="11">
        <v>1041.392685158225</v>
      </c>
      <c r="K2625" t="str">
        <f t="shared" si="80"/>
        <v>Kenny Shei</v>
      </c>
    </row>
    <row r="2626" spans="1:11" hidden="1" x14ac:dyDescent="0.35">
      <c r="A2626">
        <f t="shared" si="81"/>
        <v>2625</v>
      </c>
      <c r="B2626">
        <v>2016</v>
      </c>
      <c r="C2626" t="s">
        <v>68</v>
      </c>
      <c r="D2626" t="s">
        <v>2276</v>
      </c>
      <c r="E2626" t="s">
        <v>133</v>
      </c>
      <c r="F2626" s="2">
        <v>320</v>
      </c>
      <c r="G2626" s="2">
        <v>4</v>
      </c>
      <c r="H2626" t="s">
        <v>1172</v>
      </c>
      <c r="I2626" t="s">
        <v>11</v>
      </c>
      <c r="J2626" s="11">
        <v>916.45394854992514</v>
      </c>
      <c r="K2626" t="str">
        <f t="shared" ref="K2626:K2689" si="82">I2626&amp;" "&amp;H2626</f>
        <v>Paul Zuzelo</v>
      </c>
    </row>
    <row r="2627" spans="1:11" hidden="1" x14ac:dyDescent="0.35">
      <c r="A2627">
        <f t="shared" si="81"/>
        <v>2626</v>
      </c>
      <c r="B2627">
        <v>2016</v>
      </c>
      <c r="C2627" t="s">
        <v>68</v>
      </c>
      <c r="D2627" t="s">
        <v>2276</v>
      </c>
      <c r="E2627" t="s">
        <v>133</v>
      </c>
      <c r="F2627" s="2">
        <v>250</v>
      </c>
      <c r="G2627" s="2">
        <v>5</v>
      </c>
      <c r="H2627" t="s">
        <v>396</v>
      </c>
      <c r="I2627" t="s">
        <v>397</v>
      </c>
      <c r="J2627" s="11">
        <v>819.54393554186868</v>
      </c>
      <c r="K2627" t="str">
        <f t="shared" si="82"/>
        <v>Asya Kamsky</v>
      </c>
    </row>
    <row r="2628" spans="1:11" hidden="1" x14ac:dyDescent="0.35">
      <c r="A2628">
        <f t="shared" ref="A2628:A2691" si="83">A2627+1</f>
        <v>2627</v>
      </c>
      <c r="B2628">
        <v>2016</v>
      </c>
      <c r="C2628" t="s">
        <v>68</v>
      </c>
      <c r="D2628" t="s">
        <v>91</v>
      </c>
      <c r="E2628" t="s">
        <v>1432</v>
      </c>
      <c r="F2628" s="2">
        <v>935</v>
      </c>
      <c r="G2628" s="2">
        <v>1</v>
      </c>
      <c r="H2628" t="s">
        <v>88</v>
      </c>
      <c r="I2628" t="s">
        <v>89</v>
      </c>
      <c r="J2628" s="11">
        <v>1623.2492903979005</v>
      </c>
      <c r="K2628" t="str">
        <f t="shared" si="82"/>
        <v>Ken Kubey</v>
      </c>
    </row>
    <row r="2629" spans="1:11" hidden="1" x14ac:dyDescent="0.35">
      <c r="A2629">
        <f t="shared" si="83"/>
        <v>2628</v>
      </c>
      <c r="B2629">
        <v>2016</v>
      </c>
      <c r="C2629" t="s">
        <v>68</v>
      </c>
      <c r="D2629" t="s">
        <v>91</v>
      </c>
      <c r="E2629" t="s">
        <v>1432</v>
      </c>
      <c r="F2629" s="2">
        <v>715</v>
      </c>
      <c r="G2629" s="2">
        <v>2</v>
      </c>
      <c r="H2629" t="s">
        <v>2281</v>
      </c>
      <c r="I2629" t="s">
        <v>2282</v>
      </c>
      <c r="J2629" s="11">
        <v>1322.2192947339192</v>
      </c>
      <c r="K2629" t="str">
        <f t="shared" si="82"/>
        <v>Diana Mercer</v>
      </c>
    </row>
    <row r="2630" spans="1:11" hidden="1" x14ac:dyDescent="0.35">
      <c r="A2630">
        <f t="shared" si="83"/>
        <v>2629</v>
      </c>
      <c r="B2630">
        <v>2016</v>
      </c>
      <c r="C2630" t="s">
        <v>68</v>
      </c>
      <c r="D2630" t="s">
        <v>91</v>
      </c>
      <c r="E2630" t="s">
        <v>1432</v>
      </c>
      <c r="F2630" s="2">
        <v>525</v>
      </c>
      <c r="G2630" s="2">
        <v>3</v>
      </c>
      <c r="H2630" t="s">
        <v>266</v>
      </c>
      <c r="I2630" t="s">
        <v>28</v>
      </c>
      <c r="J2630" s="11">
        <v>1146.1280356782381</v>
      </c>
      <c r="K2630" t="str">
        <f t="shared" si="82"/>
        <v>Chris Mecklin</v>
      </c>
    </row>
    <row r="2631" spans="1:11" hidden="1" x14ac:dyDescent="0.35">
      <c r="A2631">
        <f t="shared" si="83"/>
        <v>2630</v>
      </c>
      <c r="B2631">
        <v>2016</v>
      </c>
      <c r="C2631" t="s">
        <v>68</v>
      </c>
      <c r="D2631" t="s">
        <v>91</v>
      </c>
      <c r="E2631" t="s">
        <v>1432</v>
      </c>
      <c r="F2631" s="2">
        <v>400</v>
      </c>
      <c r="G2631" s="2">
        <v>4</v>
      </c>
      <c r="H2631" t="s">
        <v>302</v>
      </c>
      <c r="I2631" t="s">
        <v>81</v>
      </c>
      <c r="J2631" s="11">
        <v>1021.1892990699382</v>
      </c>
      <c r="K2631" t="str">
        <f t="shared" si="82"/>
        <v>Don Rieck</v>
      </c>
    </row>
    <row r="2632" spans="1:11" hidden="1" x14ac:dyDescent="0.35">
      <c r="A2632">
        <f t="shared" si="83"/>
        <v>2631</v>
      </c>
      <c r="B2632">
        <v>2016</v>
      </c>
      <c r="C2632" t="s">
        <v>68</v>
      </c>
      <c r="D2632" t="s">
        <v>91</v>
      </c>
      <c r="E2632" t="s">
        <v>1432</v>
      </c>
      <c r="F2632" s="2">
        <v>305</v>
      </c>
      <c r="G2632" s="2">
        <v>5</v>
      </c>
      <c r="H2632" t="s">
        <v>1177</v>
      </c>
      <c r="I2632" t="s">
        <v>717</v>
      </c>
      <c r="J2632" s="11">
        <v>924.27928606188175</v>
      </c>
      <c r="K2632" t="str">
        <f t="shared" si="82"/>
        <v>Ben Gamble</v>
      </c>
    </row>
    <row r="2633" spans="1:11" hidden="1" x14ac:dyDescent="0.35">
      <c r="A2633">
        <f t="shared" si="83"/>
        <v>2632</v>
      </c>
      <c r="B2633">
        <v>2016</v>
      </c>
      <c r="C2633" t="s">
        <v>68</v>
      </c>
      <c r="D2633" t="s">
        <v>91</v>
      </c>
      <c r="E2633" t="s">
        <v>1432</v>
      </c>
      <c r="F2633" s="2">
        <v>210</v>
      </c>
      <c r="G2633" s="2">
        <v>6</v>
      </c>
      <c r="H2633" t="s">
        <v>545</v>
      </c>
      <c r="I2633" t="s">
        <v>425</v>
      </c>
      <c r="J2633" s="11">
        <v>845.09804001425687</v>
      </c>
      <c r="K2633" t="str">
        <f t="shared" si="82"/>
        <v>Tony Goldstein</v>
      </c>
    </row>
    <row r="2634" spans="1:11" hidden="1" x14ac:dyDescent="0.35">
      <c r="A2634">
        <f t="shared" si="83"/>
        <v>2633</v>
      </c>
      <c r="B2634">
        <v>2016</v>
      </c>
      <c r="C2634" t="s">
        <v>68</v>
      </c>
      <c r="D2634" t="s">
        <v>91</v>
      </c>
      <c r="E2634" t="s">
        <v>1432</v>
      </c>
      <c r="F2634" s="2">
        <v>60</v>
      </c>
      <c r="G2634" s="2">
        <v>7</v>
      </c>
      <c r="H2634" t="s">
        <v>99</v>
      </c>
      <c r="I2634" t="s">
        <v>101</v>
      </c>
      <c r="J2634" s="11">
        <v>778.15125038364374</v>
      </c>
      <c r="K2634" t="str">
        <f t="shared" si="82"/>
        <v>Dean Kerl</v>
      </c>
    </row>
    <row r="2635" spans="1:11" hidden="1" x14ac:dyDescent="0.35">
      <c r="A2635">
        <f t="shared" si="83"/>
        <v>2634</v>
      </c>
      <c r="B2635">
        <v>2016</v>
      </c>
      <c r="C2635" t="s">
        <v>68</v>
      </c>
      <c r="D2635" t="s">
        <v>45</v>
      </c>
      <c r="E2635" t="s">
        <v>1429</v>
      </c>
      <c r="F2635" s="2">
        <v>1505</v>
      </c>
      <c r="G2635" s="2">
        <v>1</v>
      </c>
      <c r="H2635" t="s">
        <v>251</v>
      </c>
      <c r="I2635" t="s">
        <v>252</v>
      </c>
      <c r="J2635" s="11">
        <v>1690.1960800285137</v>
      </c>
      <c r="K2635" t="str">
        <f t="shared" si="82"/>
        <v>Linda Lewis</v>
      </c>
    </row>
    <row r="2636" spans="1:11" hidden="1" x14ac:dyDescent="0.35">
      <c r="A2636">
        <f t="shared" si="83"/>
        <v>2635</v>
      </c>
      <c r="B2636">
        <v>2016</v>
      </c>
      <c r="C2636" t="s">
        <v>68</v>
      </c>
      <c r="D2636" t="s">
        <v>45</v>
      </c>
      <c r="E2636" t="s">
        <v>1429</v>
      </c>
      <c r="F2636" s="2">
        <v>1120</v>
      </c>
      <c r="G2636" s="2">
        <v>2</v>
      </c>
      <c r="H2636" t="s">
        <v>99</v>
      </c>
      <c r="I2636" t="s">
        <v>101</v>
      </c>
      <c r="J2636" s="11">
        <v>1389.1660843645325</v>
      </c>
      <c r="K2636" t="str">
        <f t="shared" si="82"/>
        <v>Dean Kerl</v>
      </c>
    </row>
    <row r="2637" spans="1:11" hidden="1" x14ac:dyDescent="0.35">
      <c r="A2637">
        <f t="shared" si="83"/>
        <v>2636</v>
      </c>
      <c r="B2637">
        <v>2016</v>
      </c>
      <c r="C2637" t="s">
        <v>68</v>
      </c>
      <c r="D2637" t="s">
        <v>45</v>
      </c>
      <c r="E2637" t="s">
        <v>1429</v>
      </c>
      <c r="F2637" s="2">
        <v>850</v>
      </c>
      <c r="G2637" s="2">
        <v>3</v>
      </c>
      <c r="H2637" t="s">
        <v>306</v>
      </c>
      <c r="I2637" t="s">
        <v>694</v>
      </c>
      <c r="J2637" s="11">
        <v>1213.0748253088514</v>
      </c>
      <c r="K2637" t="str">
        <f t="shared" si="82"/>
        <v>J P Massar</v>
      </c>
    </row>
    <row r="2638" spans="1:11" hidden="1" x14ac:dyDescent="0.35">
      <c r="A2638">
        <f t="shared" si="83"/>
        <v>2637</v>
      </c>
      <c r="B2638">
        <v>2016</v>
      </c>
      <c r="C2638" t="s">
        <v>68</v>
      </c>
      <c r="D2638" t="s">
        <v>45</v>
      </c>
      <c r="E2638" t="s">
        <v>1429</v>
      </c>
      <c r="F2638" s="2">
        <v>690</v>
      </c>
      <c r="G2638" s="2">
        <v>4</v>
      </c>
      <c r="H2638" t="s">
        <v>95</v>
      </c>
      <c r="I2638" t="s">
        <v>71</v>
      </c>
      <c r="J2638" s="11">
        <v>1088.1360887005512</v>
      </c>
      <c r="K2638" t="str">
        <f t="shared" si="82"/>
        <v>Scott Samarel</v>
      </c>
    </row>
    <row r="2639" spans="1:11" hidden="1" x14ac:dyDescent="0.35">
      <c r="A2639">
        <f t="shared" si="83"/>
        <v>2638</v>
      </c>
      <c r="B2639">
        <v>2016</v>
      </c>
      <c r="C2639" t="s">
        <v>68</v>
      </c>
      <c r="D2639" t="s">
        <v>45</v>
      </c>
      <c r="E2639" t="s">
        <v>1429</v>
      </c>
      <c r="F2639" s="2">
        <v>530</v>
      </c>
      <c r="G2639" s="2">
        <v>5</v>
      </c>
      <c r="H2639" t="s">
        <v>277</v>
      </c>
      <c r="I2639" t="s">
        <v>16</v>
      </c>
      <c r="J2639" s="11">
        <v>991.22607569249476</v>
      </c>
      <c r="K2639" t="str">
        <f t="shared" si="82"/>
        <v>David Lawful</v>
      </c>
    </row>
    <row r="2640" spans="1:11" hidden="1" x14ac:dyDescent="0.35">
      <c r="A2640">
        <f t="shared" si="83"/>
        <v>2639</v>
      </c>
      <c r="B2640">
        <v>2016</v>
      </c>
      <c r="C2640" t="s">
        <v>68</v>
      </c>
      <c r="D2640" t="s">
        <v>45</v>
      </c>
      <c r="E2640" t="s">
        <v>1429</v>
      </c>
      <c r="F2640" s="2">
        <v>365</v>
      </c>
      <c r="G2640" s="2">
        <v>6</v>
      </c>
      <c r="H2640" t="s">
        <v>545</v>
      </c>
      <c r="I2640" t="s">
        <v>425</v>
      </c>
      <c r="J2640" s="11">
        <v>912.04482964486999</v>
      </c>
      <c r="K2640" t="str">
        <f t="shared" si="82"/>
        <v>Tony Goldstein</v>
      </c>
    </row>
    <row r="2641" spans="1:11" hidden="1" x14ac:dyDescent="0.35">
      <c r="A2641">
        <f t="shared" si="83"/>
        <v>2640</v>
      </c>
      <c r="B2641">
        <v>2016</v>
      </c>
      <c r="C2641" t="s">
        <v>68</v>
      </c>
      <c r="D2641" t="s">
        <v>45</v>
      </c>
      <c r="E2641" t="s">
        <v>1429</v>
      </c>
      <c r="F2641" s="2">
        <v>260</v>
      </c>
      <c r="G2641" s="2">
        <v>7</v>
      </c>
      <c r="H2641" t="s">
        <v>2283</v>
      </c>
      <c r="I2641" t="s">
        <v>2284</v>
      </c>
      <c r="J2641" s="11">
        <v>845.09804001425687</v>
      </c>
      <c r="K2641" t="str">
        <f t="shared" si="82"/>
        <v>Karina Jett</v>
      </c>
    </row>
    <row r="2642" spans="1:11" hidden="1" x14ac:dyDescent="0.35">
      <c r="A2642">
        <f t="shared" si="83"/>
        <v>2641</v>
      </c>
      <c r="B2642">
        <v>2016</v>
      </c>
      <c r="C2642" t="s">
        <v>68</v>
      </c>
      <c r="D2642" t="s">
        <v>45</v>
      </c>
      <c r="E2642" t="s">
        <v>1429</v>
      </c>
      <c r="F2642" s="2">
        <v>70</v>
      </c>
      <c r="G2642" s="2">
        <v>8</v>
      </c>
      <c r="H2642" t="s">
        <v>377</v>
      </c>
      <c r="I2642" t="s">
        <v>119</v>
      </c>
      <c r="J2642" s="11">
        <v>787.10609303657009</v>
      </c>
      <c r="K2642" t="str">
        <f t="shared" si="82"/>
        <v>Peter Stephenson</v>
      </c>
    </row>
    <row r="2643" spans="1:11" hidden="1" x14ac:dyDescent="0.35">
      <c r="A2643">
        <f t="shared" si="83"/>
        <v>2642</v>
      </c>
      <c r="B2643">
        <v>2016</v>
      </c>
      <c r="C2643" t="s">
        <v>68</v>
      </c>
      <c r="D2643" t="s">
        <v>2274</v>
      </c>
      <c r="E2643" t="s">
        <v>1430</v>
      </c>
      <c r="F2643" s="2">
        <v>843</v>
      </c>
      <c r="G2643" s="2">
        <v>1</v>
      </c>
      <c r="H2643" t="s">
        <v>251</v>
      </c>
      <c r="I2643" t="s">
        <v>252</v>
      </c>
      <c r="J2643" s="11">
        <v>1633.4684555795864</v>
      </c>
      <c r="K2643" t="str">
        <f t="shared" si="82"/>
        <v>Linda Lewis</v>
      </c>
    </row>
    <row r="2644" spans="1:11" hidden="1" x14ac:dyDescent="0.35">
      <c r="A2644">
        <f t="shared" si="83"/>
        <v>2643</v>
      </c>
      <c r="B2644">
        <v>2016</v>
      </c>
      <c r="C2644" t="s">
        <v>68</v>
      </c>
      <c r="D2644" t="s">
        <v>2274</v>
      </c>
      <c r="E2644" t="s">
        <v>1430</v>
      </c>
      <c r="F2644" s="2">
        <v>842</v>
      </c>
      <c r="G2644" s="2">
        <v>2</v>
      </c>
      <c r="H2644" t="s">
        <v>55</v>
      </c>
      <c r="I2644" t="s">
        <v>56</v>
      </c>
      <c r="J2644" s="11">
        <v>1332.4384599156051</v>
      </c>
      <c r="K2644" t="str">
        <f t="shared" si="82"/>
        <v>Brandon Gerson</v>
      </c>
    </row>
    <row r="2645" spans="1:11" hidden="1" x14ac:dyDescent="0.35">
      <c r="A2645">
        <f t="shared" si="83"/>
        <v>2644</v>
      </c>
      <c r="B2645">
        <v>2016</v>
      </c>
      <c r="C2645" t="s">
        <v>68</v>
      </c>
      <c r="D2645" t="s">
        <v>2274</v>
      </c>
      <c r="E2645" t="s">
        <v>1430</v>
      </c>
      <c r="F2645" s="2">
        <v>540</v>
      </c>
      <c r="G2645" s="2">
        <v>3</v>
      </c>
      <c r="H2645" t="s">
        <v>97</v>
      </c>
      <c r="I2645" t="s">
        <v>98</v>
      </c>
      <c r="J2645" s="11">
        <v>1156.347200859924</v>
      </c>
      <c r="K2645" t="str">
        <f t="shared" si="82"/>
        <v>Ryan Troll</v>
      </c>
    </row>
    <row r="2646" spans="1:11" hidden="1" x14ac:dyDescent="0.35">
      <c r="A2646">
        <f t="shared" si="83"/>
        <v>2645</v>
      </c>
      <c r="B2646">
        <v>2016</v>
      </c>
      <c r="C2646" t="s">
        <v>68</v>
      </c>
      <c r="D2646" t="s">
        <v>2274</v>
      </c>
      <c r="E2646" t="s">
        <v>1430</v>
      </c>
      <c r="F2646" s="2">
        <v>410</v>
      </c>
      <c r="G2646" s="2">
        <v>4</v>
      </c>
      <c r="H2646" t="s">
        <v>302</v>
      </c>
      <c r="I2646" t="s">
        <v>81</v>
      </c>
      <c r="J2646" s="11">
        <v>1031.4084642516241</v>
      </c>
      <c r="K2646" t="str">
        <f t="shared" si="82"/>
        <v>Don Rieck</v>
      </c>
    </row>
    <row r="2647" spans="1:11" hidden="1" x14ac:dyDescent="0.35">
      <c r="A2647">
        <f t="shared" si="83"/>
        <v>2646</v>
      </c>
      <c r="B2647">
        <v>2016</v>
      </c>
      <c r="C2647" t="s">
        <v>68</v>
      </c>
      <c r="D2647" t="s">
        <v>2274</v>
      </c>
      <c r="E2647" t="s">
        <v>1430</v>
      </c>
      <c r="F2647" s="2">
        <v>315</v>
      </c>
      <c r="G2647" s="2">
        <v>5</v>
      </c>
      <c r="H2647" t="s">
        <v>294</v>
      </c>
      <c r="I2647" t="s">
        <v>16</v>
      </c>
      <c r="J2647" s="11">
        <v>934.49845124356762</v>
      </c>
      <c r="K2647" t="str">
        <f t="shared" si="82"/>
        <v>David Low</v>
      </c>
    </row>
    <row r="2648" spans="1:11" hidden="1" x14ac:dyDescent="0.35">
      <c r="A2648">
        <f t="shared" si="83"/>
        <v>2647</v>
      </c>
      <c r="B2648">
        <v>2016</v>
      </c>
      <c r="C2648" t="s">
        <v>68</v>
      </c>
      <c r="D2648" t="s">
        <v>2274</v>
      </c>
      <c r="E2648" t="s">
        <v>1430</v>
      </c>
      <c r="F2648" s="2">
        <v>215</v>
      </c>
      <c r="G2648" s="2">
        <v>6</v>
      </c>
      <c r="H2648" t="s">
        <v>99</v>
      </c>
      <c r="I2648" t="s">
        <v>101</v>
      </c>
      <c r="J2648" s="11">
        <v>855.31720519594273</v>
      </c>
      <c r="K2648" t="str">
        <f t="shared" si="82"/>
        <v>Dean Kerl</v>
      </c>
    </row>
    <row r="2649" spans="1:11" hidden="1" x14ac:dyDescent="0.35">
      <c r="A2649">
        <f t="shared" si="83"/>
        <v>2648</v>
      </c>
      <c r="B2649">
        <v>2016</v>
      </c>
      <c r="C2649" t="s">
        <v>68</v>
      </c>
      <c r="D2649" t="s">
        <v>2274</v>
      </c>
      <c r="E2649" t="s">
        <v>1430</v>
      </c>
      <c r="F2649" s="2">
        <v>60</v>
      </c>
      <c r="G2649" s="2">
        <v>7</v>
      </c>
      <c r="H2649" t="s">
        <v>277</v>
      </c>
      <c r="I2649" t="s">
        <v>16</v>
      </c>
      <c r="J2649" s="11">
        <v>788.37041556532961</v>
      </c>
      <c r="K2649" t="str">
        <f t="shared" si="82"/>
        <v>David Lawful</v>
      </c>
    </row>
    <row r="2650" spans="1:11" hidden="1" x14ac:dyDescent="0.35">
      <c r="A2650">
        <f t="shared" si="83"/>
        <v>2649</v>
      </c>
      <c r="B2650">
        <v>2016</v>
      </c>
      <c r="C2650" t="s">
        <v>68</v>
      </c>
      <c r="D2650" t="s">
        <v>2275</v>
      </c>
      <c r="E2650" t="s">
        <v>1430</v>
      </c>
      <c r="F2650" s="2">
        <v>670</v>
      </c>
      <c r="G2650" s="2">
        <v>1</v>
      </c>
      <c r="H2650" t="s">
        <v>273</v>
      </c>
      <c r="I2650" t="s">
        <v>218</v>
      </c>
      <c r="J2650" s="11">
        <v>1397.9400086720377</v>
      </c>
      <c r="K2650" t="str">
        <f t="shared" si="82"/>
        <v>Michael Maurer</v>
      </c>
    </row>
    <row r="2651" spans="1:11" x14ac:dyDescent="0.35">
      <c r="A2651">
        <f t="shared" si="83"/>
        <v>2650</v>
      </c>
      <c r="B2651">
        <v>2016</v>
      </c>
      <c r="C2651" t="s">
        <v>68</v>
      </c>
      <c r="D2651" t="s">
        <v>2275</v>
      </c>
      <c r="E2651" t="s">
        <v>1430</v>
      </c>
      <c r="F2651" s="2">
        <v>450</v>
      </c>
      <c r="G2651" s="2">
        <v>2</v>
      </c>
      <c r="H2651" t="s">
        <v>313</v>
      </c>
      <c r="I2651" t="s">
        <v>314</v>
      </c>
      <c r="J2651" s="11">
        <v>1096.9100130080565</v>
      </c>
      <c r="K2651" t="str">
        <f t="shared" si="82"/>
        <v>Gerald Petersen</v>
      </c>
    </row>
    <row r="2652" spans="1:11" hidden="1" x14ac:dyDescent="0.35">
      <c r="A2652">
        <f t="shared" si="83"/>
        <v>2651</v>
      </c>
      <c r="B2652">
        <v>2016</v>
      </c>
      <c r="C2652" t="s">
        <v>68</v>
      </c>
      <c r="D2652" t="s">
        <v>2275</v>
      </c>
      <c r="E2652" t="s">
        <v>1430</v>
      </c>
      <c r="F2652" s="2">
        <v>320</v>
      </c>
      <c r="G2652" s="2">
        <v>3</v>
      </c>
      <c r="H2652" t="s">
        <v>99</v>
      </c>
      <c r="I2652" t="s">
        <v>101</v>
      </c>
      <c r="J2652" s="11">
        <v>920.81875395237535</v>
      </c>
      <c r="K2652" t="str">
        <f t="shared" si="82"/>
        <v>Dean Kerl</v>
      </c>
    </row>
    <row r="2653" spans="1:11" hidden="1" x14ac:dyDescent="0.35">
      <c r="A2653">
        <f t="shared" si="83"/>
        <v>2652</v>
      </c>
      <c r="B2653">
        <v>2016</v>
      </c>
      <c r="C2653" t="s">
        <v>68</v>
      </c>
      <c r="D2653" t="s">
        <v>2275</v>
      </c>
      <c r="E2653" t="s">
        <v>1430</v>
      </c>
      <c r="F2653" s="2">
        <v>245</v>
      </c>
      <c r="G2653" s="2">
        <v>4</v>
      </c>
      <c r="H2653" t="s">
        <v>105</v>
      </c>
      <c r="I2653" t="s">
        <v>106</v>
      </c>
      <c r="J2653" s="11">
        <v>795.88001734407533</v>
      </c>
      <c r="K2653" t="str">
        <f t="shared" si="82"/>
        <v>Kenny Shei</v>
      </c>
    </row>
    <row r="2654" spans="1:11" hidden="1" x14ac:dyDescent="0.35">
      <c r="A2654">
        <f t="shared" si="83"/>
        <v>2653</v>
      </c>
      <c r="B2654">
        <v>2016</v>
      </c>
      <c r="C2654" t="s">
        <v>68</v>
      </c>
      <c r="D2654" t="s">
        <v>2275</v>
      </c>
      <c r="E2654" t="s">
        <v>1430</v>
      </c>
      <c r="F2654" s="2">
        <v>190</v>
      </c>
      <c r="G2654" s="2">
        <v>5</v>
      </c>
      <c r="H2654" t="s">
        <v>398</v>
      </c>
      <c r="I2654" t="s">
        <v>399</v>
      </c>
      <c r="J2654" s="11">
        <v>698.97000433601886</v>
      </c>
      <c r="K2654" t="str">
        <f t="shared" si="82"/>
        <v>Arthur Goltz</v>
      </c>
    </row>
    <row r="2655" spans="1:11" hidden="1" x14ac:dyDescent="0.35">
      <c r="A2655">
        <f t="shared" si="83"/>
        <v>2654</v>
      </c>
      <c r="B2655">
        <v>2016</v>
      </c>
      <c r="C2655" t="s">
        <v>8</v>
      </c>
      <c r="D2655" t="s">
        <v>9</v>
      </c>
      <c r="E2655" t="s">
        <v>1429</v>
      </c>
      <c r="F2655" s="2">
        <v>1120</v>
      </c>
      <c r="G2655" s="2">
        <v>1</v>
      </c>
      <c r="H2655" t="s">
        <v>29</v>
      </c>
      <c r="I2655" t="s">
        <v>30</v>
      </c>
      <c r="J2655" s="11">
        <v>1447.1580313422191</v>
      </c>
      <c r="K2655" t="str">
        <f t="shared" si="82"/>
        <v>Tedford Armistead</v>
      </c>
    </row>
    <row r="2656" spans="1:11" hidden="1" x14ac:dyDescent="0.35">
      <c r="A2656">
        <f t="shared" si="83"/>
        <v>2655</v>
      </c>
      <c r="B2656">
        <v>2016</v>
      </c>
      <c r="C2656" t="s">
        <v>8</v>
      </c>
      <c r="D2656" t="s">
        <v>9</v>
      </c>
      <c r="E2656" t="s">
        <v>1429</v>
      </c>
      <c r="F2656" s="2">
        <v>840</v>
      </c>
      <c r="G2656" s="2">
        <v>2</v>
      </c>
      <c r="H2656" t="s">
        <v>27</v>
      </c>
      <c r="I2656" t="s">
        <v>28</v>
      </c>
      <c r="J2656" s="11">
        <v>1146.1280356782379</v>
      </c>
      <c r="K2656" t="str">
        <f t="shared" si="82"/>
        <v>Chris Richards</v>
      </c>
    </row>
    <row r="2657" spans="1:11" hidden="1" x14ac:dyDescent="0.35">
      <c r="A2657">
        <f t="shared" si="83"/>
        <v>2656</v>
      </c>
      <c r="B2657">
        <v>2016</v>
      </c>
      <c r="C2657" t="s">
        <v>8</v>
      </c>
      <c r="D2657" t="s">
        <v>9</v>
      </c>
      <c r="E2657" t="s">
        <v>1429</v>
      </c>
      <c r="F2657" s="2">
        <v>420</v>
      </c>
      <c r="G2657" s="2">
        <v>3</v>
      </c>
      <c r="H2657" t="s">
        <v>185</v>
      </c>
      <c r="I2657" t="s">
        <v>20</v>
      </c>
      <c r="J2657" s="11">
        <v>970.03677662255677</v>
      </c>
      <c r="K2657" t="str">
        <f t="shared" si="82"/>
        <v>Barry Meltzer</v>
      </c>
    </row>
    <row r="2658" spans="1:11" hidden="1" x14ac:dyDescent="0.35">
      <c r="A2658">
        <f t="shared" si="83"/>
        <v>2657</v>
      </c>
      <c r="B2658">
        <v>2016</v>
      </c>
      <c r="C2658" t="s">
        <v>8</v>
      </c>
      <c r="D2658" t="s">
        <v>9</v>
      </c>
      <c r="E2658" t="s">
        <v>1429</v>
      </c>
      <c r="F2658" s="2">
        <v>420</v>
      </c>
      <c r="G2658" s="2">
        <v>4</v>
      </c>
      <c r="H2658" t="s">
        <v>158</v>
      </c>
      <c r="I2658" t="s">
        <v>159</v>
      </c>
      <c r="J2658" s="11">
        <v>845.09804001425687</v>
      </c>
      <c r="K2658" t="str">
        <f t="shared" si="82"/>
        <v>Brian Hackett</v>
      </c>
    </row>
    <row r="2659" spans="1:11" hidden="1" x14ac:dyDescent="0.35">
      <c r="A2659">
        <f t="shared" si="83"/>
        <v>2658</v>
      </c>
      <c r="B2659">
        <v>2016</v>
      </c>
      <c r="C2659" t="s">
        <v>8</v>
      </c>
      <c r="D2659" t="s">
        <v>2273</v>
      </c>
      <c r="E2659" t="s">
        <v>1430</v>
      </c>
      <c r="F2659" s="2">
        <v>844</v>
      </c>
      <c r="G2659" s="2">
        <v>1</v>
      </c>
      <c r="H2659" t="s">
        <v>2539</v>
      </c>
      <c r="I2659" t="s">
        <v>28</v>
      </c>
      <c r="J2659" s="11">
        <v>1568.201724066995</v>
      </c>
      <c r="K2659" t="str">
        <f t="shared" si="82"/>
        <v>Chris O’Connor</v>
      </c>
    </row>
    <row r="2660" spans="1:11" hidden="1" x14ac:dyDescent="0.35">
      <c r="A2660">
        <f t="shared" si="83"/>
        <v>2659</v>
      </c>
      <c r="B2660">
        <v>2016</v>
      </c>
      <c r="C2660" t="s">
        <v>8</v>
      </c>
      <c r="D2660" t="s">
        <v>2273</v>
      </c>
      <c r="E2660" t="s">
        <v>1430</v>
      </c>
      <c r="F2660" s="2">
        <v>980</v>
      </c>
      <c r="G2660" s="2">
        <v>2</v>
      </c>
      <c r="H2660" t="s">
        <v>455</v>
      </c>
      <c r="I2660" t="s">
        <v>136</v>
      </c>
      <c r="J2660" s="11">
        <v>1267.1717284030137</v>
      </c>
      <c r="K2660" t="str">
        <f t="shared" si="82"/>
        <v>John Segovia</v>
      </c>
    </row>
    <row r="2661" spans="1:11" hidden="1" x14ac:dyDescent="0.35">
      <c r="A2661">
        <f t="shared" si="83"/>
        <v>2660</v>
      </c>
      <c r="B2661">
        <v>2016</v>
      </c>
      <c r="C2661" t="s">
        <v>8</v>
      </c>
      <c r="D2661" t="s">
        <v>2273</v>
      </c>
      <c r="E2661" t="s">
        <v>1430</v>
      </c>
      <c r="F2661" s="2">
        <v>844</v>
      </c>
      <c r="G2661" s="2">
        <v>3</v>
      </c>
      <c r="H2661" t="s">
        <v>195</v>
      </c>
      <c r="I2661" t="s">
        <v>196</v>
      </c>
      <c r="J2661" s="11">
        <v>1091.0804693473326</v>
      </c>
      <c r="K2661" t="str">
        <f t="shared" si="82"/>
        <v>Dave Tahajian</v>
      </c>
    </row>
    <row r="2662" spans="1:11" hidden="1" x14ac:dyDescent="0.35">
      <c r="A2662">
        <f t="shared" si="83"/>
        <v>2661</v>
      </c>
      <c r="B2662">
        <v>2016</v>
      </c>
      <c r="C2662" t="s">
        <v>8</v>
      </c>
      <c r="D2662" t="s">
        <v>2273</v>
      </c>
      <c r="E2662" t="s">
        <v>1430</v>
      </c>
      <c r="F2662" s="2">
        <v>339</v>
      </c>
      <c r="G2662" s="2">
        <v>4</v>
      </c>
      <c r="H2662" t="s">
        <v>10</v>
      </c>
      <c r="I2662" t="s">
        <v>11</v>
      </c>
      <c r="J2662" s="11">
        <v>966.14173273903259</v>
      </c>
      <c r="K2662" t="str">
        <f t="shared" si="82"/>
        <v>Paul Chakoian</v>
      </c>
    </row>
    <row r="2663" spans="1:11" hidden="1" x14ac:dyDescent="0.35">
      <c r="A2663">
        <f t="shared" si="83"/>
        <v>2662</v>
      </c>
      <c r="B2663">
        <v>2016</v>
      </c>
      <c r="C2663" t="s">
        <v>8</v>
      </c>
      <c r="D2663" t="s">
        <v>2273</v>
      </c>
      <c r="E2663" t="s">
        <v>1430</v>
      </c>
      <c r="F2663" s="2">
        <v>267</v>
      </c>
      <c r="G2663" s="2">
        <v>5</v>
      </c>
      <c r="H2663" t="s">
        <v>251</v>
      </c>
      <c r="I2663" t="s">
        <v>252</v>
      </c>
      <c r="J2663" s="11">
        <v>869.23171973097612</v>
      </c>
      <c r="K2663" t="str">
        <f t="shared" si="82"/>
        <v>Linda Lewis</v>
      </c>
    </row>
    <row r="2664" spans="1:11" hidden="1" x14ac:dyDescent="0.35">
      <c r="A2664">
        <f t="shared" si="83"/>
        <v>2663</v>
      </c>
      <c r="B2664">
        <v>2016</v>
      </c>
      <c r="C2664" t="s">
        <v>8</v>
      </c>
      <c r="D2664" t="s">
        <v>2273</v>
      </c>
      <c r="E2664" t="s">
        <v>1430</v>
      </c>
      <c r="F2664" s="2">
        <v>195</v>
      </c>
      <c r="G2664" s="2">
        <v>6</v>
      </c>
      <c r="H2664" t="s">
        <v>48</v>
      </c>
      <c r="I2664" t="s">
        <v>49</v>
      </c>
      <c r="J2664" s="11">
        <v>790.05047368335136</v>
      </c>
      <c r="K2664" t="str">
        <f t="shared" si="82"/>
        <v>Regis Donovan</v>
      </c>
    </row>
    <row r="2665" spans="1:11" hidden="1" x14ac:dyDescent="0.35">
      <c r="A2665">
        <f t="shared" si="83"/>
        <v>2664</v>
      </c>
      <c r="B2665">
        <v>2016</v>
      </c>
      <c r="C2665" t="s">
        <v>8</v>
      </c>
      <c r="D2665" t="s">
        <v>2273</v>
      </c>
      <c r="E2665" t="s">
        <v>1430</v>
      </c>
      <c r="F2665" s="2">
        <v>120</v>
      </c>
      <c r="G2665" s="2">
        <v>7</v>
      </c>
      <c r="H2665" t="s">
        <v>118</v>
      </c>
      <c r="I2665" t="s">
        <v>243</v>
      </c>
      <c r="J2665" s="11">
        <v>723.10368405273812</v>
      </c>
      <c r="K2665" t="str">
        <f t="shared" si="82"/>
        <v>Marsha Segal</v>
      </c>
    </row>
    <row r="2666" spans="1:11" hidden="1" x14ac:dyDescent="0.35">
      <c r="A2666">
        <f t="shared" si="83"/>
        <v>2665</v>
      </c>
      <c r="B2666">
        <v>2016</v>
      </c>
      <c r="C2666" t="s">
        <v>8</v>
      </c>
      <c r="D2666" t="s">
        <v>45</v>
      </c>
      <c r="E2666" t="s">
        <v>1429</v>
      </c>
      <c r="F2666" s="2">
        <v>1994</v>
      </c>
      <c r="G2666" s="2">
        <v>1</v>
      </c>
      <c r="H2666" t="s">
        <v>351</v>
      </c>
      <c r="I2666" t="s">
        <v>2279</v>
      </c>
      <c r="J2666" s="11">
        <v>1826.0748027008265</v>
      </c>
      <c r="K2666" t="str">
        <f t="shared" si="82"/>
        <v>Kenyon Lewin-Berlin</v>
      </c>
    </row>
    <row r="2667" spans="1:11" hidden="1" x14ac:dyDescent="0.35">
      <c r="A2667">
        <f t="shared" si="83"/>
        <v>2666</v>
      </c>
      <c r="B2667">
        <v>2016</v>
      </c>
      <c r="C2667" t="s">
        <v>8</v>
      </c>
      <c r="D2667" t="s">
        <v>45</v>
      </c>
      <c r="E2667" t="s">
        <v>1429</v>
      </c>
      <c r="F2667" s="2">
        <v>1080</v>
      </c>
      <c r="G2667" s="2">
        <v>2</v>
      </c>
      <c r="H2667" t="s">
        <v>185</v>
      </c>
      <c r="I2667" t="s">
        <v>2280</v>
      </c>
      <c r="J2667" s="11">
        <v>1525.0448070368452</v>
      </c>
      <c r="K2667" t="str">
        <f t="shared" si="82"/>
        <v>Mary-Ellen Meltzer</v>
      </c>
    </row>
    <row r="2668" spans="1:11" hidden="1" x14ac:dyDescent="0.35">
      <c r="A2668">
        <f t="shared" si="83"/>
        <v>2667</v>
      </c>
      <c r="B2668">
        <v>2016</v>
      </c>
      <c r="C2668" t="s">
        <v>8</v>
      </c>
      <c r="D2668" t="s">
        <v>45</v>
      </c>
      <c r="E2668" t="s">
        <v>1429</v>
      </c>
      <c r="F2668" s="2">
        <v>785</v>
      </c>
      <c r="G2668" s="2">
        <v>3</v>
      </c>
      <c r="H2668" t="s">
        <v>105</v>
      </c>
      <c r="I2668" t="s">
        <v>106</v>
      </c>
      <c r="J2668" s="11">
        <v>1348.9535479811641</v>
      </c>
      <c r="K2668" t="str">
        <f t="shared" si="82"/>
        <v>Kenny Shei</v>
      </c>
    </row>
    <row r="2669" spans="1:11" hidden="1" x14ac:dyDescent="0.35">
      <c r="A2669">
        <f t="shared" si="83"/>
        <v>2668</v>
      </c>
      <c r="B2669">
        <v>2016</v>
      </c>
      <c r="C2669" t="s">
        <v>8</v>
      </c>
      <c r="D2669" t="s">
        <v>45</v>
      </c>
      <c r="E2669" t="s">
        <v>1429</v>
      </c>
      <c r="F2669" s="2">
        <v>650</v>
      </c>
      <c r="G2669" s="2">
        <v>4</v>
      </c>
      <c r="H2669" t="s">
        <v>407</v>
      </c>
      <c r="I2669" t="s">
        <v>406</v>
      </c>
      <c r="J2669" s="11">
        <v>1224.014811372864</v>
      </c>
      <c r="K2669" t="str">
        <f t="shared" si="82"/>
        <v>Howard Jackson</v>
      </c>
    </row>
    <row r="2670" spans="1:11" hidden="1" x14ac:dyDescent="0.35">
      <c r="A2670">
        <f t="shared" si="83"/>
        <v>2669</v>
      </c>
      <c r="B2670">
        <v>2016</v>
      </c>
      <c r="C2670" t="s">
        <v>8</v>
      </c>
      <c r="D2670" t="s">
        <v>45</v>
      </c>
      <c r="E2670" t="s">
        <v>1429</v>
      </c>
      <c r="F2670" s="2">
        <v>650</v>
      </c>
      <c r="G2670" s="2">
        <v>5</v>
      </c>
      <c r="H2670" t="s">
        <v>43</v>
      </c>
      <c r="I2670" t="s">
        <v>218</v>
      </c>
      <c r="J2670" s="11">
        <v>1127.1047983648077</v>
      </c>
      <c r="K2670" t="str">
        <f t="shared" si="82"/>
        <v>Michael Klein</v>
      </c>
    </row>
    <row r="2671" spans="1:11" hidden="1" x14ac:dyDescent="0.35">
      <c r="A2671">
        <f t="shared" si="83"/>
        <v>2670</v>
      </c>
      <c r="B2671">
        <v>2016</v>
      </c>
      <c r="C2671" t="s">
        <v>8</v>
      </c>
      <c r="D2671" t="s">
        <v>45</v>
      </c>
      <c r="E2671" t="s">
        <v>1429</v>
      </c>
      <c r="F2671" s="2">
        <v>455</v>
      </c>
      <c r="G2671" s="2">
        <v>6</v>
      </c>
      <c r="H2671" t="s">
        <v>358</v>
      </c>
      <c r="I2671" t="s">
        <v>359</v>
      </c>
      <c r="J2671" s="11">
        <v>1047.9235523171828</v>
      </c>
      <c r="K2671" t="str">
        <f t="shared" si="82"/>
        <v>Chip Rosenberg</v>
      </c>
    </row>
    <row r="2672" spans="1:11" hidden="1" x14ac:dyDescent="0.35">
      <c r="A2672">
        <f t="shared" si="83"/>
        <v>2671</v>
      </c>
      <c r="B2672">
        <v>2016</v>
      </c>
      <c r="C2672" t="s">
        <v>8</v>
      </c>
      <c r="D2672" t="s">
        <v>45</v>
      </c>
      <c r="E2672" t="s">
        <v>1429</v>
      </c>
      <c r="F2672" s="2">
        <v>325</v>
      </c>
      <c r="G2672" s="2">
        <v>7</v>
      </c>
      <c r="H2672" t="s">
        <v>2539</v>
      </c>
      <c r="I2672" t="s">
        <v>28</v>
      </c>
      <c r="J2672" s="11">
        <v>980.9767626865696</v>
      </c>
      <c r="K2672" t="str">
        <f t="shared" si="82"/>
        <v>Chris O’Connor</v>
      </c>
    </row>
    <row r="2673" spans="1:11" hidden="1" x14ac:dyDescent="0.35">
      <c r="A2673">
        <f t="shared" si="83"/>
        <v>2672</v>
      </c>
      <c r="B2673">
        <v>2016</v>
      </c>
      <c r="C2673" t="s">
        <v>8</v>
      </c>
      <c r="D2673" t="s">
        <v>45</v>
      </c>
      <c r="E2673" t="s">
        <v>1429</v>
      </c>
      <c r="F2673" s="2">
        <v>260</v>
      </c>
      <c r="G2673" s="2">
        <v>8</v>
      </c>
      <c r="H2673" t="s">
        <v>441</v>
      </c>
      <c r="I2673" t="s">
        <v>58</v>
      </c>
      <c r="J2673" s="11">
        <v>922.98481570888293</v>
      </c>
      <c r="K2673" t="str">
        <f t="shared" si="82"/>
        <v>Jim Hexter</v>
      </c>
    </row>
    <row r="2674" spans="1:11" hidden="1" x14ac:dyDescent="0.35">
      <c r="A2674">
        <f t="shared" si="83"/>
        <v>2673</v>
      </c>
      <c r="B2674">
        <v>2016</v>
      </c>
      <c r="C2674" t="s">
        <v>8</v>
      </c>
      <c r="D2674" t="s">
        <v>45</v>
      </c>
      <c r="E2674" t="s">
        <v>1429</v>
      </c>
      <c r="F2674" s="2">
        <v>150</v>
      </c>
      <c r="G2674" s="2">
        <v>9</v>
      </c>
      <c r="H2674" t="s">
        <v>161</v>
      </c>
      <c r="I2674" t="s">
        <v>200</v>
      </c>
      <c r="J2674" s="11">
        <v>871.8322932615016</v>
      </c>
      <c r="K2674" t="str">
        <f t="shared" si="82"/>
        <v>Rick Becker</v>
      </c>
    </row>
    <row r="2675" spans="1:11" hidden="1" x14ac:dyDescent="0.35">
      <c r="A2675">
        <f t="shared" si="83"/>
        <v>2674</v>
      </c>
      <c r="B2675">
        <v>2016</v>
      </c>
      <c r="C2675" t="s">
        <v>8</v>
      </c>
      <c r="D2675" t="s">
        <v>45</v>
      </c>
      <c r="E2675" t="s">
        <v>1429</v>
      </c>
      <c r="F2675" s="2">
        <v>150</v>
      </c>
      <c r="G2675" s="2">
        <v>10</v>
      </c>
      <c r="H2675" t="s">
        <v>19</v>
      </c>
      <c r="I2675" t="s">
        <v>20</v>
      </c>
      <c r="J2675" s="11">
        <v>826.07480270082647</v>
      </c>
      <c r="K2675" t="str">
        <f t="shared" si="82"/>
        <v>Barry Kornspan</v>
      </c>
    </row>
    <row r="2676" spans="1:11" hidden="1" x14ac:dyDescent="0.35">
      <c r="A2676">
        <f t="shared" si="83"/>
        <v>2675</v>
      </c>
      <c r="B2676">
        <v>2016</v>
      </c>
      <c r="C2676" t="s">
        <v>8</v>
      </c>
      <c r="D2676" t="s">
        <v>24</v>
      </c>
      <c r="E2676" t="s">
        <v>1430</v>
      </c>
      <c r="F2676" s="2">
        <v>1103</v>
      </c>
      <c r="G2676" s="2">
        <v>1</v>
      </c>
      <c r="H2676" t="s">
        <v>39</v>
      </c>
      <c r="I2676" t="s">
        <v>40</v>
      </c>
      <c r="J2676" s="11">
        <v>745.68084691713636</v>
      </c>
      <c r="K2676" t="str">
        <f t="shared" si="82"/>
        <v>Katie Baxter</v>
      </c>
    </row>
    <row r="2677" spans="1:11" hidden="1" x14ac:dyDescent="0.35">
      <c r="A2677">
        <f t="shared" si="83"/>
        <v>2676</v>
      </c>
      <c r="B2677">
        <v>2016</v>
      </c>
      <c r="C2677" t="s">
        <v>8</v>
      </c>
      <c r="D2677" t="s">
        <v>24</v>
      </c>
      <c r="E2677" t="s">
        <v>1430</v>
      </c>
      <c r="F2677" s="2">
        <v>1103</v>
      </c>
      <c r="G2677" s="2">
        <v>1</v>
      </c>
      <c r="H2677" t="s">
        <v>41</v>
      </c>
      <c r="I2677" t="s">
        <v>42</v>
      </c>
      <c r="J2677" s="11">
        <v>745.68084691713636</v>
      </c>
      <c r="K2677" t="str">
        <f t="shared" si="82"/>
        <v>Karl Zipple</v>
      </c>
    </row>
    <row r="2678" spans="1:11" hidden="1" x14ac:dyDescent="0.35">
      <c r="A2678">
        <f t="shared" si="83"/>
        <v>2677</v>
      </c>
      <c r="B2678">
        <v>2016</v>
      </c>
      <c r="C2678" t="s">
        <v>8</v>
      </c>
      <c r="D2678" t="s">
        <v>24</v>
      </c>
      <c r="E2678" t="s">
        <v>1430</v>
      </c>
      <c r="F2678" s="2">
        <v>761</v>
      </c>
      <c r="G2678" s="2">
        <v>2</v>
      </c>
      <c r="H2678" t="s">
        <v>128</v>
      </c>
      <c r="I2678" t="s">
        <v>443</v>
      </c>
      <c r="J2678" s="11">
        <v>595.16584908514574</v>
      </c>
      <c r="K2678" t="str">
        <f t="shared" si="82"/>
        <v>Ming Lee</v>
      </c>
    </row>
    <row r="2679" spans="1:11" hidden="1" x14ac:dyDescent="0.35">
      <c r="A2679">
        <f t="shared" si="83"/>
        <v>2678</v>
      </c>
      <c r="B2679">
        <v>2016</v>
      </c>
      <c r="C2679" t="s">
        <v>8</v>
      </c>
      <c r="D2679" t="s">
        <v>24</v>
      </c>
      <c r="E2679" t="s">
        <v>1430</v>
      </c>
      <c r="F2679" s="2">
        <v>761</v>
      </c>
      <c r="G2679" s="2">
        <v>2</v>
      </c>
      <c r="H2679" t="s">
        <v>195</v>
      </c>
      <c r="I2679" t="s">
        <v>196</v>
      </c>
      <c r="J2679" s="11">
        <v>595.16584908514574</v>
      </c>
      <c r="K2679" t="str">
        <f t="shared" si="82"/>
        <v>Dave Tahajian</v>
      </c>
    </row>
    <row r="2680" spans="1:11" hidden="1" x14ac:dyDescent="0.35">
      <c r="A2680">
        <f t="shared" si="83"/>
        <v>2679</v>
      </c>
      <c r="B2680">
        <v>2016</v>
      </c>
      <c r="C2680" t="s">
        <v>8</v>
      </c>
      <c r="D2680" t="s">
        <v>24</v>
      </c>
      <c r="E2680" t="s">
        <v>1430</v>
      </c>
      <c r="F2680" s="2">
        <v>376</v>
      </c>
      <c r="G2680" s="2">
        <v>3</v>
      </c>
      <c r="H2680" t="s">
        <v>2278</v>
      </c>
      <c r="I2680" t="s">
        <v>324</v>
      </c>
      <c r="J2680" s="11">
        <v>507.12021955730512</v>
      </c>
      <c r="K2680" t="str">
        <f t="shared" si="82"/>
        <v>Andrew Chapman</v>
      </c>
    </row>
    <row r="2681" spans="1:11" hidden="1" x14ac:dyDescent="0.35">
      <c r="A2681">
        <f t="shared" si="83"/>
        <v>2680</v>
      </c>
      <c r="B2681">
        <v>2016</v>
      </c>
      <c r="C2681" t="s">
        <v>8</v>
      </c>
      <c r="D2681" t="s">
        <v>24</v>
      </c>
      <c r="E2681" t="s">
        <v>1430</v>
      </c>
      <c r="F2681" s="2">
        <v>376</v>
      </c>
      <c r="G2681" s="2">
        <v>3</v>
      </c>
      <c r="H2681" t="s">
        <v>151</v>
      </c>
      <c r="I2681" t="s">
        <v>16</v>
      </c>
      <c r="J2681" s="11">
        <v>507.12021955730512</v>
      </c>
      <c r="K2681" t="str">
        <f t="shared" si="82"/>
        <v>David Kent</v>
      </c>
    </row>
    <row r="2682" spans="1:11" hidden="1" x14ac:dyDescent="0.35">
      <c r="A2682">
        <f t="shared" si="83"/>
        <v>2681</v>
      </c>
      <c r="B2682">
        <v>2016</v>
      </c>
      <c r="C2682" t="s">
        <v>8</v>
      </c>
      <c r="D2682" t="s">
        <v>24</v>
      </c>
      <c r="E2682" t="s">
        <v>1430</v>
      </c>
      <c r="F2682" s="2">
        <v>286</v>
      </c>
      <c r="G2682" s="2">
        <v>4</v>
      </c>
      <c r="H2682" t="s">
        <v>161</v>
      </c>
      <c r="I2682" t="s">
        <v>200</v>
      </c>
      <c r="J2682" s="11">
        <v>444.65085125315511</v>
      </c>
      <c r="K2682" t="str">
        <f t="shared" si="82"/>
        <v>Rick Becker</v>
      </c>
    </row>
    <row r="2683" spans="1:11" hidden="1" x14ac:dyDescent="0.35">
      <c r="A2683">
        <f t="shared" si="83"/>
        <v>2682</v>
      </c>
      <c r="B2683">
        <v>2016</v>
      </c>
      <c r="C2683" t="s">
        <v>8</v>
      </c>
      <c r="D2683" t="s">
        <v>24</v>
      </c>
      <c r="E2683" t="s">
        <v>1430</v>
      </c>
      <c r="F2683" s="2">
        <v>286</v>
      </c>
      <c r="G2683" s="2">
        <v>4</v>
      </c>
      <c r="H2683" t="s">
        <v>118</v>
      </c>
      <c r="I2683" t="s">
        <v>243</v>
      </c>
      <c r="J2683" s="11">
        <v>444.65085125315511</v>
      </c>
      <c r="K2683" t="str">
        <f t="shared" si="82"/>
        <v>Marsha Segal</v>
      </c>
    </row>
    <row r="2684" spans="1:11" hidden="1" x14ac:dyDescent="0.35">
      <c r="A2684">
        <f t="shared" si="83"/>
        <v>2683</v>
      </c>
      <c r="B2684">
        <v>2016</v>
      </c>
      <c r="C2684" t="s">
        <v>8</v>
      </c>
      <c r="D2684" t="s">
        <v>24</v>
      </c>
      <c r="E2684" t="s">
        <v>1430</v>
      </c>
      <c r="F2684" s="2">
        <v>226</v>
      </c>
      <c r="G2684" s="2">
        <v>5</v>
      </c>
      <c r="H2684" t="s">
        <v>29</v>
      </c>
      <c r="I2684" t="s">
        <v>30</v>
      </c>
      <c r="J2684" s="11">
        <v>396.19584474912688</v>
      </c>
      <c r="K2684" t="str">
        <f t="shared" si="82"/>
        <v>Tedford Armistead</v>
      </c>
    </row>
    <row r="2685" spans="1:11" hidden="1" x14ac:dyDescent="0.35">
      <c r="A2685">
        <f t="shared" si="83"/>
        <v>2684</v>
      </c>
      <c r="B2685">
        <v>2016</v>
      </c>
      <c r="C2685" t="s">
        <v>8</v>
      </c>
      <c r="D2685" t="s">
        <v>24</v>
      </c>
      <c r="E2685" t="s">
        <v>1430</v>
      </c>
      <c r="F2685" s="2">
        <v>226</v>
      </c>
      <c r="G2685" s="2">
        <v>5</v>
      </c>
      <c r="H2685" t="s">
        <v>10</v>
      </c>
      <c r="I2685" t="s">
        <v>11</v>
      </c>
      <c r="J2685" s="11">
        <v>396.19584474912688</v>
      </c>
      <c r="K2685" t="str">
        <f t="shared" si="82"/>
        <v>Paul Chakoian</v>
      </c>
    </row>
    <row r="2686" spans="1:11" hidden="1" x14ac:dyDescent="0.35">
      <c r="A2686">
        <f t="shared" si="83"/>
        <v>2685</v>
      </c>
      <c r="B2686">
        <v>2016</v>
      </c>
      <c r="C2686" t="s">
        <v>8</v>
      </c>
      <c r="D2686" t="s">
        <v>24</v>
      </c>
      <c r="E2686" t="s">
        <v>1430</v>
      </c>
      <c r="F2686" s="2">
        <v>165</v>
      </c>
      <c r="G2686" s="2">
        <v>6</v>
      </c>
      <c r="H2686" t="s">
        <v>202</v>
      </c>
      <c r="I2686" t="s">
        <v>205</v>
      </c>
      <c r="J2686" s="11">
        <v>356.60522172531449</v>
      </c>
      <c r="K2686" t="str">
        <f t="shared" si="82"/>
        <v>Ron Lyons</v>
      </c>
    </row>
    <row r="2687" spans="1:11" hidden="1" x14ac:dyDescent="0.35">
      <c r="A2687">
        <f t="shared" si="83"/>
        <v>2686</v>
      </c>
      <c r="B2687">
        <v>2016</v>
      </c>
      <c r="C2687" t="s">
        <v>8</v>
      </c>
      <c r="D2687" t="s">
        <v>24</v>
      </c>
      <c r="E2687" t="s">
        <v>1430</v>
      </c>
      <c r="F2687" s="2">
        <v>165</v>
      </c>
      <c r="G2687" s="2">
        <v>6</v>
      </c>
      <c r="H2687" t="s">
        <v>1146</v>
      </c>
      <c r="I2687" t="s">
        <v>79</v>
      </c>
      <c r="J2687" s="11">
        <v>356.60522172531449</v>
      </c>
      <c r="K2687" t="str">
        <f t="shared" si="82"/>
        <v>Kevin Suffecool</v>
      </c>
    </row>
    <row r="2688" spans="1:11" hidden="1" x14ac:dyDescent="0.35">
      <c r="A2688">
        <f t="shared" si="83"/>
        <v>2687</v>
      </c>
      <c r="B2688">
        <v>2016</v>
      </c>
      <c r="C2688" t="s">
        <v>8</v>
      </c>
      <c r="D2688" t="s">
        <v>24</v>
      </c>
      <c r="E2688" t="s">
        <v>1430</v>
      </c>
      <c r="F2688" s="2">
        <v>90</v>
      </c>
      <c r="G2688" s="2">
        <v>7</v>
      </c>
      <c r="H2688" t="s">
        <v>19</v>
      </c>
      <c r="I2688" t="s">
        <v>20</v>
      </c>
      <c r="J2688" s="11">
        <v>323.13182691000793</v>
      </c>
      <c r="K2688" t="str">
        <f t="shared" si="82"/>
        <v>Barry Kornspan</v>
      </c>
    </row>
    <row r="2689" spans="1:11" hidden="1" x14ac:dyDescent="0.35">
      <c r="A2689">
        <f t="shared" si="83"/>
        <v>2688</v>
      </c>
      <c r="B2689">
        <v>2016</v>
      </c>
      <c r="C2689" t="s">
        <v>8</v>
      </c>
      <c r="D2689" t="s">
        <v>24</v>
      </c>
      <c r="E2689" t="s">
        <v>1430</v>
      </c>
      <c r="F2689" s="2">
        <v>90</v>
      </c>
      <c r="G2689" s="2">
        <v>7</v>
      </c>
      <c r="H2689" t="s">
        <v>251</v>
      </c>
      <c r="I2689" t="s">
        <v>510</v>
      </c>
      <c r="J2689" s="11">
        <v>323.13182691000793</v>
      </c>
      <c r="K2689" t="str">
        <f t="shared" si="82"/>
        <v>Sharon Lewis</v>
      </c>
    </row>
    <row r="2690" spans="1:11" hidden="1" x14ac:dyDescent="0.35">
      <c r="A2690">
        <f t="shared" si="83"/>
        <v>2689</v>
      </c>
      <c r="B2690">
        <v>2017</v>
      </c>
      <c r="C2690" t="s">
        <v>109</v>
      </c>
      <c r="D2690" t="s">
        <v>45</v>
      </c>
      <c r="E2690" t="s">
        <v>1429</v>
      </c>
      <c r="F2690" s="2">
        <v>2405</v>
      </c>
      <c r="G2690" s="2">
        <v>1</v>
      </c>
      <c r="H2690" t="s">
        <v>21</v>
      </c>
      <c r="I2690" t="s">
        <v>463</v>
      </c>
      <c r="J2690" s="11">
        <f t="shared" ref="J2690:J2696" si="84">(LOG(62)-LOG(G2690))*1000</f>
        <v>1792.391689498254</v>
      </c>
      <c r="K2690" t="str">
        <f t="shared" ref="K2690:K2753" si="85">I2690&amp;" "&amp;H2690</f>
        <v>Richard Bremer</v>
      </c>
    </row>
    <row r="2691" spans="1:11" hidden="1" x14ac:dyDescent="0.35">
      <c r="A2691">
        <f t="shared" si="83"/>
        <v>2690</v>
      </c>
      <c r="B2691">
        <v>2017</v>
      </c>
      <c r="C2691" t="s">
        <v>109</v>
      </c>
      <c r="D2691" t="s">
        <v>45</v>
      </c>
      <c r="E2691" t="s">
        <v>1429</v>
      </c>
      <c r="F2691" s="2">
        <v>1323</v>
      </c>
      <c r="G2691" s="2">
        <v>2</v>
      </c>
      <c r="H2691" t="s">
        <v>2369</v>
      </c>
      <c r="I2691" t="s">
        <v>139</v>
      </c>
      <c r="J2691" s="11">
        <f t="shared" si="84"/>
        <v>1491.3616938342727</v>
      </c>
      <c r="K2691" t="str">
        <f t="shared" si="85"/>
        <v>Mark Manitzas</v>
      </c>
    </row>
    <row r="2692" spans="1:11" hidden="1" x14ac:dyDescent="0.35">
      <c r="A2692">
        <f t="shared" ref="A2692:A2717" si="86">A2691+1</f>
        <v>2691</v>
      </c>
      <c r="B2692">
        <v>2017</v>
      </c>
      <c r="C2692" t="s">
        <v>109</v>
      </c>
      <c r="D2692" t="s">
        <v>45</v>
      </c>
      <c r="E2692" t="s">
        <v>1429</v>
      </c>
      <c r="F2692" s="2">
        <v>782</v>
      </c>
      <c r="G2692" s="2">
        <v>3</v>
      </c>
      <c r="H2692" t="s">
        <v>420</v>
      </c>
      <c r="I2692" t="s">
        <v>153</v>
      </c>
      <c r="J2692" s="11">
        <f t="shared" si="84"/>
        <v>1315.2704347785916</v>
      </c>
      <c r="K2692" t="str">
        <f t="shared" si="85"/>
        <v>Stephen Jacobs</v>
      </c>
    </row>
    <row r="2693" spans="1:11" hidden="1" x14ac:dyDescent="0.35">
      <c r="A2693">
        <f t="shared" si="86"/>
        <v>2692</v>
      </c>
      <c r="B2693">
        <v>2017</v>
      </c>
      <c r="C2693" t="s">
        <v>109</v>
      </c>
      <c r="D2693" t="s">
        <v>45</v>
      </c>
      <c r="E2693" t="s">
        <v>1429</v>
      </c>
      <c r="F2693" s="2">
        <v>541</v>
      </c>
      <c r="G2693" s="2">
        <v>4</v>
      </c>
      <c r="H2693" t="s">
        <v>574</v>
      </c>
      <c r="I2693" t="s">
        <v>388</v>
      </c>
      <c r="J2693" s="11">
        <f t="shared" si="84"/>
        <v>1190.3316981702915</v>
      </c>
      <c r="K2693" t="str">
        <f t="shared" si="85"/>
        <v>Charles Hennessey</v>
      </c>
    </row>
    <row r="2694" spans="1:11" hidden="1" x14ac:dyDescent="0.35">
      <c r="A2694">
        <f t="shared" si="86"/>
        <v>2693</v>
      </c>
      <c r="B2694">
        <v>2017</v>
      </c>
      <c r="C2694" t="s">
        <v>109</v>
      </c>
      <c r="D2694" t="s">
        <v>45</v>
      </c>
      <c r="E2694" t="s">
        <v>1429</v>
      </c>
      <c r="F2694" s="2">
        <v>421</v>
      </c>
      <c r="G2694" s="2">
        <v>5</v>
      </c>
      <c r="H2694" t="s">
        <v>116</v>
      </c>
      <c r="I2694" t="s">
        <v>489</v>
      </c>
      <c r="J2694" s="11">
        <f t="shared" si="84"/>
        <v>1093.4216851622352</v>
      </c>
      <c r="K2694" t="str">
        <f t="shared" si="85"/>
        <v>Donna Kracinovich</v>
      </c>
    </row>
    <row r="2695" spans="1:11" hidden="1" x14ac:dyDescent="0.35">
      <c r="A2695">
        <f t="shared" si="86"/>
        <v>2694</v>
      </c>
      <c r="B2695">
        <v>2017</v>
      </c>
      <c r="C2695" t="s">
        <v>109</v>
      </c>
      <c r="D2695" t="s">
        <v>45</v>
      </c>
      <c r="E2695" t="s">
        <v>1429</v>
      </c>
      <c r="F2695" s="2">
        <v>301</v>
      </c>
      <c r="G2695" s="2">
        <v>6</v>
      </c>
      <c r="H2695" t="s">
        <v>731</v>
      </c>
      <c r="I2695" t="s">
        <v>732</v>
      </c>
      <c r="J2695" s="11">
        <f t="shared" si="84"/>
        <v>1014.2404391146102</v>
      </c>
      <c r="K2695" t="str">
        <f t="shared" si="85"/>
        <v>Lauri Calkins</v>
      </c>
    </row>
    <row r="2696" spans="1:11" hidden="1" x14ac:dyDescent="0.35">
      <c r="A2696">
        <f t="shared" si="86"/>
        <v>2695</v>
      </c>
      <c r="B2696">
        <v>2017</v>
      </c>
      <c r="C2696" t="s">
        <v>109</v>
      </c>
      <c r="D2696" t="s">
        <v>45</v>
      </c>
      <c r="E2696" t="s">
        <v>1429</v>
      </c>
      <c r="F2696" s="2">
        <v>241</v>
      </c>
      <c r="G2696" s="2">
        <v>7</v>
      </c>
      <c r="H2696" t="s">
        <v>251</v>
      </c>
      <c r="I2696" t="s">
        <v>252</v>
      </c>
      <c r="J2696" s="11">
        <f t="shared" si="84"/>
        <v>947.29364948399711</v>
      </c>
      <c r="K2696" t="str">
        <f t="shared" si="85"/>
        <v>Linda Lewis</v>
      </c>
    </row>
    <row r="2697" spans="1:11" hidden="1" x14ac:dyDescent="0.35">
      <c r="A2697">
        <f t="shared" si="86"/>
        <v>2696</v>
      </c>
      <c r="B2697">
        <v>2017</v>
      </c>
      <c r="C2697" t="s">
        <v>109</v>
      </c>
      <c r="D2697" t="s">
        <v>2277</v>
      </c>
      <c r="E2697" t="s">
        <v>133</v>
      </c>
      <c r="F2697" s="2">
        <v>1226</v>
      </c>
      <c r="G2697" s="2">
        <v>1</v>
      </c>
      <c r="H2697" t="s">
        <v>15</v>
      </c>
      <c r="I2697" t="s">
        <v>16</v>
      </c>
      <c r="J2697" s="11">
        <f>(LOG(23)-LOG(G2697))*1000</f>
        <v>1361.7278360175928</v>
      </c>
      <c r="K2697" t="str">
        <f t="shared" si="85"/>
        <v>David Kluchman</v>
      </c>
    </row>
    <row r="2698" spans="1:11" hidden="1" x14ac:dyDescent="0.35">
      <c r="A2698">
        <f t="shared" si="86"/>
        <v>2697</v>
      </c>
      <c r="B2698">
        <v>2017</v>
      </c>
      <c r="C2698" t="s">
        <v>109</v>
      </c>
      <c r="D2698" t="s">
        <v>2277</v>
      </c>
      <c r="E2698" t="s">
        <v>133</v>
      </c>
      <c r="F2698" s="2">
        <v>670</v>
      </c>
      <c r="G2698" s="2">
        <v>2</v>
      </c>
      <c r="H2698" t="s">
        <v>558</v>
      </c>
      <c r="I2698" t="s">
        <v>79</v>
      </c>
      <c r="J2698" s="11">
        <f>(LOG(23)-LOG(G2698))*1000</f>
        <v>1060.6978403536116</v>
      </c>
      <c r="K2698" t="str">
        <f t="shared" si="85"/>
        <v>Kevin Conlon</v>
      </c>
    </row>
    <row r="2699" spans="1:11" hidden="1" x14ac:dyDescent="0.35">
      <c r="A2699">
        <f t="shared" si="86"/>
        <v>2698</v>
      </c>
      <c r="B2699">
        <v>2017</v>
      </c>
      <c r="C2699" t="s">
        <v>109</v>
      </c>
      <c r="D2699" t="s">
        <v>2277</v>
      </c>
      <c r="E2699" t="s">
        <v>133</v>
      </c>
      <c r="F2699" s="2">
        <v>335</v>
      </c>
      <c r="G2699" s="2">
        <v>3</v>
      </c>
      <c r="H2699" t="s">
        <v>118</v>
      </c>
      <c r="I2699" t="s">
        <v>415</v>
      </c>
      <c r="J2699" s="11">
        <f>(LOG(23)-LOG(G2699))*1000</f>
        <v>884.60658129793046</v>
      </c>
      <c r="K2699" t="str">
        <f t="shared" si="85"/>
        <v>Pete Segal</v>
      </c>
    </row>
    <row r="2700" spans="1:11" hidden="1" x14ac:dyDescent="0.35">
      <c r="A2700">
        <f t="shared" si="86"/>
        <v>2699</v>
      </c>
      <c r="B2700">
        <v>2017</v>
      </c>
      <c r="C2700" t="s">
        <v>109</v>
      </c>
      <c r="D2700" t="s">
        <v>770</v>
      </c>
      <c r="E2700" t="s">
        <v>1430</v>
      </c>
      <c r="F2700" s="2">
        <v>2366</v>
      </c>
      <c r="G2700" s="2">
        <v>1</v>
      </c>
      <c r="H2700" t="s">
        <v>21</v>
      </c>
      <c r="I2700" t="s">
        <v>463</v>
      </c>
      <c r="J2700" s="11">
        <f t="shared" ref="J2700:J2706" si="87">(LOG(61)-LOG(G2700))*1000</f>
        <v>1785.3298350107671</v>
      </c>
      <c r="K2700" t="str">
        <f t="shared" si="85"/>
        <v>Richard Bremer</v>
      </c>
    </row>
    <row r="2701" spans="1:11" hidden="1" x14ac:dyDescent="0.35">
      <c r="A2701">
        <f t="shared" si="86"/>
        <v>2700</v>
      </c>
      <c r="B2701">
        <v>2017</v>
      </c>
      <c r="C2701" t="s">
        <v>109</v>
      </c>
      <c r="D2701" t="s">
        <v>770</v>
      </c>
      <c r="E2701" t="s">
        <v>1430</v>
      </c>
      <c r="F2701" s="2">
        <v>1302</v>
      </c>
      <c r="G2701" s="2">
        <v>2</v>
      </c>
      <c r="H2701" t="s">
        <v>731</v>
      </c>
      <c r="I2701" t="s">
        <v>384</v>
      </c>
      <c r="J2701" s="11">
        <f t="shared" si="87"/>
        <v>1484.2998393467858</v>
      </c>
      <c r="K2701" t="str">
        <f t="shared" si="85"/>
        <v>Jeff Calkins</v>
      </c>
    </row>
    <row r="2702" spans="1:11" hidden="1" x14ac:dyDescent="0.35">
      <c r="A2702">
        <f t="shared" si="86"/>
        <v>2701</v>
      </c>
      <c r="B2702">
        <v>2017</v>
      </c>
      <c r="C2702" t="s">
        <v>109</v>
      </c>
      <c r="D2702" t="s">
        <v>770</v>
      </c>
      <c r="E2702" t="s">
        <v>1430</v>
      </c>
      <c r="F2702" s="2">
        <v>769</v>
      </c>
      <c r="G2702" s="2">
        <v>3</v>
      </c>
      <c r="H2702" t="s">
        <v>2285</v>
      </c>
      <c r="I2702" t="s">
        <v>2286</v>
      </c>
      <c r="J2702" s="11">
        <f t="shared" si="87"/>
        <v>1308.2085802911047</v>
      </c>
      <c r="K2702" t="str">
        <f t="shared" si="85"/>
        <v>Antoinett Pennington</v>
      </c>
    </row>
    <row r="2703" spans="1:11" hidden="1" x14ac:dyDescent="0.35">
      <c r="A2703">
        <f t="shared" si="86"/>
        <v>2702</v>
      </c>
      <c r="B2703">
        <v>2017</v>
      </c>
      <c r="C2703" t="s">
        <v>109</v>
      </c>
      <c r="D2703" t="s">
        <v>770</v>
      </c>
      <c r="E2703" t="s">
        <v>1430</v>
      </c>
      <c r="F2703" s="2">
        <v>533</v>
      </c>
      <c r="G2703" s="2">
        <v>4</v>
      </c>
      <c r="H2703" t="s">
        <v>402</v>
      </c>
      <c r="I2703" t="s">
        <v>401</v>
      </c>
      <c r="J2703" s="11">
        <f t="shared" si="87"/>
        <v>1183.2698436828045</v>
      </c>
      <c r="K2703" t="str">
        <f t="shared" si="85"/>
        <v>Patricia Yannuzzi</v>
      </c>
    </row>
    <row r="2704" spans="1:11" hidden="1" x14ac:dyDescent="0.35">
      <c r="A2704">
        <f t="shared" si="86"/>
        <v>2703</v>
      </c>
      <c r="B2704">
        <v>2017</v>
      </c>
      <c r="C2704" t="s">
        <v>109</v>
      </c>
      <c r="D2704" t="s">
        <v>770</v>
      </c>
      <c r="E2704" t="s">
        <v>1430</v>
      </c>
      <c r="F2704" s="2">
        <v>414</v>
      </c>
      <c r="G2704" s="2">
        <v>5</v>
      </c>
      <c r="H2704" t="s">
        <v>781</v>
      </c>
      <c r="I2704" t="s">
        <v>782</v>
      </c>
      <c r="J2704" s="11">
        <f t="shared" si="87"/>
        <v>1086.3598306747483</v>
      </c>
      <c r="K2704" t="str">
        <f t="shared" si="85"/>
        <v>Dennis Drangula</v>
      </c>
    </row>
    <row r="2705" spans="1:11" hidden="1" x14ac:dyDescent="0.35">
      <c r="A2705">
        <f t="shared" si="86"/>
        <v>2704</v>
      </c>
      <c r="B2705">
        <v>2017</v>
      </c>
      <c r="C2705" t="s">
        <v>109</v>
      </c>
      <c r="D2705" t="s">
        <v>770</v>
      </c>
      <c r="E2705" t="s">
        <v>1430</v>
      </c>
      <c r="F2705" s="2">
        <v>296</v>
      </c>
      <c r="G2705" s="2">
        <v>6</v>
      </c>
      <c r="H2705" t="s">
        <v>237</v>
      </c>
      <c r="I2705" t="s">
        <v>13</v>
      </c>
      <c r="J2705" s="11">
        <f t="shared" si="87"/>
        <v>1007.1785846271235</v>
      </c>
      <c r="K2705" t="str">
        <f t="shared" si="85"/>
        <v>Tom Goodwin</v>
      </c>
    </row>
    <row r="2706" spans="1:11" hidden="1" x14ac:dyDescent="0.35">
      <c r="A2706">
        <f t="shared" si="86"/>
        <v>2705</v>
      </c>
      <c r="B2706">
        <v>2017</v>
      </c>
      <c r="C2706" t="s">
        <v>109</v>
      </c>
      <c r="D2706" t="s">
        <v>770</v>
      </c>
      <c r="E2706" t="s">
        <v>1430</v>
      </c>
      <c r="F2706" s="2">
        <v>237</v>
      </c>
      <c r="G2706" s="2">
        <v>7</v>
      </c>
      <c r="H2706" t="s">
        <v>33</v>
      </c>
      <c r="I2706" t="s">
        <v>34</v>
      </c>
      <c r="J2706" s="11">
        <f t="shared" si="87"/>
        <v>940.2317949965103</v>
      </c>
      <c r="K2706" t="str">
        <f t="shared" si="85"/>
        <v>Meredith Holtzman</v>
      </c>
    </row>
    <row r="2707" spans="1:11" hidden="1" x14ac:dyDescent="0.35">
      <c r="A2707">
        <f t="shared" si="86"/>
        <v>2706</v>
      </c>
      <c r="B2707">
        <v>2017</v>
      </c>
      <c r="C2707" t="s">
        <v>263</v>
      </c>
      <c r="D2707" t="s">
        <v>2359</v>
      </c>
      <c r="E2707" t="s">
        <v>1430</v>
      </c>
      <c r="F2707" s="2">
        <v>1260</v>
      </c>
      <c r="G2707" s="2">
        <v>1</v>
      </c>
      <c r="H2707" t="s">
        <v>275</v>
      </c>
      <c r="I2707" t="s">
        <v>463</v>
      </c>
      <c r="J2707" s="11">
        <v>1740.3626894942438</v>
      </c>
      <c r="K2707" t="str">
        <f t="shared" si="85"/>
        <v>Richard Korbin</v>
      </c>
    </row>
    <row r="2708" spans="1:11" hidden="1" x14ac:dyDescent="0.35">
      <c r="A2708">
        <f t="shared" si="86"/>
        <v>2707</v>
      </c>
      <c r="B2708">
        <v>2017</v>
      </c>
      <c r="C2708" t="s">
        <v>263</v>
      </c>
      <c r="D2708" t="s">
        <v>2359</v>
      </c>
      <c r="E2708" t="s">
        <v>1430</v>
      </c>
      <c r="F2708" s="2">
        <v>965</v>
      </c>
      <c r="G2708" s="2">
        <v>2</v>
      </c>
      <c r="H2708" t="s">
        <v>64</v>
      </c>
      <c r="I2708" t="s">
        <v>65</v>
      </c>
      <c r="J2708" s="11">
        <v>1439.3326938302625</v>
      </c>
      <c r="K2708" t="str">
        <f t="shared" si="85"/>
        <v>Steve Daniel</v>
      </c>
    </row>
    <row r="2709" spans="1:11" hidden="1" x14ac:dyDescent="0.35">
      <c r="A2709">
        <f t="shared" si="86"/>
        <v>2708</v>
      </c>
      <c r="B2709">
        <v>2017</v>
      </c>
      <c r="C2709" t="s">
        <v>263</v>
      </c>
      <c r="D2709" t="s">
        <v>2359</v>
      </c>
      <c r="E2709" t="s">
        <v>1430</v>
      </c>
      <c r="F2709" s="2">
        <v>745</v>
      </c>
      <c r="G2709" s="2">
        <v>3</v>
      </c>
      <c r="H2709" t="s">
        <v>2370</v>
      </c>
      <c r="I2709" t="s">
        <v>139</v>
      </c>
      <c r="J2709" s="11">
        <v>1263.2414347745814</v>
      </c>
      <c r="K2709" t="str">
        <f t="shared" si="85"/>
        <v>Mark Gregorich</v>
      </c>
    </row>
    <row r="2710" spans="1:11" hidden="1" x14ac:dyDescent="0.35">
      <c r="A2710">
        <f t="shared" si="86"/>
        <v>2709</v>
      </c>
      <c r="B2710">
        <v>2017</v>
      </c>
      <c r="C2710" t="s">
        <v>263</v>
      </c>
      <c r="D2710" t="s">
        <v>2359</v>
      </c>
      <c r="E2710" t="s">
        <v>1430</v>
      </c>
      <c r="F2710" s="2">
        <v>620</v>
      </c>
      <c r="G2710" s="2">
        <v>4</v>
      </c>
      <c r="H2710" t="s">
        <v>21</v>
      </c>
      <c r="I2710" t="s">
        <v>463</v>
      </c>
      <c r="J2710" s="11">
        <v>1138.3026981662815</v>
      </c>
      <c r="K2710" t="str">
        <f t="shared" si="85"/>
        <v>Richard Bremer</v>
      </c>
    </row>
    <row r="2711" spans="1:11" hidden="1" x14ac:dyDescent="0.35">
      <c r="A2711">
        <f t="shared" si="86"/>
        <v>2710</v>
      </c>
      <c r="B2711">
        <v>2017</v>
      </c>
      <c r="C2711" t="s">
        <v>263</v>
      </c>
      <c r="D2711" t="s">
        <v>2359</v>
      </c>
      <c r="E2711" t="s">
        <v>1430</v>
      </c>
      <c r="F2711" s="2">
        <v>480</v>
      </c>
      <c r="G2711" s="2">
        <v>5</v>
      </c>
      <c r="H2711" t="s">
        <v>107</v>
      </c>
      <c r="I2711" t="s">
        <v>108</v>
      </c>
      <c r="J2711" s="11">
        <v>1041.3926851582248</v>
      </c>
      <c r="K2711" t="str">
        <f t="shared" si="85"/>
        <v>Kyle Minnis</v>
      </c>
    </row>
    <row r="2712" spans="1:11" hidden="1" x14ac:dyDescent="0.35">
      <c r="A2712">
        <f t="shared" si="86"/>
        <v>2711</v>
      </c>
      <c r="B2712">
        <v>2017</v>
      </c>
      <c r="C2712" t="s">
        <v>263</v>
      </c>
      <c r="D2712" t="s">
        <v>2359</v>
      </c>
      <c r="E2712" t="s">
        <v>1430</v>
      </c>
      <c r="F2712" s="2">
        <v>335</v>
      </c>
      <c r="G2712" s="2">
        <v>6</v>
      </c>
      <c r="H2712" t="s">
        <v>287</v>
      </c>
      <c r="I2712" t="s">
        <v>125</v>
      </c>
      <c r="J2712" s="11">
        <v>962.21143911060028</v>
      </c>
      <c r="K2712" t="str">
        <f t="shared" si="85"/>
        <v>Ronald Nutt</v>
      </c>
    </row>
    <row r="2713" spans="1:11" hidden="1" x14ac:dyDescent="0.35">
      <c r="A2713">
        <f t="shared" si="86"/>
        <v>2712</v>
      </c>
      <c r="B2713">
        <v>2017</v>
      </c>
      <c r="C2713" t="s">
        <v>263</v>
      </c>
      <c r="D2713" t="s">
        <v>2359</v>
      </c>
      <c r="E2713" t="s">
        <v>1430</v>
      </c>
      <c r="F2713" s="2">
        <v>240</v>
      </c>
      <c r="G2713" s="2">
        <v>7</v>
      </c>
      <c r="H2713" t="s">
        <v>1513</v>
      </c>
      <c r="I2713" t="s">
        <v>1514</v>
      </c>
      <c r="J2713" s="11">
        <v>895.26464947998704</v>
      </c>
      <c r="K2713" t="str">
        <f t="shared" si="85"/>
        <v>Melissa Hayden</v>
      </c>
    </row>
    <row r="2714" spans="1:11" hidden="1" x14ac:dyDescent="0.35">
      <c r="A2714">
        <f t="shared" si="86"/>
        <v>2713</v>
      </c>
      <c r="B2714">
        <v>2017</v>
      </c>
      <c r="C2714" t="s">
        <v>263</v>
      </c>
      <c r="D2714" t="s">
        <v>2359</v>
      </c>
      <c r="E2714" t="s">
        <v>1430</v>
      </c>
      <c r="F2714" s="2">
        <v>140</v>
      </c>
      <c r="G2714" s="2">
        <v>8</v>
      </c>
      <c r="H2714" t="s">
        <v>99</v>
      </c>
      <c r="I2714" t="s">
        <v>2500</v>
      </c>
      <c r="J2714" s="11">
        <v>837.27270250230038</v>
      </c>
      <c r="K2714" t="str">
        <f t="shared" si="85"/>
        <v>Bex Kerl</v>
      </c>
    </row>
    <row r="2715" spans="1:11" hidden="1" x14ac:dyDescent="0.35">
      <c r="A2715">
        <f t="shared" si="86"/>
        <v>2714</v>
      </c>
      <c r="B2715">
        <v>2017</v>
      </c>
      <c r="C2715" t="s">
        <v>263</v>
      </c>
      <c r="D2715" t="s">
        <v>2362</v>
      </c>
      <c r="E2715" t="s">
        <v>509</v>
      </c>
      <c r="F2715" s="2">
        <v>230</v>
      </c>
      <c r="G2715" s="2">
        <v>1</v>
      </c>
      <c r="H2715" t="s">
        <v>107</v>
      </c>
      <c r="I2715" t="s">
        <v>108</v>
      </c>
      <c r="J2715" s="11">
        <v>778.15125038364363</v>
      </c>
      <c r="K2715" t="str">
        <f t="shared" si="85"/>
        <v>Kyle Minnis</v>
      </c>
    </row>
    <row r="2716" spans="1:11" hidden="1" x14ac:dyDescent="0.35">
      <c r="A2716">
        <f t="shared" si="86"/>
        <v>2715</v>
      </c>
      <c r="B2716">
        <v>2017</v>
      </c>
      <c r="C2716" t="s">
        <v>263</v>
      </c>
      <c r="D2716" t="s">
        <v>2362</v>
      </c>
      <c r="E2716" t="s">
        <v>509</v>
      </c>
      <c r="F2716" s="2">
        <v>100</v>
      </c>
      <c r="G2716" s="2">
        <v>2</v>
      </c>
      <c r="H2716" t="s">
        <v>1111</v>
      </c>
      <c r="I2716" t="s">
        <v>1112</v>
      </c>
      <c r="J2716" s="11">
        <v>477.12125471966243</v>
      </c>
      <c r="K2716" t="str">
        <f t="shared" si="85"/>
        <v>Oliver Juang</v>
      </c>
    </row>
    <row r="2717" spans="1:11" hidden="1" x14ac:dyDescent="0.35">
      <c r="A2717">
        <f t="shared" si="86"/>
        <v>2716</v>
      </c>
      <c r="B2717">
        <v>2017</v>
      </c>
      <c r="C2717" t="s">
        <v>263</v>
      </c>
      <c r="D2717" t="s">
        <v>2361</v>
      </c>
      <c r="E2717" t="s">
        <v>1430</v>
      </c>
      <c r="F2717" s="2">
        <v>1425</v>
      </c>
      <c r="G2717" s="2">
        <v>1</v>
      </c>
      <c r="H2717" t="s">
        <v>2365</v>
      </c>
      <c r="I2717" t="s">
        <v>2366</v>
      </c>
      <c r="J2717" s="11">
        <v>1778.1512503836436</v>
      </c>
      <c r="K2717" t="str">
        <f t="shared" si="85"/>
        <v>Jesse Capps</v>
      </c>
    </row>
    <row r="2718" spans="1:11" hidden="1" x14ac:dyDescent="0.35">
      <c r="A2718">
        <f t="shared" ref="A2718:A2781" si="88">A2717+1</f>
        <v>2717</v>
      </c>
      <c r="B2718">
        <v>2017</v>
      </c>
      <c r="C2718" t="s">
        <v>263</v>
      </c>
      <c r="D2718" t="s">
        <v>2361</v>
      </c>
      <c r="E2718" t="s">
        <v>1430</v>
      </c>
      <c r="F2718" s="2">
        <v>1075</v>
      </c>
      <c r="G2718" s="2">
        <v>2</v>
      </c>
      <c r="H2718" t="s">
        <v>266</v>
      </c>
      <c r="I2718" t="s">
        <v>28</v>
      </c>
      <c r="J2718" s="11">
        <v>1477.1212547196624</v>
      </c>
      <c r="K2718" t="str">
        <f t="shared" si="85"/>
        <v>Chris Mecklin</v>
      </c>
    </row>
    <row r="2719" spans="1:11" hidden="1" x14ac:dyDescent="0.35">
      <c r="A2719">
        <f t="shared" si="88"/>
        <v>2718</v>
      </c>
      <c r="B2719">
        <v>2017</v>
      </c>
      <c r="C2719" t="s">
        <v>263</v>
      </c>
      <c r="D2719" t="s">
        <v>2361</v>
      </c>
      <c r="E2719" t="s">
        <v>1430</v>
      </c>
      <c r="F2719" s="2">
        <v>815</v>
      </c>
      <c r="G2719" s="2">
        <v>3</v>
      </c>
      <c r="H2719" t="s">
        <v>90</v>
      </c>
      <c r="I2719" t="s">
        <v>22</v>
      </c>
      <c r="J2719" s="11">
        <v>1301.0299956639813</v>
      </c>
      <c r="K2719" t="str">
        <f t="shared" si="85"/>
        <v>Rich Strauss</v>
      </c>
    </row>
    <row r="2720" spans="1:11" hidden="1" x14ac:dyDescent="0.35">
      <c r="A2720">
        <f t="shared" si="88"/>
        <v>2719</v>
      </c>
      <c r="B2720">
        <v>2017</v>
      </c>
      <c r="C2720" t="s">
        <v>263</v>
      </c>
      <c r="D2720" t="s">
        <v>2361</v>
      </c>
      <c r="E2720" t="s">
        <v>1430</v>
      </c>
      <c r="F2720" s="2">
        <v>660</v>
      </c>
      <c r="G2720" s="2">
        <v>4</v>
      </c>
      <c r="H2720" t="s">
        <v>2311</v>
      </c>
      <c r="I2720" t="s">
        <v>1393</v>
      </c>
      <c r="J2720" s="11">
        <v>1176.0912590556813</v>
      </c>
      <c r="K2720" t="str">
        <f t="shared" si="85"/>
        <v>Ira Wiedman</v>
      </c>
    </row>
    <row r="2721" spans="1:11" hidden="1" x14ac:dyDescent="0.35">
      <c r="A2721">
        <f t="shared" si="88"/>
        <v>2720</v>
      </c>
      <c r="B2721">
        <v>2017</v>
      </c>
      <c r="C2721" t="s">
        <v>263</v>
      </c>
      <c r="D2721" t="s">
        <v>2361</v>
      </c>
      <c r="E2721" t="s">
        <v>1430</v>
      </c>
      <c r="F2721" s="2">
        <v>500</v>
      </c>
      <c r="G2721" s="2">
        <v>5</v>
      </c>
      <c r="H2721" t="s">
        <v>217</v>
      </c>
      <c r="I2721" t="s">
        <v>218</v>
      </c>
      <c r="J2721" s="11">
        <v>1079.1812460476247</v>
      </c>
      <c r="K2721" t="str">
        <f t="shared" si="85"/>
        <v>Michael Patterson</v>
      </c>
    </row>
    <row r="2722" spans="1:11" hidden="1" x14ac:dyDescent="0.35">
      <c r="A2722">
        <f t="shared" si="88"/>
        <v>2721</v>
      </c>
      <c r="B2722">
        <v>2017</v>
      </c>
      <c r="C2722" t="s">
        <v>263</v>
      </c>
      <c r="D2722" t="s">
        <v>2361</v>
      </c>
      <c r="E2722" t="s">
        <v>1430</v>
      </c>
      <c r="F2722" s="2">
        <v>345</v>
      </c>
      <c r="G2722" s="2">
        <v>6</v>
      </c>
      <c r="H2722" t="s">
        <v>713</v>
      </c>
      <c r="I2722" t="s">
        <v>28</v>
      </c>
      <c r="J2722" s="11">
        <v>1000</v>
      </c>
      <c r="K2722" t="str">
        <f t="shared" si="85"/>
        <v>Chris Jepsen</v>
      </c>
    </row>
    <row r="2723" spans="1:11" hidden="1" x14ac:dyDescent="0.35">
      <c r="A2723">
        <f t="shared" si="88"/>
        <v>2722</v>
      </c>
      <c r="B2723">
        <v>2017</v>
      </c>
      <c r="C2723" t="s">
        <v>263</v>
      </c>
      <c r="D2723" t="s">
        <v>2361</v>
      </c>
      <c r="E2723" t="s">
        <v>1430</v>
      </c>
      <c r="F2723" s="2">
        <v>260</v>
      </c>
      <c r="G2723" s="2">
        <v>7</v>
      </c>
      <c r="H2723" t="s">
        <v>1519</v>
      </c>
      <c r="I2723" t="s">
        <v>153</v>
      </c>
      <c r="J2723" s="11">
        <v>933.05321036938687</v>
      </c>
      <c r="K2723" t="str">
        <f t="shared" si="85"/>
        <v>Stephen Blackstock</v>
      </c>
    </row>
    <row r="2724" spans="1:11" hidden="1" x14ac:dyDescent="0.35">
      <c r="A2724">
        <f t="shared" si="88"/>
        <v>2723</v>
      </c>
      <c r="B2724">
        <v>2017</v>
      </c>
      <c r="C2724" t="s">
        <v>263</v>
      </c>
      <c r="D2724" t="s">
        <v>2361</v>
      </c>
      <c r="E2724" t="s">
        <v>1430</v>
      </c>
      <c r="F2724" s="2">
        <v>140</v>
      </c>
      <c r="G2724" s="2">
        <v>8</v>
      </c>
      <c r="H2724" t="s">
        <v>1504</v>
      </c>
      <c r="I2724" t="s">
        <v>85</v>
      </c>
      <c r="J2724" s="11">
        <v>875.06126339170009</v>
      </c>
      <c r="K2724" t="str">
        <f t="shared" si="85"/>
        <v>Patrick Milligan</v>
      </c>
    </row>
    <row r="2725" spans="1:11" hidden="1" x14ac:dyDescent="0.35">
      <c r="A2725">
        <f t="shared" si="88"/>
        <v>2724</v>
      </c>
      <c r="B2725">
        <v>2017</v>
      </c>
      <c r="C2725" t="s">
        <v>263</v>
      </c>
      <c r="D2725" t="s">
        <v>2360</v>
      </c>
      <c r="E2725" t="s">
        <v>509</v>
      </c>
      <c r="F2725" s="2">
        <v>500</v>
      </c>
      <c r="G2725" s="2">
        <v>1</v>
      </c>
      <c r="H2725" t="s">
        <v>294</v>
      </c>
      <c r="I2725" t="s">
        <v>16</v>
      </c>
      <c r="J2725" s="11">
        <v>1477.1212547196624</v>
      </c>
      <c r="K2725" t="str">
        <f t="shared" si="85"/>
        <v>David Low</v>
      </c>
    </row>
    <row r="2726" spans="1:11" hidden="1" x14ac:dyDescent="0.35">
      <c r="A2726">
        <f t="shared" si="88"/>
        <v>2725</v>
      </c>
      <c r="B2726">
        <v>2017</v>
      </c>
      <c r="C2726" t="s">
        <v>263</v>
      </c>
      <c r="D2726" t="s">
        <v>2360</v>
      </c>
      <c r="E2726" t="s">
        <v>509</v>
      </c>
      <c r="F2726" s="2">
        <v>490</v>
      </c>
      <c r="G2726" s="2">
        <v>2</v>
      </c>
      <c r="H2726" t="s">
        <v>277</v>
      </c>
      <c r="I2726" t="s">
        <v>16</v>
      </c>
      <c r="J2726" s="11">
        <v>1176.0912590556811</v>
      </c>
      <c r="K2726" t="str">
        <f t="shared" si="85"/>
        <v>David Lawful</v>
      </c>
    </row>
    <row r="2727" spans="1:11" hidden="1" x14ac:dyDescent="0.35">
      <c r="A2727">
        <f t="shared" si="88"/>
        <v>2726</v>
      </c>
      <c r="B2727">
        <v>2017</v>
      </c>
      <c r="C2727" t="s">
        <v>263</v>
      </c>
      <c r="D2727" t="s">
        <v>2360</v>
      </c>
      <c r="E2727" t="s">
        <v>509</v>
      </c>
      <c r="F2727" s="2">
        <v>280</v>
      </c>
      <c r="G2727" s="2">
        <v>3</v>
      </c>
      <c r="H2727" t="s">
        <v>251</v>
      </c>
      <c r="I2727" t="s">
        <v>252</v>
      </c>
      <c r="J2727" s="11">
        <v>1000</v>
      </c>
      <c r="K2727" t="str">
        <f t="shared" si="85"/>
        <v>Linda Lewis</v>
      </c>
    </row>
    <row r="2728" spans="1:11" hidden="1" x14ac:dyDescent="0.35">
      <c r="A2728">
        <f t="shared" si="88"/>
        <v>2727</v>
      </c>
      <c r="B2728">
        <v>2017</v>
      </c>
      <c r="C2728" t="s">
        <v>263</v>
      </c>
      <c r="D2728" t="s">
        <v>2360</v>
      </c>
      <c r="E2728" t="s">
        <v>509</v>
      </c>
      <c r="F2728" s="2">
        <v>215</v>
      </c>
      <c r="G2728" s="2">
        <v>4</v>
      </c>
      <c r="H2728" t="s">
        <v>1519</v>
      </c>
      <c r="I2728" t="s">
        <v>153</v>
      </c>
      <c r="J2728" s="11">
        <v>875.06126339169998</v>
      </c>
      <c r="K2728" t="str">
        <f t="shared" si="85"/>
        <v>Stephen Blackstock</v>
      </c>
    </row>
    <row r="2729" spans="1:11" hidden="1" x14ac:dyDescent="0.35">
      <c r="A2729">
        <f t="shared" si="88"/>
        <v>2728</v>
      </c>
      <c r="B2729">
        <v>2017</v>
      </c>
      <c r="C2729" t="s">
        <v>263</v>
      </c>
      <c r="D2729" t="s">
        <v>2360</v>
      </c>
      <c r="E2729" t="s">
        <v>509</v>
      </c>
      <c r="F2729" s="2">
        <v>165</v>
      </c>
      <c r="G2729" s="2">
        <v>5</v>
      </c>
      <c r="H2729" t="s">
        <v>99</v>
      </c>
      <c r="I2729" t="s">
        <v>101</v>
      </c>
      <c r="J2729" s="11">
        <v>778.15125038364351</v>
      </c>
      <c r="K2729" t="str">
        <f t="shared" si="85"/>
        <v>Dean Kerl</v>
      </c>
    </row>
    <row r="2730" spans="1:11" hidden="1" x14ac:dyDescent="0.35">
      <c r="A2730">
        <f t="shared" si="88"/>
        <v>2729</v>
      </c>
      <c r="B2730">
        <v>2017</v>
      </c>
      <c r="C2730" t="s">
        <v>263</v>
      </c>
      <c r="D2730" t="s">
        <v>2358</v>
      </c>
      <c r="E2730" t="s">
        <v>1429</v>
      </c>
      <c r="F2730" s="2">
        <v>1150</v>
      </c>
      <c r="G2730" s="2">
        <v>1</v>
      </c>
      <c r="H2730" t="s">
        <v>277</v>
      </c>
      <c r="I2730" t="s">
        <v>16</v>
      </c>
      <c r="J2730" s="11">
        <v>1672.0978579357175</v>
      </c>
      <c r="K2730" t="str">
        <f t="shared" si="85"/>
        <v>David Lawful</v>
      </c>
    </row>
    <row r="2731" spans="1:11" hidden="1" x14ac:dyDescent="0.35">
      <c r="A2731">
        <f t="shared" si="88"/>
        <v>2730</v>
      </c>
      <c r="B2731">
        <v>2017</v>
      </c>
      <c r="C2731" t="s">
        <v>263</v>
      </c>
      <c r="D2731" t="s">
        <v>2358</v>
      </c>
      <c r="E2731" t="s">
        <v>1429</v>
      </c>
      <c r="F2731" s="2">
        <v>1130</v>
      </c>
      <c r="G2731" s="2">
        <v>2</v>
      </c>
      <c r="H2731" t="s">
        <v>204</v>
      </c>
      <c r="I2731" t="s">
        <v>205</v>
      </c>
      <c r="J2731" s="11">
        <v>1371.0678622717362</v>
      </c>
      <c r="K2731" t="str">
        <f t="shared" si="85"/>
        <v>Ron Grossberg</v>
      </c>
    </row>
    <row r="2732" spans="1:11" hidden="1" x14ac:dyDescent="0.35">
      <c r="A2732">
        <f t="shared" si="88"/>
        <v>2731</v>
      </c>
      <c r="B2732">
        <v>2017</v>
      </c>
      <c r="C2732" t="s">
        <v>263</v>
      </c>
      <c r="D2732" t="s">
        <v>2358</v>
      </c>
      <c r="E2732" t="s">
        <v>1429</v>
      </c>
      <c r="F2732" s="2">
        <v>835</v>
      </c>
      <c r="G2732" s="2">
        <v>3</v>
      </c>
      <c r="H2732" t="s">
        <v>306</v>
      </c>
      <c r="I2732" t="s">
        <v>694</v>
      </c>
      <c r="J2732" s="11">
        <v>1194.9766032160551</v>
      </c>
      <c r="K2732" t="str">
        <f t="shared" si="85"/>
        <v>J P Massar</v>
      </c>
    </row>
    <row r="2733" spans="1:11" hidden="1" x14ac:dyDescent="0.35">
      <c r="A2733">
        <f t="shared" si="88"/>
        <v>2732</v>
      </c>
      <c r="B2733">
        <v>2017</v>
      </c>
      <c r="C2733" t="s">
        <v>263</v>
      </c>
      <c r="D2733" t="s">
        <v>2358</v>
      </c>
      <c r="E2733" t="s">
        <v>1429</v>
      </c>
      <c r="F2733" s="2">
        <v>670</v>
      </c>
      <c r="G2733" s="2">
        <v>4</v>
      </c>
      <c r="H2733" t="s">
        <v>64</v>
      </c>
      <c r="I2733" t="s">
        <v>65</v>
      </c>
      <c r="J2733" s="11">
        <v>1070.0378666077549</v>
      </c>
      <c r="K2733" t="str">
        <f t="shared" si="85"/>
        <v>Steve Daniel</v>
      </c>
    </row>
    <row r="2734" spans="1:11" hidden="1" x14ac:dyDescent="0.35">
      <c r="A2734">
        <f t="shared" si="88"/>
        <v>2733</v>
      </c>
      <c r="B2734">
        <v>2017</v>
      </c>
      <c r="C2734" t="s">
        <v>263</v>
      </c>
      <c r="D2734" t="s">
        <v>2358</v>
      </c>
      <c r="E2734" t="s">
        <v>1429</v>
      </c>
      <c r="F2734" s="2">
        <v>305</v>
      </c>
      <c r="G2734" s="2">
        <v>5</v>
      </c>
      <c r="H2734" t="s">
        <v>1505</v>
      </c>
      <c r="I2734" t="s">
        <v>52</v>
      </c>
      <c r="J2734" s="11">
        <v>973.12785359969871</v>
      </c>
      <c r="K2734" t="str">
        <f t="shared" si="85"/>
        <v>Steven Markowitz</v>
      </c>
    </row>
    <row r="2735" spans="1:11" hidden="1" x14ac:dyDescent="0.35">
      <c r="A2735">
        <f t="shared" si="88"/>
        <v>2734</v>
      </c>
      <c r="B2735">
        <v>2017</v>
      </c>
      <c r="C2735" t="s">
        <v>263</v>
      </c>
      <c r="D2735" t="s">
        <v>45</v>
      </c>
      <c r="E2735" t="s">
        <v>1429</v>
      </c>
      <c r="F2735" s="2">
        <v>3992</v>
      </c>
      <c r="G2735" s="2">
        <v>1</v>
      </c>
      <c r="H2735" t="s">
        <v>266</v>
      </c>
      <c r="I2735" t="s">
        <v>28</v>
      </c>
      <c r="J2735" s="11">
        <v>2120.5739312058499</v>
      </c>
      <c r="K2735" t="str">
        <f t="shared" si="85"/>
        <v>Chris Mecklin</v>
      </c>
    </row>
    <row r="2736" spans="1:11" hidden="1" x14ac:dyDescent="0.35">
      <c r="A2736">
        <f t="shared" si="88"/>
        <v>2735</v>
      </c>
      <c r="B2736">
        <v>2017</v>
      </c>
      <c r="C2736" t="s">
        <v>263</v>
      </c>
      <c r="D2736" t="s">
        <v>45</v>
      </c>
      <c r="E2736" t="s">
        <v>1429</v>
      </c>
      <c r="F2736" s="2">
        <v>3035</v>
      </c>
      <c r="G2736" s="2">
        <v>2</v>
      </c>
      <c r="H2736" t="s">
        <v>482</v>
      </c>
      <c r="I2736" t="s">
        <v>410</v>
      </c>
      <c r="J2736" s="11">
        <v>1819.5439355418687</v>
      </c>
      <c r="K2736" t="str">
        <f t="shared" si="85"/>
        <v>Larry Bierman</v>
      </c>
    </row>
    <row r="2737" spans="1:11" hidden="1" x14ac:dyDescent="0.35">
      <c r="A2737">
        <f t="shared" si="88"/>
        <v>2736</v>
      </c>
      <c r="B2737">
        <v>2017</v>
      </c>
      <c r="C2737" t="s">
        <v>263</v>
      </c>
      <c r="D2737" t="s">
        <v>45</v>
      </c>
      <c r="E2737" t="s">
        <v>1429</v>
      </c>
      <c r="F2737" s="2">
        <v>2235</v>
      </c>
      <c r="G2737" s="2">
        <v>3</v>
      </c>
      <c r="H2737" t="s">
        <v>1515</v>
      </c>
      <c r="I2737" t="s">
        <v>815</v>
      </c>
      <c r="J2737" s="11">
        <v>1643.4526764861876</v>
      </c>
      <c r="K2737" t="str">
        <f t="shared" si="85"/>
        <v>Sean Morrow</v>
      </c>
    </row>
    <row r="2738" spans="1:11" hidden="1" x14ac:dyDescent="0.35">
      <c r="A2738">
        <f t="shared" si="88"/>
        <v>2737</v>
      </c>
      <c r="B2738">
        <v>2017</v>
      </c>
      <c r="C2738" t="s">
        <v>263</v>
      </c>
      <c r="D2738" t="s">
        <v>45</v>
      </c>
      <c r="E2738" t="s">
        <v>1429</v>
      </c>
      <c r="F2738" s="2">
        <v>1760</v>
      </c>
      <c r="G2738" s="2">
        <v>4</v>
      </c>
      <c r="H2738" t="s">
        <v>204</v>
      </c>
      <c r="I2738" t="s">
        <v>205</v>
      </c>
      <c r="J2738" s="11">
        <v>1518.5139398778874</v>
      </c>
      <c r="K2738" t="str">
        <f t="shared" si="85"/>
        <v>Ron Grossberg</v>
      </c>
    </row>
    <row r="2739" spans="1:11" hidden="1" x14ac:dyDescent="0.35">
      <c r="A2739">
        <f t="shared" si="88"/>
        <v>2738</v>
      </c>
      <c r="B2739">
        <v>2017</v>
      </c>
      <c r="C2739" t="s">
        <v>263</v>
      </c>
      <c r="D2739" t="s">
        <v>45</v>
      </c>
      <c r="E2739" t="s">
        <v>1429</v>
      </c>
      <c r="F2739" s="2">
        <v>1280</v>
      </c>
      <c r="G2739" s="2">
        <v>5</v>
      </c>
      <c r="H2739" t="s">
        <v>107</v>
      </c>
      <c r="I2739" t="s">
        <v>108</v>
      </c>
      <c r="J2739" s="11">
        <v>1421.6039268698312</v>
      </c>
      <c r="K2739" t="str">
        <f t="shared" si="85"/>
        <v>Kyle Minnis</v>
      </c>
    </row>
    <row r="2740" spans="1:11" hidden="1" x14ac:dyDescent="0.35">
      <c r="A2740">
        <f t="shared" si="88"/>
        <v>2739</v>
      </c>
      <c r="B2740">
        <v>2017</v>
      </c>
      <c r="C2740" t="s">
        <v>263</v>
      </c>
      <c r="D2740" t="s">
        <v>45</v>
      </c>
      <c r="E2740" t="s">
        <v>1429</v>
      </c>
      <c r="F2740" s="2">
        <v>960</v>
      </c>
      <c r="G2740" s="2">
        <v>6</v>
      </c>
      <c r="H2740" t="s">
        <v>72</v>
      </c>
      <c r="I2740" t="s">
        <v>73</v>
      </c>
      <c r="J2740" s="11">
        <v>1342.4226808222063</v>
      </c>
      <c r="K2740" t="str">
        <f t="shared" si="85"/>
        <v>Corey Imsdahl</v>
      </c>
    </row>
    <row r="2741" spans="1:11" hidden="1" x14ac:dyDescent="0.35">
      <c r="A2741">
        <f t="shared" si="88"/>
        <v>2740</v>
      </c>
      <c r="B2741">
        <v>2017</v>
      </c>
      <c r="C2741" t="s">
        <v>263</v>
      </c>
      <c r="D2741" t="s">
        <v>45</v>
      </c>
      <c r="E2741" t="s">
        <v>1429</v>
      </c>
      <c r="F2741" s="2">
        <v>640</v>
      </c>
      <c r="G2741" s="2">
        <v>7</v>
      </c>
      <c r="H2741" t="s">
        <v>1727</v>
      </c>
      <c r="I2741" t="s">
        <v>218</v>
      </c>
      <c r="J2741" s="11">
        <v>1275.4758911915931</v>
      </c>
      <c r="K2741" t="str">
        <f t="shared" si="85"/>
        <v>Michael Chow</v>
      </c>
    </row>
    <row r="2742" spans="1:11" hidden="1" x14ac:dyDescent="0.35">
      <c r="A2742">
        <f t="shared" si="88"/>
        <v>2741</v>
      </c>
      <c r="B2742">
        <v>2017</v>
      </c>
      <c r="C2742" t="s">
        <v>263</v>
      </c>
      <c r="D2742" t="s">
        <v>45</v>
      </c>
      <c r="E2742" t="s">
        <v>1429</v>
      </c>
      <c r="F2742" s="2">
        <v>480</v>
      </c>
      <c r="G2742" s="2">
        <v>8</v>
      </c>
      <c r="H2742" t="s">
        <v>285</v>
      </c>
      <c r="I2742" t="s">
        <v>119</v>
      </c>
      <c r="J2742" s="11">
        <v>1217.4839442139064</v>
      </c>
      <c r="K2742" t="str">
        <f t="shared" si="85"/>
        <v>Peter Secor</v>
      </c>
    </row>
    <row r="2743" spans="1:11" hidden="1" x14ac:dyDescent="0.35">
      <c r="A2743">
        <f t="shared" si="88"/>
        <v>2742</v>
      </c>
      <c r="B2743">
        <v>2017</v>
      </c>
      <c r="C2743" t="s">
        <v>263</v>
      </c>
      <c r="D2743" t="s">
        <v>45</v>
      </c>
      <c r="E2743" t="s">
        <v>1429</v>
      </c>
      <c r="F2743" s="2">
        <v>320</v>
      </c>
      <c r="G2743" s="2">
        <v>9</v>
      </c>
      <c r="H2743" t="s">
        <v>64</v>
      </c>
      <c r="I2743" t="s">
        <v>65</v>
      </c>
      <c r="J2743" s="11">
        <v>1166.3314217665252</v>
      </c>
      <c r="K2743" t="str">
        <f t="shared" si="85"/>
        <v>Steve Daniel</v>
      </c>
    </row>
    <row r="2744" spans="1:11" hidden="1" x14ac:dyDescent="0.35">
      <c r="A2744">
        <f t="shared" si="88"/>
        <v>2743</v>
      </c>
      <c r="B2744">
        <v>2017</v>
      </c>
      <c r="C2744" t="s">
        <v>263</v>
      </c>
      <c r="D2744" t="s">
        <v>45</v>
      </c>
      <c r="E2744" t="s">
        <v>1429</v>
      </c>
      <c r="F2744" s="2">
        <v>320</v>
      </c>
      <c r="G2744" s="2">
        <v>10</v>
      </c>
      <c r="H2744" t="s">
        <v>216</v>
      </c>
      <c r="I2744" t="s">
        <v>65</v>
      </c>
      <c r="J2744" s="11">
        <v>1120.5739312058499</v>
      </c>
      <c r="K2744" t="str">
        <f t="shared" si="85"/>
        <v>Steve Watanabe</v>
      </c>
    </row>
    <row r="2745" spans="1:11" hidden="1" x14ac:dyDescent="0.35">
      <c r="A2745">
        <f t="shared" si="88"/>
        <v>2744</v>
      </c>
      <c r="B2745">
        <v>2017</v>
      </c>
      <c r="C2745" t="s">
        <v>263</v>
      </c>
      <c r="D2745" t="s">
        <v>45</v>
      </c>
      <c r="E2745" t="s">
        <v>1429</v>
      </c>
      <c r="F2745" s="2">
        <v>240</v>
      </c>
      <c r="G2745" s="2">
        <v>11</v>
      </c>
      <c r="H2745" t="s">
        <v>2539</v>
      </c>
      <c r="I2745" t="s">
        <v>28</v>
      </c>
      <c r="J2745" s="11">
        <v>1079.1812460476249</v>
      </c>
      <c r="K2745" t="str">
        <f t="shared" si="85"/>
        <v>Chris O’Connor</v>
      </c>
    </row>
    <row r="2746" spans="1:11" hidden="1" x14ac:dyDescent="0.35">
      <c r="A2746">
        <f t="shared" si="88"/>
        <v>2745</v>
      </c>
      <c r="B2746">
        <v>2017</v>
      </c>
      <c r="C2746" t="s">
        <v>263</v>
      </c>
      <c r="D2746" t="s">
        <v>45</v>
      </c>
      <c r="E2746" t="s">
        <v>1429</v>
      </c>
      <c r="F2746" s="2">
        <v>240</v>
      </c>
      <c r="G2746" s="2">
        <v>12</v>
      </c>
      <c r="H2746" t="s">
        <v>265</v>
      </c>
      <c r="I2746" t="s">
        <v>139</v>
      </c>
      <c r="J2746" s="11">
        <v>1041.392685158225</v>
      </c>
      <c r="K2746" t="str">
        <f t="shared" si="85"/>
        <v>Mark Hughes</v>
      </c>
    </row>
    <row r="2747" spans="1:11" hidden="1" x14ac:dyDescent="0.35">
      <c r="A2747">
        <f t="shared" si="88"/>
        <v>2746</v>
      </c>
      <c r="B2747">
        <v>2017</v>
      </c>
      <c r="C2747" t="s">
        <v>263</v>
      </c>
      <c r="D2747" t="s">
        <v>45</v>
      </c>
      <c r="E2747" t="s">
        <v>1429</v>
      </c>
      <c r="F2747" s="2">
        <v>160</v>
      </c>
      <c r="G2747" s="2">
        <v>13</v>
      </c>
      <c r="H2747" t="s">
        <v>525</v>
      </c>
      <c r="I2747" t="s">
        <v>58</v>
      </c>
      <c r="J2747" s="11">
        <v>1006.6305788990134</v>
      </c>
      <c r="K2747" t="str">
        <f t="shared" si="85"/>
        <v>Jim Anderson</v>
      </c>
    </row>
    <row r="2748" spans="1:11" hidden="1" x14ac:dyDescent="0.35">
      <c r="A2748">
        <f t="shared" si="88"/>
        <v>2747</v>
      </c>
      <c r="B2748">
        <v>2017</v>
      </c>
      <c r="C2748" t="s">
        <v>263</v>
      </c>
      <c r="D2748" t="s">
        <v>45</v>
      </c>
      <c r="E2748" t="s">
        <v>1429</v>
      </c>
      <c r="F2748" s="2">
        <v>160</v>
      </c>
      <c r="G2748" s="2">
        <v>14</v>
      </c>
      <c r="H2748" t="s">
        <v>334</v>
      </c>
      <c r="I2748" t="s">
        <v>139</v>
      </c>
      <c r="J2748" s="11">
        <v>974.44589552761204</v>
      </c>
      <c r="K2748" t="str">
        <f t="shared" si="85"/>
        <v>Mark Todd</v>
      </c>
    </row>
    <row r="2749" spans="1:11" hidden="1" x14ac:dyDescent="0.35">
      <c r="A2749">
        <f t="shared" si="88"/>
        <v>2748</v>
      </c>
      <c r="B2749">
        <v>2017</v>
      </c>
      <c r="C2749" t="s">
        <v>263</v>
      </c>
      <c r="D2749" t="s">
        <v>45</v>
      </c>
      <c r="E2749" t="s">
        <v>1429</v>
      </c>
      <c r="F2749" s="2">
        <v>160</v>
      </c>
      <c r="G2749" s="2">
        <v>15</v>
      </c>
      <c r="H2749" t="s">
        <v>302</v>
      </c>
      <c r="I2749" t="s">
        <v>81</v>
      </c>
      <c r="J2749" s="11">
        <v>944.4826721501687</v>
      </c>
      <c r="K2749" t="str">
        <f t="shared" si="85"/>
        <v>Don Rieck</v>
      </c>
    </row>
    <row r="2750" spans="1:11" hidden="1" x14ac:dyDescent="0.35">
      <c r="A2750">
        <f t="shared" si="88"/>
        <v>2749</v>
      </c>
      <c r="B2750">
        <v>2017</v>
      </c>
      <c r="C2750" t="s">
        <v>263</v>
      </c>
      <c r="D2750" t="s">
        <v>133</v>
      </c>
      <c r="E2750" t="s">
        <v>133</v>
      </c>
      <c r="F2750" s="2">
        <v>1650</v>
      </c>
      <c r="G2750" s="2">
        <v>1</v>
      </c>
      <c r="H2750" t="s">
        <v>204</v>
      </c>
      <c r="I2750" t="s">
        <v>205</v>
      </c>
      <c r="J2750" s="11">
        <v>1897.6270912904413</v>
      </c>
      <c r="K2750" t="str">
        <f t="shared" si="85"/>
        <v>Ron Grossberg</v>
      </c>
    </row>
    <row r="2751" spans="1:11" hidden="1" x14ac:dyDescent="0.35">
      <c r="A2751">
        <f t="shared" si="88"/>
        <v>2750</v>
      </c>
      <c r="B2751">
        <v>2017</v>
      </c>
      <c r="C2751" t="s">
        <v>263</v>
      </c>
      <c r="D2751" t="s">
        <v>133</v>
      </c>
      <c r="E2751" t="s">
        <v>133</v>
      </c>
      <c r="F2751" s="2">
        <v>1245</v>
      </c>
      <c r="G2751" s="2">
        <v>2</v>
      </c>
      <c r="H2751" t="s">
        <v>307</v>
      </c>
      <c r="I2751" t="s">
        <v>67</v>
      </c>
      <c r="J2751" s="11">
        <v>1596.59709562646</v>
      </c>
      <c r="K2751" t="str">
        <f t="shared" si="85"/>
        <v>Bob Ogus</v>
      </c>
    </row>
    <row r="2752" spans="1:11" hidden="1" x14ac:dyDescent="0.35">
      <c r="A2752">
        <f t="shared" si="88"/>
        <v>2751</v>
      </c>
      <c r="B2752">
        <v>2017</v>
      </c>
      <c r="C2752" t="s">
        <v>263</v>
      </c>
      <c r="D2752" t="s">
        <v>133</v>
      </c>
      <c r="E2752" t="s">
        <v>133</v>
      </c>
      <c r="F2752" s="2">
        <v>1120</v>
      </c>
      <c r="G2752" s="2">
        <v>3</v>
      </c>
      <c r="H2752" t="s">
        <v>2539</v>
      </c>
      <c r="I2752" t="s">
        <v>28</v>
      </c>
      <c r="J2752" s="11">
        <v>1420.5058365707789</v>
      </c>
      <c r="K2752" t="str">
        <f t="shared" si="85"/>
        <v>Chris O’Connor</v>
      </c>
    </row>
    <row r="2753" spans="1:11" hidden="1" x14ac:dyDescent="0.35">
      <c r="A2753">
        <f t="shared" si="88"/>
        <v>2752</v>
      </c>
      <c r="B2753">
        <v>2017</v>
      </c>
      <c r="C2753" t="s">
        <v>263</v>
      </c>
      <c r="D2753" t="s">
        <v>133</v>
      </c>
      <c r="E2753" t="s">
        <v>133</v>
      </c>
      <c r="F2753" s="2">
        <v>1070</v>
      </c>
      <c r="G2753" s="2">
        <v>4</v>
      </c>
      <c r="H2753" t="s">
        <v>829</v>
      </c>
      <c r="I2753" t="s">
        <v>830</v>
      </c>
      <c r="J2753" s="11">
        <v>1295.5670999624788</v>
      </c>
      <c r="K2753" t="str">
        <f t="shared" si="85"/>
        <v>Murray Logan</v>
      </c>
    </row>
    <row r="2754" spans="1:11" hidden="1" x14ac:dyDescent="0.35">
      <c r="A2754">
        <f t="shared" si="88"/>
        <v>2753</v>
      </c>
      <c r="B2754">
        <v>2017</v>
      </c>
      <c r="C2754" t="s">
        <v>263</v>
      </c>
      <c r="D2754" t="s">
        <v>133</v>
      </c>
      <c r="E2754" t="s">
        <v>133</v>
      </c>
      <c r="F2754" s="2">
        <v>685</v>
      </c>
      <c r="G2754" s="2">
        <v>5</v>
      </c>
      <c r="H2754" t="s">
        <v>14</v>
      </c>
      <c r="I2754" t="s">
        <v>11</v>
      </c>
      <c r="J2754" s="11">
        <v>1198.6570869544225</v>
      </c>
      <c r="K2754" t="str">
        <f t="shared" ref="K2754:K2817" si="89">I2754&amp;" "&amp;H2754</f>
        <v>Paul McMullin</v>
      </c>
    </row>
    <row r="2755" spans="1:11" hidden="1" x14ac:dyDescent="0.35">
      <c r="A2755">
        <f t="shared" si="88"/>
        <v>2754</v>
      </c>
      <c r="B2755">
        <v>2017</v>
      </c>
      <c r="C2755" t="s">
        <v>263</v>
      </c>
      <c r="D2755" t="s">
        <v>133</v>
      </c>
      <c r="E2755" t="s">
        <v>133</v>
      </c>
      <c r="F2755" s="2">
        <v>480</v>
      </c>
      <c r="G2755" s="2">
        <v>6</v>
      </c>
      <c r="H2755" t="s">
        <v>103</v>
      </c>
      <c r="I2755" t="s">
        <v>104</v>
      </c>
      <c r="J2755" s="11">
        <v>1119.4758409067977</v>
      </c>
      <c r="K2755" t="str">
        <f t="shared" si="89"/>
        <v>Masanobu Fujioka</v>
      </c>
    </row>
    <row r="2756" spans="1:11" hidden="1" x14ac:dyDescent="0.35">
      <c r="A2756">
        <f t="shared" si="88"/>
        <v>2755</v>
      </c>
      <c r="B2756">
        <v>2017</v>
      </c>
      <c r="C2756" t="s">
        <v>263</v>
      </c>
      <c r="D2756" t="s">
        <v>133</v>
      </c>
      <c r="E2756" t="s">
        <v>133</v>
      </c>
      <c r="F2756" s="2">
        <v>345</v>
      </c>
      <c r="G2756" s="2">
        <v>7</v>
      </c>
      <c r="H2756" t="s">
        <v>294</v>
      </c>
      <c r="I2756" t="s">
        <v>16</v>
      </c>
      <c r="J2756" s="11">
        <v>1052.5290512761844</v>
      </c>
      <c r="K2756" t="str">
        <f t="shared" si="89"/>
        <v>David Low</v>
      </c>
    </row>
    <row r="2757" spans="1:11" hidden="1" x14ac:dyDescent="0.35">
      <c r="A2757">
        <f t="shared" si="88"/>
        <v>2756</v>
      </c>
      <c r="B2757">
        <v>2017</v>
      </c>
      <c r="C2757" t="s">
        <v>263</v>
      </c>
      <c r="D2757" t="s">
        <v>133</v>
      </c>
      <c r="E2757" t="s">
        <v>133</v>
      </c>
      <c r="F2757" s="2">
        <v>278</v>
      </c>
      <c r="G2757" s="2">
        <v>8</v>
      </c>
      <c r="H2757" t="s">
        <v>2373</v>
      </c>
      <c r="I2757" t="s">
        <v>2374</v>
      </c>
      <c r="J2757" s="11">
        <v>994.53710429849787</v>
      </c>
      <c r="K2757" t="str">
        <f t="shared" si="89"/>
        <v>Voltaire Ronquillo</v>
      </c>
    </row>
    <row r="2758" spans="1:11" hidden="1" x14ac:dyDescent="0.35">
      <c r="A2758">
        <f t="shared" si="88"/>
        <v>2757</v>
      </c>
      <c r="B2758">
        <v>2017</v>
      </c>
      <c r="C2758" t="s">
        <v>263</v>
      </c>
      <c r="D2758" t="s">
        <v>110</v>
      </c>
      <c r="E2758" t="s">
        <v>1430</v>
      </c>
      <c r="F2758" s="2">
        <v>2570</v>
      </c>
      <c r="G2758" s="2">
        <v>1</v>
      </c>
      <c r="H2758" t="s">
        <v>285</v>
      </c>
      <c r="I2758" t="s">
        <v>119</v>
      </c>
      <c r="J2758" s="11">
        <v>2017.0333392987802</v>
      </c>
      <c r="K2758" t="str">
        <f t="shared" si="89"/>
        <v>Peter Secor</v>
      </c>
    </row>
    <row r="2759" spans="1:11" hidden="1" x14ac:dyDescent="0.35">
      <c r="A2759">
        <f t="shared" si="88"/>
        <v>2758</v>
      </c>
      <c r="B2759">
        <v>2017</v>
      </c>
      <c r="C2759" t="s">
        <v>263</v>
      </c>
      <c r="D2759" t="s">
        <v>110</v>
      </c>
      <c r="E2759" t="s">
        <v>1430</v>
      </c>
      <c r="F2759" s="2">
        <v>1935</v>
      </c>
      <c r="G2759" s="2">
        <v>2</v>
      </c>
      <c r="H2759" t="s">
        <v>214</v>
      </c>
      <c r="I2759" t="s">
        <v>215</v>
      </c>
      <c r="J2759" s="11">
        <v>1716.003343634799</v>
      </c>
      <c r="K2759" t="str">
        <f t="shared" si="89"/>
        <v>Derek Gomez</v>
      </c>
    </row>
    <row r="2760" spans="1:11" hidden="1" x14ac:dyDescent="0.35">
      <c r="A2760">
        <f t="shared" si="88"/>
        <v>2759</v>
      </c>
      <c r="B2760">
        <v>2017</v>
      </c>
      <c r="C2760" t="s">
        <v>263</v>
      </c>
      <c r="D2760" t="s">
        <v>110</v>
      </c>
      <c r="E2760" t="s">
        <v>1430</v>
      </c>
      <c r="F2760" s="2">
        <v>1485</v>
      </c>
      <c r="G2760" s="2">
        <v>3</v>
      </c>
      <c r="H2760" t="s">
        <v>217</v>
      </c>
      <c r="I2760" t="s">
        <v>218</v>
      </c>
      <c r="J2760" s="11">
        <v>1539.9120845791178</v>
      </c>
      <c r="K2760" t="str">
        <f t="shared" si="89"/>
        <v>Michael Patterson</v>
      </c>
    </row>
    <row r="2761" spans="1:11" hidden="1" x14ac:dyDescent="0.35">
      <c r="A2761">
        <f t="shared" si="88"/>
        <v>2760</v>
      </c>
      <c r="B2761">
        <v>2017</v>
      </c>
      <c r="C2761" t="s">
        <v>263</v>
      </c>
      <c r="D2761" t="s">
        <v>110</v>
      </c>
      <c r="E2761" t="s">
        <v>1430</v>
      </c>
      <c r="F2761" s="2">
        <v>1165</v>
      </c>
      <c r="G2761" s="2">
        <v>4</v>
      </c>
      <c r="H2761" t="s">
        <v>21</v>
      </c>
      <c r="I2761" t="s">
        <v>463</v>
      </c>
      <c r="J2761" s="11">
        <v>1414.9733479708177</v>
      </c>
      <c r="K2761" t="str">
        <f t="shared" si="89"/>
        <v>Richard Bremer</v>
      </c>
    </row>
    <row r="2762" spans="1:11" hidden="1" x14ac:dyDescent="0.35">
      <c r="A2762">
        <f t="shared" si="88"/>
        <v>2761</v>
      </c>
      <c r="B2762">
        <v>2017</v>
      </c>
      <c r="C2762" t="s">
        <v>263</v>
      </c>
      <c r="D2762" t="s">
        <v>110</v>
      </c>
      <c r="E2762" t="s">
        <v>1430</v>
      </c>
      <c r="F2762" s="2">
        <v>955</v>
      </c>
      <c r="G2762" s="2">
        <v>5</v>
      </c>
      <c r="H2762" t="s">
        <v>99</v>
      </c>
      <c r="I2762" t="s">
        <v>101</v>
      </c>
      <c r="J2762" s="11">
        <v>1318.0633349627615</v>
      </c>
      <c r="K2762" t="str">
        <f t="shared" si="89"/>
        <v>Dean Kerl</v>
      </c>
    </row>
    <row r="2763" spans="1:11" hidden="1" x14ac:dyDescent="0.35">
      <c r="A2763">
        <f t="shared" si="88"/>
        <v>2762</v>
      </c>
      <c r="B2763">
        <v>2017</v>
      </c>
      <c r="C2763" t="s">
        <v>263</v>
      </c>
      <c r="D2763" t="s">
        <v>110</v>
      </c>
      <c r="E2763" t="s">
        <v>1430</v>
      </c>
      <c r="F2763" s="2">
        <v>745</v>
      </c>
      <c r="G2763" s="2">
        <v>6</v>
      </c>
      <c r="H2763" t="s">
        <v>15</v>
      </c>
      <c r="I2763" t="s">
        <v>16</v>
      </c>
      <c r="J2763" s="11">
        <v>1238.8820889151366</v>
      </c>
      <c r="K2763" t="str">
        <f t="shared" si="89"/>
        <v>David Kluchman</v>
      </c>
    </row>
    <row r="2764" spans="1:11" hidden="1" x14ac:dyDescent="0.35">
      <c r="A2764">
        <f t="shared" si="88"/>
        <v>2763</v>
      </c>
      <c r="B2764">
        <v>2017</v>
      </c>
      <c r="C2764" t="s">
        <v>263</v>
      </c>
      <c r="D2764" t="s">
        <v>110</v>
      </c>
      <c r="E2764" t="s">
        <v>1430</v>
      </c>
      <c r="F2764" s="2">
        <v>530</v>
      </c>
      <c r="G2764" s="2">
        <v>7</v>
      </c>
      <c r="H2764" t="s">
        <v>251</v>
      </c>
      <c r="I2764" t="s">
        <v>252</v>
      </c>
      <c r="J2764" s="11">
        <v>1171.9352992845234</v>
      </c>
      <c r="K2764" t="str">
        <f t="shared" si="89"/>
        <v>Linda Lewis</v>
      </c>
    </row>
    <row r="2765" spans="1:11" hidden="1" x14ac:dyDescent="0.35">
      <c r="A2765">
        <f t="shared" si="88"/>
        <v>2764</v>
      </c>
      <c r="B2765">
        <v>2017</v>
      </c>
      <c r="C2765" t="s">
        <v>263</v>
      </c>
      <c r="D2765" t="s">
        <v>110</v>
      </c>
      <c r="E2765" t="s">
        <v>1430</v>
      </c>
      <c r="F2765" s="2">
        <v>323</v>
      </c>
      <c r="G2765" s="2">
        <v>8</v>
      </c>
      <c r="H2765" t="s">
        <v>405</v>
      </c>
      <c r="I2765" t="s">
        <v>404</v>
      </c>
      <c r="J2765" s="11">
        <v>1113.9433523068367</v>
      </c>
      <c r="K2765" t="str">
        <f t="shared" si="89"/>
        <v>George Wattman</v>
      </c>
    </row>
    <row r="2766" spans="1:11" hidden="1" x14ac:dyDescent="0.35">
      <c r="A2766">
        <f t="shared" si="88"/>
        <v>2765</v>
      </c>
      <c r="B2766">
        <v>2017</v>
      </c>
      <c r="C2766" t="s">
        <v>263</v>
      </c>
      <c r="D2766" t="s">
        <v>110</v>
      </c>
      <c r="E2766" t="s">
        <v>1430</v>
      </c>
      <c r="F2766" s="2">
        <v>210</v>
      </c>
      <c r="G2766" s="2">
        <v>9</v>
      </c>
      <c r="H2766" t="s">
        <v>968</v>
      </c>
      <c r="I2766" t="s">
        <v>701</v>
      </c>
      <c r="J2766" s="11">
        <v>1062.7908298594555</v>
      </c>
      <c r="K2766" t="str">
        <f t="shared" si="89"/>
        <v>Bryan Juliano</v>
      </c>
    </row>
    <row r="2767" spans="1:11" hidden="1" x14ac:dyDescent="0.35">
      <c r="A2767">
        <f t="shared" si="88"/>
        <v>2766</v>
      </c>
      <c r="B2767">
        <v>2017</v>
      </c>
      <c r="C2767" t="s">
        <v>263</v>
      </c>
      <c r="D2767" t="s">
        <v>110</v>
      </c>
      <c r="E2767" t="s">
        <v>1430</v>
      </c>
      <c r="F2767" s="2">
        <v>210</v>
      </c>
      <c r="G2767" s="2">
        <v>10</v>
      </c>
      <c r="H2767" t="s">
        <v>294</v>
      </c>
      <c r="I2767" t="s">
        <v>16</v>
      </c>
      <c r="J2767" s="11">
        <v>1017.0333392987802</v>
      </c>
      <c r="K2767" t="str">
        <f t="shared" si="89"/>
        <v>David Low</v>
      </c>
    </row>
    <row r="2768" spans="1:11" hidden="1" x14ac:dyDescent="0.35">
      <c r="A2768">
        <f t="shared" si="88"/>
        <v>2767</v>
      </c>
      <c r="B2768">
        <v>2017</v>
      </c>
      <c r="C2768" t="s">
        <v>263</v>
      </c>
      <c r="D2768" t="s">
        <v>110</v>
      </c>
      <c r="E2768" t="s">
        <v>1430</v>
      </c>
      <c r="F2768" s="2">
        <v>160</v>
      </c>
      <c r="G2768" s="2">
        <v>11</v>
      </c>
      <c r="H2768" t="s">
        <v>1504</v>
      </c>
      <c r="I2768" t="s">
        <v>85</v>
      </c>
      <c r="J2768" s="11">
        <v>975.64065414055517</v>
      </c>
      <c r="K2768" t="str">
        <f t="shared" si="89"/>
        <v>Patrick Milligan</v>
      </c>
    </row>
    <row r="2769" spans="1:11" hidden="1" x14ac:dyDescent="0.35">
      <c r="A2769">
        <f t="shared" si="88"/>
        <v>2768</v>
      </c>
      <c r="B2769">
        <v>2017</v>
      </c>
      <c r="C2769" t="s">
        <v>263</v>
      </c>
      <c r="D2769" t="s">
        <v>110</v>
      </c>
      <c r="E2769" t="s">
        <v>1430</v>
      </c>
      <c r="F2769" s="2">
        <v>160</v>
      </c>
      <c r="G2769" s="2">
        <v>12</v>
      </c>
      <c r="H2769" t="s">
        <v>307</v>
      </c>
      <c r="I2769" t="s">
        <v>67</v>
      </c>
      <c r="J2769" s="11">
        <v>937.85209325115534</v>
      </c>
      <c r="K2769" t="str">
        <f t="shared" si="89"/>
        <v>Bob Ogus</v>
      </c>
    </row>
    <row r="2770" spans="1:11" hidden="1" x14ac:dyDescent="0.35">
      <c r="A2770">
        <f t="shared" si="88"/>
        <v>2769</v>
      </c>
      <c r="B2770">
        <v>2017</v>
      </c>
      <c r="C2770" t="s">
        <v>263</v>
      </c>
      <c r="D2770" t="s">
        <v>110</v>
      </c>
      <c r="E2770" t="s">
        <v>1430</v>
      </c>
      <c r="F2770" s="2">
        <v>160</v>
      </c>
      <c r="G2770" s="2">
        <v>13</v>
      </c>
      <c r="H2770" t="s">
        <v>525</v>
      </c>
      <c r="I2770" t="s">
        <v>58</v>
      </c>
      <c r="J2770" s="11">
        <v>903.08998699194353</v>
      </c>
      <c r="K2770" t="str">
        <f t="shared" si="89"/>
        <v>Jim Anderson</v>
      </c>
    </row>
    <row r="2771" spans="1:11" hidden="1" x14ac:dyDescent="0.35">
      <c r="A2771">
        <f t="shared" si="88"/>
        <v>2770</v>
      </c>
      <c r="B2771">
        <v>2017</v>
      </c>
      <c r="C2771" t="s">
        <v>68</v>
      </c>
      <c r="D2771" t="s">
        <v>2354</v>
      </c>
      <c r="E2771" t="s">
        <v>1430</v>
      </c>
      <c r="F2771" s="2">
        <v>904</v>
      </c>
      <c r="G2771" s="2">
        <v>1</v>
      </c>
      <c r="H2771" t="s">
        <v>2363</v>
      </c>
      <c r="I2771" t="s">
        <v>2364</v>
      </c>
      <c r="J2771" s="11">
        <f t="shared" ref="J2771:J2777" si="90">(LOG(44)-LOG(G2771))*1000</f>
        <v>1643.4526764861873</v>
      </c>
      <c r="K2771" t="str">
        <f t="shared" si="89"/>
        <v>Shari Silk</v>
      </c>
    </row>
    <row r="2772" spans="1:11" hidden="1" x14ac:dyDescent="0.35">
      <c r="A2772">
        <f t="shared" si="88"/>
        <v>2771</v>
      </c>
      <c r="B2772">
        <v>2017</v>
      </c>
      <c r="C2772" t="s">
        <v>68</v>
      </c>
      <c r="D2772" t="s">
        <v>2354</v>
      </c>
      <c r="E2772" t="s">
        <v>1430</v>
      </c>
      <c r="F2772" s="2">
        <v>628</v>
      </c>
      <c r="G2772" s="2">
        <v>2</v>
      </c>
      <c r="H2772" t="s">
        <v>135</v>
      </c>
      <c r="I2772" t="s">
        <v>136</v>
      </c>
      <c r="J2772" s="11">
        <f t="shared" si="90"/>
        <v>1342.4226808222061</v>
      </c>
      <c r="K2772" t="str">
        <f t="shared" si="89"/>
        <v>John Scheinberg</v>
      </c>
    </row>
    <row r="2773" spans="1:11" hidden="1" x14ac:dyDescent="0.35">
      <c r="A2773">
        <f t="shared" si="88"/>
        <v>2772</v>
      </c>
      <c r="B2773">
        <v>2017</v>
      </c>
      <c r="C2773" t="s">
        <v>68</v>
      </c>
      <c r="D2773" t="s">
        <v>2354</v>
      </c>
      <c r="E2773" t="s">
        <v>1430</v>
      </c>
      <c r="F2773" s="2">
        <v>524</v>
      </c>
      <c r="G2773" s="2">
        <v>3</v>
      </c>
      <c r="H2773" t="s">
        <v>226</v>
      </c>
      <c r="I2773" t="s">
        <v>227</v>
      </c>
      <c r="J2773" s="11">
        <f t="shared" si="90"/>
        <v>1166.331421766525</v>
      </c>
      <c r="K2773" t="str">
        <f t="shared" si="89"/>
        <v>Patti Beadles</v>
      </c>
    </row>
    <row r="2774" spans="1:11" hidden="1" x14ac:dyDescent="0.35">
      <c r="A2774">
        <f t="shared" si="88"/>
        <v>2773</v>
      </c>
      <c r="B2774">
        <v>2017</v>
      </c>
      <c r="C2774" t="s">
        <v>68</v>
      </c>
      <c r="D2774" t="s">
        <v>2354</v>
      </c>
      <c r="E2774" t="s">
        <v>1430</v>
      </c>
      <c r="F2774" s="2">
        <v>400</v>
      </c>
      <c r="G2774" s="2">
        <v>4</v>
      </c>
      <c r="H2774" t="s">
        <v>83</v>
      </c>
      <c r="I2774" t="s">
        <v>36</v>
      </c>
      <c r="J2774" s="11">
        <f t="shared" si="90"/>
        <v>1041.3926851582248</v>
      </c>
      <c r="K2774" t="str">
        <f t="shared" si="89"/>
        <v>Nolan Hee</v>
      </c>
    </row>
    <row r="2775" spans="1:11" hidden="1" x14ac:dyDescent="0.35">
      <c r="A2775">
        <f t="shared" si="88"/>
        <v>2774</v>
      </c>
      <c r="B2775">
        <v>2017</v>
      </c>
      <c r="C2775" t="s">
        <v>68</v>
      </c>
      <c r="D2775" t="s">
        <v>2354</v>
      </c>
      <c r="E2775" t="s">
        <v>1430</v>
      </c>
      <c r="F2775" s="2">
        <v>308</v>
      </c>
      <c r="G2775" s="2">
        <v>5</v>
      </c>
      <c r="H2775" t="s">
        <v>21</v>
      </c>
      <c r="I2775" t="s">
        <v>463</v>
      </c>
      <c r="J2775" s="11">
        <f t="shared" si="90"/>
        <v>944.48267215016858</v>
      </c>
      <c r="K2775" t="str">
        <f t="shared" si="89"/>
        <v>Richard Bremer</v>
      </c>
    </row>
    <row r="2776" spans="1:11" hidden="1" x14ac:dyDescent="0.35">
      <c r="A2776">
        <f t="shared" si="88"/>
        <v>2775</v>
      </c>
      <c r="B2776">
        <v>2017</v>
      </c>
      <c r="C2776" t="s">
        <v>68</v>
      </c>
      <c r="D2776" t="s">
        <v>2354</v>
      </c>
      <c r="E2776" t="s">
        <v>1430</v>
      </c>
      <c r="F2776" s="2">
        <v>216</v>
      </c>
      <c r="G2776" s="2">
        <v>6</v>
      </c>
      <c r="H2776" t="s">
        <v>100</v>
      </c>
      <c r="I2776" t="s">
        <v>52</v>
      </c>
      <c r="J2776" s="11">
        <f t="shared" si="90"/>
        <v>865.30142610254381</v>
      </c>
      <c r="K2776" t="str">
        <f t="shared" si="89"/>
        <v>Steven Eisenstein</v>
      </c>
    </row>
    <row r="2777" spans="1:11" hidden="1" x14ac:dyDescent="0.35">
      <c r="A2777">
        <f t="shared" si="88"/>
        <v>2776</v>
      </c>
      <c r="B2777">
        <v>2017</v>
      </c>
      <c r="C2777" t="s">
        <v>68</v>
      </c>
      <c r="D2777" t="s">
        <v>2354</v>
      </c>
      <c r="E2777" t="s">
        <v>1430</v>
      </c>
      <c r="F2777" s="2">
        <v>100</v>
      </c>
      <c r="G2777" s="2">
        <v>7</v>
      </c>
      <c r="H2777" t="s">
        <v>1504</v>
      </c>
      <c r="I2777" t="s">
        <v>85</v>
      </c>
      <c r="J2777" s="11">
        <f t="shared" si="90"/>
        <v>798.35463647193058</v>
      </c>
      <c r="K2777" t="str">
        <f t="shared" si="89"/>
        <v>Patrick Milligan</v>
      </c>
    </row>
    <row r="2778" spans="1:11" hidden="1" x14ac:dyDescent="0.35">
      <c r="A2778">
        <f t="shared" si="88"/>
        <v>2777</v>
      </c>
      <c r="B2778">
        <v>2017</v>
      </c>
      <c r="C2778" t="s">
        <v>68</v>
      </c>
      <c r="D2778" t="s">
        <v>91</v>
      </c>
      <c r="E2778" t="s">
        <v>509</v>
      </c>
      <c r="F2778" s="2">
        <v>857</v>
      </c>
      <c r="G2778" s="2">
        <v>1</v>
      </c>
      <c r="H2778" t="s">
        <v>277</v>
      </c>
      <c r="I2778" t="s">
        <v>16</v>
      </c>
      <c r="J2778" s="11">
        <f>(LOG(34)-LOG(G2778))*1000</f>
        <v>1531.478917042255</v>
      </c>
      <c r="K2778" t="str">
        <f t="shared" si="89"/>
        <v>David Lawful</v>
      </c>
    </row>
    <row r="2779" spans="1:11" hidden="1" x14ac:dyDescent="0.35">
      <c r="A2779">
        <f t="shared" si="88"/>
        <v>2778</v>
      </c>
      <c r="B2779">
        <v>2017</v>
      </c>
      <c r="C2779" t="s">
        <v>68</v>
      </c>
      <c r="D2779" t="s">
        <v>91</v>
      </c>
      <c r="E2779" t="s">
        <v>509</v>
      </c>
      <c r="F2779" s="2">
        <v>571</v>
      </c>
      <c r="G2779" s="2">
        <v>2</v>
      </c>
      <c r="H2779" t="s">
        <v>1111</v>
      </c>
      <c r="I2779" t="s">
        <v>1112</v>
      </c>
      <c r="J2779" s="11">
        <f>(LOG(34)-LOG(G2779))*1000</f>
        <v>1230.4489213782738</v>
      </c>
      <c r="K2779" t="str">
        <f t="shared" si="89"/>
        <v>Oliver Juang</v>
      </c>
    </row>
    <row r="2780" spans="1:11" hidden="1" x14ac:dyDescent="0.35">
      <c r="A2780">
        <f t="shared" si="88"/>
        <v>2779</v>
      </c>
      <c r="B2780">
        <v>2017</v>
      </c>
      <c r="C2780" t="s">
        <v>68</v>
      </c>
      <c r="D2780" t="s">
        <v>91</v>
      </c>
      <c r="E2780" t="s">
        <v>509</v>
      </c>
      <c r="F2780" s="2">
        <v>405</v>
      </c>
      <c r="G2780" s="2">
        <v>3</v>
      </c>
      <c r="H2780" t="s">
        <v>517</v>
      </c>
      <c r="I2780" t="s">
        <v>413</v>
      </c>
      <c r="J2780" s="11">
        <f>(LOG(34)-LOG(G2780))*1000</f>
        <v>1054.3576623225927</v>
      </c>
      <c r="K2780" t="str">
        <f t="shared" si="89"/>
        <v>Bruce Iwamoto</v>
      </c>
    </row>
    <row r="2781" spans="1:11" hidden="1" x14ac:dyDescent="0.35">
      <c r="A2781">
        <f t="shared" si="88"/>
        <v>2780</v>
      </c>
      <c r="B2781">
        <v>2017</v>
      </c>
      <c r="C2781" t="s">
        <v>68</v>
      </c>
      <c r="D2781" t="s">
        <v>91</v>
      </c>
      <c r="E2781" t="s">
        <v>509</v>
      </c>
      <c r="F2781" s="2">
        <v>309</v>
      </c>
      <c r="G2781" s="2">
        <v>4</v>
      </c>
      <c r="H2781" t="s">
        <v>2365</v>
      </c>
      <c r="I2781" t="s">
        <v>2366</v>
      </c>
      <c r="J2781" s="11">
        <f>(LOG(34)-LOG(G2781))*1000</f>
        <v>929.41892571429275</v>
      </c>
      <c r="K2781" t="str">
        <f t="shared" si="89"/>
        <v>Jesse Capps</v>
      </c>
    </row>
    <row r="2782" spans="1:11" hidden="1" x14ac:dyDescent="0.35">
      <c r="A2782">
        <f t="shared" ref="A2782:A2845" si="91">A2781+1</f>
        <v>2781</v>
      </c>
      <c r="B2782">
        <v>2017</v>
      </c>
      <c r="C2782" t="s">
        <v>68</v>
      </c>
      <c r="D2782" t="s">
        <v>91</v>
      </c>
      <c r="E2782" t="s">
        <v>509</v>
      </c>
      <c r="F2782" s="2">
        <v>238</v>
      </c>
      <c r="G2782" s="2">
        <v>5</v>
      </c>
      <c r="H2782" t="s">
        <v>88</v>
      </c>
      <c r="I2782" t="s">
        <v>89</v>
      </c>
      <c r="J2782" s="11">
        <f>(LOG(34)-LOG(G2782))*1000</f>
        <v>832.50891270623629</v>
      </c>
      <c r="K2782" t="str">
        <f t="shared" si="89"/>
        <v>Ken Kubey</v>
      </c>
    </row>
    <row r="2783" spans="1:11" hidden="1" x14ac:dyDescent="0.35">
      <c r="A2783">
        <f t="shared" si="91"/>
        <v>2782</v>
      </c>
      <c r="B2783">
        <v>2017</v>
      </c>
      <c r="C2783" t="s">
        <v>68</v>
      </c>
      <c r="D2783" t="s">
        <v>2357</v>
      </c>
      <c r="E2783" t="s">
        <v>1430</v>
      </c>
      <c r="F2783" s="2">
        <v>630</v>
      </c>
      <c r="G2783" s="2">
        <v>1</v>
      </c>
      <c r="H2783" t="s">
        <v>2365</v>
      </c>
      <c r="I2783" t="s">
        <v>2366</v>
      </c>
      <c r="J2783" s="11">
        <f>(LOG(25)-LOG(G2783))*1000</f>
        <v>1397.9400086720377</v>
      </c>
      <c r="K2783" t="str">
        <f t="shared" si="89"/>
        <v>Jesse Capps</v>
      </c>
    </row>
    <row r="2784" spans="1:11" hidden="1" x14ac:dyDescent="0.35">
      <c r="A2784">
        <f t="shared" si="91"/>
        <v>2783</v>
      </c>
      <c r="B2784">
        <v>2017</v>
      </c>
      <c r="C2784" t="s">
        <v>68</v>
      </c>
      <c r="D2784" t="s">
        <v>2357</v>
      </c>
      <c r="E2784" t="s">
        <v>1430</v>
      </c>
      <c r="F2784" s="2">
        <v>420</v>
      </c>
      <c r="G2784" s="2">
        <v>2</v>
      </c>
      <c r="H2784" t="s">
        <v>277</v>
      </c>
      <c r="I2784" t="s">
        <v>16</v>
      </c>
      <c r="J2784" s="11">
        <f>(LOG(25)-LOG(G2784))*1000</f>
        <v>1096.9100130080565</v>
      </c>
      <c r="K2784" t="str">
        <f t="shared" si="89"/>
        <v>David Lawful</v>
      </c>
    </row>
    <row r="2785" spans="1:11" hidden="1" x14ac:dyDescent="0.35">
      <c r="A2785">
        <f t="shared" si="91"/>
        <v>2784</v>
      </c>
      <c r="B2785">
        <v>2017</v>
      </c>
      <c r="C2785" t="s">
        <v>68</v>
      </c>
      <c r="D2785" t="s">
        <v>2357</v>
      </c>
      <c r="E2785" t="s">
        <v>1430</v>
      </c>
      <c r="F2785" s="2">
        <v>298</v>
      </c>
      <c r="G2785" s="2">
        <v>3</v>
      </c>
      <c r="H2785" t="s">
        <v>1504</v>
      </c>
      <c r="I2785" t="s">
        <v>85</v>
      </c>
      <c r="J2785" s="11">
        <f>(LOG(25)-LOG(G2785))*1000</f>
        <v>920.81875395237535</v>
      </c>
      <c r="K2785" t="str">
        <f t="shared" si="89"/>
        <v>Patrick Milligan</v>
      </c>
    </row>
    <row r="2786" spans="1:11" hidden="1" x14ac:dyDescent="0.35">
      <c r="A2786">
        <f t="shared" si="91"/>
        <v>2785</v>
      </c>
      <c r="B2786">
        <v>2017</v>
      </c>
      <c r="C2786" t="s">
        <v>68</v>
      </c>
      <c r="D2786" t="s">
        <v>2357</v>
      </c>
      <c r="E2786" t="s">
        <v>1430</v>
      </c>
      <c r="F2786" s="2">
        <v>228</v>
      </c>
      <c r="G2786" s="2">
        <v>4</v>
      </c>
      <c r="H2786" t="s">
        <v>1504</v>
      </c>
      <c r="I2786" t="s">
        <v>1050</v>
      </c>
      <c r="J2786" s="11">
        <f>(LOG(25)-LOG(G2786))*1000</f>
        <v>795.88001734407533</v>
      </c>
      <c r="K2786" t="str">
        <f t="shared" si="89"/>
        <v>Eileen Milligan</v>
      </c>
    </row>
    <row r="2787" spans="1:11" hidden="1" x14ac:dyDescent="0.35">
      <c r="A2787">
        <f t="shared" si="91"/>
        <v>2786</v>
      </c>
      <c r="B2787">
        <v>2017</v>
      </c>
      <c r="C2787" t="s">
        <v>68</v>
      </c>
      <c r="D2787" t="s">
        <v>2357</v>
      </c>
      <c r="E2787" t="s">
        <v>1430</v>
      </c>
      <c r="F2787" s="2">
        <v>176</v>
      </c>
      <c r="G2787" s="2">
        <v>5</v>
      </c>
      <c r="H2787" t="s">
        <v>307</v>
      </c>
      <c r="I2787" t="s">
        <v>67</v>
      </c>
      <c r="J2787" s="11">
        <f>(LOG(25)-LOG(G2787))*1000</f>
        <v>698.97000433601886</v>
      </c>
      <c r="K2787" t="str">
        <f t="shared" si="89"/>
        <v>Bob Ogus</v>
      </c>
    </row>
    <row r="2788" spans="1:11" hidden="1" x14ac:dyDescent="0.35">
      <c r="A2788">
        <f t="shared" si="91"/>
        <v>2787</v>
      </c>
      <c r="B2788">
        <v>2017</v>
      </c>
      <c r="C2788" t="s">
        <v>68</v>
      </c>
      <c r="D2788" t="s">
        <v>2356</v>
      </c>
      <c r="E2788" t="s">
        <v>1429</v>
      </c>
      <c r="F2788" s="2">
        <v>1432</v>
      </c>
      <c r="G2788" s="2">
        <v>1</v>
      </c>
      <c r="H2788" t="s">
        <v>1504</v>
      </c>
      <c r="I2788" t="s">
        <v>85</v>
      </c>
      <c r="J2788" s="11">
        <f t="shared" ref="J2788:J2794" si="92">(LOG(42)-LOG(G2788))*1000</f>
        <v>1623.2492903979005</v>
      </c>
      <c r="K2788" t="str">
        <f t="shared" si="89"/>
        <v>Patrick Milligan</v>
      </c>
    </row>
    <row r="2789" spans="1:11" hidden="1" x14ac:dyDescent="0.35">
      <c r="A2789">
        <f t="shared" si="91"/>
        <v>2788</v>
      </c>
      <c r="B2789">
        <v>2017</v>
      </c>
      <c r="C2789" t="s">
        <v>68</v>
      </c>
      <c r="D2789" t="s">
        <v>2356</v>
      </c>
      <c r="E2789" t="s">
        <v>1429</v>
      </c>
      <c r="F2789" s="2">
        <v>1016</v>
      </c>
      <c r="G2789" s="2">
        <v>2</v>
      </c>
      <c r="H2789" t="s">
        <v>585</v>
      </c>
      <c r="I2789" t="s">
        <v>136</v>
      </c>
      <c r="J2789" s="11">
        <f t="shared" si="92"/>
        <v>1322.2192947339192</v>
      </c>
      <c r="K2789" t="str">
        <f t="shared" si="89"/>
        <v>John Pickels</v>
      </c>
    </row>
    <row r="2790" spans="1:11" hidden="1" x14ac:dyDescent="0.35">
      <c r="A2790">
        <f t="shared" si="91"/>
        <v>2789</v>
      </c>
      <c r="B2790">
        <v>2017</v>
      </c>
      <c r="C2790" t="s">
        <v>68</v>
      </c>
      <c r="D2790" t="s">
        <v>2356</v>
      </c>
      <c r="E2790" t="s">
        <v>1429</v>
      </c>
      <c r="F2790" s="2">
        <v>785</v>
      </c>
      <c r="G2790" s="2">
        <v>3</v>
      </c>
      <c r="H2790" t="s">
        <v>105</v>
      </c>
      <c r="I2790" t="s">
        <v>106</v>
      </c>
      <c r="J2790" s="11">
        <f t="shared" si="92"/>
        <v>1146.1280356782381</v>
      </c>
      <c r="K2790" t="str">
        <f t="shared" si="89"/>
        <v>Kenny Shei</v>
      </c>
    </row>
    <row r="2791" spans="1:11" hidden="1" x14ac:dyDescent="0.35">
      <c r="A2791">
        <f t="shared" si="91"/>
        <v>2790</v>
      </c>
      <c r="B2791">
        <v>2017</v>
      </c>
      <c r="C2791" t="s">
        <v>68</v>
      </c>
      <c r="D2791" t="s">
        <v>2356</v>
      </c>
      <c r="E2791" t="s">
        <v>1429</v>
      </c>
      <c r="F2791" s="2">
        <v>601</v>
      </c>
      <c r="G2791" s="2">
        <v>4</v>
      </c>
      <c r="H2791" t="s">
        <v>2368</v>
      </c>
      <c r="I2791" t="s">
        <v>98</v>
      </c>
      <c r="J2791" s="11">
        <f t="shared" si="92"/>
        <v>1021.1892990699382</v>
      </c>
      <c r="K2791" t="str">
        <f t="shared" si="89"/>
        <v>Ryan Beauregard</v>
      </c>
    </row>
    <row r="2792" spans="1:11" hidden="1" x14ac:dyDescent="0.35">
      <c r="A2792">
        <f t="shared" si="91"/>
        <v>2791</v>
      </c>
      <c r="B2792">
        <v>2017</v>
      </c>
      <c r="C2792" t="s">
        <v>68</v>
      </c>
      <c r="D2792" t="s">
        <v>2356</v>
      </c>
      <c r="E2792" t="s">
        <v>1429</v>
      </c>
      <c r="F2792" s="2">
        <v>462</v>
      </c>
      <c r="G2792" s="2">
        <v>5</v>
      </c>
      <c r="H2792" t="s">
        <v>214</v>
      </c>
      <c r="I2792" t="s">
        <v>215</v>
      </c>
      <c r="J2792" s="11">
        <f t="shared" si="92"/>
        <v>924.27928606188175</v>
      </c>
      <c r="K2792" t="str">
        <f t="shared" si="89"/>
        <v>Derek Gomez</v>
      </c>
    </row>
    <row r="2793" spans="1:11" hidden="1" x14ac:dyDescent="0.35">
      <c r="A2793">
        <f t="shared" si="91"/>
        <v>2792</v>
      </c>
      <c r="B2793">
        <v>2017</v>
      </c>
      <c r="C2793" t="s">
        <v>68</v>
      </c>
      <c r="D2793" t="s">
        <v>2356</v>
      </c>
      <c r="E2793" t="s">
        <v>1429</v>
      </c>
      <c r="F2793" s="2">
        <v>323</v>
      </c>
      <c r="G2793" s="2">
        <v>6</v>
      </c>
      <c r="H2793" t="s">
        <v>2281</v>
      </c>
      <c r="I2793" t="s">
        <v>2282</v>
      </c>
      <c r="J2793" s="11">
        <f t="shared" si="92"/>
        <v>845.09804001425687</v>
      </c>
      <c r="K2793" t="str">
        <f t="shared" si="89"/>
        <v>Diana Mercer</v>
      </c>
    </row>
    <row r="2794" spans="1:11" hidden="1" x14ac:dyDescent="0.35">
      <c r="A2794">
        <f t="shared" si="91"/>
        <v>2793</v>
      </c>
      <c r="B2794">
        <v>2017</v>
      </c>
      <c r="C2794" t="s">
        <v>68</v>
      </c>
      <c r="D2794" t="s">
        <v>2356</v>
      </c>
      <c r="E2794" t="s">
        <v>1429</v>
      </c>
      <c r="F2794" s="2">
        <v>140</v>
      </c>
      <c r="G2794" s="2">
        <v>7</v>
      </c>
      <c r="H2794" t="s">
        <v>16</v>
      </c>
      <c r="I2794" t="s">
        <v>59</v>
      </c>
      <c r="J2794" s="11">
        <f t="shared" si="92"/>
        <v>778.15125038364374</v>
      </c>
      <c r="K2794" t="str">
        <f t="shared" si="89"/>
        <v>Jeanne David</v>
      </c>
    </row>
    <row r="2795" spans="1:11" hidden="1" x14ac:dyDescent="0.35">
      <c r="A2795">
        <f t="shared" si="91"/>
        <v>2794</v>
      </c>
      <c r="B2795">
        <v>2017</v>
      </c>
      <c r="C2795" t="s">
        <v>68</v>
      </c>
      <c r="D2795" t="s">
        <v>2355</v>
      </c>
      <c r="E2795" t="s">
        <v>133</v>
      </c>
      <c r="F2795" s="2">
        <v>655</v>
      </c>
      <c r="G2795" s="2">
        <v>1</v>
      </c>
      <c r="H2795" t="s">
        <v>86</v>
      </c>
      <c r="I2795" t="s">
        <v>271</v>
      </c>
      <c r="J2795" s="11">
        <f>(LOG(26)-LOG(G2795))*1000</f>
        <v>1414.9733479708179</v>
      </c>
      <c r="K2795" t="str">
        <f t="shared" si="89"/>
        <v>Dan Goldman</v>
      </c>
    </row>
    <row r="2796" spans="1:11" hidden="1" x14ac:dyDescent="0.35">
      <c r="A2796">
        <f t="shared" si="91"/>
        <v>2795</v>
      </c>
      <c r="B2796">
        <v>2017</v>
      </c>
      <c r="C2796" t="s">
        <v>68</v>
      </c>
      <c r="D2796" t="s">
        <v>2355</v>
      </c>
      <c r="E2796" t="s">
        <v>133</v>
      </c>
      <c r="F2796" s="2">
        <v>437</v>
      </c>
      <c r="G2796" s="2">
        <v>2</v>
      </c>
      <c r="H2796" t="s">
        <v>307</v>
      </c>
      <c r="I2796" t="s">
        <v>67</v>
      </c>
      <c r="J2796" s="11">
        <f>(LOG(26)-LOG(G2796))*1000</f>
        <v>1113.9433523068367</v>
      </c>
      <c r="K2796" t="str">
        <f t="shared" si="89"/>
        <v>Bob Ogus</v>
      </c>
    </row>
    <row r="2797" spans="1:11" hidden="1" x14ac:dyDescent="0.35">
      <c r="A2797">
        <f t="shared" si="91"/>
        <v>2796</v>
      </c>
      <c r="B2797">
        <v>2017</v>
      </c>
      <c r="C2797" t="s">
        <v>68</v>
      </c>
      <c r="D2797" t="s">
        <v>2355</v>
      </c>
      <c r="E2797" t="s">
        <v>133</v>
      </c>
      <c r="F2797" s="2">
        <v>309</v>
      </c>
      <c r="G2797" s="2">
        <v>3</v>
      </c>
      <c r="H2797" t="s">
        <v>2367</v>
      </c>
      <c r="I2797" t="s">
        <v>232</v>
      </c>
      <c r="J2797" s="11">
        <f>(LOG(26)-LOG(G2797))*1000</f>
        <v>937.85209325115557</v>
      </c>
      <c r="K2797" t="str">
        <f t="shared" si="89"/>
        <v>Adam Haman</v>
      </c>
    </row>
    <row r="2798" spans="1:11" hidden="1" x14ac:dyDescent="0.35">
      <c r="A2798">
        <f t="shared" si="91"/>
        <v>2797</v>
      </c>
      <c r="B2798">
        <v>2017</v>
      </c>
      <c r="C2798" t="s">
        <v>68</v>
      </c>
      <c r="D2798" t="s">
        <v>2355</v>
      </c>
      <c r="E2798" t="s">
        <v>133</v>
      </c>
      <c r="F2798" s="2">
        <v>237</v>
      </c>
      <c r="G2798" s="2">
        <v>4</v>
      </c>
      <c r="H2798" t="s">
        <v>277</v>
      </c>
      <c r="I2798" t="s">
        <v>16</v>
      </c>
      <c r="J2798" s="11">
        <f>(LOG(26)-LOG(G2798))*1000</f>
        <v>812.91335664285555</v>
      </c>
      <c r="K2798" t="str">
        <f t="shared" si="89"/>
        <v>David Lawful</v>
      </c>
    </row>
    <row r="2799" spans="1:11" hidden="1" x14ac:dyDescent="0.35">
      <c r="A2799">
        <f t="shared" si="91"/>
        <v>2798</v>
      </c>
      <c r="B2799">
        <v>2017</v>
      </c>
      <c r="C2799" t="s">
        <v>68</v>
      </c>
      <c r="D2799" t="s">
        <v>2355</v>
      </c>
      <c r="E2799" t="s">
        <v>133</v>
      </c>
      <c r="F2799" s="2">
        <v>182</v>
      </c>
      <c r="G2799" s="2">
        <v>5</v>
      </c>
      <c r="H2799" t="s">
        <v>105</v>
      </c>
      <c r="I2799" t="s">
        <v>106</v>
      </c>
      <c r="J2799" s="11">
        <f>(LOG(26)-LOG(G2799))*1000</f>
        <v>716.00334363479908</v>
      </c>
      <c r="K2799" t="str">
        <f t="shared" si="89"/>
        <v>Kenny Shei</v>
      </c>
    </row>
    <row r="2800" spans="1:11" hidden="1" x14ac:dyDescent="0.35">
      <c r="A2800">
        <f t="shared" si="91"/>
        <v>2799</v>
      </c>
      <c r="B2800">
        <v>2017</v>
      </c>
      <c r="C2800" t="s">
        <v>8</v>
      </c>
      <c r="D2800" t="s">
        <v>9</v>
      </c>
      <c r="E2800" t="s">
        <v>1429</v>
      </c>
      <c r="F2800" s="2">
        <v>480</v>
      </c>
      <c r="G2800" s="2">
        <v>1</v>
      </c>
      <c r="H2800" t="s">
        <v>29</v>
      </c>
      <c r="I2800" t="s">
        <v>30</v>
      </c>
      <c r="J2800" s="11">
        <f>(LOG(12)-LOG(G2800))*1000</f>
        <v>1079.1812460476249</v>
      </c>
      <c r="K2800" t="str">
        <f t="shared" si="89"/>
        <v>Tedford Armistead</v>
      </c>
    </row>
    <row r="2801" spans="1:11" hidden="1" x14ac:dyDescent="0.35">
      <c r="A2801">
        <f t="shared" si="91"/>
        <v>2800</v>
      </c>
      <c r="B2801">
        <v>2017</v>
      </c>
      <c r="C2801" t="s">
        <v>8</v>
      </c>
      <c r="D2801" t="s">
        <v>9</v>
      </c>
      <c r="E2801" t="s">
        <v>1429</v>
      </c>
      <c r="F2801" s="2">
        <v>360</v>
      </c>
      <c r="G2801" s="2">
        <v>2</v>
      </c>
      <c r="H2801" t="s">
        <v>161</v>
      </c>
      <c r="I2801" t="s">
        <v>162</v>
      </c>
      <c r="J2801" s="11">
        <f>(LOG(12)-LOG(G2801))*1000</f>
        <v>778.15125038364363</v>
      </c>
      <c r="K2801" t="str">
        <f t="shared" si="89"/>
        <v>Tracy Becker</v>
      </c>
    </row>
    <row r="2802" spans="1:11" hidden="1" x14ac:dyDescent="0.35">
      <c r="A2802">
        <f t="shared" si="91"/>
        <v>2801</v>
      </c>
      <c r="B2802">
        <v>2017</v>
      </c>
      <c r="C2802" t="s">
        <v>8</v>
      </c>
      <c r="D2802" t="s">
        <v>9</v>
      </c>
      <c r="E2802" t="s">
        <v>1429</v>
      </c>
      <c r="F2802" s="2">
        <v>180</v>
      </c>
      <c r="G2802" s="2">
        <v>3</v>
      </c>
      <c r="H2802" t="s">
        <v>2322</v>
      </c>
      <c r="I2802" t="s">
        <v>429</v>
      </c>
      <c r="J2802" s="11">
        <f>(LOG(12)-LOG(G2802))*1000</f>
        <v>602.05999132796251</v>
      </c>
      <c r="K2802" t="str">
        <f t="shared" si="89"/>
        <v>Mary Mulcahy</v>
      </c>
    </row>
    <row r="2803" spans="1:11" hidden="1" x14ac:dyDescent="0.35">
      <c r="A2803">
        <f t="shared" si="91"/>
        <v>2802</v>
      </c>
      <c r="B2803">
        <v>2017</v>
      </c>
      <c r="C2803" t="s">
        <v>8</v>
      </c>
      <c r="D2803" t="s">
        <v>9</v>
      </c>
      <c r="E2803" t="s">
        <v>1429</v>
      </c>
      <c r="F2803" s="2">
        <v>180</v>
      </c>
      <c r="G2803" s="2">
        <v>4</v>
      </c>
      <c r="H2803" t="s">
        <v>25</v>
      </c>
      <c r="I2803" t="s">
        <v>26</v>
      </c>
      <c r="J2803" s="11">
        <f>(LOG(12)-LOG(G2803))*1000</f>
        <v>477.12125471966249</v>
      </c>
      <c r="K2803" t="str">
        <f t="shared" si="89"/>
        <v>Louise Russell</v>
      </c>
    </row>
    <row r="2804" spans="1:11" hidden="1" x14ac:dyDescent="0.35">
      <c r="A2804">
        <f t="shared" si="91"/>
        <v>2803</v>
      </c>
      <c r="B2804">
        <v>2017</v>
      </c>
      <c r="C2804" t="s">
        <v>8</v>
      </c>
      <c r="D2804" t="s">
        <v>45</v>
      </c>
      <c r="E2804" t="s">
        <v>1430</v>
      </c>
      <c r="F2804" s="2">
        <v>1577</v>
      </c>
      <c r="G2804" s="2">
        <v>1</v>
      </c>
      <c r="H2804" t="s">
        <v>351</v>
      </c>
      <c r="I2804" t="s">
        <v>153</v>
      </c>
      <c r="J2804" s="11">
        <f t="shared" ref="J2804:J2811" si="93">((LOG(56)-LOG(G2804))*1000)</f>
        <v>1748.1880270062004</v>
      </c>
      <c r="K2804" t="str">
        <f t="shared" si="89"/>
        <v>Stephen Lewin-Berlin</v>
      </c>
    </row>
    <row r="2805" spans="1:11" hidden="1" x14ac:dyDescent="0.35">
      <c r="A2805">
        <f t="shared" si="91"/>
        <v>2804</v>
      </c>
      <c r="B2805">
        <v>2017</v>
      </c>
      <c r="C2805" t="s">
        <v>8</v>
      </c>
      <c r="D2805" t="s">
        <v>45</v>
      </c>
      <c r="E2805" t="s">
        <v>1430</v>
      </c>
      <c r="F2805" s="2">
        <v>1193</v>
      </c>
      <c r="G2805" s="2">
        <v>2</v>
      </c>
      <c r="H2805" t="s">
        <v>195</v>
      </c>
      <c r="I2805" t="s">
        <v>196</v>
      </c>
      <c r="J2805" s="11">
        <f t="shared" si="93"/>
        <v>1447.1580313422191</v>
      </c>
      <c r="K2805" t="str">
        <f t="shared" si="89"/>
        <v>Dave Tahajian</v>
      </c>
    </row>
    <row r="2806" spans="1:11" hidden="1" x14ac:dyDescent="0.35">
      <c r="A2806">
        <f t="shared" si="91"/>
        <v>2805</v>
      </c>
      <c r="B2806">
        <v>2017</v>
      </c>
      <c r="C2806" t="s">
        <v>8</v>
      </c>
      <c r="D2806" t="s">
        <v>45</v>
      </c>
      <c r="E2806" t="s">
        <v>1430</v>
      </c>
      <c r="F2806" s="2">
        <v>706</v>
      </c>
      <c r="G2806" s="2">
        <v>3</v>
      </c>
      <c r="H2806" t="s">
        <v>23</v>
      </c>
      <c r="I2806" t="s">
        <v>13</v>
      </c>
      <c r="J2806" s="11">
        <f t="shared" si="93"/>
        <v>1271.066772286538</v>
      </c>
      <c r="K2806" t="str">
        <f t="shared" si="89"/>
        <v>Tom Hummel</v>
      </c>
    </row>
    <row r="2807" spans="1:11" hidden="1" x14ac:dyDescent="0.35">
      <c r="A2807">
        <f t="shared" si="91"/>
        <v>2806</v>
      </c>
      <c r="B2807">
        <v>2017</v>
      </c>
      <c r="C2807" t="s">
        <v>8</v>
      </c>
      <c r="D2807" t="s">
        <v>45</v>
      </c>
      <c r="E2807" t="s">
        <v>1430</v>
      </c>
      <c r="F2807" s="2">
        <v>598</v>
      </c>
      <c r="G2807" s="2">
        <v>4</v>
      </c>
      <c r="H2807" t="s">
        <v>775</v>
      </c>
      <c r="I2807" t="s">
        <v>139</v>
      </c>
      <c r="J2807" s="11">
        <f t="shared" si="93"/>
        <v>1146.1280356782381</v>
      </c>
      <c r="K2807" t="str">
        <f t="shared" si="89"/>
        <v>Mark Richardson</v>
      </c>
    </row>
    <row r="2808" spans="1:11" hidden="1" x14ac:dyDescent="0.35">
      <c r="A2808">
        <f t="shared" si="91"/>
        <v>2807</v>
      </c>
      <c r="B2808">
        <v>2017</v>
      </c>
      <c r="C2808" t="s">
        <v>8</v>
      </c>
      <c r="D2808" t="s">
        <v>45</v>
      </c>
      <c r="E2808" t="s">
        <v>1430</v>
      </c>
      <c r="F2808" s="2">
        <v>489</v>
      </c>
      <c r="G2808" s="2">
        <v>5</v>
      </c>
      <c r="H2808" t="s">
        <v>161</v>
      </c>
      <c r="I2808" t="s">
        <v>200</v>
      </c>
      <c r="J2808" s="11">
        <f t="shared" si="93"/>
        <v>1049.2180226701814</v>
      </c>
      <c r="K2808" t="str">
        <f t="shared" si="89"/>
        <v>Rick Becker</v>
      </c>
    </row>
    <row r="2809" spans="1:11" hidden="1" x14ac:dyDescent="0.35">
      <c r="A2809">
        <f t="shared" si="91"/>
        <v>2808</v>
      </c>
      <c r="B2809">
        <v>2017</v>
      </c>
      <c r="C2809" t="s">
        <v>8</v>
      </c>
      <c r="D2809" t="s">
        <v>45</v>
      </c>
      <c r="E2809" t="s">
        <v>1430</v>
      </c>
      <c r="F2809" s="2">
        <v>380</v>
      </c>
      <c r="G2809" s="2">
        <v>6</v>
      </c>
      <c r="H2809" t="s">
        <v>441</v>
      </c>
      <c r="I2809" t="s">
        <v>58</v>
      </c>
      <c r="J2809" s="11">
        <f t="shared" si="93"/>
        <v>970.03677662255677</v>
      </c>
      <c r="K2809" t="str">
        <f t="shared" si="89"/>
        <v>Jim Hexter</v>
      </c>
    </row>
    <row r="2810" spans="1:11" hidden="1" x14ac:dyDescent="0.35">
      <c r="A2810">
        <f t="shared" si="91"/>
        <v>2809</v>
      </c>
      <c r="B2810">
        <v>2017</v>
      </c>
      <c r="C2810" t="s">
        <v>8</v>
      </c>
      <c r="D2810" t="s">
        <v>45</v>
      </c>
      <c r="E2810" t="s">
        <v>1430</v>
      </c>
      <c r="F2810" s="2">
        <v>272</v>
      </c>
      <c r="G2810" s="2">
        <v>7</v>
      </c>
      <c r="H2810" t="s">
        <v>151</v>
      </c>
      <c r="I2810" t="s">
        <v>16</v>
      </c>
      <c r="J2810" s="11">
        <f t="shared" si="93"/>
        <v>903.08998699194365</v>
      </c>
      <c r="K2810" t="str">
        <f t="shared" si="89"/>
        <v>David Kent</v>
      </c>
    </row>
    <row r="2811" spans="1:11" hidden="1" x14ac:dyDescent="0.35">
      <c r="A2811">
        <f t="shared" si="91"/>
        <v>2810</v>
      </c>
      <c r="B2811">
        <v>2017</v>
      </c>
      <c r="C2811" t="s">
        <v>8</v>
      </c>
      <c r="D2811" t="s">
        <v>45</v>
      </c>
      <c r="E2811" t="s">
        <v>1430</v>
      </c>
      <c r="F2811" s="2">
        <v>217</v>
      </c>
      <c r="G2811" s="2">
        <v>8</v>
      </c>
      <c r="H2811" t="s">
        <v>46</v>
      </c>
      <c r="I2811" t="s">
        <v>47</v>
      </c>
      <c r="J2811" s="11">
        <f t="shared" si="93"/>
        <v>845.09804001425687</v>
      </c>
      <c r="K2811" t="str">
        <f t="shared" si="89"/>
        <v>Alpo Kallio</v>
      </c>
    </row>
    <row r="2812" spans="1:11" hidden="1" x14ac:dyDescent="0.35">
      <c r="A2812">
        <f t="shared" si="91"/>
        <v>2811</v>
      </c>
      <c r="B2812">
        <v>2017</v>
      </c>
      <c r="C2812" t="s">
        <v>8</v>
      </c>
      <c r="D2812" t="s">
        <v>24</v>
      </c>
      <c r="E2812" t="s">
        <v>1429</v>
      </c>
      <c r="F2812" s="2">
        <v>700</v>
      </c>
      <c r="G2812" s="2">
        <v>1</v>
      </c>
      <c r="H2812" t="s">
        <v>498</v>
      </c>
      <c r="I2812" t="s">
        <v>28</v>
      </c>
      <c r="J2812" s="11">
        <f t="shared" ref="J2812:J2823" si="94">((LOG(23)-LOG(G2812))*1000)/2</f>
        <v>680.86391800879642</v>
      </c>
      <c r="K2812" t="str">
        <f t="shared" si="89"/>
        <v>Chris Alaura</v>
      </c>
    </row>
    <row r="2813" spans="1:11" hidden="1" x14ac:dyDescent="0.35">
      <c r="A2813">
        <f t="shared" si="91"/>
        <v>2812</v>
      </c>
      <c r="B2813">
        <v>2017</v>
      </c>
      <c r="C2813" t="s">
        <v>8</v>
      </c>
      <c r="D2813" t="s">
        <v>24</v>
      </c>
      <c r="E2813" t="s">
        <v>1429</v>
      </c>
      <c r="F2813" s="2">
        <v>700</v>
      </c>
      <c r="G2813" s="2">
        <v>1</v>
      </c>
      <c r="H2813" t="s">
        <v>775</v>
      </c>
      <c r="I2813" t="s">
        <v>139</v>
      </c>
      <c r="J2813" s="11">
        <f t="shared" si="94"/>
        <v>680.86391800879642</v>
      </c>
      <c r="K2813" t="str">
        <f t="shared" si="89"/>
        <v>Mark Richardson</v>
      </c>
    </row>
    <row r="2814" spans="1:11" hidden="1" x14ac:dyDescent="0.35">
      <c r="A2814">
        <f t="shared" si="91"/>
        <v>2813</v>
      </c>
      <c r="B2814">
        <v>2017</v>
      </c>
      <c r="C2814" t="s">
        <v>8</v>
      </c>
      <c r="D2814" t="s">
        <v>24</v>
      </c>
      <c r="E2814" t="s">
        <v>1429</v>
      </c>
      <c r="F2814" s="2">
        <v>500</v>
      </c>
      <c r="G2814" s="2">
        <v>2</v>
      </c>
      <c r="H2814" t="s">
        <v>238</v>
      </c>
      <c r="I2814" t="s">
        <v>16</v>
      </c>
      <c r="J2814" s="11">
        <f t="shared" si="94"/>
        <v>530.34892017680579</v>
      </c>
      <c r="K2814" t="str">
        <f t="shared" si="89"/>
        <v>David Kuznick</v>
      </c>
    </row>
    <row r="2815" spans="1:11" hidden="1" x14ac:dyDescent="0.35">
      <c r="A2815">
        <f t="shared" si="91"/>
        <v>2814</v>
      </c>
      <c r="B2815">
        <v>2017</v>
      </c>
      <c r="C2815" t="s">
        <v>8</v>
      </c>
      <c r="D2815" t="s">
        <v>24</v>
      </c>
      <c r="E2815" t="s">
        <v>1429</v>
      </c>
      <c r="F2815" s="2">
        <v>500</v>
      </c>
      <c r="G2815" s="2">
        <v>2</v>
      </c>
      <c r="H2815" t="s">
        <v>238</v>
      </c>
      <c r="I2815" t="s">
        <v>375</v>
      </c>
      <c r="J2815" s="11">
        <f t="shared" si="94"/>
        <v>530.34892017680579</v>
      </c>
      <c r="K2815" t="str">
        <f t="shared" si="89"/>
        <v>Jessica Kuznick</v>
      </c>
    </row>
    <row r="2816" spans="1:11" hidden="1" x14ac:dyDescent="0.35">
      <c r="A2816">
        <f t="shared" si="91"/>
        <v>2815</v>
      </c>
      <c r="B2816">
        <v>2017</v>
      </c>
      <c r="C2816" t="s">
        <v>8</v>
      </c>
      <c r="D2816" t="s">
        <v>24</v>
      </c>
      <c r="E2816" t="s">
        <v>1429</v>
      </c>
      <c r="F2816" s="2">
        <v>495</v>
      </c>
      <c r="G2816" s="2">
        <v>3</v>
      </c>
      <c r="H2816" t="s">
        <v>128</v>
      </c>
      <c r="I2816" t="s">
        <v>443</v>
      </c>
      <c r="J2816" s="11">
        <f t="shared" si="94"/>
        <v>442.30329064896523</v>
      </c>
      <c r="K2816" t="str">
        <f t="shared" si="89"/>
        <v>Ming Lee</v>
      </c>
    </row>
    <row r="2817" spans="1:11" hidden="1" x14ac:dyDescent="0.35">
      <c r="A2817">
        <f t="shared" si="91"/>
        <v>2816</v>
      </c>
      <c r="B2817">
        <v>2017</v>
      </c>
      <c r="C2817" t="s">
        <v>8</v>
      </c>
      <c r="D2817" t="s">
        <v>24</v>
      </c>
      <c r="E2817" t="s">
        <v>1429</v>
      </c>
      <c r="F2817" s="2">
        <v>495</v>
      </c>
      <c r="G2817" s="2">
        <v>3</v>
      </c>
      <c r="H2817" t="s">
        <v>195</v>
      </c>
      <c r="I2817" t="s">
        <v>196</v>
      </c>
      <c r="J2817" s="11">
        <f t="shared" si="94"/>
        <v>442.30329064896523</v>
      </c>
      <c r="K2817" t="str">
        <f t="shared" si="89"/>
        <v>Dave Tahajian</v>
      </c>
    </row>
    <row r="2818" spans="1:11" hidden="1" x14ac:dyDescent="0.35">
      <c r="A2818">
        <f t="shared" si="91"/>
        <v>2817</v>
      </c>
      <c r="B2818">
        <v>2017</v>
      </c>
      <c r="C2818" t="s">
        <v>8</v>
      </c>
      <c r="D2818" t="s">
        <v>24</v>
      </c>
      <c r="E2818" t="s">
        <v>1429</v>
      </c>
      <c r="F2818" s="2">
        <v>223</v>
      </c>
      <c r="G2818" s="2">
        <v>4</v>
      </c>
      <c r="H2818" t="s">
        <v>396</v>
      </c>
      <c r="I2818" t="s">
        <v>397</v>
      </c>
      <c r="J2818" s="11">
        <f t="shared" si="94"/>
        <v>379.83392234481522</v>
      </c>
      <c r="K2818" t="str">
        <f t="shared" ref="K2818:K2881" si="95">I2818&amp;" "&amp;H2818</f>
        <v>Asya Kamsky</v>
      </c>
    </row>
    <row r="2819" spans="1:11" hidden="1" x14ac:dyDescent="0.35">
      <c r="A2819">
        <f t="shared" si="91"/>
        <v>2818</v>
      </c>
      <c r="B2819">
        <v>2017</v>
      </c>
      <c r="C2819" t="s">
        <v>8</v>
      </c>
      <c r="D2819" t="s">
        <v>24</v>
      </c>
      <c r="E2819" t="s">
        <v>1429</v>
      </c>
      <c r="F2819" s="2">
        <v>223</v>
      </c>
      <c r="G2819" s="2">
        <v>4</v>
      </c>
      <c r="H2819" t="s">
        <v>896</v>
      </c>
      <c r="I2819" t="s">
        <v>139</v>
      </c>
      <c r="J2819" s="11">
        <f t="shared" si="94"/>
        <v>379.83392234481522</v>
      </c>
      <c r="K2819" t="str">
        <f t="shared" si="95"/>
        <v>Mark Singer</v>
      </c>
    </row>
    <row r="2820" spans="1:11" hidden="1" x14ac:dyDescent="0.35">
      <c r="A2820">
        <f t="shared" si="91"/>
        <v>2819</v>
      </c>
      <c r="B2820">
        <v>2017</v>
      </c>
      <c r="C2820" t="s">
        <v>8</v>
      </c>
      <c r="D2820" t="s">
        <v>24</v>
      </c>
      <c r="E2820" t="s">
        <v>1430</v>
      </c>
      <c r="F2820" s="2">
        <v>178</v>
      </c>
      <c r="G2820" s="2">
        <v>5</v>
      </c>
      <c r="H2820" t="s">
        <v>2324</v>
      </c>
      <c r="I2820" t="s">
        <v>2325</v>
      </c>
      <c r="J2820" s="11">
        <f t="shared" si="94"/>
        <v>331.37891584078699</v>
      </c>
      <c r="K2820" t="str">
        <f t="shared" si="95"/>
        <v>Nathaniel Higgs</v>
      </c>
    </row>
    <row r="2821" spans="1:11" hidden="1" x14ac:dyDescent="0.35">
      <c r="A2821">
        <f t="shared" si="91"/>
        <v>2820</v>
      </c>
      <c r="B2821">
        <v>2017</v>
      </c>
      <c r="C2821" t="s">
        <v>8</v>
      </c>
      <c r="D2821" t="s">
        <v>24</v>
      </c>
      <c r="E2821" t="s">
        <v>1430</v>
      </c>
      <c r="F2821" s="2">
        <v>178</v>
      </c>
      <c r="G2821" s="2">
        <v>5</v>
      </c>
      <c r="H2821" t="s">
        <v>2323</v>
      </c>
      <c r="I2821" t="s">
        <v>2383</v>
      </c>
      <c r="J2821" s="11">
        <f t="shared" si="94"/>
        <v>331.37891584078699</v>
      </c>
      <c r="K2821" t="str">
        <f t="shared" si="95"/>
        <v>Lynsy Higgs-Iwamoto</v>
      </c>
    </row>
    <row r="2822" spans="1:11" hidden="1" x14ac:dyDescent="0.35">
      <c r="A2822">
        <f t="shared" si="91"/>
        <v>2821</v>
      </c>
      <c r="B2822">
        <v>2017</v>
      </c>
      <c r="C2822" t="s">
        <v>8</v>
      </c>
      <c r="D2822" t="s">
        <v>24</v>
      </c>
      <c r="E2822" t="s">
        <v>1430</v>
      </c>
      <c r="F2822" s="2">
        <v>135</v>
      </c>
      <c r="G2822" s="2">
        <v>6</v>
      </c>
      <c r="H2822" t="s">
        <v>12</v>
      </c>
      <c r="I2822" t="s">
        <v>13</v>
      </c>
      <c r="J2822" s="11">
        <f t="shared" si="94"/>
        <v>291.7882928169746</v>
      </c>
      <c r="K2822" t="str">
        <f t="shared" si="95"/>
        <v>Tom Bessoir</v>
      </c>
    </row>
    <row r="2823" spans="1:11" hidden="1" x14ac:dyDescent="0.35">
      <c r="A2823">
        <f t="shared" si="91"/>
        <v>2822</v>
      </c>
      <c r="B2823">
        <v>2017</v>
      </c>
      <c r="C2823" t="s">
        <v>8</v>
      </c>
      <c r="D2823" t="s">
        <v>24</v>
      </c>
      <c r="E2823" t="s">
        <v>1430</v>
      </c>
      <c r="F2823" s="2">
        <v>135</v>
      </c>
      <c r="G2823" s="2">
        <v>6</v>
      </c>
      <c r="H2823" t="s">
        <v>105</v>
      </c>
      <c r="I2823" t="s">
        <v>106</v>
      </c>
      <c r="J2823" s="11">
        <f t="shared" si="94"/>
        <v>291.7882928169746</v>
      </c>
      <c r="K2823" t="str">
        <f t="shared" si="95"/>
        <v>Kenny Shei</v>
      </c>
    </row>
    <row r="2824" spans="1:11" hidden="1" x14ac:dyDescent="0.35">
      <c r="A2824">
        <f t="shared" si="91"/>
        <v>2823</v>
      </c>
      <c r="B2824">
        <v>2017</v>
      </c>
      <c r="C2824" t="s">
        <v>8</v>
      </c>
      <c r="D2824" t="s">
        <v>2326</v>
      </c>
      <c r="E2824" t="s">
        <v>1430</v>
      </c>
      <c r="F2824" s="2">
        <v>959</v>
      </c>
      <c r="G2824" s="2">
        <v>1</v>
      </c>
      <c r="H2824" t="s">
        <v>64</v>
      </c>
      <c r="I2824" t="s">
        <v>65</v>
      </c>
      <c r="J2824" s="11">
        <f>(LOG(26)-LOG(G2824))*1000</f>
        <v>1414.9733479708179</v>
      </c>
      <c r="K2824" t="str">
        <f t="shared" si="95"/>
        <v>Steve Daniel</v>
      </c>
    </row>
    <row r="2825" spans="1:11" hidden="1" x14ac:dyDescent="0.35">
      <c r="A2825">
        <f t="shared" si="91"/>
        <v>2824</v>
      </c>
      <c r="B2825">
        <v>2017</v>
      </c>
      <c r="C2825" t="s">
        <v>8</v>
      </c>
      <c r="D2825" t="s">
        <v>2326</v>
      </c>
      <c r="E2825" t="s">
        <v>1430</v>
      </c>
      <c r="F2825" s="2">
        <v>959</v>
      </c>
      <c r="G2825" s="2">
        <v>2</v>
      </c>
      <c r="H2825" t="s">
        <v>29</v>
      </c>
      <c r="I2825" t="s">
        <v>30</v>
      </c>
      <c r="J2825" s="11">
        <f>(LOG(26)-LOG(G2825))*1000</f>
        <v>1113.9433523068367</v>
      </c>
      <c r="K2825" t="str">
        <f t="shared" si="95"/>
        <v>Tedford Armistead</v>
      </c>
    </row>
    <row r="2826" spans="1:11" hidden="1" x14ac:dyDescent="0.35">
      <c r="A2826">
        <f t="shared" si="91"/>
        <v>2825</v>
      </c>
      <c r="B2826">
        <v>2017</v>
      </c>
      <c r="C2826" t="s">
        <v>8</v>
      </c>
      <c r="D2826" t="s">
        <v>2326</v>
      </c>
      <c r="E2826" t="s">
        <v>1430</v>
      </c>
      <c r="F2826" s="2">
        <v>504</v>
      </c>
      <c r="G2826" s="2">
        <v>3</v>
      </c>
      <c r="H2826" t="s">
        <v>1437</v>
      </c>
      <c r="I2826" t="s">
        <v>44</v>
      </c>
      <c r="J2826" s="11">
        <f>(LOG(26)-LOG(G2826))*1000</f>
        <v>937.85209325115557</v>
      </c>
      <c r="K2826" t="str">
        <f t="shared" si="95"/>
        <v>Mike Fujita</v>
      </c>
    </row>
    <row r="2827" spans="1:11" hidden="1" x14ac:dyDescent="0.35">
      <c r="A2827">
        <f t="shared" si="91"/>
        <v>2826</v>
      </c>
      <c r="B2827">
        <v>2017</v>
      </c>
      <c r="C2827" t="s">
        <v>8</v>
      </c>
      <c r="D2827" t="s">
        <v>2326</v>
      </c>
      <c r="E2827" t="s">
        <v>1430</v>
      </c>
      <c r="F2827" s="2">
        <v>100</v>
      </c>
      <c r="G2827" s="2">
        <v>4</v>
      </c>
      <c r="H2827" t="s">
        <v>441</v>
      </c>
      <c r="I2827" t="s">
        <v>58</v>
      </c>
      <c r="J2827" s="11">
        <f>(LOG(26)-LOG(G2827))*1000</f>
        <v>812.91335664285555</v>
      </c>
      <c r="K2827" t="str">
        <f t="shared" si="95"/>
        <v>Jim Hexter</v>
      </c>
    </row>
    <row r="2828" spans="1:11" hidden="1" x14ac:dyDescent="0.35">
      <c r="A2828">
        <f t="shared" si="91"/>
        <v>2827</v>
      </c>
      <c r="B2828">
        <v>2018</v>
      </c>
      <c r="C2828" t="s">
        <v>2410</v>
      </c>
      <c r="D2828" t="s">
        <v>2417</v>
      </c>
      <c r="E2828" t="s">
        <v>133</v>
      </c>
      <c r="F2828" s="2">
        <v>983</v>
      </c>
      <c r="G2828" s="2">
        <v>1</v>
      </c>
      <c r="H2828" t="s">
        <v>2413</v>
      </c>
      <c r="I2828" t="s">
        <v>136</v>
      </c>
      <c r="J2828" s="11">
        <v>1556.3025007672873</v>
      </c>
      <c r="K2828" s="10" t="str">
        <f t="shared" si="95"/>
        <v>John Aguirre</v>
      </c>
    </row>
    <row r="2829" spans="1:11" hidden="1" x14ac:dyDescent="0.35">
      <c r="A2829">
        <f t="shared" si="91"/>
        <v>2828</v>
      </c>
      <c r="B2829">
        <v>2018</v>
      </c>
      <c r="C2829" t="s">
        <v>2410</v>
      </c>
      <c r="D2829" t="s">
        <v>2417</v>
      </c>
      <c r="E2829" t="s">
        <v>133</v>
      </c>
      <c r="F2829" s="2">
        <v>938</v>
      </c>
      <c r="G2829" s="2">
        <v>2</v>
      </c>
      <c r="H2829" t="s">
        <v>2418</v>
      </c>
      <c r="I2829" t="s">
        <v>782</v>
      </c>
      <c r="J2829" s="11">
        <v>1255.272505103306</v>
      </c>
      <c r="K2829" s="10" t="str">
        <f t="shared" si="95"/>
        <v>Dennis McGlynn</v>
      </c>
    </row>
    <row r="2830" spans="1:11" hidden="1" x14ac:dyDescent="0.35">
      <c r="A2830">
        <f t="shared" si="91"/>
        <v>2829</v>
      </c>
      <c r="B2830">
        <v>2018</v>
      </c>
      <c r="C2830" t="s">
        <v>2410</v>
      </c>
      <c r="D2830" t="s">
        <v>2417</v>
      </c>
      <c r="E2830" t="s">
        <v>133</v>
      </c>
      <c r="F2830" s="2">
        <v>766</v>
      </c>
      <c r="G2830" s="2">
        <v>3</v>
      </c>
      <c r="H2830" t="s">
        <v>2420</v>
      </c>
      <c r="I2830" t="s">
        <v>2421</v>
      </c>
      <c r="J2830" s="11">
        <v>1079.1812460476249</v>
      </c>
      <c r="K2830" s="10" t="str">
        <f t="shared" si="95"/>
        <v>Thanh Thai</v>
      </c>
    </row>
    <row r="2831" spans="1:11" hidden="1" x14ac:dyDescent="0.35">
      <c r="A2831">
        <f t="shared" si="91"/>
        <v>2830</v>
      </c>
      <c r="B2831">
        <v>2018</v>
      </c>
      <c r="C2831" t="s">
        <v>2410</v>
      </c>
      <c r="D2831" t="s">
        <v>2417</v>
      </c>
      <c r="E2831" t="s">
        <v>133</v>
      </c>
      <c r="F2831" s="2">
        <v>625</v>
      </c>
      <c r="G2831" s="2">
        <v>4</v>
      </c>
      <c r="H2831" t="s">
        <v>238</v>
      </c>
      <c r="I2831" t="s">
        <v>16</v>
      </c>
      <c r="J2831" s="11">
        <v>954.24250943932486</v>
      </c>
      <c r="K2831" s="10" t="str">
        <f t="shared" si="95"/>
        <v>David Kuznick</v>
      </c>
    </row>
    <row r="2832" spans="1:11" hidden="1" x14ac:dyDescent="0.35">
      <c r="A2832">
        <f t="shared" si="91"/>
        <v>2831</v>
      </c>
      <c r="B2832">
        <v>2018</v>
      </c>
      <c r="C2832" t="s">
        <v>2410</v>
      </c>
      <c r="D2832" t="s">
        <v>2417</v>
      </c>
      <c r="E2832" t="s">
        <v>133</v>
      </c>
      <c r="F2832" s="2">
        <v>288</v>
      </c>
      <c r="G2832" s="2">
        <v>5</v>
      </c>
      <c r="H2832" t="s">
        <v>461</v>
      </c>
      <c r="I2832" t="s">
        <v>1448</v>
      </c>
      <c r="J2832" s="11">
        <v>857.3324964312684</v>
      </c>
      <c r="K2832" s="10" t="str">
        <f t="shared" si="95"/>
        <v>Christian Jones</v>
      </c>
    </row>
    <row r="2833" spans="1:11" hidden="1" x14ac:dyDescent="0.35">
      <c r="A2833">
        <f t="shared" si="91"/>
        <v>2832</v>
      </c>
      <c r="B2833">
        <v>2018</v>
      </c>
      <c r="C2833" t="s">
        <v>2410</v>
      </c>
      <c r="D2833" t="s">
        <v>557</v>
      </c>
      <c r="E2833" t="s">
        <v>1430</v>
      </c>
      <c r="F2833" s="2">
        <v>1811</v>
      </c>
      <c r="G2833" s="2">
        <v>1</v>
      </c>
      <c r="H2833" t="s">
        <v>461</v>
      </c>
      <c r="I2833" t="s">
        <v>1448</v>
      </c>
      <c r="J2833" s="11">
        <v>1690.1960800285137</v>
      </c>
      <c r="K2833" s="10" t="str">
        <f t="shared" si="95"/>
        <v>Christian Jones</v>
      </c>
    </row>
    <row r="2834" spans="1:11" hidden="1" x14ac:dyDescent="0.35">
      <c r="A2834">
        <f t="shared" si="91"/>
        <v>2833</v>
      </c>
      <c r="B2834">
        <v>2018</v>
      </c>
      <c r="C2834" t="s">
        <v>2410</v>
      </c>
      <c r="D2834" t="s">
        <v>557</v>
      </c>
      <c r="E2834" t="s">
        <v>1430</v>
      </c>
      <c r="F2834" s="2">
        <v>1078</v>
      </c>
      <c r="G2834" s="2">
        <v>2</v>
      </c>
      <c r="H2834" t="s">
        <v>21</v>
      </c>
      <c r="I2834" t="s">
        <v>463</v>
      </c>
      <c r="J2834" s="11">
        <v>1389.1660843645325</v>
      </c>
      <c r="K2834" t="str">
        <f t="shared" si="95"/>
        <v>Richard Bremer</v>
      </c>
    </row>
    <row r="2835" spans="1:11" hidden="1" x14ac:dyDescent="0.35">
      <c r="A2835">
        <f t="shared" si="91"/>
        <v>2834</v>
      </c>
      <c r="B2835">
        <v>2018</v>
      </c>
      <c r="C2835" t="s">
        <v>2410</v>
      </c>
      <c r="D2835" t="s">
        <v>557</v>
      </c>
      <c r="E2835" t="s">
        <v>1430</v>
      </c>
      <c r="F2835" s="2">
        <v>662</v>
      </c>
      <c r="G2835" s="2">
        <v>3</v>
      </c>
      <c r="H2835" t="s">
        <v>2411</v>
      </c>
      <c r="I2835" t="s">
        <v>44</v>
      </c>
      <c r="J2835" s="11">
        <v>1213.0748253088514</v>
      </c>
      <c r="K2835" s="10" t="str">
        <f t="shared" si="95"/>
        <v>Mike Mather</v>
      </c>
    </row>
    <row r="2836" spans="1:11" hidden="1" x14ac:dyDescent="0.35">
      <c r="A2836">
        <f t="shared" si="91"/>
        <v>2835</v>
      </c>
      <c r="B2836">
        <v>2018</v>
      </c>
      <c r="C2836" t="s">
        <v>2410</v>
      </c>
      <c r="D2836" t="s">
        <v>557</v>
      </c>
      <c r="E2836" t="s">
        <v>1430</v>
      </c>
      <c r="F2836" s="2">
        <v>466</v>
      </c>
      <c r="G2836" s="2">
        <v>4</v>
      </c>
      <c r="H2836" t="s">
        <v>889</v>
      </c>
      <c r="I2836" t="s">
        <v>890</v>
      </c>
      <c r="J2836" s="11">
        <v>1088.1360887005512</v>
      </c>
      <c r="K2836" s="10" t="str">
        <f t="shared" si="95"/>
        <v>Perry Spies</v>
      </c>
    </row>
    <row r="2837" spans="1:11" hidden="1" x14ac:dyDescent="0.35">
      <c r="A2837">
        <f t="shared" si="91"/>
        <v>2836</v>
      </c>
      <c r="B2837">
        <v>2018</v>
      </c>
      <c r="C2837" t="s">
        <v>2410</v>
      </c>
      <c r="D2837" t="s">
        <v>557</v>
      </c>
      <c r="E2837" t="s">
        <v>1430</v>
      </c>
      <c r="F2837" s="2">
        <v>368</v>
      </c>
      <c r="G2837" s="2">
        <v>5</v>
      </c>
      <c r="H2837" t="s">
        <v>204</v>
      </c>
      <c r="I2837" t="s">
        <v>205</v>
      </c>
      <c r="J2837" s="11">
        <v>991.22607569249476</v>
      </c>
      <c r="K2837" s="10" t="str">
        <f t="shared" si="95"/>
        <v>Ron Grossberg</v>
      </c>
    </row>
    <row r="2838" spans="1:11" hidden="1" x14ac:dyDescent="0.35">
      <c r="A2838">
        <f t="shared" si="91"/>
        <v>2837</v>
      </c>
      <c r="B2838">
        <v>2018</v>
      </c>
      <c r="C2838" t="s">
        <v>2410</v>
      </c>
      <c r="D2838" t="s">
        <v>557</v>
      </c>
      <c r="E2838" t="s">
        <v>1430</v>
      </c>
      <c r="F2838" s="2">
        <v>294</v>
      </c>
      <c r="G2838" s="2">
        <v>6</v>
      </c>
      <c r="H2838" t="s">
        <v>116</v>
      </c>
      <c r="I2838" t="s">
        <v>117</v>
      </c>
      <c r="J2838" s="11">
        <v>912.04482964486999</v>
      </c>
      <c r="K2838" s="10" t="str">
        <f t="shared" si="95"/>
        <v>Thomas Kracinovich</v>
      </c>
    </row>
    <row r="2839" spans="1:11" hidden="1" x14ac:dyDescent="0.35">
      <c r="A2839">
        <f t="shared" si="91"/>
        <v>2838</v>
      </c>
      <c r="B2839">
        <v>2018</v>
      </c>
      <c r="C2839" t="s">
        <v>2410</v>
      </c>
      <c r="D2839" t="s">
        <v>557</v>
      </c>
      <c r="E2839" t="s">
        <v>1430</v>
      </c>
      <c r="F2839" s="2">
        <v>221</v>
      </c>
      <c r="G2839" s="2">
        <v>7</v>
      </c>
      <c r="H2839" t="s">
        <v>2413</v>
      </c>
      <c r="I2839" t="s">
        <v>136</v>
      </c>
      <c r="J2839" s="11">
        <v>845.09804001425687</v>
      </c>
      <c r="K2839" s="10" t="str">
        <f t="shared" si="95"/>
        <v>John Aguirre</v>
      </c>
    </row>
    <row r="2840" spans="1:11" hidden="1" x14ac:dyDescent="0.35">
      <c r="A2840">
        <f t="shared" si="91"/>
        <v>2839</v>
      </c>
      <c r="B2840">
        <v>2018</v>
      </c>
      <c r="C2840" t="s">
        <v>2410</v>
      </c>
      <c r="D2840" t="s">
        <v>1429</v>
      </c>
      <c r="E2840" t="s">
        <v>1429</v>
      </c>
      <c r="F2840" s="2">
        <v>1998</v>
      </c>
      <c r="G2840" s="2">
        <v>1</v>
      </c>
      <c r="H2840" t="s">
        <v>204</v>
      </c>
      <c r="I2840" t="s">
        <v>205</v>
      </c>
      <c r="J2840" s="11">
        <v>1732.3937598229686</v>
      </c>
      <c r="K2840" s="10" t="str">
        <f t="shared" si="95"/>
        <v>Ron Grossberg</v>
      </c>
    </row>
    <row r="2841" spans="1:11" hidden="1" x14ac:dyDescent="0.35">
      <c r="A2841">
        <f t="shared" si="91"/>
        <v>2840</v>
      </c>
      <c r="B2841">
        <v>2018</v>
      </c>
      <c r="C2841" t="s">
        <v>2410</v>
      </c>
      <c r="D2841" t="s">
        <v>1429</v>
      </c>
      <c r="E2841" t="s">
        <v>1429</v>
      </c>
      <c r="F2841" s="2">
        <v>1188</v>
      </c>
      <c r="G2841" s="2">
        <v>2</v>
      </c>
      <c r="H2841" t="s">
        <v>889</v>
      </c>
      <c r="I2841" t="s">
        <v>890</v>
      </c>
      <c r="J2841" s="11">
        <v>1431.3637641589874</v>
      </c>
      <c r="K2841" s="10" t="str">
        <f t="shared" si="95"/>
        <v>Perry Spies</v>
      </c>
    </row>
    <row r="2842" spans="1:11" hidden="1" x14ac:dyDescent="0.35">
      <c r="A2842">
        <f t="shared" si="91"/>
        <v>2841</v>
      </c>
      <c r="B2842">
        <v>2018</v>
      </c>
      <c r="C2842" t="s">
        <v>2410</v>
      </c>
      <c r="D2842" t="s">
        <v>1429</v>
      </c>
      <c r="E2842" t="s">
        <v>1429</v>
      </c>
      <c r="F2842" s="2">
        <v>729</v>
      </c>
      <c r="G2842" s="2">
        <v>3</v>
      </c>
      <c r="H2842" t="s">
        <v>2415</v>
      </c>
      <c r="I2842" t="s">
        <v>159</v>
      </c>
      <c r="J2842" s="11">
        <v>1255.2725051033062</v>
      </c>
      <c r="K2842" s="10" t="str">
        <f t="shared" si="95"/>
        <v>Brian Reeve</v>
      </c>
    </row>
    <row r="2843" spans="1:11" hidden="1" x14ac:dyDescent="0.35">
      <c r="A2843">
        <f t="shared" si="91"/>
        <v>2842</v>
      </c>
      <c r="B2843">
        <v>2018</v>
      </c>
      <c r="C2843" t="s">
        <v>2410</v>
      </c>
      <c r="D2843" t="s">
        <v>1429</v>
      </c>
      <c r="E2843" t="s">
        <v>1429</v>
      </c>
      <c r="F2843" s="2">
        <v>513</v>
      </c>
      <c r="G2843" s="2">
        <v>4</v>
      </c>
      <c r="H2843" t="s">
        <v>1060</v>
      </c>
      <c r="I2843" t="s">
        <v>13</v>
      </c>
      <c r="J2843" s="11">
        <v>1130.3337684950061</v>
      </c>
      <c r="K2843" s="10" t="str">
        <f t="shared" si="95"/>
        <v>Tom Abraham</v>
      </c>
    </row>
    <row r="2844" spans="1:11" hidden="1" x14ac:dyDescent="0.35">
      <c r="A2844">
        <f t="shared" si="91"/>
        <v>2843</v>
      </c>
      <c r="B2844">
        <v>2018</v>
      </c>
      <c r="C2844" t="s">
        <v>2410</v>
      </c>
      <c r="D2844" t="s">
        <v>1429</v>
      </c>
      <c r="E2844" t="s">
        <v>1429</v>
      </c>
      <c r="F2844" s="2">
        <v>405</v>
      </c>
      <c r="G2844" s="2">
        <v>5</v>
      </c>
      <c r="H2844" t="s">
        <v>70</v>
      </c>
      <c r="I2844" t="s">
        <v>71</v>
      </c>
      <c r="J2844" s="11">
        <v>1033.4237554869499</v>
      </c>
      <c r="K2844" s="10" t="str">
        <f t="shared" si="95"/>
        <v>Scott Byron</v>
      </c>
    </row>
    <row r="2845" spans="1:11" hidden="1" x14ac:dyDescent="0.35">
      <c r="A2845">
        <f t="shared" si="91"/>
        <v>2844</v>
      </c>
      <c r="B2845">
        <v>2018</v>
      </c>
      <c r="C2845" t="s">
        <v>2410</v>
      </c>
      <c r="D2845" t="s">
        <v>1429</v>
      </c>
      <c r="E2845" t="s">
        <v>1429</v>
      </c>
      <c r="F2845" s="2">
        <v>324</v>
      </c>
      <c r="G2845" s="2">
        <v>6</v>
      </c>
      <c r="H2845" t="s">
        <v>64</v>
      </c>
      <c r="I2845" t="s">
        <v>65</v>
      </c>
      <c r="J2845" s="11">
        <v>954.24250943932498</v>
      </c>
      <c r="K2845" t="str">
        <f t="shared" si="95"/>
        <v>Steve Daniel</v>
      </c>
    </row>
    <row r="2846" spans="1:11" hidden="1" x14ac:dyDescent="0.35">
      <c r="A2846">
        <f t="shared" ref="A2846:A2909" si="96">A2845+1</f>
        <v>2845</v>
      </c>
      <c r="B2846">
        <v>2018</v>
      </c>
      <c r="C2846" t="s">
        <v>2410</v>
      </c>
      <c r="D2846" t="s">
        <v>1429</v>
      </c>
      <c r="E2846" t="s">
        <v>1429</v>
      </c>
      <c r="F2846" s="2">
        <v>243</v>
      </c>
      <c r="G2846" s="2">
        <v>7</v>
      </c>
      <c r="H2846" t="s">
        <v>238</v>
      </c>
      <c r="I2846" t="s">
        <v>16</v>
      </c>
      <c r="J2846" s="11">
        <v>887.29571980871185</v>
      </c>
      <c r="K2846" s="10" t="str">
        <f t="shared" si="95"/>
        <v>David Kuznick</v>
      </c>
    </row>
    <row r="2847" spans="1:11" hidden="1" x14ac:dyDescent="0.35">
      <c r="A2847">
        <f t="shared" si="96"/>
        <v>2846</v>
      </c>
      <c r="B2847">
        <v>2018</v>
      </c>
      <c r="C2847" t="s">
        <v>109</v>
      </c>
      <c r="D2847" t="s">
        <v>45</v>
      </c>
      <c r="E2847" t="s">
        <v>1429</v>
      </c>
      <c r="F2847" s="2">
        <v>2468</v>
      </c>
      <c r="G2847" s="2">
        <v>1</v>
      </c>
      <c r="H2847" t="s">
        <v>558</v>
      </c>
      <c r="I2847" t="s">
        <v>79</v>
      </c>
      <c r="J2847" s="11">
        <v>1755.8748556724915</v>
      </c>
      <c r="K2847" s="10" t="str">
        <f t="shared" si="95"/>
        <v>Kevin Conlon</v>
      </c>
    </row>
    <row r="2848" spans="1:11" hidden="1" x14ac:dyDescent="0.35">
      <c r="A2848">
        <f t="shared" si="96"/>
        <v>2847</v>
      </c>
      <c r="B2848">
        <v>2018</v>
      </c>
      <c r="C2848" t="s">
        <v>109</v>
      </c>
      <c r="D2848" t="s">
        <v>45</v>
      </c>
      <c r="E2848" t="s">
        <v>1429</v>
      </c>
      <c r="F2848" s="2">
        <v>1252</v>
      </c>
      <c r="G2848" s="2">
        <v>2</v>
      </c>
      <c r="H2848" t="s">
        <v>116</v>
      </c>
      <c r="I2848" t="s">
        <v>153</v>
      </c>
      <c r="J2848" s="11">
        <v>1454.8448600085103</v>
      </c>
      <c r="K2848" s="10" t="str">
        <f t="shared" si="95"/>
        <v>Stephen Kracinovich</v>
      </c>
    </row>
    <row r="2849" spans="1:11" hidden="1" x14ac:dyDescent="0.35">
      <c r="A2849">
        <f t="shared" si="96"/>
        <v>2848</v>
      </c>
      <c r="B2849">
        <v>2018</v>
      </c>
      <c r="C2849" t="s">
        <v>109</v>
      </c>
      <c r="D2849" t="s">
        <v>45</v>
      </c>
      <c r="E2849" t="s">
        <v>1429</v>
      </c>
      <c r="F2849" s="2">
        <v>754</v>
      </c>
      <c r="G2849" s="2">
        <v>3</v>
      </c>
      <c r="H2849" t="s">
        <v>118</v>
      </c>
      <c r="I2849" t="s">
        <v>415</v>
      </c>
      <c r="J2849" s="11">
        <v>1278.7536009528292</v>
      </c>
      <c r="K2849" t="str">
        <f t="shared" si="95"/>
        <v>Pete Segal</v>
      </c>
    </row>
    <row r="2850" spans="1:11" hidden="1" x14ac:dyDescent="0.35">
      <c r="A2850">
        <f t="shared" si="96"/>
        <v>2849</v>
      </c>
      <c r="B2850">
        <v>2018</v>
      </c>
      <c r="C2850" t="s">
        <v>109</v>
      </c>
      <c r="D2850" t="s">
        <v>45</v>
      </c>
      <c r="E2850" t="s">
        <v>1429</v>
      </c>
      <c r="F2850" s="2">
        <v>533</v>
      </c>
      <c r="G2850" s="2">
        <v>4</v>
      </c>
      <c r="H2850" t="s">
        <v>251</v>
      </c>
      <c r="I2850" t="s">
        <v>510</v>
      </c>
      <c r="J2850" s="11">
        <v>1153.814864344529</v>
      </c>
      <c r="K2850" s="10" t="str">
        <f t="shared" si="95"/>
        <v>Sharon Lewis</v>
      </c>
    </row>
    <row r="2851" spans="1:11" hidden="1" x14ac:dyDescent="0.35">
      <c r="A2851">
        <f t="shared" si="96"/>
        <v>2850</v>
      </c>
      <c r="B2851">
        <v>2018</v>
      </c>
      <c r="C2851" t="s">
        <v>109</v>
      </c>
      <c r="D2851" t="s">
        <v>45</v>
      </c>
      <c r="E2851" t="s">
        <v>1429</v>
      </c>
      <c r="F2851" s="2">
        <v>422</v>
      </c>
      <c r="G2851" s="2">
        <v>5</v>
      </c>
      <c r="H2851" t="s">
        <v>2405</v>
      </c>
      <c r="I2851" t="s">
        <v>136</v>
      </c>
      <c r="J2851" s="11">
        <v>1056.9048513364728</v>
      </c>
      <c r="K2851" s="10" t="str">
        <f t="shared" si="95"/>
        <v>John Myers</v>
      </c>
    </row>
    <row r="2852" spans="1:11" hidden="1" x14ac:dyDescent="0.35">
      <c r="A2852">
        <f t="shared" si="96"/>
        <v>2851</v>
      </c>
      <c r="B2852">
        <v>2018</v>
      </c>
      <c r="C2852" t="s">
        <v>109</v>
      </c>
      <c r="D2852" t="s">
        <v>45</v>
      </c>
      <c r="E2852" t="s">
        <v>1429</v>
      </c>
      <c r="F2852" s="2">
        <v>100</v>
      </c>
      <c r="G2852" s="2">
        <v>6</v>
      </c>
      <c r="H2852" t="s">
        <v>135</v>
      </c>
      <c r="I2852" t="s">
        <v>136</v>
      </c>
      <c r="J2852" s="11">
        <v>977.72360528884781</v>
      </c>
      <c r="K2852" t="str">
        <f t="shared" si="95"/>
        <v>John Scheinberg</v>
      </c>
    </row>
    <row r="2853" spans="1:11" hidden="1" x14ac:dyDescent="0.35">
      <c r="A2853">
        <f t="shared" si="96"/>
        <v>2852</v>
      </c>
      <c r="B2853">
        <v>2018</v>
      </c>
      <c r="C2853" t="s">
        <v>109</v>
      </c>
      <c r="D2853" t="s">
        <v>2407</v>
      </c>
      <c r="E2853" t="s">
        <v>133</v>
      </c>
      <c r="F2853" s="2">
        <v>1275</v>
      </c>
      <c r="G2853" s="2">
        <v>1</v>
      </c>
      <c r="H2853" t="s">
        <v>15</v>
      </c>
      <c r="I2853" t="s">
        <v>16</v>
      </c>
      <c r="J2853" s="11">
        <v>1380.2112417116059</v>
      </c>
      <c r="K2853" s="10" t="str">
        <f t="shared" si="95"/>
        <v>David Kluchman</v>
      </c>
    </row>
    <row r="2854" spans="1:11" hidden="1" x14ac:dyDescent="0.35">
      <c r="A2854">
        <f t="shared" si="96"/>
        <v>2853</v>
      </c>
      <c r="B2854">
        <v>2018</v>
      </c>
      <c r="C2854" t="s">
        <v>109</v>
      </c>
      <c r="D2854" t="s">
        <v>2407</v>
      </c>
      <c r="E2854" t="s">
        <v>133</v>
      </c>
      <c r="F2854" s="2">
        <v>693</v>
      </c>
      <c r="G2854" s="2">
        <v>2</v>
      </c>
      <c r="H2854" t="s">
        <v>21</v>
      </c>
      <c r="I2854" t="s">
        <v>463</v>
      </c>
      <c r="J2854" s="11">
        <v>1079.1812460476247</v>
      </c>
      <c r="K2854" t="str">
        <f t="shared" si="95"/>
        <v>Richard Bremer</v>
      </c>
    </row>
    <row r="2855" spans="1:11" hidden="1" x14ac:dyDescent="0.35">
      <c r="A2855">
        <f t="shared" si="96"/>
        <v>2854</v>
      </c>
      <c r="B2855">
        <v>2018</v>
      </c>
      <c r="C2855" t="s">
        <v>109</v>
      </c>
      <c r="D2855" t="s">
        <v>2407</v>
      </c>
      <c r="E2855" t="s">
        <v>133</v>
      </c>
      <c r="F2855" s="2">
        <v>345</v>
      </c>
      <c r="G2855" s="2">
        <v>3</v>
      </c>
      <c r="H2855" t="s">
        <v>2408</v>
      </c>
      <c r="I2855" t="s">
        <v>25</v>
      </c>
      <c r="J2855" s="11">
        <v>903.08998699194353</v>
      </c>
      <c r="K2855" s="10" t="str">
        <f t="shared" si="95"/>
        <v>Russell Diaz</v>
      </c>
    </row>
    <row r="2856" spans="1:11" hidden="1" x14ac:dyDescent="0.35">
      <c r="A2856">
        <f t="shared" si="96"/>
        <v>2855</v>
      </c>
      <c r="B2856">
        <v>2018</v>
      </c>
      <c r="C2856" t="s">
        <v>109</v>
      </c>
      <c r="D2856" t="s">
        <v>2407</v>
      </c>
      <c r="E2856" t="s">
        <v>133</v>
      </c>
      <c r="F2856" s="2">
        <v>15</v>
      </c>
      <c r="G2856" s="2">
        <v>4</v>
      </c>
      <c r="H2856" t="s">
        <v>498</v>
      </c>
      <c r="I2856" t="s">
        <v>28</v>
      </c>
      <c r="J2856" s="11">
        <v>778.15125038364351</v>
      </c>
      <c r="K2856" s="10" t="str">
        <f t="shared" si="95"/>
        <v>Chris Alaura</v>
      </c>
    </row>
    <row r="2857" spans="1:11" hidden="1" x14ac:dyDescent="0.35">
      <c r="A2857">
        <f t="shared" si="96"/>
        <v>2856</v>
      </c>
      <c r="B2857">
        <v>2018</v>
      </c>
      <c r="C2857" t="s">
        <v>109</v>
      </c>
      <c r="D2857" t="s">
        <v>770</v>
      </c>
      <c r="E2857" t="s">
        <v>1430</v>
      </c>
      <c r="F2857" s="2">
        <v>2105</v>
      </c>
      <c r="G2857" s="2">
        <v>1</v>
      </c>
      <c r="H2857" t="s">
        <v>116</v>
      </c>
      <c r="I2857" t="s">
        <v>117</v>
      </c>
      <c r="J2857" s="11">
        <v>1707.5701760979362</v>
      </c>
      <c r="K2857" s="10" t="str">
        <f t="shared" si="95"/>
        <v>Thomas Kracinovich</v>
      </c>
    </row>
    <row r="2858" spans="1:11" hidden="1" x14ac:dyDescent="0.35">
      <c r="A2858">
        <f t="shared" si="96"/>
        <v>2857</v>
      </c>
      <c r="B2858">
        <v>2018</v>
      </c>
      <c r="C2858" t="s">
        <v>109</v>
      </c>
      <c r="D2858" t="s">
        <v>770</v>
      </c>
      <c r="E2858" t="s">
        <v>1430</v>
      </c>
      <c r="F2858" s="2">
        <v>1138</v>
      </c>
      <c r="G2858" s="2">
        <v>2</v>
      </c>
      <c r="H2858" t="s">
        <v>256</v>
      </c>
      <c r="I2858" t="s">
        <v>257</v>
      </c>
      <c r="J2858" s="11">
        <v>1406.5401804339549</v>
      </c>
      <c r="K2858" s="10" t="str">
        <f t="shared" si="95"/>
        <v>Stephanie Wasserman</v>
      </c>
    </row>
    <row r="2859" spans="1:11" hidden="1" x14ac:dyDescent="0.35">
      <c r="A2859">
        <f t="shared" si="96"/>
        <v>2858</v>
      </c>
      <c r="B2859">
        <v>2018</v>
      </c>
      <c r="C2859" t="s">
        <v>109</v>
      </c>
      <c r="D2859" t="s">
        <v>770</v>
      </c>
      <c r="E2859" t="s">
        <v>1430</v>
      </c>
      <c r="F2859" s="2">
        <v>693</v>
      </c>
      <c r="G2859" s="2">
        <v>3</v>
      </c>
      <c r="H2859" t="s">
        <v>100</v>
      </c>
      <c r="I2859" t="s">
        <v>52</v>
      </c>
      <c r="J2859" s="11">
        <v>1230.4489213782738</v>
      </c>
      <c r="K2859" t="str">
        <f t="shared" si="95"/>
        <v>Steven Eisenstein</v>
      </c>
    </row>
    <row r="2860" spans="1:11" hidden="1" x14ac:dyDescent="0.35">
      <c r="A2860">
        <f t="shared" si="96"/>
        <v>2859</v>
      </c>
      <c r="B2860">
        <v>2018</v>
      </c>
      <c r="C2860" t="s">
        <v>109</v>
      </c>
      <c r="D2860" t="s">
        <v>770</v>
      </c>
      <c r="E2860" t="s">
        <v>1430</v>
      </c>
      <c r="F2860" s="2">
        <v>495</v>
      </c>
      <c r="G2860" s="2">
        <v>4</v>
      </c>
      <c r="H2860" t="s">
        <v>1131</v>
      </c>
      <c r="I2860" t="s">
        <v>404</v>
      </c>
      <c r="J2860" s="11">
        <v>1105.5101847699736</v>
      </c>
      <c r="K2860" s="10" t="str">
        <f t="shared" si="95"/>
        <v>George Francis</v>
      </c>
    </row>
    <row r="2861" spans="1:11" hidden="1" x14ac:dyDescent="0.35">
      <c r="A2861">
        <f t="shared" si="96"/>
        <v>2860</v>
      </c>
      <c r="B2861">
        <v>2018</v>
      </c>
      <c r="C2861" t="s">
        <v>109</v>
      </c>
      <c r="D2861" t="s">
        <v>770</v>
      </c>
      <c r="E2861" t="s">
        <v>1430</v>
      </c>
      <c r="F2861" s="2">
        <v>396</v>
      </c>
      <c r="G2861" s="2">
        <v>5</v>
      </c>
      <c r="H2861" t="s">
        <v>64</v>
      </c>
      <c r="I2861" t="s">
        <v>65</v>
      </c>
      <c r="J2861" s="11">
        <v>1008.6001717619175</v>
      </c>
      <c r="K2861" t="str">
        <f t="shared" si="95"/>
        <v>Steve Daniel</v>
      </c>
    </row>
    <row r="2862" spans="1:11" hidden="1" x14ac:dyDescent="0.35">
      <c r="A2862">
        <f t="shared" si="96"/>
        <v>2861</v>
      </c>
      <c r="B2862">
        <v>2018</v>
      </c>
      <c r="C2862" t="s">
        <v>109</v>
      </c>
      <c r="D2862" t="s">
        <v>770</v>
      </c>
      <c r="E2862" t="s">
        <v>1430</v>
      </c>
      <c r="F2862" s="2">
        <v>120</v>
      </c>
      <c r="G2862" s="2">
        <v>6</v>
      </c>
      <c r="H2862" t="s">
        <v>407</v>
      </c>
      <c r="I2862" t="s">
        <v>406</v>
      </c>
      <c r="J2862" s="11">
        <v>929.41892571429264</v>
      </c>
      <c r="K2862" s="10" t="str">
        <f t="shared" si="95"/>
        <v>Howard Jackson</v>
      </c>
    </row>
    <row r="2863" spans="1:11" hidden="1" x14ac:dyDescent="0.35">
      <c r="A2863">
        <f t="shared" si="96"/>
        <v>2862</v>
      </c>
      <c r="B2863">
        <v>2018</v>
      </c>
      <c r="C2863" t="s">
        <v>263</v>
      </c>
      <c r="D2863" t="s">
        <v>2427</v>
      </c>
      <c r="E2863" t="s">
        <v>1430</v>
      </c>
      <c r="F2863" s="2">
        <v>1318</v>
      </c>
      <c r="G2863" s="2">
        <v>1</v>
      </c>
      <c r="H2863" t="s">
        <v>21</v>
      </c>
      <c r="I2863" t="s">
        <v>463</v>
      </c>
      <c r="J2863" s="11">
        <v>1732.3937598229686</v>
      </c>
      <c r="K2863" t="str">
        <f t="shared" si="95"/>
        <v>Richard Bremer</v>
      </c>
    </row>
    <row r="2864" spans="1:11" hidden="1" x14ac:dyDescent="0.35">
      <c r="A2864">
        <f t="shared" si="96"/>
        <v>2863</v>
      </c>
      <c r="B2864">
        <v>2018</v>
      </c>
      <c r="C2864" t="s">
        <v>263</v>
      </c>
      <c r="D2864" t="s">
        <v>2427</v>
      </c>
      <c r="E2864" t="s">
        <v>1430</v>
      </c>
      <c r="F2864" s="2">
        <v>985</v>
      </c>
      <c r="G2864" s="2">
        <v>2</v>
      </c>
      <c r="H2864" t="s">
        <v>105</v>
      </c>
      <c r="I2864" t="s">
        <v>106</v>
      </c>
      <c r="J2864" s="11">
        <v>1431.3637641589874</v>
      </c>
      <c r="K2864" s="10" t="str">
        <f t="shared" si="95"/>
        <v>Kenny Shei</v>
      </c>
    </row>
    <row r="2865" spans="1:11" hidden="1" x14ac:dyDescent="0.35">
      <c r="A2865">
        <f t="shared" si="96"/>
        <v>2864</v>
      </c>
      <c r="B2865">
        <v>2018</v>
      </c>
      <c r="C2865" t="s">
        <v>263</v>
      </c>
      <c r="D2865" t="s">
        <v>2427</v>
      </c>
      <c r="E2865" t="s">
        <v>1430</v>
      </c>
      <c r="F2865" s="2">
        <v>750</v>
      </c>
      <c r="G2865" s="2">
        <v>3</v>
      </c>
      <c r="H2865" t="s">
        <v>414</v>
      </c>
      <c r="I2865" t="s">
        <v>413</v>
      </c>
      <c r="J2865" s="11">
        <v>1255.2725051033062</v>
      </c>
      <c r="K2865" t="str">
        <f t="shared" si="95"/>
        <v>Bruce Kramer</v>
      </c>
    </row>
    <row r="2866" spans="1:11" hidden="1" x14ac:dyDescent="0.35">
      <c r="A2866">
        <f t="shared" si="96"/>
        <v>2865</v>
      </c>
      <c r="B2866">
        <v>2018</v>
      </c>
      <c r="C2866" t="s">
        <v>263</v>
      </c>
      <c r="D2866" t="s">
        <v>2427</v>
      </c>
      <c r="E2866" t="s">
        <v>1430</v>
      </c>
      <c r="F2866" s="2">
        <v>610</v>
      </c>
      <c r="G2866" s="2">
        <v>4</v>
      </c>
      <c r="H2866" t="s">
        <v>2428</v>
      </c>
      <c r="I2866" t="s">
        <v>2429</v>
      </c>
      <c r="J2866" s="11">
        <v>1130.3337684950061</v>
      </c>
      <c r="K2866" s="10" t="str">
        <f t="shared" si="95"/>
        <v>Gail Sarett</v>
      </c>
    </row>
    <row r="2867" spans="1:11" hidden="1" x14ac:dyDescent="0.35">
      <c r="A2867">
        <f t="shared" si="96"/>
        <v>2866</v>
      </c>
      <c r="B2867">
        <v>2018</v>
      </c>
      <c r="C2867" t="s">
        <v>263</v>
      </c>
      <c r="D2867" t="s">
        <v>2427</v>
      </c>
      <c r="E2867" t="s">
        <v>1430</v>
      </c>
      <c r="F2867" s="2">
        <v>470</v>
      </c>
      <c r="G2867" s="2">
        <v>5</v>
      </c>
      <c r="H2867" t="s">
        <v>95</v>
      </c>
      <c r="I2867" t="s">
        <v>71</v>
      </c>
      <c r="J2867" s="11">
        <v>1033.4237554869499</v>
      </c>
      <c r="K2867" s="10" t="str">
        <f t="shared" si="95"/>
        <v>Scott Samarel</v>
      </c>
    </row>
    <row r="2868" spans="1:11" hidden="1" x14ac:dyDescent="0.35">
      <c r="A2868">
        <f t="shared" si="96"/>
        <v>2867</v>
      </c>
      <c r="B2868">
        <v>2018</v>
      </c>
      <c r="C2868" t="s">
        <v>263</v>
      </c>
      <c r="D2868" t="s">
        <v>2427</v>
      </c>
      <c r="E2868" t="s">
        <v>1430</v>
      </c>
      <c r="F2868" s="2">
        <v>330</v>
      </c>
      <c r="G2868" s="2">
        <v>6</v>
      </c>
      <c r="H2868" t="s">
        <v>2373</v>
      </c>
      <c r="I2868" t="s">
        <v>2374</v>
      </c>
      <c r="J2868" s="11">
        <v>954.24250943932498</v>
      </c>
      <c r="K2868" t="str">
        <f t="shared" si="95"/>
        <v>Voltaire Ronquillo</v>
      </c>
    </row>
    <row r="2869" spans="1:11" hidden="1" x14ac:dyDescent="0.35">
      <c r="A2869">
        <f t="shared" si="96"/>
        <v>2868</v>
      </c>
      <c r="B2869">
        <v>2018</v>
      </c>
      <c r="C2869" t="s">
        <v>263</v>
      </c>
      <c r="D2869" t="s">
        <v>2427</v>
      </c>
      <c r="E2869" t="s">
        <v>1430</v>
      </c>
      <c r="F2869" s="2">
        <v>235</v>
      </c>
      <c r="G2869" s="2">
        <v>7</v>
      </c>
      <c r="H2869" t="s">
        <v>226</v>
      </c>
      <c r="I2869" t="s">
        <v>227</v>
      </c>
      <c r="J2869" s="11">
        <v>887.29571980871185</v>
      </c>
      <c r="K2869" s="10" t="str">
        <f t="shared" si="95"/>
        <v>Patti Beadles</v>
      </c>
    </row>
    <row r="2870" spans="1:11" hidden="1" x14ac:dyDescent="0.35">
      <c r="A2870">
        <f t="shared" si="96"/>
        <v>2869</v>
      </c>
      <c r="B2870">
        <v>2018</v>
      </c>
      <c r="C2870" t="s">
        <v>263</v>
      </c>
      <c r="D2870" t="s">
        <v>84</v>
      </c>
      <c r="E2870" t="s">
        <v>1430</v>
      </c>
      <c r="F2870" s="2">
        <v>450</v>
      </c>
      <c r="G2870" s="2">
        <v>1</v>
      </c>
      <c r="H2870" t="s">
        <v>2365</v>
      </c>
      <c r="I2870" t="s">
        <v>2366</v>
      </c>
      <c r="J2870" s="11">
        <v>1301.0299956639813</v>
      </c>
      <c r="K2870" s="10" t="str">
        <f t="shared" si="95"/>
        <v>Jesse Capps</v>
      </c>
    </row>
    <row r="2871" spans="1:11" hidden="1" x14ac:dyDescent="0.35">
      <c r="A2871">
        <f t="shared" si="96"/>
        <v>2870</v>
      </c>
      <c r="B2871">
        <v>2018</v>
      </c>
      <c r="C2871" t="s">
        <v>263</v>
      </c>
      <c r="D2871" t="s">
        <v>84</v>
      </c>
      <c r="E2871" t="s">
        <v>1430</v>
      </c>
      <c r="F2871" s="2">
        <v>275</v>
      </c>
      <c r="G2871" s="2">
        <v>2</v>
      </c>
      <c r="H2871" t="s">
        <v>2432</v>
      </c>
      <c r="I2871" t="s">
        <v>139</v>
      </c>
      <c r="J2871" s="11">
        <v>1000</v>
      </c>
      <c r="K2871" s="10" t="str">
        <f t="shared" si="95"/>
        <v>Mark Haroldson</v>
      </c>
    </row>
    <row r="2872" spans="1:11" hidden="1" x14ac:dyDescent="0.35">
      <c r="A2872">
        <f t="shared" si="96"/>
        <v>2871</v>
      </c>
      <c r="B2872">
        <v>2018</v>
      </c>
      <c r="C2872" t="s">
        <v>263</v>
      </c>
      <c r="D2872" t="s">
        <v>84</v>
      </c>
      <c r="E2872" t="s">
        <v>1430</v>
      </c>
      <c r="F2872" s="2">
        <v>190</v>
      </c>
      <c r="G2872" s="2">
        <v>3</v>
      </c>
      <c r="H2872" t="s">
        <v>88</v>
      </c>
      <c r="I2872" t="s">
        <v>89</v>
      </c>
      <c r="J2872" s="11">
        <v>823.90874094431888</v>
      </c>
      <c r="K2872" s="10" t="str">
        <f t="shared" si="95"/>
        <v>Ken Kubey</v>
      </c>
    </row>
    <row r="2873" spans="1:11" hidden="1" x14ac:dyDescent="0.35">
      <c r="A2873">
        <f t="shared" si="96"/>
        <v>2872</v>
      </c>
      <c r="B2873">
        <v>2018</v>
      </c>
      <c r="C2873" t="s">
        <v>263</v>
      </c>
      <c r="D2873" t="s">
        <v>84</v>
      </c>
      <c r="E2873" t="s">
        <v>1430</v>
      </c>
      <c r="F2873" s="2">
        <v>145</v>
      </c>
      <c r="G2873" s="2">
        <v>4</v>
      </c>
      <c r="H2873" t="s">
        <v>2434</v>
      </c>
      <c r="I2873" t="s">
        <v>2435</v>
      </c>
      <c r="J2873" s="11">
        <v>698.97000433601886</v>
      </c>
      <c r="K2873" t="str">
        <f t="shared" si="95"/>
        <v>Jaydon Ogden</v>
      </c>
    </row>
    <row r="2874" spans="1:11" hidden="1" x14ac:dyDescent="0.35">
      <c r="A2874">
        <f t="shared" si="96"/>
        <v>2873</v>
      </c>
      <c r="B2874">
        <v>2018</v>
      </c>
      <c r="C2874" t="s">
        <v>263</v>
      </c>
      <c r="D2874" t="s">
        <v>84</v>
      </c>
      <c r="E2874" t="s">
        <v>1430</v>
      </c>
      <c r="F2874" s="2">
        <v>40</v>
      </c>
      <c r="G2874" s="2">
        <v>5</v>
      </c>
      <c r="H2874" t="s">
        <v>968</v>
      </c>
      <c r="I2874" t="s">
        <v>701</v>
      </c>
      <c r="J2874" s="11">
        <v>602.05999132796239</v>
      </c>
      <c r="K2874" s="10" t="str">
        <f t="shared" si="95"/>
        <v>Bryan Juliano</v>
      </c>
    </row>
    <row r="2875" spans="1:11" hidden="1" x14ac:dyDescent="0.35">
      <c r="A2875">
        <f t="shared" si="96"/>
        <v>2874</v>
      </c>
      <c r="B2875">
        <v>2018</v>
      </c>
      <c r="C2875" t="s">
        <v>263</v>
      </c>
      <c r="D2875" t="s">
        <v>2436</v>
      </c>
      <c r="E2875" t="s">
        <v>1430</v>
      </c>
      <c r="F2875" s="2">
        <v>1689</v>
      </c>
      <c r="G2875" s="2">
        <v>1</v>
      </c>
      <c r="H2875" t="s">
        <v>74</v>
      </c>
      <c r="I2875" t="s">
        <v>75</v>
      </c>
      <c r="J2875" s="11">
        <v>1857.3324964312685</v>
      </c>
      <c r="K2875" s="10" t="str">
        <f t="shared" si="95"/>
        <v>Sabyl Landrum</v>
      </c>
    </row>
    <row r="2876" spans="1:11" hidden="1" x14ac:dyDescent="0.35">
      <c r="A2876">
        <f t="shared" si="96"/>
        <v>2875</v>
      </c>
      <c r="B2876">
        <v>2018</v>
      </c>
      <c r="C2876" t="s">
        <v>263</v>
      </c>
      <c r="D2876" t="s">
        <v>2436</v>
      </c>
      <c r="E2876" t="s">
        <v>1430</v>
      </c>
      <c r="F2876" s="2">
        <v>1255</v>
      </c>
      <c r="G2876" s="2">
        <v>2</v>
      </c>
      <c r="H2876" t="s">
        <v>275</v>
      </c>
      <c r="I2876" t="s">
        <v>463</v>
      </c>
      <c r="J2876" s="11">
        <v>1556.3025007672873</v>
      </c>
      <c r="K2876" t="str">
        <f t="shared" si="95"/>
        <v>Richard Korbin</v>
      </c>
    </row>
    <row r="2877" spans="1:11" hidden="1" x14ac:dyDescent="0.35">
      <c r="A2877">
        <f t="shared" si="96"/>
        <v>2876</v>
      </c>
      <c r="B2877">
        <v>2018</v>
      </c>
      <c r="C2877" t="s">
        <v>263</v>
      </c>
      <c r="D2877" t="s">
        <v>2436</v>
      </c>
      <c r="E2877" t="s">
        <v>1430</v>
      </c>
      <c r="F2877" s="2">
        <v>940</v>
      </c>
      <c r="G2877" s="2">
        <v>3</v>
      </c>
      <c r="H2877" t="s">
        <v>482</v>
      </c>
      <c r="I2877" t="s">
        <v>410</v>
      </c>
      <c r="J2877" s="11">
        <v>1380.2112417116061</v>
      </c>
      <c r="K2877" s="10" t="str">
        <f t="shared" si="95"/>
        <v>Larry Bierman</v>
      </c>
    </row>
    <row r="2878" spans="1:11" hidden="1" x14ac:dyDescent="0.35">
      <c r="A2878">
        <f t="shared" si="96"/>
        <v>2877</v>
      </c>
      <c r="B2878">
        <v>2018</v>
      </c>
      <c r="C2878" t="s">
        <v>263</v>
      </c>
      <c r="D2878" t="s">
        <v>2436</v>
      </c>
      <c r="E2878" t="s">
        <v>1430</v>
      </c>
      <c r="F2878" s="2">
        <v>750</v>
      </c>
      <c r="G2878" s="2">
        <v>4</v>
      </c>
      <c r="H2878" t="s">
        <v>279</v>
      </c>
      <c r="I2878" t="s">
        <v>16</v>
      </c>
      <c r="J2878" s="11">
        <v>1255.272505103306</v>
      </c>
      <c r="K2878" s="10" t="str">
        <f t="shared" si="95"/>
        <v>David Soussan</v>
      </c>
    </row>
    <row r="2879" spans="1:11" hidden="1" x14ac:dyDescent="0.35">
      <c r="A2879">
        <f t="shared" si="96"/>
        <v>2878</v>
      </c>
      <c r="B2879">
        <v>2018</v>
      </c>
      <c r="C2879" t="s">
        <v>263</v>
      </c>
      <c r="D2879" t="s">
        <v>2436</v>
      </c>
      <c r="E2879" t="s">
        <v>1430</v>
      </c>
      <c r="F2879" s="2">
        <v>625</v>
      </c>
      <c r="G2879" s="2">
        <v>5</v>
      </c>
      <c r="H2879" t="s">
        <v>281</v>
      </c>
      <c r="I2879" t="s">
        <v>282</v>
      </c>
      <c r="J2879" s="11">
        <v>1158.3624920952498</v>
      </c>
      <c r="K2879" s="10" t="str">
        <f t="shared" si="95"/>
        <v>Randy Collack</v>
      </c>
    </row>
    <row r="2880" spans="1:11" hidden="1" x14ac:dyDescent="0.35">
      <c r="A2880">
        <f t="shared" si="96"/>
        <v>2879</v>
      </c>
      <c r="B2880">
        <v>2018</v>
      </c>
      <c r="C2880" t="s">
        <v>263</v>
      </c>
      <c r="D2880" t="s">
        <v>2436</v>
      </c>
      <c r="E2880" t="s">
        <v>1430</v>
      </c>
      <c r="F2880" s="2">
        <v>440</v>
      </c>
      <c r="G2880" s="2">
        <v>6</v>
      </c>
      <c r="H2880" t="s">
        <v>829</v>
      </c>
      <c r="I2880" t="s">
        <v>830</v>
      </c>
      <c r="J2880" s="11">
        <v>1079.1812460476249</v>
      </c>
      <c r="K2880" s="10" t="str">
        <f t="shared" si="95"/>
        <v>Murray Logan</v>
      </c>
    </row>
    <row r="2881" spans="1:11" hidden="1" x14ac:dyDescent="0.35">
      <c r="A2881">
        <f t="shared" si="96"/>
        <v>2880</v>
      </c>
      <c r="B2881">
        <v>2018</v>
      </c>
      <c r="C2881" t="s">
        <v>263</v>
      </c>
      <c r="D2881" t="s">
        <v>2436</v>
      </c>
      <c r="E2881" t="s">
        <v>1430</v>
      </c>
      <c r="F2881" s="2">
        <v>315</v>
      </c>
      <c r="G2881" s="2">
        <v>7</v>
      </c>
      <c r="H2881" t="s">
        <v>299</v>
      </c>
      <c r="I2881" t="s">
        <v>300</v>
      </c>
      <c r="J2881" s="11">
        <v>1012.2344564170116</v>
      </c>
      <c r="K2881" s="10" t="str">
        <f t="shared" si="95"/>
        <v>Gillian Groves</v>
      </c>
    </row>
    <row r="2882" spans="1:11" hidden="1" x14ac:dyDescent="0.35">
      <c r="A2882">
        <f t="shared" si="96"/>
        <v>2881</v>
      </c>
      <c r="B2882">
        <v>2018</v>
      </c>
      <c r="C2882" t="s">
        <v>263</v>
      </c>
      <c r="D2882" t="s">
        <v>2436</v>
      </c>
      <c r="E2882" t="s">
        <v>1430</v>
      </c>
      <c r="F2882" s="2">
        <v>250</v>
      </c>
      <c r="G2882" s="2">
        <v>8</v>
      </c>
      <c r="H2882" t="s">
        <v>2365</v>
      </c>
      <c r="I2882" t="s">
        <v>2366</v>
      </c>
      <c r="J2882" s="11">
        <v>954.24250943932498</v>
      </c>
      <c r="K2882" s="10" t="str">
        <f t="shared" ref="K2882:K2945" si="97">I2882&amp;" "&amp;H2882</f>
        <v>Jesse Capps</v>
      </c>
    </row>
    <row r="2883" spans="1:11" hidden="1" x14ac:dyDescent="0.35">
      <c r="A2883">
        <f t="shared" si="96"/>
        <v>2882</v>
      </c>
      <c r="B2883">
        <v>2018</v>
      </c>
      <c r="C2883" t="s">
        <v>263</v>
      </c>
      <c r="D2883" t="s">
        <v>607</v>
      </c>
      <c r="E2883" t="s">
        <v>1051</v>
      </c>
      <c r="F2883" s="2">
        <v>1060</v>
      </c>
      <c r="G2883" s="2">
        <v>1</v>
      </c>
      <c r="H2883" t="s">
        <v>266</v>
      </c>
      <c r="I2883" t="s">
        <v>28</v>
      </c>
      <c r="J2883" s="11">
        <v>1602.0599913279623</v>
      </c>
      <c r="K2883" t="str">
        <f t="shared" si="97"/>
        <v>Chris Mecklin</v>
      </c>
    </row>
    <row r="2884" spans="1:11" hidden="1" x14ac:dyDescent="0.35">
      <c r="A2884">
        <f t="shared" si="96"/>
        <v>2883</v>
      </c>
      <c r="B2884">
        <v>2018</v>
      </c>
      <c r="C2884" t="s">
        <v>263</v>
      </c>
      <c r="D2884" t="s">
        <v>607</v>
      </c>
      <c r="E2884" t="s">
        <v>1051</v>
      </c>
      <c r="F2884" s="2">
        <v>745</v>
      </c>
      <c r="G2884" s="2">
        <v>2</v>
      </c>
      <c r="H2884" t="s">
        <v>999</v>
      </c>
      <c r="I2884" t="s">
        <v>815</v>
      </c>
      <c r="J2884" s="11">
        <v>1301.029995663981</v>
      </c>
      <c r="K2884" s="10" t="str">
        <f t="shared" si="97"/>
        <v>Sean McGuiness</v>
      </c>
    </row>
    <row r="2885" spans="1:11" hidden="1" x14ac:dyDescent="0.35">
      <c r="A2885">
        <f t="shared" si="96"/>
        <v>2884</v>
      </c>
      <c r="B2885">
        <v>2018</v>
      </c>
      <c r="C2885" t="s">
        <v>263</v>
      </c>
      <c r="D2885" t="s">
        <v>607</v>
      </c>
      <c r="E2885" t="s">
        <v>1051</v>
      </c>
      <c r="F2885" s="2">
        <v>570</v>
      </c>
      <c r="G2885" s="2">
        <v>3</v>
      </c>
      <c r="H2885" t="s">
        <v>50</v>
      </c>
      <c r="I2885" t="s">
        <v>25</v>
      </c>
      <c r="J2885" s="11">
        <v>1124.9387366082999</v>
      </c>
      <c r="K2885" s="10" t="str">
        <f t="shared" si="97"/>
        <v>Russell Fox</v>
      </c>
    </row>
    <row r="2886" spans="1:11" hidden="1" x14ac:dyDescent="0.35">
      <c r="A2886">
        <f t="shared" si="96"/>
        <v>2885</v>
      </c>
      <c r="B2886">
        <v>2018</v>
      </c>
      <c r="C2886" t="s">
        <v>263</v>
      </c>
      <c r="D2886" t="s">
        <v>607</v>
      </c>
      <c r="E2886" t="s">
        <v>1051</v>
      </c>
      <c r="F2886" s="2">
        <v>430</v>
      </c>
      <c r="G2886" s="2">
        <v>4</v>
      </c>
      <c r="H2886" t="s">
        <v>86</v>
      </c>
      <c r="I2886" t="s">
        <v>510</v>
      </c>
      <c r="J2886" s="11">
        <v>999.99999999999989</v>
      </c>
      <c r="K2886" s="10" t="str">
        <f t="shared" si="97"/>
        <v>Sharon Goldman</v>
      </c>
    </row>
    <row r="2887" spans="1:11" hidden="1" x14ac:dyDescent="0.35">
      <c r="A2887">
        <f t="shared" si="96"/>
        <v>2886</v>
      </c>
      <c r="B2887">
        <v>2018</v>
      </c>
      <c r="C2887" t="s">
        <v>263</v>
      </c>
      <c r="D2887" t="s">
        <v>607</v>
      </c>
      <c r="E2887" t="s">
        <v>1051</v>
      </c>
      <c r="F2887" s="2">
        <v>330</v>
      </c>
      <c r="G2887" s="2">
        <v>5</v>
      </c>
      <c r="H2887" t="s">
        <v>31</v>
      </c>
      <c r="I2887" t="s">
        <v>16</v>
      </c>
      <c r="J2887" s="11">
        <v>903.08998699194342</v>
      </c>
      <c r="K2887" s="10" t="str">
        <f t="shared" si="97"/>
        <v>David Aronson</v>
      </c>
    </row>
    <row r="2888" spans="1:11" hidden="1" x14ac:dyDescent="0.35">
      <c r="A2888">
        <f t="shared" si="96"/>
        <v>2887</v>
      </c>
      <c r="B2888">
        <v>2018</v>
      </c>
      <c r="C2888" t="s">
        <v>263</v>
      </c>
      <c r="D2888" t="s">
        <v>607</v>
      </c>
      <c r="E2888" t="s">
        <v>1051</v>
      </c>
      <c r="F2888" s="2">
        <v>225</v>
      </c>
      <c r="G2888" s="2">
        <v>6</v>
      </c>
      <c r="H2888" t="s">
        <v>2395</v>
      </c>
      <c r="I2888" t="s">
        <v>151</v>
      </c>
      <c r="J2888" s="11">
        <v>823.90874094431865</v>
      </c>
      <c r="K2888" s="10" t="str">
        <f t="shared" si="97"/>
        <v>Kent Beck</v>
      </c>
    </row>
    <row r="2889" spans="1:11" hidden="1" x14ac:dyDescent="0.35">
      <c r="A2889">
        <f t="shared" si="96"/>
        <v>2888</v>
      </c>
      <c r="B2889">
        <v>2018</v>
      </c>
      <c r="C2889" t="s">
        <v>263</v>
      </c>
      <c r="D2889" t="s">
        <v>607</v>
      </c>
      <c r="E2889" t="s">
        <v>1051</v>
      </c>
      <c r="F2889" s="2">
        <v>120</v>
      </c>
      <c r="G2889" s="2">
        <v>7</v>
      </c>
      <c r="H2889" t="s">
        <v>461</v>
      </c>
      <c r="I2889" t="s">
        <v>1448</v>
      </c>
      <c r="J2889" s="11">
        <v>756.96195131370553</v>
      </c>
      <c r="K2889" s="10" t="str">
        <f t="shared" si="97"/>
        <v>Christian Jones</v>
      </c>
    </row>
    <row r="2890" spans="1:11" hidden="1" x14ac:dyDescent="0.35">
      <c r="A2890">
        <f t="shared" si="96"/>
        <v>2889</v>
      </c>
      <c r="B2890">
        <v>2018</v>
      </c>
      <c r="C2890" t="s">
        <v>263</v>
      </c>
      <c r="D2890" t="s">
        <v>45</v>
      </c>
      <c r="E2890" t="s">
        <v>1429</v>
      </c>
      <c r="F2890" s="2">
        <v>3811</v>
      </c>
      <c r="G2890" s="2">
        <v>1</v>
      </c>
      <c r="H2890" t="s">
        <v>302</v>
      </c>
      <c r="I2890" t="s">
        <v>81</v>
      </c>
      <c r="J2890" s="11">
        <v>2107.2099696478685</v>
      </c>
      <c r="K2890" t="str">
        <f t="shared" si="97"/>
        <v>Don Rieck</v>
      </c>
    </row>
    <row r="2891" spans="1:11" hidden="1" x14ac:dyDescent="0.35">
      <c r="A2891">
        <f t="shared" si="96"/>
        <v>2890</v>
      </c>
      <c r="B2891">
        <v>2018</v>
      </c>
      <c r="C2891" t="s">
        <v>263</v>
      </c>
      <c r="D2891" t="s">
        <v>45</v>
      </c>
      <c r="E2891" t="s">
        <v>1429</v>
      </c>
      <c r="F2891" s="2">
        <v>2865</v>
      </c>
      <c r="G2891" s="2">
        <v>2</v>
      </c>
      <c r="H2891" t="s">
        <v>48</v>
      </c>
      <c r="I2891" t="s">
        <v>49</v>
      </c>
      <c r="J2891" s="11">
        <v>1806.1799739838871</v>
      </c>
      <c r="K2891" t="str">
        <f t="shared" si="97"/>
        <v>Regis Donovan</v>
      </c>
    </row>
    <row r="2892" spans="1:11" hidden="1" x14ac:dyDescent="0.35">
      <c r="A2892">
        <f t="shared" si="96"/>
        <v>2891</v>
      </c>
      <c r="B2892">
        <v>2018</v>
      </c>
      <c r="C2892" t="s">
        <v>263</v>
      </c>
      <c r="D2892" t="s">
        <v>45</v>
      </c>
      <c r="E2892" t="s">
        <v>1429</v>
      </c>
      <c r="F2892" s="2">
        <v>2085</v>
      </c>
      <c r="G2892" s="2">
        <v>3</v>
      </c>
      <c r="H2892" t="s">
        <v>525</v>
      </c>
      <c r="I2892" t="s">
        <v>2320</v>
      </c>
      <c r="J2892" s="11">
        <v>1630.0887149282059</v>
      </c>
      <c r="K2892" t="str">
        <f t="shared" si="97"/>
        <v>Jared Anderson</v>
      </c>
    </row>
    <row r="2893" spans="1:11" hidden="1" x14ac:dyDescent="0.35">
      <c r="A2893">
        <f t="shared" si="96"/>
        <v>2892</v>
      </c>
      <c r="B2893">
        <v>2018</v>
      </c>
      <c r="C2893" t="s">
        <v>263</v>
      </c>
      <c r="D2893" t="s">
        <v>45</v>
      </c>
      <c r="E2893" t="s">
        <v>1429</v>
      </c>
      <c r="F2893" s="2">
        <v>1620</v>
      </c>
      <c r="G2893" s="2">
        <v>4</v>
      </c>
      <c r="H2893" t="s">
        <v>414</v>
      </c>
      <c r="I2893" t="s">
        <v>413</v>
      </c>
      <c r="J2893" s="11">
        <v>1505.1499783199058</v>
      </c>
      <c r="K2893" t="str">
        <f t="shared" si="97"/>
        <v>Bruce Kramer</v>
      </c>
    </row>
    <row r="2894" spans="1:11" hidden="1" x14ac:dyDescent="0.35">
      <c r="A2894">
        <f t="shared" si="96"/>
        <v>2893</v>
      </c>
      <c r="B2894">
        <v>2018</v>
      </c>
      <c r="C2894" t="s">
        <v>263</v>
      </c>
      <c r="D2894" t="s">
        <v>45</v>
      </c>
      <c r="E2894" t="s">
        <v>1429</v>
      </c>
      <c r="F2894" s="2">
        <v>1200</v>
      </c>
      <c r="G2894" s="2">
        <v>5</v>
      </c>
      <c r="H2894" t="s">
        <v>477</v>
      </c>
      <c r="I2894" t="s">
        <v>136</v>
      </c>
      <c r="J2894" s="11">
        <v>1408.2399653118496</v>
      </c>
      <c r="K2894" t="str">
        <f t="shared" si="97"/>
        <v>John Lloyd</v>
      </c>
    </row>
    <row r="2895" spans="1:11" hidden="1" x14ac:dyDescent="0.35">
      <c r="A2895">
        <f t="shared" si="96"/>
        <v>2894</v>
      </c>
      <c r="B2895">
        <v>2018</v>
      </c>
      <c r="C2895" t="s">
        <v>263</v>
      </c>
      <c r="D2895" t="s">
        <v>45</v>
      </c>
      <c r="E2895" t="s">
        <v>1429</v>
      </c>
      <c r="F2895" s="2">
        <v>935</v>
      </c>
      <c r="G2895" s="2">
        <v>6</v>
      </c>
      <c r="H2895" t="s">
        <v>999</v>
      </c>
      <c r="I2895" t="s">
        <v>815</v>
      </c>
      <c r="J2895" s="11">
        <v>1329.0587192642247</v>
      </c>
      <c r="K2895" t="str">
        <f t="shared" si="97"/>
        <v>Sean McGuiness</v>
      </c>
    </row>
    <row r="2896" spans="1:11" hidden="1" x14ac:dyDescent="0.35">
      <c r="A2896">
        <f t="shared" si="96"/>
        <v>2895</v>
      </c>
      <c r="B2896">
        <v>2018</v>
      </c>
      <c r="C2896" t="s">
        <v>263</v>
      </c>
      <c r="D2896" t="s">
        <v>45</v>
      </c>
      <c r="E2896" t="s">
        <v>1429</v>
      </c>
      <c r="F2896" s="2">
        <v>625</v>
      </c>
      <c r="G2896" s="2">
        <v>7</v>
      </c>
      <c r="H2896" t="s">
        <v>543</v>
      </c>
      <c r="I2896" t="s">
        <v>67</v>
      </c>
      <c r="J2896" s="11">
        <v>1262.1119296336115</v>
      </c>
      <c r="K2896" t="str">
        <f t="shared" si="97"/>
        <v>Bob Herlien</v>
      </c>
    </row>
    <row r="2897" spans="1:11" hidden="1" x14ac:dyDescent="0.35">
      <c r="A2897">
        <f t="shared" si="96"/>
        <v>2896</v>
      </c>
      <c r="B2897">
        <v>2018</v>
      </c>
      <c r="C2897" t="s">
        <v>263</v>
      </c>
      <c r="D2897" t="s">
        <v>45</v>
      </c>
      <c r="E2897" t="s">
        <v>1429</v>
      </c>
      <c r="F2897" s="2">
        <v>470</v>
      </c>
      <c r="G2897" s="2">
        <v>8</v>
      </c>
      <c r="H2897" t="s">
        <v>713</v>
      </c>
      <c r="I2897" t="s">
        <v>28</v>
      </c>
      <c r="J2897" s="11">
        <v>1204.1199826559248</v>
      </c>
      <c r="K2897" t="str">
        <f t="shared" si="97"/>
        <v>Chris Jepsen</v>
      </c>
    </row>
    <row r="2898" spans="1:11" hidden="1" x14ac:dyDescent="0.35">
      <c r="A2898">
        <f t="shared" si="96"/>
        <v>2897</v>
      </c>
      <c r="B2898">
        <v>2018</v>
      </c>
      <c r="C2898" t="s">
        <v>263</v>
      </c>
      <c r="D2898" t="s">
        <v>45</v>
      </c>
      <c r="E2898" t="s">
        <v>1429</v>
      </c>
      <c r="F2898" s="2">
        <v>310</v>
      </c>
      <c r="G2898" s="2">
        <v>9</v>
      </c>
      <c r="H2898" t="s">
        <v>976</v>
      </c>
      <c r="I2898" t="s">
        <v>218</v>
      </c>
      <c r="J2898" s="11">
        <v>1152.9674602085436</v>
      </c>
      <c r="K2898" t="str">
        <f t="shared" si="97"/>
        <v>Michael Hunter</v>
      </c>
    </row>
    <row r="2899" spans="1:11" hidden="1" x14ac:dyDescent="0.35">
      <c r="A2899">
        <f t="shared" si="96"/>
        <v>2898</v>
      </c>
      <c r="B2899">
        <v>2018</v>
      </c>
      <c r="C2899" t="s">
        <v>263</v>
      </c>
      <c r="D2899" t="s">
        <v>45</v>
      </c>
      <c r="E2899" t="s">
        <v>1429</v>
      </c>
      <c r="F2899" s="2">
        <v>310</v>
      </c>
      <c r="G2899" s="2">
        <v>10</v>
      </c>
      <c r="H2899" t="s">
        <v>37</v>
      </c>
      <c r="I2899" t="s">
        <v>38</v>
      </c>
      <c r="J2899" s="11">
        <v>1107.2099696478683</v>
      </c>
      <c r="K2899" t="str">
        <f t="shared" si="97"/>
        <v>Doug Grismore</v>
      </c>
    </row>
    <row r="2900" spans="1:11" hidden="1" x14ac:dyDescent="0.35">
      <c r="A2900">
        <f t="shared" si="96"/>
        <v>2899</v>
      </c>
      <c r="B2900">
        <v>2018</v>
      </c>
      <c r="C2900" t="s">
        <v>263</v>
      </c>
      <c r="D2900" t="s">
        <v>45</v>
      </c>
      <c r="E2900" t="s">
        <v>1429</v>
      </c>
      <c r="F2900" s="2">
        <v>235</v>
      </c>
      <c r="G2900" s="2">
        <v>11</v>
      </c>
      <c r="H2900" t="s">
        <v>618</v>
      </c>
      <c r="I2900" t="s">
        <v>521</v>
      </c>
      <c r="J2900" s="11">
        <v>1065.8172844896433</v>
      </c>
      <c r="K2900" t="str">
        <f t="shared" si="97"/>
        <v>Chuck Weinstock</v>
      </c>
    </row>
    <row r="2901" spans="1:11" hidden="1" x14ac:dyDescent="0.35">
      <c r="A2901">
        <f t="shared" si="96"/>
        <v>2900</v>
      </c>
      <c r="B2901">
        <v>2018</v>
      </c>
      <c r="C2901" t="s">
        <v>263</v>
      </c>
      <c r="D2901" t="s">
        <v>45</v>
      </c>
      <c r="E2901" t="s">
        <v>1429</v>
      </c>
      <c r="F2901" s="2">
        <v>235</v>
      </c>
      <c r="G2901" s="2">
        <v>12</v>
      </c>
      <c r="H2901" t="s">
        <v>621</v>
      </c>
      <c r="I2901" t="s">
        <v>16</v>
      </c>
      <c r="J2901" s="11">
        <v>1028.0287236002434</v>
      </c>
      <c r="K2901" t="str">
        <f t="shared" si="97"/>
        <v>David Trinidad</v>
      </c>
    </row>
    <row r="2902" spans="1:11" hidden="1" x14ac:dyDescent="0.35">
      <c r="A2902">
        <f t="shared" si="96"/>
        <v>2901</v>
      </c>
      <c r="B2902">
        <v>2018</v>
      </c>
      <c r="C2902" t="s">
        <v>263</v>
      </c>
      <c r="D2902" t="s">
        <v>45</v>
      </c>
      <c r="E2902" t="s">
        <v>1429</v>
      </c>
      <c r="F2902" s="2">
        <v>155</v>
      </c>
      <c r="G2902" s="2">
        <v>13</v>
      </c>
      <c r="H2902" t="s">
        <v>15</v>
      </c>
      <c r="I2902" t="s">
        <v>16</v>
      </c>
      <c r="J2902" s="11">
        <v>993.26661734103163</v>
      </c>
      <c r="K2902" t="str">
        <f t="shared" si="97"/>
        <v>David Kluchman</v>
      </c>
    </row>
    <row r="2903" spans="1:11" hidden="1" x14ac:dyDescent="0.35">
      <c r="A2903">
        <f t="shared" si="96"/>
        <v>2902</v>
      </c>
      <c r="B2903">
        <v>2018</v>
      </c>
      <c r="C2903" t="s">
        <v>263</v>
      </c>
      <c r="D2903" t="s">
        <v>45</v>
      </c>
      <c r="E2903" t="s">
        <v>1429</v>
      </c>
      <c r="F2903" s="2">
        <v>155</v>
      </c>
      <c r="G2903" s="2">
        <v>14</v>
      </c>
      <c r="H2903" t="s">
        <v>15</v>
      </c>
      <c r="I2903" t="s">
        <v>28</v>
      </c>
      <c r="J2903" s="11">
        <v>961.08193396963043</v>
      </c>
      <c r="K2903" t="str">
        <f t="shared" si="97"/>
        <v>Chris Kluchman</v>
      </c>
    </row>
    <row r="2904" spans="1:11" hidden="1" x14ac:dyDescent="0.35">
      <c r="A2904">
        <f t="shared" si="96"/>
        <v>2903</v>
      </c>
      <c r="B2904">
        <v>2018</v>
      </c>
      <c r="C2904" t="s">
        <v>263</v>
      </c>
      <c r="D2904" t="s">
        <v>45</v>
      </c>
      <c r="E2904" t="s">
        <v>1429</v>
      </c>
      <c r="F2904" s="2">
        <v>155</v>
      </c>
      <c r="G2904" s="2">
        <v>15</v>
      </c>
      <c r="H2904" t="s">
        <v>99</v>
      </c>
      <c r="I2904" t="s">
        <v>101</v>
      </c>
      <c r="J2904" s="11">
        <v>931.11871059218697</v>
      </c>
      <c r="K2904" t="str">
        <f t="shared" si="97"/>
        <v>Dean Kerl</v>
      </c>
    </row>
    <row r="2905" spans="1:11" hidden="1" x14ac:dyDescent="0.35">
      <c r="A2905">
        <f t="shared" si="96"/>
        <v>2904</v>
      </c>
      <c r="B2905">
        <v>2018</v>
      </c>
      <c r="C2905" t="s">
        <v>263</v>
      </c>
      <c r="D2905" t="s">
        <v>45</v>
      </c>
      <c r="E2905" t="s">
        <v>1429</v>
      </c>
      <c r="F2905" s="2">
        <v>150</v>
      </c>
      <c r="G2905" s="2">
        <v>16</v>
      </c>
      <c r="H2905" t="s">
        <v>974</v>
      </c>
      <c r="I2905" t="s">
        <v>2008</v>
      </c>
      <c r="J2905" s="11">
        <v>903.08998699194353</v>
      </c>
      <c r="K2905" t="str">
        <f t="shared" si="97"/>
        <v>Sheri Brabec</v>
      </c>
    </row>
    <row r="2906" spans="1:11" hidden="1" x14ac:dyDescent="0.35">
      <c r="A2906">
        <f t="shared" si="96"/>
        <v>2905</v>
      </c>
      <c r="B2906">
        <v>2018</v>
      </c>
      <c r="C2906" t="s">
        <v>263</v>
      </c>
      <c r="D2906" t="s">
        <v>45</v>
      </c>
      <c r="E2906" t="s">
        <v>1429</v>
      </c>
      <c r="F2906" s="2">
        <v>150</v>
      </c>
      <c r="G2906" s="2">
        <v>17</v>
      </c>
      <c r="H2906" t="s">
        <v>100</v>
      </c>
      <c r="I2906" t="s">
        <v>52</v>
      </c>
      <c r="J2906" s="11">
        <v>876.76104826959443</v>
      </c>
      <c r="K2906" t="str">
        <f t="shared" si="97"/>
        <v>Steven Eisenstein</v>
      </c>
    </row>
    <row r="2907" spans="1:11" hidden="1" x14ac:dyDescent="0.35">
      <c r="A2907">
        <f t="shared" si="96"/>
        <v>2906</v>
      </c>
      <c r="B2907">
        <v>2018</v>
      </c>
      <c r="C2907" t="s">
        <v>263</v>
      </c>
      <c r="D2907" t="s">
        <v>45</v>
      </c>
      <c r="E2907" t="s">
        <v>1429</v>
      </c>
      <c r="F2907" s="2">
        <v>150</v>
      </c>
      <c r="G2907" s="2">
        <v>18</v>
      </c>
      <c r="H2907" t="s">
        <v>226</v>
      </c>
      <c r="I2907" t="s">
        <v>227</v>
      </c>
      <c r="J2907" s="11">
        <v>851.93746454456232</v>
      </c>
      <c r="K2907" t="str">
        <f t="shared" si="97"/>
        <v>Patti Beadles</v>
      </c>
    </row>
    <row r="2908" spans="1:11" hidden="1" x14ac:dyDescent="0.35">
      <c r="A2908">
        <f t="shared" si="96"/>
        <v>2907</v>
      </c>
      <c r="B2908">
        <v>2018</v>
      </c>
      <c r="C2908" t="s">
        <v>263</v>
      </c>
      <c r="D2908" t="s">
        <v>2423</v>
      </c>
      <c r="E2908" t="s">
        <v>1429</v>
      </c>
      <c r="F2908" s="2">
        <v>1100</v>
      </c>
      <c r="G2908" s="2">
        <v>1</v>
      </c>
      <c r="H2908" t="s">
        <v>86</v>
      </c>
      <c r="I2908" t="s">
        <v>271</v>
      </c>
      <c r="J2908" s="11">
        <v>1698.9700043360187</v>
      </c>
      <c r="K2908" s="10" t="str">
        <f t="shared" si="97"/>
        <v>Dan Goldman</v>
      </c>
    </row>
    <row r="2909" spans="1:11" hidden="1" x14ac:dyDescent="0.35">
      <c r="A2909">
        <f t="shared" si="96"/>
        <v>2908</v>
      </c>
      <c r="B2909">
        <v>2018</v>
      </c>
      <c r="C2909" t="s">
        <v>263</v>
      </c>
      <c r="D2909" t="s">
        <v>2423</v>
      </c>
      <c r="E2909" t="s">
        <v>1429</v>
      </c>
      <c r="F2909" s="2">
        <v>915</v>
      </c>
      <c r="G2909" s="2">
        <v>2</v>
      </c>
      <c r="H2909" t="s">
        <v>527</v>
      </c>
      <c r="I2909" t="s">
        <v>11</v>
      </c>
      <c r="J2909" s="11">
        <v>1397.9400086720375</v>
      </c>
      <c r="K2909" s="10" t="str">
        <f t="shared" si="97"/>
        <v>Paul Stine</v>
      </c>
    </row>
    <row r="2910" spans="1:11" hidden="1" x14ac:dyDescent="0.35">
      <c r="A2910">
        <f t="shared" ref="A2910:A2973" si="98">A2909+1</f>
        <v>2909</v>
      </c>
      <c r="B2910">
        <v>2018</v>
      </c>
      <c r="C2910" t="s">
        <v>263</v>
      </c>
      <c r="D2910" t="s">
        <v>2423</v>
      </c>
      <c r="E2910" t="s">
        <v>1429</v>
      </c>
      <c r="F2910" s="2">
        <v>695</v>
      </c>
      <c r="G2910" s="2">
        <v>3</v>
      </c>
      <c r="H2910" t="s">
        <v>285</v>
      </c>
      <c r="I2910" t="s">
        <v>119</v>
      </c>
      <c r="J2910" s="11">
        <v>1221.8487496163564</v>
      </c>
      <c r="K2910" s="10" t="str">
        <f t="shared" si="97"/>
        <v>Peter Secor</v>
      </c>
    </row>
    <row r="2911" spans="1:11" hidden="1" x14ac:dyDescent="0.35">
      <c r="A2911">
        <f t="shared" si="98"/>
        <v>2910</v>
      </c>
      <c r="B2911">
        <v>2018</v>
      </c>
      <c r="C2911" t="s">
        <v>263</v>
      </c>
      <c r="D2911" t="s">
        <v>2423</v>
      </c>
      <c r="E2911" t="s">
        <v>1429</v>
      </c>
      <c r="F2911" s="2">
        <v>565</v>
      </c>
      <c r="G2911" s="2">
        <v>4</v>
      </c>
      <c r="H2911" t="s">
        <v>2424</v>
      </c>
      <c r="I2911" t="s">
        <v>2425</v>
      </c>
      <c r="J2911" s="11">
        <v>1096.9100130080562</v>
      </c>
      <c r="K2911" s="10" t="str">
        <f t="shared" si="97"/>
        <v>Jensen Teng</v>
      </c>
    </row>
    <row r="2912" spans="1:11" hidden="1" x14ac:dyDescent="0.35">
      <c r="A2912">
        <f t="shared" si="98"/>
        <v>2911</v>
      </c>
      <c r="B2912">
        <v>2018</v>
      </c>
      <c r="C2912" t="s">
        <v>263</v>
      </c>
      <c r="D2912" t="s">
        <v>2423</v>
      </c>
      <c r="E2912" t="s">
        <v>1429</v>
      </c>
      <c r="F2912" s="2">
        <v>435</v>
      </c>
      <c r="G2912" s="2">
        <v>5</v>
      </c>
      <c r="H2912" t="s">
        <v>86</v>
      </c>
      <c r="I2912" t="s">
        <v>510</v>
      </c>
      <c r="J2912" s="11">
        <v>999.99999999999989</v>
      </c>
      <c r="K2912" s="10" t="str">
        <f t="shared" si="97"/>
        <v>Sharon Goldman</v>
      </c>
    </row>
    <row r="2913" spans="1:11" hidden="1" x14ac:dyDescent="0.35">
      <c r="A2913">
        <f t="shared" si="98"/>
        <v>2912</v>
      </c>
      <c r="B2913">
        <v>2018</v>
      </c>
      <c r="C2913" t="s">
        <v>263</v>
      </c>
      <c r="D2913" t="s">
        <v>2423</v>
      </c>
      <c r="E2913" t="s">
        <v>1429</v>
      </c>
      <c r="F2913" s="2">
        <v>305</v>
      </c>
      <c r="G2913" s="2">
        <v>6</v>
      </c>
      <c r="H2913" t="s">
        <v>37</v>
      </c>
      <c r="I2913" t="s">
        <v>38</v>
      </c>
      <c r="J2913" s="11">
        <v>920.81875395237512</v>
      </c>
      <c r="K2913" s="10" t="str">
        <f t="shared" si="97"/>
        <v>Doug Grismore</v>
      </c>
    </row>
    <row r="2914" spans="1:11" hidden="1" x14ac:dyDescent="0.35">
      <c r="A2914">
        <f t="shared" si="98"/>
        <v>2913</v>
      </c>
      <c r="B2914">
        <v>2018</v>
      </c>
      <c r="C2914" t="s">
        <v>263</v>
      </c>
      <c r="D2914" t="s">
        <v>2423</v>
      </c>
      <c r="E2914" t="s">
        <v>1429</v>
      </c>
      <c r="F2914" s="2">
        <v>220</v>
      </c>
      <c r="G2914" s="2">
        <v>7</v>
      </c>
      <c r="H2914" t="s">
        <v>1505</v>
      </c>
      <c r="I2914" t="s">
        <v>52</v>
      </c>
      <c r="J2914" s="11">
        <v>853.87196432176188</v>
      </c>
      <c r="K2914" s="10" t="str">
        <f t="shared" si="97"/>
        <v>Steven Markowitz</v>
      </c>
    </row>
    <row r="2915" spans="1:11" hidden="1" x14ac:dyDescent="0.35">
      <c r="A2915">
        <f t="shared" si="98"/>
        <v>2914</v>
      </c>
      <c r="B2915">
        <v>2018</v>
      </c>
      <c r="C2915" t="s">
        <v>263</v>
      </c>
      <c r="D2915" t="s">
        <v>2423</v>
      </c>
      <c r="E2915" t="s">
        <v>1429</v>
      </c>
      <c r="F2915" s="2">
        <v>115</v>
      </c>
      <c r="G2915" s="2">
        <v>8</v>
      </c>
      <c r="H2915" t="s">
        <v>21</v>
      </c>
      <c r="I2915" t="s">
        <v>463</v>
      </c>
      <c r="J2915" s="11">
        <v>795.88001734407521</v>
      </c>
      <c r="K2915" t="str">
        <f t="shared" si="97"/>
        <v>Richard Bremer</v>
      </c>
    </row>
    <row r="2916" spans="1:11" hidden="1" x14ac:dyDescent="0.35">
      <c r="A2916">
        <f t="shared" si="98"/>
        <v>2915</v>
      </c>
      <c r="B2916">
        <v>2018</v>
      </c>
      <c r="C2916" t="s">
        <v>263</v>
      </c>
      <c r="D2916" t="s">
        <v>2431</v>
      </c>
      <c r="E2916" t="s">
        <v>1430</v>
      </c>
      <c r="F2916" s="2">
        <v>365</v>
      </c>
      <c r="G2916" s="2">
        <v>1</v>
      </c>
      <c r="H2916" t="s">
        <v>2512</v>
      </c>
      <c r="I2916" t="s">
        <v>659</v>
      </c>
      <c r="J2916" s="11">
        <v>1204.1199826559248</v>
      </c>
      <c r="K2916" t="str">
        <f t="shared" si="97"/>
        <v>Tanya Peck-Devenport</v>
      </c>
    </row>
    <row r="2917" spans="1:11" hidden="1" x14ac:dyDescent="0.35">
      <c r="A2917">
        <f t="shared" si="98"/>
        <v>2916</v>
      </c>
      <c r="B2917">
        <v>2018</v>
      </c>
      <c r="C2917" t="s">
        <v>263</v>
      </c>
      <c r="D2917" t="s">
        <v>2431</v>
      </c>
      <c r="E2917" t="s">
        <v>1430</v>
      </c>
      <c r="F2917" s="2">
        <v>230</v>
      </c>
      <c r="G2917" s="2">
        <v>2</v>
      </c>
      <c r="H2917" t="s">
        <v>204</v>
      </c>
      <c r="I2917" t="s">
        <v>205</v>
      </c>
      <c r="J2917" s="11">
        <v>903.08998699194353</v>
      </c>
      <c r="K2917" s="10" t="str">
        <f t="shared" si="97"/>
        <v>Ron Grossberg</v>
      </c>
    </row>
    <row r="2918" spans="1:11" hidden="1" x14ac:dyDescent="0.35">
      <c r="A2918">
        <f t="shared" si="98"/>
        <v>2917</v>
      </c>
      <c r="B2918">
        <v>2018</v>
      </c>
      <c r="C2918" t="s">
        <v>263</v>
      </c>
      <c r="D2918" t="s">
        <v>2431</v>
      </c>
      <c r="E2918" t="s">
        <v>1430</v>
      </c>
      <c r="F2918" s="2">
        <v>160</v>
      </c>
      <c r="G2918" s="2">
        <v>3</v>
      </c>
      <c r="H2918" t="s">
        <v>2398</v>
      </c>
      <c r="I2918" t="s">
        <v>1955</v>
      </c>
      <c r="J2918" s="11">
        <v>726.99872793626241</v>
      </c>
      <c r="K2918" s="10" t="str">
        <f t="shared" si="97"/>
        <v>Nancy Robertson</v>
      </c>
    </row>
    <row r="2919" spans="1:11" hidden="1" x14ac:dyDescent="0.35">
      <c r="A2919">
        <f t="shared" si="98"/>
        <v>2918</v>
      </c>
      <c r="B2919">
        <v>2018</v>
      </c>
      <c r="C2919" t="s">
        <v>263</v>
      </c>
      <c r="D2919" t="s">
        <v>2431</v>
      </c>
      <c r="E2919" t="s">
        <v>1430</v>
      </c>
      <c r="F2919" s="2">
        <v>125</v>
      </c>
      <c r="G2919" s="2">
        <v>4</v>
      </c>
      <c r="H2919" t="s">
        <v>287</v>
      </c>
      <c r="I2919" t="s">
        <v>125</v>
      </c>
      <c r="J2919" s="11">
        <v>602.05999132796239</v>
      </c>
      <c r="K2919" s="10" t="str">
        <f t="shared" si="97"/>
        <v>Ronald Nutt</v>
      </c>
    </row>
    <row r="2920" spans="1:11" hidden="1" x14ac:dyDescent="0.35">
      <c r="A2920">
        <f t="shared" si="98"/>
        <v>2919</v>
      </c>
      <c r="B2920">
        <v>2018</v>
      </c>
      <c r="C2920" t="s">
        <v>263</v>
      </c>
      <c r="D2920" t="s">
        <v>133</v>
      </c>
      <c r="E2920" t="s">
        <v>133</v>
      </c>
      <c r="F2920" s="2">
        <v>1664</v>
      </c>
      <c r="G2920" s="2">
        <v>1</v>
      </c>
      <c r="H2920" t="s">
        <v>461</v>
      </c>
      <c r="I2920" t="s">
        <v>1448</v>
      </c>
      <c r="J2920" s="11">
        <v>1857.3324964312685</v>
      </c>
      <c r="K2920" s="10" t="str">
        <f t="shared" si="97"/>
        <v>Christian Jones</v>
      </c>
    </row>
    <row r="2921" spans="1:11" hidden="1" x14ac:dyDescent="0.35">
      <c r="A2921">
        <f t="shared" si="98"/>
        <v>2920</v>
      </c>
      <c r="B2921">
        <v>2018</v>
      </c>
      <c r="C2921" t="s">
        <v>263</v>
      </c>
      <c r="D2921" t="s">
        <v>133</v>
      </c>
      <c r="E2921" t="s">
        <v>133</v>
      </c>
      <c r="F2921" s="2">
        <v>1230</v>
      </c>
      <c r="G2921" s="2">
        <v>2</v>
      </c>
      <c r="H2921" t="s">
        <v>1458</v>
      </c>
      <c r="I2921" t="s">
        <v>67</v>
      </c>
      <c r="J2921" s="11">
        <v>1556.3025007672873</v>
      </c>
      <c r="K2921" s="10" t="str">
        <f t="shared" si="97"/>
        <v>Bob Gilbert</v>
      </c>
    </row>
    <row r="2922" spans="1:11" hidden="1" x14ac:dyDescent="0.35">
      <c r="A2922">
        <f t="shared" si="98"/>
        <v>2921</v>
      </c>
      <c r="B2922">
        <v>2018</v>
      </c>
      <c r="C2922" t="s">
        <v>263</v>
      </c>
      <c r="D2922" t="s">
        <v>133</v>
      </c>
      <c r="E2922" t="s">
        <v>133</v>
      </c>
      <c r="F2922" s="2">
        <v>920</v>
      </c>
      <c r="G2922" s="2">
        <v>3</v>
      </c>
      <c r="H2922" t="s">
        <v>64</v>
      </c>
      <c r="I2922" t="s">
        <v>65</v>
      </c>
      <c r="J2922" s="11">
        <v>1380.2112417116061</v>
      </c>
      <c r="K2922" t="str">
        <f t="shared" si="97"/>
        <v>Steve Daniel</v>
      </c>
    </row>
    <row r="2923" spans="1:11" hidden="1" x14ac:dyDescent="0.35">
      <c r="A2923">
        <f t="shared" si="98"/>
        <v>2922</v>
      </c>
      <c r="B2923">
        <v>2018</v>
      </c>
      <c r="C2923" t="s">
        <v>263</v>
      </c>
      <c r="D2923" t="s">
        <v>133</v>
      </c>
      <c r="E2923" t="s">
        <v>133</v>
      </c>
      <c r="F2923" s="2">
        <v>735</v>
      </c>
      <c r="G2923" s="2">
        <v>4</v>
      </c>
      <c r="H2923" t="s">
        <v>351</v>
      </c>
      <c r="I2923" t="s">
        <v>153</v>
      </c>
      <c r="J2923" s="11">
        <v>1255.272505103306</v>
      </c>
      <c r="K2923" s="10" t="str">
        <f t="shared" si="97"/>
        <v>Stephen Lewin-Berlin</v>
      </c>
    </row>
    <row r="2924" spans="1:11" hidden="1" x14ac:dyDescent="0.35">
      <c r="A2924">
        <f t="shared" si="98"/>
        <v>2923</v>
      </c>
      <c r="B2924">
        <v>2018</v>
      </c>
      <c r="C2924" t="s">
        <v>263</v>
      </c>
      <c r="D2924" t="s">
        <v>133</v>
      </c>
      <c r="E2924" t="s">
        <v>133</v>
      </c>
      <c r="F2924" s="2">
        <v>615</v>
      </c>
      <c r="G2924" s="2">
        <v>5</v>
      </c>
      <c r="H2924" t="s">
        <v>1504</v>
      </c>
      <c r="I2924" t="s">
        <v>85</v>
      </c>
      <c r="J2924" s="11">
        <v>1158.3624920952498</v>
      </c>
      <c r="K2924" s="10" t="str">
        <f t="shared" si="97"/>
        <v>Patrick Milligan</v>
      </c>
    </row>
    <row r="2925" spans="1:11" hidden="1" x14ac:dyDescent="0.35">
      <c r="A2925">
        <f t="shared" si="98"/>
        <v>2924</v>
      </c>
      <c r="B2925">
        <v>2018</v>
      </c>
      <c r="C2925" t="s">
        <v>263</v>
      </c>
      <c r="D2925" t="s">
        <v>133</v>
      </c>
      <c r="E2925" t="s">
        <v>133</v>
      </c>
      <c r="F2925" s="2">
        <v>430</v>
      </c>
      <c r="G2925" s="2">
        <v>6</v>
      </c>
      <c r="H2925" t="s">
        <v>21</v>
      </c>
      <c r="I2925" t="s">
        <v>463</v>
      </c>
      <c r="J2925" s="11">
        <v>1079.1812460476249</v>
      </c>
      <c r="K2925" t="str">
        <f t="shared" si="97"/>
        <v>Richard Bremer</v>
      </c>
    </row>
    <row r="2926" spans="1:11" hidden="1" x14ac:dyDescent="0.35">
      <c r="A2926">
        <f t="shared" si="98"/>
        <v>2925</v>
      </c>
      <c r="B2926">
        <v>2018</v>
      </c>
      <c r="C2926" t="s">
        <v>263</v>
      </c>
      <c r="D2926" t="s">
        <v>133</v>
      </c>
      <c r="E2926" t="s">
        <v>133</v>
      </c>
      <c r="F2926" s="2">
        <v>305</v>
      </c>
      <c r="G2926" s="2">
        <v>7</v>
      </c>
      <c r="H2926" t="s">
        <v>35</v>
      </c>
      <c r="I2926" t="s">
        <v>36</v>
      </c>
      <c r="J2926" s="11">
        <v>1012.2344564170116</v>
      </c>
      <c r="K2926" s="10" t="str">
        <f t="shared" si="97"/>
        <v>Nolan Dalla</v>
      </c>
    </row>
    <row r="2927" spans="1:11" hidden="1" x14ac:dyDescent="0.35">
      <c r="A2927">
        <f t="shared" si="98"/>
        <v>2926</v>
      </c>
      <c r="B2927">
        <v>2018</v>
      </c>
      <c r="C2927" t="s">
        <v>263</v>
      </c>
      <c r="D2927" t="s">
        <v>133</v>
      </c>
      <c r="E2927" t="s">
        <v>133</v>
      </c>
      <c r="F2927" s="2">
        <v>245</v>
      </c>
      <c r="G2927" s="2">
        <v>8</v>
      </c>
      <c r="H2927" t="s">
        <v>19</v>
      </c>
      <c r="I2927" t="s">
        <v>20</v>
      </c>
      <c r="J2927" s="11">
        <v>954.24250943932498</v>
      </c>
      <c r="K2927" s="10" t="str">
        <f t="shared" si="97"/>
        <v>Barry Kornspan</v>
      </c>
    </row>
    <row r="2928" spans="1:11" hidden="1" x14ac:dyDescent="0.35">
      <c r="A2928">
        <f t="shared" si="98"/>
        <v>2927</v>
      </c>
      <c r="B2928">
        <v>2018</v>
      </c>
      <c r="C2928" t="s">
        <v>263</v>
      </c>
      <c r="D2928" t="s">
        <v>133</v>
      </c>
      <c r="E2928" t="s">
        <v>133</v>
      </c>
      <c r="F2928" s="2">
        <v>120</v>
      </c>
      <c r="G2928" s="2">
        <v>9</v>
      </c>
      <c r="H2928" t="s">
        <v>231</v>
      </c>
      <c r="I2928" t="s">
        <v>232</v>
      </c>
      <c r="J2928" s="11">
        <v>903.08998699194365</v>
      </c>
      <c r="K2928" s="10" t="str">
        <f t="shared" si="97"/>
        <v>Adam Bachrach</v>
      </c>
    </row>
    <row r="2929" spans="1:11" hidden="1" x14ac:dyDescent="0.35">
      <c r="A2929">
        <f t="shared" si="98"/>
        <v>2928</v>
      </c>
      <c r="B2929">
        <v>2018</v>
      </c>
      <c r="C2929" t="s">
        <v>263</v>
      </c>
      <c r="D2929" t="s">
        <v>110</v>
      </c>
      <c r="E2929" t="s">
        <v>1430</v>
      </c>
      <c r="F2929" s="2">
        <v>2550</v>
      </c>
      <c r="G2929" s="2">
        <v>1</v>
      </c>
      <c r="H2929" t="s">
        <v>285</v>
      </c>
      <c r="I2929" t="s">
        <v>119</v>
      </c>
      <c r="J2929" s="11">
        <v>2025.3058652647703</v>
      </c>
      <c r="K2929" s="10" t="str">
        <f t="shared" si="97"/>
        <v>Peter Secor</v>
      </c>
    </row>
    <row r="2930" spans="1:11" hidden="1" x14ac:dyDescent="0.35">
      <c r="A2930">
        <f t="shared" si="98"/>
        <v>2929</v>
      </c>
      <c r="B2930">
        <v>2018</v>
      </c>
      <c r="C2930" t="s">
        <v>263</v>
      </c>
      <c r="D2930" t="s">
        <v>110</v>
      </c>
      <c r="E2930" t="s">
        <v>1430</v>
      </c>
      <c r="F2930" s="2">
        <v>2112</v>
      </c>
      <c r="G2930" s="2">
        <v>2</v>
      </c>
      <c r="H2930" t="s">
        <v>390</v>
      </c>
      <c r="I2930" t="s">
        <v>391</v>
      </c>
      <c r="J2930" s="11">
        <v>1724.2758696007891</v>
      </c>
      <c r="K2930" s="10" t="str">
        <f t="shared" si="97"/>
        <v>Josh Paley</v>
      </c>
    </row>
    <row r="2931" spans="1:11" hidden="1" x14ac:dyDescent="0.35">
      <c r="A2931">
        <f t="shared" si="98"/>
        <v>2930</v>
      </c>
      <c r="B2931">
        <v>2018</v>
      </c>
      <c r="C2931" t="s">
        <v>263</v>
      </c>
      <c r="D2931" t="s">
        <v>110</v>
      </c>
      <c r="E2931" t="s">
        <v>1430</v>
      </c>
      <c r="F2931" s="2">
        <v>1470</v>
      </c>
      <c r="G2931" s="2">
        <v>3</v>
      </c>
      <c r="H2931" t="s">
        <v>366</v>
      </c>
      <c r="I2931" t="s">
        <v>61</v>
      </c>
      <c r="J2931" s="11">
        <v>1548.1846105451079</v>
      </c>
      <c r="K2931" s="10" t="str">
        <f t="shared" si="97"/>
        <v>Len Greenberg</v>
      </c>
    </row>
    <row r="2932" spans="1:11" hidden="1" x14ac:dyDescent="0.35">
      <c r="A2932">
        <f t="shared" si="98"/>
        <v>2931</v>
      </c>
      <c r="B2932">
        <v>2018</v>
      </c>
      <c r="C2932" t="s">
        <v>263</v>
      </c>
      <c r="D2932" t="s">
        <v>110</v>
      </c>
      <c r="E2932" t="s">
        <v>1430</v>
      </c>
      <c r="F2932" s="2">
        <v>1190</v>
      </c>
      <c r="G2932" s="2">
        <v>4</v>
      </c>
      <c r="H2932" t="s">
        <v>14</v>
      </c>
      <c r="I2932" t="s">
        <v>11</v>
      </c>
      <c r="J2932" s="11">
        <v>1423.2458739368078</v>
      </c>
      <c r="K2932" s="10" t="str">
        <f t="shared" si="97"/>
        <v>Paul McMullin</v>
      </c>
    </row>
    <row r="2933" spans="1:11" hidden="1" x14ac:dyDescent="0.35">
      <c r="A2933">
        <f t="shared" si="98"/>
        <v>2932</v>
      </c>
      <c r="B2933">
        <v>2018</v>
      </c>
      <c r="C2933" t="s">
        <v>263</v>
      </c>
      <c r="D2933" t="s">
        <v>110</v>
      </c>
      <c r="E2933" t="s">
        <v>1430</v>
      </c>
      <c r="F2933" s="2">
        <v>975</v>
      </c>
      <c r="G2933" s="2">
        <v>5</v>
      </c>
      <c r="H2933" t="s">
        <v>277</v>
      </c>
      <c r="I2933" t="s">
        <v>16</v>
      </c>
      <c r="J2933" s="11">
        <v>1326.3358609287516</v>
      </c>
      <c r="K2933" s="10" t="str">
        <f t="shared" si="97"/>
        <v>David Lawful</v>
      </c>
    </row>
    <row r="2934" spans="1:11" hidden="1" x14ac:dyDescent="0.35">
      <c r="A2934">
        <f t="shared" si="98"/>
        <v>2933</v>
      </c>
      <c r="B2934">
        <v>2018</v>
      </c>
      <c r="C2934" t="s">
        <v>263</v>
      </c>
      <c r="D2934" t="s">
        <v>110</v>
      </c>
      <c r="E2934" t="s">
        <v>1430</v>
      </c>
      <c r="F2934" s="2">
        <v>755</v>
      </c>
      <c r="G2934" s="2">
        <v>6</v>
      </c>
      <c r="H2934" t="s">
        <v>306</v>
      </c>
      <c r="I2934" t="s">
        <v>694</v>
      </c>
      <c r="J2934" s="11">
        <v>1247.1546148811267</v>
      </c>
      <c r="K2934" t="str">
        <f t="shared" si="97"/>
        <v>J P Massar</v>
      </c>
    </row>
    <row r="2935" spans="1:11" hidden="1" x14ac:dyDescent="0.35">
      <c r="A2935">
        <f t="shared" si="98"/>
        <v>2934</v>
      </c>
      <c r="B2935">
        <v>2018</v>
      </c>
      <c r="C2935" t="s">
        <v>263</v>
      </c>
      <c r="D2935" t="s">
        <v>110</v>
      </c>
      <c r="E2935" t="s">
        <v>1430</v>
      </c>
      <c r="F2935" s="2">
        <v>540</v>
      </c>
      <c r="G2935" s="2">
        <v>7</v>
      </c>
      <c r="H2935" t="s">
        <v>299</v>
      </c>
      <c r="I2935" t="s">
        <v>300</v>
      </c>
      <c r="J2935" s="11">
        <v>1180.2078252505135</v>
      </c>
      <c r="K2935" t="str">
        <f t="shared" si="97"/>
        <v>Gillian Groves</v>
      </c>
    </row>
    <row r="2936" spans="1:11" hidden="1" x14ac:dyDescent="0.35">
      <c r="A2936">
        <f t="shared" si="98"/>
        <v>2935</v>
      </c>
      <c r="B2936">
        <v>2018</v>
      </c>
      <c r="C2936" t="s">
        <v>263</v>
      </c>
      <c r="D2936" t="s">
        <v>110</v>
      </c>
      <c r="E2936" t="s">
        <v>1430</v>
      </c>
      <c r="F2936" s="2">
        <v>325</v>
      </c>
      <c r="G2936" s="2">
        <v>8</v>
      </c>
      <c r="H2936" t="s">
        <v>525</v>
      </c>
      <c r="I2936" t="s">
        <v>2320</v>
      </c>
      <c r="J2936" s="11">
        <v>1122.2158782728268</v>
      </c>
      <c r="K2936" t="str">
        <f t="shared" si="97"/>
        <v>Jared Anderson</v>
      </c>
    </row>
    <row r="2937" spans="1:11" hidden="1" x14ac:dyDescent="0.35">
      <c r="A2937">
        <f t="shared" si="98"/>
        <v>2936</v>
      </c>
      <c r="B2937">
        <v>2018</v>
      </c>
      <c r="C2937" t="s">
        <v>263</v>
      </c>
      <c r="D2937" t="s">
        <v>110</v>
      </c>
      <c r="E2937" t="s">
        <v>1430</v>
      </c>
      <c r="F2937" s="2">
        <v>215</v>
      </c>
      <c r="G2937" s="2">
        <v>9</v>
      </c>
      <c r="H2937" t="s">
        <v>711</v>
      </c>
      <c r="I2937" t="s">
        <v>85</v>
      </c>
      <c r="J2937" s="11">
        <v>1071.0633558254456</v>
      </c>
      <c r="K2937" t="str">
        <f t="shared" si="97"/>
        <v>Patrick Kirwan</v>
      </c>
    </row>
    <row r="2938" spans="1:11" hidden="1" x14ac:dyDescent="0.35">
      <c r="A2938">
        <f t="shared" si="98"/>
        <v>2937</v>
      </c>
      <c r="B2938">
        <v>2018</v>
      </c>
      <c r="C2938" t="s">
        <v>263</v>
      </c>
      <c r="D2938" t="s">
        <v>110</v>
      </c>
      <c r="E2938" t="s">
        <v>1430</v>
      </c>
      <c r="F2938" s="2">
        <v>215</v>
      </c>
      <c r="G2938" s="2">
        <v>10</v>
      </c>
      <c r="H2938" t="s">
        <v>304</v>
      </c>
      <c r="I2938" t="s">
        <v>1003</v>
      </c>
      <c r="J2938" s="11">
        <v>1025.3058652647703</v>
      </c>
      <c r="K2938" t="str">
        <f t="shared" si="97"/>
        <v>Jan Pierce</v>
      </c>
    </row>
    <row r="2939" spans="1:11" hidden="1" x14ac:dyDescent="0.35">
      <c r="A2939">
        <f t="shared" si="98"/>
        <v>2938</v>
      </c>
      <c r="B2939">
        <v>2018</v>
      </c>
      <c r="C2939" t="s">
        <v>263</v>
      </c>
      <c r="D2939" t="s">
        <v>110</v>
      </c>
      <c r="E2939" t="s">
        <v>1430</v>
      </c>
      <c r="F2939" s="2">
        <v>160</v>
      </c>
      <c r="G2939" s="2">
        <v>11</v>
      </c>
      <c r="H2939" t="s">
        <v>965</v>
      </c>
      <c r="I2939" t="s">
        <v>44</v>
      </c>
      <c r="J2939" s="11">
        <v>983.91318010654527</v>
      </c>
      <c r="K2939" t="str">
        <f t="shared" si="97"/>
        <v>Mike McBride</v>
      </c>
    </row>
    <row r="2940" spans="1:11" hidden="1" x14ac:dyDescent="0.35">
      <c r="A2940">
        <f t="shared" si="98"/>
        <v>2939</v>
      </c>
      <c r="B2940">
        <v>2018</v>
      </c>
      <c r="C2940" t="s">
        <v>263</v>
      </c>
      <c r="D2940" t="s">
        <v>110</v>
      </c>
      <c r="E2940" t="s">
        <v>1430</v>
      </c>
      <c r="F2940" s="2">
        <v>160</v>
      </c>
      <c r="G2940" s="2">
        <v>12</v>
      </c>
      <c r="H2940" t="s">
        <v>48</v>
      </c>
      <c r="I2940" t="s">
        <v>49</v>
      </c>
      <c r="J2940" s="11">
        <v>946.12461921714555</v>
      </c>
      <c r="K2940" t="str">
        <f t="shared" si="97"/>
        <v>Regis Donovan</v>
      </c>
    </row>
    <row r="2941" spans="1:11" hidden="1" x14ac:dyDescent="0.35">
      <c r="A2941">
        <f t="shared" si="98"/>
        <v>2940</v>
      </c>
      <c r="B2941">
        <v>2018</v>
      </c>
      <c r="C2941" t="s">
        <v>263</v>
      </c>
      <c r="D2941" t="s">
        <v>110</v>
      </c>
      <c r="E2941" t="s">
        <v>1430</v>
      </c>
      <c r="F2941" s="2">
        <v>135</v>
      </c>
      <c r="G2941" s="2">
        <v>13</v>
      </c>
      <c r="H2941" t="s">
        <v>531</v>
      </c>
      <c r="I2941" t="s">
        <v>271</v>
      </c>
      <c r="J2941" s="11">
        <v>911.36251295793375</v>
      </c>
      <c r="K2941" t="str">
        <f t="shared" si="97"/>
        <v>Dan Nussbaum</v>
      </c>
    </row>
    <row r="2942" spans="1:11" hidden="1" x14ac:dyDescent="0.35">
      <c r="A2942">
        <f t="shared" si="98"/>
        <v>2941</v>
      </c>
      <c r="B2942">
        <v>2018</v>
      </c>
      <c r="C2942" t="s">
        <v>68</v>
      </c>
      <c r="D2942" t="s">
        <v>91</v>
      </c>
      <c r="E2942" t="s">
        <v>509</v>
      </c>
      <c r="F2942" s="2">
        <v>955</v>
      </c>
      <c r="G2942" s="2">
        <v>1</v>
      </c>
      <c r="H2942" t="s">
        <v>64</v>
      </c>
      <c r="I2942" t="s">
        <v>65</v>
      </c>
      <c r="J2942" s="11">
        <v>1643.4526764861873</v>
      </c>
      <c r="K2942" t="str">
        <f t="shared" si="97"/>
        <v>Steve Daniel</v>
      </c>
    </row>
    <row r="2943" spans="1:11" hidden="1" x14ac:dyDescent="0.35">
      <c r="A2943">
        <f t="shared" si="98"/>
        <v>2942</v>
      </c>
      <c r="B2943">
        <v>2018</v>
      </c>
      <c r="C2943" t="s">
        <v>68</v>
      </c>
      <c r="D2943" t="s">
        <v>91</v>
      </c>
      <c r="E2943" t="s">
        <v>509</v>
      </c>
      <c r="F2943" s="2">
        <v>675</v>
      </c>
      <c r="G2943" s="2">
        <v>2</v>
      </c>
      <c r="H2943" t="s">
        <v>285</v>
      </c>
      <c r="I2943" t="s">
        <v>119</v>
      </c>
      <c r="J2943" s="11">
        <v>1342.4226808222061</v>
      </c>
      <c r="K2943" s="10" t="str">
        <f t="shared" si="97"/>
        <v>Peter Secor</v>
      </c>
    </row>
    <row r="2944" spans="1:11" hidden="1" x14ac:dyDescent="0.35">
      <c r="A2944">
        <f t="shared" si="98"/>
        <v>2943</v>
      </c>
      <c r="B2944">
        <v>2018</v>
      </c>
      <c r="C2944" t="s">
        <v>68</v>
      </c>
      <c r="D2944" t="s">
        <v>91</v>
      </c>
      <c r="E2944" t="s">
        <v>509</v>
      </c>
      <c r="F2944" s="2">
        <v>525</v>
      </c>
      <c r="G2944" s="2">
        <v>3</v>
      </c>
      <c r="H2944" t="s">
        <v>88</v>
      </c>
      <c r="I2944" t="s">
        <v>89</v>
      </c>
      <c r="J2944" s="11">
        <v>1166.331421766525</v>
      </c>
      <c r="K2944" s="10" t="str">
        <f t="shared" si="97"/>
        <v>Ken Kubey</v>
      </c>
    </row>
    <row r="2945" spans="1:11" hidden="1" x14ac:dyDescent="0.35">
      <c r="A2945">
        <f t="shared" si="98"/>
        <v>2944</v>
      </c>
      <c r="B2945">
        <v>2018</v>
      </c>
      <c r="C2945" t="s">
        <v>68</v>
      </c>
      <c r="D2945" t="s">
        <v>91</v>
      </c>
      <c r="E2945" t="s">
        <v>509</v>
      </c>
      <c r="F2945" s="2">
        <v>400</v>
      </c>
      <c r="G2945" s="2">
        <v>4</v>
      </c>
      <c r="H2945" t="s">
        <v>2323</v>
      </c>
      <c r="I2945" t="s">
        <v>2383</v>
      </c>
      <c r="J2945" s="11">
        <v>1041.3926851582248</v>
      </c>
      <c r="K2945" s="10" t="str">
        <f t="shared" si="97"/>
        <v>Lynsy Higgs-Iwamoto</v>
      </c>
    </row>
    <row r="2946" spans="1:11" hidden="1" x14ac:dyDescent="0.35">
      <c r="A2946">
        <f t="shared" si="98"/>
        <v>2945</v>
      </c>
      <c r="B2946">
        <v>2018</v>
      </c>
      <c r="C2946" t="s">
        <v>68</v>
      </c>
      <c r="D2946" t="s">
        <v>91</v>
      </c>
      <c r="E2946" t="s">
        <v>509</v>
      </c>
      <c r="F2946" s="2">
        <v>310</v>
      </c>
      <c r="G2946" s="2">
        <v>5</v>
      </c>
      <c r="H2946" t="s">
        <v>294</v>
      </c>
      <c r="I2946" t="s">
        <v>16</v>
      </c>
      <c r="J2946" s="11">
        <v>944.48267215016858</v>
      </c>
      <c r="K2946" s="10" t="str">
        <f t="shared" ref="K2946:K3009" si="99">I2946&amp;" "&amp;H2946</f>
        <v>David Low</v>
      </c>
    </row>
    <row r="2947" spans="1:11" hidden="1" x14ac:dyDescent="0.35">
      <c r="A2947">
        <f t="shared" si="98"/>
        <v>2946</v>
      </c>
      <c r="B2947">
        <v>2018</v>
      </c>
      <c r="C2947" t="s">
        <v>68</v>
      </c>
      <c r="D2947" t="s">
        <v>91</v>
      </c>
      <c r="E2947" t="s">
        <v>509</v>
      </c>
      <c r="F2947" s="2">
        <v>215</v>
      </c>
      <c r="G2947" s="2">
        <v>6</v>
      </c>
      <c r="H2947" t="s">
        <v>287</v>
      </c>
      <c r="I2947" t="s">
        <v>125</v>
      </c>
      <c r="J2947" s="11">
        <v>865.30142610254381</v>
      </c>
      <c r="K2947" s="10" t="str">
        <f t="shared" si="99"/>
        <v>Ronald Nutt</v>
      </c>
    </row>
    <row r="2948" spans="1:11" hidden="1" x14ac:dyDescent="0.35">
      <c r="A2948">
        <f t="shared" si="98"/>
        <v>2947</v>
      </c>
      <c r="B2948">
        <v>2018</v>
      </c>
      <c r="C2948" t="s">
        <v>68</v>
      </c>
      <c r="D2948" t="s">
        <v>2403</v>
      </c>
      <c r="E2948" t="s">
        <v>1430</v>
      </c>
      <c r="F2948" s="2">
        <v>600</v>
      </c>
      <c r="G2948" s="2">
        <v>1</v>
      </c>
      <c r="H2948" t="s">
        <v>2373</v>
      </c>
      <c r="I2948" t="s">
        <v>2374</v>
      </c>
      <c r="J2948" s="11">
        <v>1477.1212547196624</v>
      </c>
      <c r="K2948" t="str">
        <f t="shared" si="99"/>
        <v>Voltaire Ronquillo</v>
      </c>
    </row>
    <row r="2949" spans="1:11" hidden="1" x14ac:dyDescent="0.35">
      <c r="A2949">
        <f t="shared" si="98"/>
        <v>2948</v>
      </c>
      <c r="B2949">
        <v>2018</v>
      </c>
      <c r="C2949" t="s">
        <v>68</v>
      </c>
      <c r="D2949" t="s">
        <v>2403</v>
      </c>
      <c r="E2949" t="s">
        <v>1430</v>
      </c>
      <c r="F2949" s="2">
        <v>560</v>
      </c>
      <c r="G2949" s="2">
        <v>2</v>
      </c>
      <c r="H2949" t="s">
        <v>86</v>
      </c>
      <c r="I2949" t="s">
        <v>271</v>
      </c>
      <c r="J2949" s="11">
        <v>1176.0912590556811</v>
      </c>
      <c r="K2949" s="10" t="str">
        <f t="shared" si="99"/>
        <v>Dan Goldman</v>
      </c>
    </row>
    <row r="2950" spans="1:11" hidden="1" x14ac:dyDescent="0.35">
      <c r="A2950">
        <f t="shared" si="98"/>
        <v>2949</v>
      </c>
      <c r="B2950">
        <v>2018</v>
      </c>
      <c r="C2950" t="s">
        <v>68</v>
      </c>
      <c r="D2950" t="s">
        <v>2403</v>
      </c>
      <c r="E2950" t="s">
        <v>1430</v>
      </c>
      <c r="F2950" s="2">
        <v>355</v>
      </c>
      <c r="G2950" s="2">
        <v>3</v>
      </c>
      <c r="H2950" t="s">
        <v>86</v>
      </c>
      <c r="I2950" t="s">
        <v>393</v>
      </c>
      <c r="J2950" s="11">
        <v>1000</v>
      </c>
      <c r="K2950" s="10" t="str">
        <f t="shared" si="99"/>
        <v>Bree Goldman</v>
      </c>
    </row>
    <row r="2951" spans="1:11" hidden="1" x14ac:dyDescent="0.35">
      <c r="A2951">
        <f t="shared" si="98"/>
        <v>2950</v>
      </c>
      <c r="B2951">
        <v>2018</v>
      </c>
      <c r="C2951" t="s">
        <v>68</v>
      </c>
      <c r="D2951" t="s">
        <v>2403</v>
      </c>
      <c r="E2951" t="s">
        <v>1430</v>
      </c>
      <c r="F2951" s="2">
        <v>275</v>
      </c>
      <c r="G2951" s="2">
        <v>4</v>
      </c>
      <c r="H2951" t="s">
        <v>64</v>
      </c>
      <c r="I2951" t="s">
        <v>65</v>
      </c>
      <c r="J2951" s="11">
        <v>875.06126339169998</v>
      </c>
      <c r="K2951" t="str">
        <f t="shared" si="99"/>
        <v>Steve Daniel</v>
      </c>
    </row>
    <row r="2952" spans="1:11" hidden="1" x14ac:dyDescent="0.35">
      <c r="A2952">
        <f t="shared" si="98"/>
        <v>2951</v>
      </c>
      <c r="B2952">
        <v>2018</v>
      </c>
      <c r="C2952" t="s">
        <v>68</v>
      </c>
      <c r="D2952" t="s">
        <v>2403</v>
      </c>
      <c r="E2952" t="s">
        <v>1430</v>
      </c>
      <c r="F2952" s="2">
        <v>210</v>
      </c>
      <c r="G2952" s="2">
        <v>5</v>
      </c>
      <c r="H2952" t="s">
        <v>15</v>
      </c>
      <c r="I2952" t="s">
        <v>16</v>
      </c>
      <c r="J2952" s="11">
        <v>778.15125038364351</v>
      </c>
      <c r="K2952" s="10" t="str">
        <f t="shared" si="99"/>
        <v>David Kluchman</v>
      </c>
    </row>
    <row r="2953" spans="1:11" hidden="1" x14ac:dyDescent="0.35">
      <c r="A2953">
        <f t="shared" si="98"/>
        <v>2952</v>
      </c>
      <c r="B2953">
        <v>2018</v>
      </c>
      <c r="C2953" t="s">
        <v>68</v>
      </c>
      <c r="D2953" t="s">
        <v>2403</v>
      </c>
      <c r="E2953" t="s">
        <v>1430</v>
      </c>
      <c r="F2953" s="2">
        <v>100</v>
      </c>
      <c r="G2953" s="2">
        <v>6</v>
      </c>
      <c r="H2953" t="s">
        <v>475</v>
      </c>
      <c r="I2953" t="s">
        <v>887</v>
      </c>
      <c r="J2953" s="11">
        <v>698.97000433601875</v>
      </c>
      <c r="K2953" s="10" t="str">
        <f t="shared" si="99"/>
        <v>Chic Natkins</v>
      </c>
    </row>
    <row r="2954" spans="1:11" hidden="1" x14ac:dyDescent="0.35">
      <c r="A2954">
        <f t="shared" si="98"/>
        <v>2953</v>
      </c>
      <c r="B2954">
        <v>2018</v>
      </c>
      <c r="C2954" t="s">
        <v>68</v>
      </c>
      <c r="D2954" t="s">
        <v>2393</v>
      </c>
      <c r="E2954" t="s">
        <v>1429</v>
      </c>
      <c r="F2954" s="2">
        <v>765</v>
      </c>
      <c r="G2954" s="2">
        <v>1</v>
      </c>
      <c r="H2954" t="s">
        <v>475</v>
      </c>
      <c r="I2954" t="s">
        <v>887</v>
      </c>
      <c r="J2954" s="11">
        <v>1491.3616938342727</v>
      </c>
      <c r="K2954" s="10" t="str">
        <f t="shared" si="99"/>
        <v>Chic Natkins</v>
      </c>
    </row>
    <row r="2955" spans="1:11" hidden="1" x14ac:dyDescent="0.35">
      <c r="A2955">
        <f t="shared" si="98"/>
        <v>2954</v>
      </c>
      <c r="B2955">
        <v>2018</v>
      </c>
      <c r="C2955" t="s">
        <v>68</v>
      </c>
      <c r="D2955" t="s">
        <v>2393</v>
      </c>
      <c r="E2955" t="s">
        <v>1429</v>
      </c>
      <c r="F2955" s="2">
        <v>500</v>
      </c>
      <c r="G2955" s="2">
        <v>2</v>
      </c>
      <c r="H2955" t="s">
        <v>380</v>
      </c>
      <c r="I2955" t="s">
        <v>381</v>
      </c>
      <c r="J2955" s="11">
        <v>1190.3316981702915</v>
      </c>
      <c r="K2955" s="10" t="str">
        <f t="shared" si="99"/>
        <v>Monte Christensen</v>
      </c>
    </row>
    <row r="2956" spans="1:11" hidden="1" x14ac:dyDescent="0.35">
      <c r="A2956">
        <f t="shared" si="98"/>
        <v>2955</v>
      </c>
      <c r="B2956">
        <v>2018</v>
      </c>
      <c r="C2956" t="s">
        <v>68</v>
      </c>
      <c r="D2956" t="s">
        <v>2393</v>
      </c>
      <c r="E2956" t="s">
        <v>1429</v>
      </c>
      <c r="F2956" s="2">
        <v>350</v>
      </c>
      <c r="G2956" s="2">
        <v>3</v>
      </c>
      <c r="H2956" t="s">
        <v>1075</v>
      </c>
      <c r="I2956" t="s">
        <v>942</v>
      </c>
      <c r="J2956" s="11">
        <v>1014.2404391146102</v>
      </c>
      <c r="K2956" t="str">
        <f t="shared" si="99"/>
        <v>Jodi Shapiro</v>
      </c>
    </row>
    <row r="2957" spans="1:11" hidden="1" x14ac:dyDescent="0.35">
      <c r="A2957">
        <f t="shared" si="98"/>
        <v>2956</v>
      </c>
      <c r="B2957">
        <v>2018</v>
      </c>
      <c r="C2957" t="s">
        <v>68</v>
      </c>
      <c r="D2957" t="s">
        <v>2393</v>
      </c>
      <c r="E2957" t="s">
        <v>1429</v>
      </c>
      <c r="F2957" s="2">
        <v>260</v>
      </c>
      <c r="G2957" s="2">
        <v>4</v>
      </c>
      <c r="H2957" t="s">
        <v>37</v>
      </c>
      <c r="I2957" t="s">
        <v>38</v>
      </c>
      <c r="J2957" s="11">
        <v>889.30170250631022</v>
      </c>
      <c r="K2957" s="10" t="str">
        <f t="shared" si="99"/>
        <v>Doug Grismore</v>
      </c>
    </row>
    <row r="2958" spans="1:11" hidden="1" x14ac:dyDescent="0.35">
      <c r="A2958">
        <f t="shared" si="98"/>
        <v>2957</v>
      </c>
      <c r="B2958">
        <v>2018</v>
      </c>
      <c r="C2958" t="s">
        <v>68</v>
      </c>
      <c r="D2958" t="s">
        <v>2393</v>
      </c>
      <c r="E2958" t="s">
        <v>1429</v>
      </c>
      <c r="F2958" s="2">
        <v>195</v>
      </c>
      <c r="G2958" s="2">
        <v>5</v>
      </c>
      <c r="H2958" t="s">
        <v>148</v>
      </c>
      <c r="I2958" t="s">
        <v>149</v>
      </c>
      <c r="J2958" s="11">
        <v>792.39168949825375</v>
      </c>
      <c r="K2958" s="10" t="str">
        <f t="shared" si="99"/>
        <v>Alex Ziselman</v>
      </c>
    </row>
    <row r="2959" spans="1:11" hidden="1" x14ac:dyDescent="0.35">
      <c r="A2959">
        <f t="shared" si="98"/>
        <v>2958</v>
      </c>
      <c r="B2959">
        <v>2018</v>
      </c>
      <c r="C2959" t="s">
        <v>68</v>
      </c>
      <c r="D2959" t="s">
        <v>2393</v>
      </c>
      <c r="E2959" t="s">
        <v>1429</v>
      </c>
      <c r="F2959" s="2">
        <v>100</v>
      </c>
      <c r="G2959" s="2">
        <v>6</v>
      </c>
      <c r="H2959" t="s">
        <v>2395</v>
      </c>
      <c r="I2959" t="s">
        <v>151</v>
      </c>
      <c r="J2959" s="11">
        <v>713.21044345062899</v>
      </c>
      <c r="K2959" s="10" t="str">
        <f t="shared" si="99"/>
        <v>Kent Beck</v>
      </c>
    </row>
    <row r="2960" spans="1:11" hidden="1" x14ac:dyDescent="0.35">
      <c r="A2960">
        <f t="shared" si="98"/>
        <v>2959</v>
      </c>
      <c r="B2960">
        <v>2018</v>
      </c>
      <c r="C2960" t="s">
        <v>68</v>
      </c>
      <c r="D2960" t="s">
        <v>2400</v>
      </c>
      <c r="E2960" t="s">
        <v>1429</v>
      </c>
      <c r="F2960" s="2">
        <v>1750</v>
      </c>
      <c r="G2960" s="2">
        <v>1</v>
      </c>
      <c r="H2960" t="s">
        <v>2401</v>
      </c>
      <c r="I2960" t="s">
        <v>2017</v>
      </c>
      <c r="J2960" s="11">
        <v>1672.0978579357175</v>
      </c>
      <c r="K2960" s="10" t="str">
        <f t="shared" si="99"/>
        <v>Kathy Chang</v>
      </c>
    </row>
    <row r="2961" spans="1:11" hidden="1" x14ac:dyDescent="0.35">
      <c r="A2961">
        <f t="shared" si="98"/>
        <v>2960</v>
      </c>
      <c r="B2961">
        <v>2018</v>
      </c>
      <c r="C2961" t="s">
        <v>68</v>
      </c>
      <c r="D2961" t="s">
        <v>2400</v>
      </c>
      <c r="E2961" t="s">
        <v>1429</v>
      </c>
      <c r="F2961" s="2">
        <v>1240</v>
      </c>
      <c r="G2961" s="2">
        <v>2</v>
      </c>
      <c r="H2961" t="s">
        <v>86</v>
      </c>
      <c r="I2961" t="s">
        <v>271</v>
      </c>
      <c r="J2961" s="11">
        <v>1371.0678622717362</v>
      </c>
      <c r="K2961" s="10" t="str">
        <f t="shared" si="99"/>
        <v>Dan Goldman</v>
      </c>
    </row>
    <row r="2962" spans="1:11" hidden="1" x14ac:dyDescent="0.35">
      <c r="A2962">
        <f t="shared" si="98"/>
        <v>2961</v>
      </c>
      <c r="B2962">
        <v>2018</v>
      </c>
      <c r="C2962" t="s">
        <v>68</v>
      </c>
      <c r="D2962" t="s">
        <v>2400</v>
      </c>
      <c r="E2962" t="s">
        <v>1429</v>
      </c>
      <c r="F2962" s="2">
        <v>960</v>
      </c>
      <c r="G2962" s="2">
        <v>3</v>
      </c>
      <c r="H2962" t="s">
        <v>1504</v>
      </c>
      <c r="I2962" t="s">
        <v>85</v>
      </c>
      <c r="J2962" s="11">
        <v>1194.9766032160551</v>
      </c>
      <c r="K2962" s="10" t="str">
        <f t="shared" si="99"/>
        <v>Patrick Milligan</v>
      </c>
    </row>
    <row r="2963" spans="1:11" hidden="1" x14ac:dyDescent="0.35">
      <c r="A2963">
        <f t="shared" si="98"/>
        <v>2962</v>
      </c>
      <c r="B2963">
        <v>2018</v>
      </c>
      <c r="C2963" t="s">
        <v>68</v>
      </c>
      <c r="D2963" t="s">
        <v>2400</v>
      </c>
      <c r="E2963" t="s">
        <v>1429</v>
      </c>
      <c r="F2963" s="2">
        <v>735</v>
      </c>
      <c r="G2963" s="2">
        <v>4</v>
      </c>
      <c r="H2963" t="s">
        <v>50</v>
      </c>
      <c r="I2963" t="s">
        <v>25</v>
      </c>
      <c r="J2963" s="11">
        <v>1070.0378666077549</v>
      </c>
      <c r="K2963" s="10" t="str">
        <f t="shared" si="99"/>
        <v>Russell Fox</v>
      </c>
    </row>
    <row r="2964" spans="1:11" hidden="1" x14ac:dyDescent="0.35">
      <c r="A2964">
        <f t="shared" si="98"/>
        <v>2963</v>
      </c>
      <c r="B2964">
        <v>2018</v>
      </c>
      <c r="C2964" t="s">
        <v>68</v>
      </c>
      <c r="D2964" t="s">
        <v>2400</v>
      </c>
      <c r="E2964" t="s">
        <v>1429</v>
      </c>
      <c r="F2964" s="2">
        <v>565</v>
      </c>
      <c r="G2964" s="2">
        <v>5</v>
      </c>
      <c r="H2964" t="s">
        <v>39</v>
      </c>
      <c r="I2964" t="s">
        <v>40</v>
      </c>
      <c r="J2964" s="11">
        <v>973.12785359969871</v>
      </c>
      <c r="K2964" s="10" t="str">
        <f t="shared" si="99"/>
        <v>Katie Baxter</v>
      </c>
    </row>
    <row r="2965" spans="1:11" hidden="1" x14ac:dyDescent="0.35">
      <c r="A2965">
        <f t="shared" si="98"/>
        <v>2964</v>
      </c>
      <c r="B2965">
        <v>2018</v>
      </c>
      <c r="C2965" t="s">
        <v>68</v>
      </c>
      <c r="D2965" t="s">
        <v>2400</v>
      </c>
      <c r="E2965" t="s">
        <v>1429</v>
      </c>
      <c r="F2965" s="2">
        <v>390</v>
      </c>
      <c r="G2965" s="2">
        <v>6</v>
      </c>
      <c r="H2965" t="s">
        <v>903</v>
      </c>
      <c r="I2965" t="s">
        <v>71</v>
      </c>
      <c r="J2965" s="11">
        <v>893.94660755207394</v>
      </c>
      <c r="K2965" t="str">
        <f t="shared" si="99"/>
        <v>Scott Harker</v>
      </c>
    </row>
    <row r="2966" spans="1:11" hidden="1" x14ac:dyDescent="0.35">
      <c r="A2966">
        <f t="shared" si="98"/>
        <v>2965</v>
      </c>
      <c r="B2966">
        <v>2018</v>
      </c>
      <c r="C2966" t="s">
        <v>68</v>
      </c>
      <c r="D2966" t="s">
        <v>2397</v>
      </c>
      <c r="E2966" t="s">
        <v>133</v>
      </c>
      <c r="F2966" s="2">
        <v>660</v>
      </c>
      <c r="G2966" s="2">
        <v>1</v>
      </c>
      <c r="H2966" t="s">
        <v>148</v>
      </c>
      <c r="I2966" t="s">
        <v>149</v>
      </c>
      <c r="J2966" s="11">
        <v>1414.9733479708179</v>
      </c>
      <c r="K2966" s="10" t="str">
        <f t="shared" si="99"/>
        <v>Alex Ziselman</v>
      </c>
    </row>
    <row r="2967" spans="1:11" hidden="1" x14ac:dyDescent="0.35">
      <c r="A2967">
        <f t="shared" si="98"/>
        <v>2966</v>
      </c>
      <c r="B2967">
        <v>2018</v>
      </c>
      <c r="C2967" t="s">
        <v>68</v>
      </c>
      <c r="D2967" t="s">
        <v>2397</v>
      </c>
      <c r="E2967" t="s">
        <v>133</v>
      </c>
      <c r="F2967" s="2">
        <v>375</v>
      </c>
      <c r="G2967" s="2">
        <v>2</v>
      </c>
      <c r="H2967" t="s">
        <v>2398</v>
      </c>
      <c r="I2967" t="s">
        <v>1955</v>
      </c>
      <c r="J2967" s="11">
        <v>1113.9433523068367</v>
      </c>
      <c r="K2967" s="10" t="str">
        <f t="shared" si="99"/>
        <v>Nancy Robertson</v>
      </c>
    </row>
    <row r="2968" spans="1:11" hidden="1" x14ac:dyDescent="0.35">
      <c r="A2968">
        <f t="shared" si="98"/>
        <v>2967</v>
      </c>
      <c r="B2968">
        <v>2018</v>
      </c>
      <c r="C2968" t="s">
        <v>68</v>
      </c>
      <c r="D2968" t="s">
        <v>2397</v>
      </c>
      <c r="E2968" t="s">
        <v>133</v>
      </c>
      <c r="F2968" s="2">
        <v>370</v>
      </c>
      <c r="G2968" s="2">
        <v>3</v>
      </c>
      <c r="H2968" t="s">
        <v>231</v>
      </c>
      <c r="I2968" t="s">
        <v>232</v>
      </c>
      <c r="J2968" s="11">
        <v>937.85209325115557</v>
      </c>
      <c r="K2968" s="10" t="str">
        <f t="shared" si="99"/>
        <v>Adam Bachrach</v>
      </c>
    </row>
    <row r="2969" spans="1:11" hidden="1" x14ac:dyDescent="0.35">
      <c r="A2969">
        <f t="shared" si="98"/>
        <v>2968</v>
      </c>
      <c r="B2969">
        <v>2018</v>
      </c>
      <c r="C2969" t="s">
        <v>68</v>
      </c>
      <c r="D2969" t="s">
        <v>2397</v>
      </c>
      <c r="E2969" t="s">
        <v>133</v>
      </c>
      <c r="F2969" s="2">
        <v>235</v>
      </c>
      <c r="G2969" s="2">
        <v>4</v>
      </c>
      <c r="H2969" t="s">
        <v>1519</v>
      </c>
      <c r="I2969" t="s">
        <v>153</v>
      </c>
      <c r="J2969" s="11">
        <v>812.91335664285555</v>
      </c>
      <c r="K2969" s="10" t="str">
        <f t="shared" si="99"/>
        <v>Stephen Blackstock</v>
      </c>
    </row>
    <row r="2970" spans="1:11" hidden="1" x14ac:dyDescent="0.35">
      <c r="A2970">
        <f t="shared" si="98"/>
        <v>2969</v>
      </c>
      <c r="B2970">
        <v>2018</v>
      </c>
      <c r="C2970" t="s">
        <v>68</v>
      </c>
      <c r="D2970" t="s">
        <v>2397</v>
      </c>
      <c r="E2970" t="s">
        <v>133</v>
      </c>
      <c r="F2970" s="2">
        <v>180</v>
      </c>
      <c r="G2970" s="2">
        <v>5</v>
      </c>
      <c r="H2970" t="s">
        <v>475</v>
      </c>
      <c r="I2970" t="s">
        <v>887</v>
      </c>
      <c r="J2970" s="11">
        <v>716.00334363479908</v>
      </c>
      <c r="K2970" s="10" t="str">
        <f t="shared" si="99"/>
        <v>Chic Natkins</v>
      </c>
    </row>
    <row r="2971" spans="1:11" hidden="1" x14ac:dyDescent="0.35">
      <c r="A2971">
        <f t="shared" si="98"/>
        <v>2970</v>
      </c>
      <c r="B2971">
        <v>2018</v>
      </c>
      <c r="C2971" t="s">
        <v>8</v>
      </c>
      <c r="D2971" t="s">
        <v>9</v>
      </c>
      <c r="E2971" t="s">
        <v>1429</v>
      </c>
      <c r="F2971" s="2">
        <v>980</v>
      </c>
      <c r="G2971" s="2">
        <v>1</v>
      </c>
      <c r="H2971" t="s">
        <v>10</v>
      </c>
      <c r="I2971" t="s">
        <v>11</v>
      </c>
      <c r="J2971" s="11">
        <v>1447.1580313422191</v>
      </c>
      <c r="K2971" s="10" t="str">
        <f t="shared" si="99"/>
        <v>Paul Chakoian</v>
      </c>
    </row>
    <row r="2972" spans="1:11" hidden="1" x14ac:dyDescent="0.35">
      <c r="A2972">
        <f t="shared" si="98"/>
        <v>2971</v>
      </c>
      <c r="B2972">
        <v>2018</v>
      </c>
      <c r="C2972" t="s">
        <v>8</v>
      </c>
      <c r="D2972" t="s">
        <v>9</v>
      </c>
      <c r="E2972" t="s">
        <v>1429</v>
      </c>
      <c r="F2972" s="2">
        <v>980</v>
      </c>
      <c r="G2972" s="2">
        <v>2</v>
      </c>
      <c r="H2972" t="s">
        <v>351</v>
      </c>
      <c r="I2972" t="s">
        <v>153</v>
      </c>
      <c r="J2972" s="11">
        <v>1146.1280356782379</v>
      </c>
      <c r="K2972" s="10" t="str">
        <f t="shared" si="99"/>
        <v>Stephen Lewin-Berlin</v>
      </c>
    </row>
    <row r="2973" spans="1:11" hidden="1" x14ac:dyDescent="0.35">
      <c r="A2973">
        <f t="shared" si="98"/>
        <v>2972</v>
      </c>
      <c r="B2973">
        <v>2018</v>
      </c>
      <c r="C2973" t="s">
        <v>8</v>
      </c>
      <c r="D2973" t="s">
        <v>9</v>
      </c>
      <c r="E2973" t="s">
        <v>1429</v>
      </c>
      <c r="F2973" s="2">
        <v>420</v>
      </c>
      <c r="G2973" s="2">
        <v>3</v>
      </c>
      <c r="H2973" t="s">
        <v>477</v>
      </c>
      <c r="I2973" t="s">
        <v>1510</v>
      </c>
      <c r="J2973" s="11">
        <v>970.03677662255677</v>
      </c>
      <c r="K2973" s="10" t="str">
        <f t="shared" si="99"/>
        <v>Nathan Lloyd</v>
      </c>
    </row>
    <row r="2974" spans="1:11" hidden="1" x14ac:dyDescent="0.35">
      <c r="A2974">
        <f t="shared" ref="A2974:A3037" si="100">A2973+1</f>
        <v>2973</v>
      </c>
      <c r="B2974">
        <v>2018</v>
      </c>
      <c r="C2974" t="s">
        <v>8</v>
      </c>
      <c r="D2974" t="s">
        <v>9</v>
      </c>
      <c r="E2974" t="s">
        <v>1429</v>
      </c>
      <c r="F2974" s="2">
        <v>420</v>
      </c>
      <c r="G2974" s="2">
        <v>4</v>
      </c>
      <c r="H2974" t="s">
        <v>294</v>
      </c>
      <c r="I2974" t="s">
        <v>16</v>
      </c>
      <c r="J2974" s="11">
        <v>845.09804001425687</v>
      </c>
      <c r="K2974" s="10" t="str">
        <f t="shared" si="99"/>
        <v>David Low</v>
      </c>
    </row>
    <row r="2975" spans="1:11" hidden="1" x14ac:dyDescent="0.35">
      <c r="A2975">
        <f t="shared" si="100"/>
        <v>2974</v>
      </c>
      <c r="B2975">
        <v>2018</v>
      </c>
      <c r="C2975" t="s">
        <v>8</v>
      </c>
      <c r="D2975" t="s">
        <v>2390</v>
      </c>
      <c r="E2975" t="s">
        <v>1430</v>
      </c>
      <c r="F2975" s="2">
        <v>1344</v>
      </c>
      <c r="G2975" s="2">
        <v>1</v>
      </c>
      <c r="H2975" t="s">
        <v>29</v>
      </c>
      <c r="I2975" t="s">
        <v>30</v>
      </c>
      <c r="J2975" s="11">
        <v>1623.2492903979005</v>
      </c>
      <c r="K2975" s="10" t="str">
        <f t="shared" si="99"/>
        <v>Tedford Armistead</v>
      </c>
    </row>
    <row r="2976" spans="1:11" hidden="1" x14ac:dyDescent="0.35">
      <c r="A2976">
        <f t="shared" si="100"/>
        <v>2975</v>
      </c>
      <c r="B2976">
        <v>2018</v>
      </c>
      <c r="C2976" t="s">
        <v>8</v>
      </c>
      <c r="D2976" t="s">
        <v>2390</v>
      </c>
      <c r="E2976" t="s">
        <v>1430</v>
      </c>
      <c r="F2976" s="2">
        <v>733</v>
      </c>
      <c r="G2976" s="2">
        <v>2</v>
      </c>
      <c r="H2976" t="s">
        <v>12</v>
      </c>
      <c r="I2976" t="s">
        <v>13</v>
      </c>
      <c r="J2976" s="11">
        <v>1322.2192947339192</v>
      </c>
      <c r="K2976" s="10" t="str">
        <f t="shared" si="99"/>
        <v>Tom Bessoir</v>
      </c>
    </row>
    <row r="2977" spans="1:11" hidden="1" x14ac:dyDescent="0.35">
      <c r="A2977">
        <f t="shared" si="100"/>
        <v>2976</v>
      </c>
      <c r="B2977">
        <v>2018</v>
      </c>
      <c r="C2977" t="s">
        <v>8</v>
      </c>
      <c r="D2977" t="s">
        <v>2390</v>
      </c>
      <c r="E2977" t="s">
        <v>1430</v>
      </c>
      <c r="F2977" s="2">
        <v>530</v>
      </c>
      <c r="G2977" s="2">
        <v>3</v>
      </c>
      <c r="H2977" t="s">
        <v>21</v>
      </c>
      <c r="I2977" t="s">
        <v>463</v>
      </c>
      <c r="J2977" s="11">
        <v>1146.1280356782381</v>
      </c>
      <c r="K2977" t="str">
        <f t="shared" si="99"/>
        <v>Richard Bremer</v>
      </c>
    </row>
    <row r="2978" spans="1:11" hidden="1" x14ac:dyDescent="0.35">
      <c r="A2978">
        <f t="shared" si="100"/>
        <v>2977</v>
      </c>
      <c r="B2978">
        <v>2018</v>
      </c>
      <c r="C2978" t="s">
        <v>8</v>
      </c>
      <c r="D2978" t="s">
        <v>2390</v>
      </c>
      <c r="E2978" t="s">
        <v>1430</v>
      </c>
      <c r="F2978" s="2">
        <v>448</v>
      </c>
      <c r="G2978" s="2">
        <v>4</v>
      </c>
      <c r="H2978" t="s">
        <v>1076</v>
      </c>
      <c r="I2978" t="s">
        <v>139</v>
      </c>
      <c r="J2978" s="11">
        <v>1021.1892990699382</v>
      </c>
      <c r="K2978" s="10" t="str">
        <f t="shared" si="99"/>
        <v>Mark Oldenburg</v>
      </c>
    </row>
    <row r="2979" spans="1:11" hidden="1" x14ac:dyDescent="0.35">
      <c r="A2979">
        <f t="shared" si="100"/>
        <v>2978</v>
      </c>
      <c r="B2979">
        <v>2018</v>
      </c>
      <c r="C2979" t="s">
        <v>8</v>
      </c>
      <c r="D2979" t="s">
        <v>2390</v>
      </c>
      <c r="E2979" t="s">
        <v>1430</v>
      </c>
      <c r="F2979" s="2">
        <v>367</v>
      </c>
      <c r="G2979" s="2">
        <v>5</v>
      </c>
      <c r="H2979" t="s">
        <v>2539</v>
      </c>
      <c r="I2979" t="s">
        <v>28</v>
      </c>
      <c r="J2979" s="11">
        <v>924.27928606188175</v>
      </c>
      <c r="K2979" t="str">
        <f t="shared" si="99"/>
        <v>Chris O’Connor</v>
      </c>
    </row>
    <row r="2980" spans="1:11" hidden="1" x14ac:dyDescent="0.35">
      <c r="A2980">
        <f t="shared" si="100"/>
        <v>2979</v>
      </c>
      <c r="B2980">
        <v>2018</v>
      </c>
      <c r="C2980" t="s">
        <v>8</v>
      </c>
      <c r="D2980" t="s">
        <v>2390</v>
      </c>
      <c r="E2980" t="s">
        <v>1430</v>
      </c>
      <c r="F2980" s="2">
        <v>285</v>
      </c>
      <c r="G2980" s="2">
        <v>6</v>
      </c>
      <c r="H2980" t="s">
        <v>130</v>
      </c>
      <c r="I2980" t="s">
        <v>131</v>
      </c>
      <c r="J2980" s="11">
        <v>845.09804001425687</v>
      </c>
      <c r="K2980" s="10" t="str">
        <f t="shared" si="99"/>
        <v>Alan Stuart</v>
      </c>
    </row>
    <row r="2981" spans="1:11" hidden="1" x14ac:dyDescent="0.35">
      <c r="A2981">
        <f t="shared" si="100"/>
        <v>2980</v>
      </c>
      <c r="B2981">
        <v>2018</v>
      </c>
      <c r="C2981" t="s">
        <v>8</v>
      </c>
      <c r="D2981" t="s">
        <v>2390</v>
      </c>
      <c r="E2981" t="s">
        <v>1430</v>
      </c>
      <c r="F2981" s="2">
        <v>204</v>
      </c>
      <c r="G2981" s="2">
        <v>7</v>
      </c>
      <c r="H2981" t="s">
        <v>2391</v>
      </c>
      <c r="I2981" t="s">
        <v>16</v>
      </c>
      <c r="J2981" s="11">
        <v>778.15125038364374</v>
      </c>
      <c r="K2981" s="10" t="str">
        <f t="shared" si="99"/>
        <v>David Vanderhooft</v>
      </c>
    </row>
    <row r="2982" spans="1:11" hidden="1" x14ac:dyDescent="0.35">
      <c r="A2982">
        <f t="shared" si="100"/>
        <v>2981</v>
      </c>
      <c r="B2982">
        <v>2018</v>
      </c>
      <c r="C2982" t="s">
        <v>8</v>
      </c>
      <c r="D2982" t="s">
        <v>2390</v>
      </c>
      <c r="E2982" t="s">
        <v>1430</v>
      </c>
      <c r="F2982" s="2">
        <v>163</v>
      </c>
      <c r="G2982" s="2">
        <v>8</v>
      </c>
      <c r="H2982" t="s">
        <v>351</v>
      </c>
      <c r="I2982" t="s">
        <v>153</v>
      </c>
      <c r="J2982" s="11">
        <v>720.15930340595696</v>
      </c>
      <c r="K2982" s="10" t="str">
        <f t="shared" si="99"/>
        <v>Stephen Lewin-Berlin</v>
      </c>
    </row>
    <row r="2983" spans="1:11" hidden="1" x14ac:dyDescent="0.35">
      <c r="A2983">
        <f t="shared" si="100"/>
        <v>2982</v>
      </c>
      <c r="B2983">
        <v>2018</v>
      </c>
      <c r="C2983" t="s">
        <v>8</v>
      </c>
      <c r="D2983" t="s">
        <v>45</v>
      </c>
      <c r="E2983" t="s">
        <v>1429</v>
      </c>
      <c r="F2983" s="2">
        <v>2184</v>
      </c>
      <c r="G2983" s="2">
        <v>1</v>
      </c>
      <c r="H2983" t="s">
        <v>114</v>
      </c>
      <c r="I2983" t="s">
        <v>187</v>
      </c>
      <c r="J2983" s="11">
        <v>1892.0946026904803</v>
      </c>
      <c r="K2983" s="10" t="str">
        <f t="shared" si="99"/>
        <v>Joe Morrissette</v>
      </c>
    </row>
    <row r="2984" spans="1:11" hidden="1" x14ac:dyDescent="0.35">
      <c r="A2984">
        <f t="shared" si="100"/>
        <v>2983</v>
      </c>
      <c r="B2984">
        <v>2018</v>
      </c>
      <c r="C2984" t="s">
        <v>8</v>
      </c>
      <c r="D2984" t="s">
        <v>45</v>
      </c>
      <c r="E2984" t="s">
        <v>1429</v>
      </c>
      <c r="F2984" s="2">
        <v>1276</v>
      </c>
      <c r="G2984" s="2">
        <v>2</v>
      </c>
      <c r="H2984" t="s">
        <v>161</v>
      </c>
      <c r="I2984" t="s">
        <v>162</v>
      </c>
      <c r="J2984" s="11">
        <v>1591.0646070264991</v>
      </c>
      <c r="K2984" s="10" t="str">
        <f t="shared" si="99"/>
        <v>Tracy Becker</v>
      </c>
    </row>
    <row r="2985" spans="1:11" hidden="1" x14ac:dyDescent="0.35">
      <c r="A2985">
        <f t="shared" si="100"/>
        <v>2984</v>
      </c>
      <c r="B2985">
        <v>2018</v>
      </c>
      <c r="C2985" t="s">
        <v>8</v>
      </c>
      <c r="D2985" t="s">
        <v>45</v>
      </c>
      <c r="E2985" t="s">
        <v>1429</v>
      </c>
      <c r="F2985" s="2">
        <v>860</v>
      </c>
      <c r="G2985" s="2">
        <v>3</v>
      </c>
      <c r="H2985" t="s">
        <v>64</v>
      </c>
      <c r="I2985" t="s">
        <v>65</v>
      </c>
      <c r="J2985" s="11">
        <v>1414.9733479708179</v>
      </c>
      <c r="K2985" t="str">
        <f t="shared" si="99"/>
        <v>Steve Daniel</v>
      </c>
    </row>
    <row r="2986" spans="1:11" hidden="1" x14ac:dyDescent="0.35">
      <c r="A2986">
        <f t="shared" si="100"/>
        <v>2985</v>
      </c>
      <c r="B2986">
        <v>2018</v>
      </c>
      <c r="C2986" t="s">
        <v>8</v>
      </c>
      <c r="D2986" t="s">
        <v>45</v>
      </c>
      <c r="E2986" t="s">
        <v>1429</v>
      </c>
      <c r="F2986" s="2">
        <v>709</v>
      </c>
      <c r="G2986" s="2">
        <v>4</v>
      </c>
      <c r="H2986" t="s">
        <v>2388</v>
      </c>
      <c r="I2986" t="s">
        <v>665</v>
      </c>
      <c r="J2986" s="11">
        <v>1290.0346113625178</v>
      </c>
      <c r="K2986" s="10" t="str">
        <f t="shared" si="99"/>
        <v>Robert Bergman</v>
      </c>
    </row>
    <row r="2987" spans="1:11" hidden="1" x14ac:dyDescent="0.35">
      <c r="A2987">
        <f t="shared" si="100"/>
        <v>2986</v>
      </c>
      <c r="B2987">
        <v>2018</v>
      </c>
      <c r="C2987" t="s">
        <v>8</v>
      </c>
      <c r="D2987" t="s">
        <v>45</v>
      </c>
      <c r="E2987" t="s">
        <v>1429</v>
      </c>
      <c r="F2987" s="2">
        <v>595</v>
      </c>
      <c r="G2987" s="2">
        <v>5</v>
      </c>
      <c r="H2987" t="s">
        <v>461</v>
      </c>
      <c r="I2987" t="s">
        <v>1448</v>
      </c>
      <c r="J2987" s="11">
        <v>1193.1245983544616</v>
      </c>
      <c r="K2987" s="10" t="str">
        <f t="shared" si="99"/>
        <v>Christian Jones</v>
      </c>
    </row>
    <row r="2988" spans="1:11" hidden="1" x14ac:dyDescent="0.35">
      <c r="A2988">
        <f t="shared" si="100"/>
        <v>2987</v>
      </c>
      <c r="B2988">
        <v>2018</v>
      </c>
      <c r="C2988" t="s">
        <v>8</v>
      </c>
      <c r="D2988" t="s">
        <v>45</v>
      </c>
      <c r="E2988" t="s">
        <v>1429</v>
      </c>
      <c r="F2988" s="2">
        <v>520</v>
      </c>
      <c r="G2988" s="2">
        <v>6</v>
      </c>
      <c r="H2988" t="s">
        <v>251</v>
      </c>
      <c r="I2988" t="s">
        <v>510</v>
      </c>
      <c r="J2988" s="11">
        <v>1113.9433523068367</v>
      </c>
      <c r="K2988" s="10" t="str">
        <f t="shared" si="99"/>
        <v>Sharon Lewis</v>
      </c>
    </row>
    <row r="2989" spans="1:11" hidden="1" x14ac:dyDescent="0.35">
      <c r="A2989">
        <f t="shared" si="100"/>
        <v>2988</v>
      </c>
      <c r="B2989">
        <v>2018</v>
      </c>
      <c r="C2989" t="s">
        <v>8</v>
      </c>
      <c r="D2989" t="s">
        <v>45</v>
      </c>
      <c r="E2989" t="s">
        <v>1429</v>
      </c>
      <c r="F2989" s="2">
        <v>444</v>
      </c>
      <c r="G2989" s="2">
        <v>7</v>
      </c>
      <c r="H2989" t="s">
        <v>195</v>
      </c>
      <c r="I2989" t="s">
        <v>196</v>
      </c>
      <c r="J2989" s="11">
        <v>1046.9965626762234</v>
      </c>
      <c r="K2989" s="10" t="str">
        <f t="shared" si="99"/>
        <v>Dave Tahajian</v>
      </c>
    </row>
    <row r="2990" spans="1:11" hidden="1" x14ac:dyDescent="0.35">
      <c r="A2990">
        <f t="shared" si="100"/>
        <v>2989</v>
      </c>
      <c r="B2990">
        <v>2018</v>
      </c>
      <c r="C2990" t="s">
        <v>8</v>
      </c>
      <c r="D2990" t="s">
        <v>45</v>
      </c>
      <c r="E2990" t="s">
        <v>1429</v>
      </c>
      <c r="F2990" s="2">
        <v>368</v>
      </c>
      <c r="G2990" s="2">
        <v>8</v>
      </c>
      <c r="H2990" t="s">
        <v>53</v>
      </c>
      <c r="I2990" t="s">
        <v>54</v>
      </c>
      <c r="J2990" s="11">
        <v>989.00461569853678</v>
      </c>
      <c r="K2990" s="10" t="str">
        <f t="shared" si="99"/>
        <v>Joyce Ciotti</v>
      </c>
    </row>
    <row r="2991" spans="1:11" hidden="1" x14ac:dyDescent="0.35">
      <c r="A2991">
        <f t="shared" si="100"/>
        <v>2990</v>
      </c>
      <c r="B2991">
        <v>2018</v>
      </c>
      <c r="C2991" t="s">
        <v>8</v>
      </c>
      <c r="D2991" t="s">
        <v>45</v>
      </c>
      <c r="E2991" t="s">
        <v>1429</v>
      </c>
      <c r="F2991" s="2">
        <v>293</v>
      </c>
      <c r="G2991" s="2">
        <v>9</v>
      </c>
      <c r="H2991" t="s">
        <v>39</v>
      </c>
      <c r="I2991" t="s">
        <v>40</v>
      </c>
      <c r="J2991" s="11">
        <v>937.85209325115545</v>
      </c>
      <c r="K2991" s="10" t="str">
        <f t="shared" si="99"/>
        <v>Katie Baxter</v>
      </c>
    </row>
    <row r="2992" spans="1:11" hidden="1" x14ac:dyDescent="0.35">
      <c r="A2992">
        <f t="shared" si="100"/>
        <v>2991</v>
      </c>
      <c r="B2992">
        <v>2018</v>
      </c>
      <c r="C2992" t="s">
        <v>8</v>
      </c>
      <c r="D2992" t="s">
        <v>45</v>
      </c>
      <c r="E2992" t="s">
        <v>1429</v>
      </c>
      <c r="F2992" s="2">
        <v>217</v>
      </c>
      <c r="G2992" s="2">
        <v>10</v>
      </c>
      <c r="H2992" t="s">
        <v>2278</v>
      </c>
      <c r="I2992" t="s">
        <v>324</v>
      </c>
      <c r="J2992" s="11">
        <v>892.09460269048031</v>
      </c>
      <c r="K2992" s="10" t="str">
        <f t="shared" si="99"/>
        <v>Andrew Chapman</v>
      </c>
    </row>
    <row r="2993" spans="1:11" hidden="1" x14ac:dyDescent="0.35">
      <c r="A2993">
        <f t="shared" si="100"/>
        <v>2992</v>
      </c>
      <c r="B2993">
        <v>2018</v>
      </c>
      <c r="C2993" t="s">
        <v>8</v>
      </c>
      <c r="D2993" t="s">
        <v>45</v>
      </c>
      <c r="E2993" t="s">
        <v>1429</v>
      </c>
      <c r="F2993" s="2">
        <v>100</v>
      </c>
      <c r="G2993" s="2">
        <v>11</v>
      </c>
      <c r="H2993" t="s">
        <v>183</v>
      </c>
      <c r="I2993" t="s">
        <v>101</v>
      </c>
      <c r="J2993" s="11">
        <v>850.70191753225527</v>
      </c>
      <c r="K2993" s="10" t="str">
        <f t="shared" si="99"/>
        <v>Dean White</v>
      </c>
    </row>
    <row r="2994" spans="1:11" hidden="1" x14ac:dyDescent="0.35">
      <c r="A2994">
        <f t="shared" si="100"/>
        <v>2993</v>
      </c>
      <c r="B2994">
        <v>2018</v>
      </c>
      <c r="C2994" t="s">
        <v>8</v>
      </c>
      <c r="D2994" t="s">
        <v>24</v>
      </c>
      <c r="E2994" t="s">
        <v>1430</v>
      </c>
      <c r="F2994" s="2">
        <v>902</v>
      </c>
      <c r="G2994" s="2">
        <v>1</v>
      </c>
      <c r="H2994" t="s">
        <v>37</v>
      </c>
      <c r="I2994" t="s">
        <v>38</v>
      </c>
      <c r="J2994" s="11">
        <v>723.57901567110957</v>
      </c>
      <c r="K2994" s="10" t="str">
        <f t="shared" si="99"/>
        <v>Doug Grismore</v>
      </c>
    </row>
    <row r="2995" spans="1:11" hidden="1" x14ac:dyDescent="0.35">
      <c r="A2995">
        <f t="shared" si="100"/>
        <v>2994</v>
      </c>
      <c r="B2995">
        <v>2018</v>
      </c>
      <c r="C2995" t="s">
        <v>8</v>
      </c>
      <c r="D2995" t="s">
        <v>24</v>
      </c>
      <c r="E2995" t="s">
        <v>1430</v>
      </c>
      <c r="F2995" s="2">
        <v>902</v>
      </c>
      <c r="G2995" s="2">
        <v>1</v>
      </c>
      <c r="H2995" t="s">
        <v>294</v>
      </c>
      <c r="I2995" t="s">
        <v>16</v>
      </c>
      <c r="J2995" s="11">
        <v>723.57901567110957</v>
      </c>
      <c r="K2995" s="10" t="str">
        <f t="shared" si="99"/>
        <v>David Low</v>
      </c>
    </row>
    <row r="2996" spans="1:11" hidden="1" x14ac:dyDescent="0.35">
      <c r="A2996">
        <f t="shared" si="100"/>
        <v>2995</v>
      </c>
      <c r="B2996">
        <v>2018</v>
      </c>
      <c r="C2996" t="s">
        <v>8</v>
      </c>
      <c r="D2996" t="s">
        <v>24</v>
      </c>
      <c r="E2996" t="s">
        <v>1430</v>
      </c>
      <c r="F2996" s="2">
        <v>703</v>
      </c>
      <c r="G2996" s="2">
        <v>2</v>
      </c>
      <c r="H2996" t="s">
        <v>653</v>
      </c>
      <c r="I2996" t="s">
        <v>2386</v>
      </c>
      <c r="J2996" s="11">
        <v>573.06401783911895</v>
      </c>
      <c r="K2996" s="10" t="str">
        <f t="shared" si="99"/>
        <v>Winchester Brown</v>
      </c>
    </row>
    <row r="2997" spans="1:11" hidden="1" x14ac:dyDescent="0.35">
      <c r="A2997">
        <f t="shared" si="100"/>
        <v>2996</v>
      </c>
      <c r="B2997">
        <v>2018</v>
      </c>
      <c r="C2997" t="s">
        <v>8</v>
      </c>
      <c r="D2997" t="s">
        <v>24</v>
      </c>
      <c r="E2997" t="s">
        <v>1430</v>
      </c>
      <c r="F2997" s="2">
        <v>703</v>
      </c>
      <c r="G2997" s="2">
        <v>2</v>
      </c>
      <c r="H2997" t="s">
        <v>2278</v>
      </c>
      <c r="I2997" t="s">
        <v>324</v>
      </c>
      <c r="J2997" s="11">
        <v>573.06401783911895</v>
      </c>
      <c r="K2997" s="10" t="str">
        <f t="shared" si="99"/>
        <v>Andrew Chapman</v>
      </c>
    </row>
    <row r="2998" spans="1:11" hidden="1" x14ac:dyDescent="0.35">
      <c r="A2998">
        <f t="shared" si="100"/>
        <v>2997</v>
      </c>
      <c r="B2998">
        <v>2018</v>
      </c>
      <c r="C2998" t="s">
        <v>8</v>
      </c>
      <c r="D2998" t="s">
        <v>24</v>
      </c>
      <c r="E2998" t="s">
        <v>1430</v>
      </c>
      <c r="F2998" s="2">
        <v>427</v>
      </c>
      <c r="G2998" s="2">
        <v>3</v>
      </c>
      <c r="H2998" t="s">
        <v>238</v>
      </c>
      <c r="I2998" t="s">
        <v>16</v>
      </c>
      <c r="J2998" s="11">
        <v>485.01838831127839</v>
      </c>
      <c r="K2998" s="10" t="str">
        <f t="shared" si="99"/>
        <v>David Kuznick</v>
      </c>
    </row>
    <row r="2999" spans="1:11" hidden="1" x14ac:dyDescent="0.35">
      <c r="A2999">
        <f t="shared" si="100"/>
        <v>2998</v>
      </c>
      <c r="B2999">
        <v>2018</v>
      </c>
      <c r="C2999" t="s">
        <v>8</v>
      </c>
      <c r="D2999" t="s">
        <v>24</v>
      </c>
      <c r="E2999" t="s">
        <v>1430</v>
      </c>
      <c r="F2999" s="2">
        <v>427</v>
      </c>
      <c r="G2999" s="2">
        <v>3</v>
      </c>
      <c r="H2999" t="s">
        <v>238</v>
      </c>
      <c r="I2999" t="s">
        <v>375</v>
      </c>
      <c r="J2999" s="11">
        <v>485.01838831127839</v>
      </c>
      <c r="K2999" s="10" t="str">
        <f t="shared" si="99"/>
        <v>Jessica Kuznick</v>
      </c>
    </row>
    <row r="3000" spans="1:11" hidden="1" x14ac:dyDescent="0.35">
      <c r="A3000">
        <f t="shared" si="100"/>
        <v>2999</v>
      </c>
      <c r="B3000">
        <v>2018</v>
      </c>
      <c r="C3000" t="s">
        <v>8</v>
      </c>
      <c r="D3000" t="s">
        <v>24</v>
      </c>
      <c r="E3000" t="s">
        <v>1430</v>
      </c>
      <c r="F3000" s="2">
        <v>284</v>
      </c>
      <c r="G3000" s="2">
        <v>4</v>
      </c>
      <c r="H3000" t="s">
        <v>407</v>
      </c>
      <c r="I3000" t="s">
        <v>406</v>
      </c>
      <c r="J3000" s="11">
        <v>422.54902000712843</v>
      </c>
      <c r="K3000" s="10" t="str">
        <f t="shared" si="99"/>
        <v>Howard Jackson</v>
      </c>
    </row>
    <row r="3001" spans="1:11" hidden="1" x14ac:dyDescent="0.35">
      <c r="A3001">
        <f t="shared" si="100"/>
        <v>3000</v>
      </c>
      <c r="B3001">
        <v>2018</v>
      </c>
      <c r="C3001" t="s">
        <v>8</v>
      </c>
      <c r="D3001" t="s">
        <v>24</v>
      </c>
      <c r="E3001" t="s">
        <v>1430</v>
      </c>
      <c r="F3001" s="2">
        <v>284</v>
      </c>
      <c r="G3001" s="2">
        <v>4</v>
      </c>
      <c r="H3001" t="s">
        <v>2322</v>
      </c>
      <c r="I3001" t="s">
        <v>429</v>
      </c>
      <c r="J3001" s="11">
        <v>422.54902000712843</v>
      </c>
      <c r="K3001" s="10" t="str">
        <f t="shared" si="99"/>
        <v>Mary Mulcahy</v>
      </c>
    </row>
    <row r="3002" spans="1:11" hidden="1" x14ac:dyDescent="0.35">
      <c r="A3002">
        <f t="shared" si="100"/>
        <v>3001</v>
      </c>
      <c r="B3002">
        <v>2018</v>
      </c>
      <c r="C3002" t="s">
        <v>8</v>
      </c>
      <c r="D3002" t="s">
        <v>24</v>
      </c>
      <c r="E3002" t="s">
        <v>1430</v>
      </c>
      <c r="F3002" s="2">
        <v>230</v>
      </c>
      <c r="G3002" s="2">
        <v>5</v>
      </c>
      <c r="H3002" t="s">
        <v>436</v>
      </c>
      <c r="I3002" t="s">
        <v>16</v>
      </c>
      <c r="J3002" s="11">
        <v>374.0940135031002</v>
      </c>
      <c r="K3002" s="10" t="str">
        <f t="shared" si="99"/>
        <v>David Coates</v>
      </c>
    </row>
    <row r="3003" spans="1:11" hidden="1" x14ac:dyDescent="0.35">
      <c r="A3003">
        <f t="shared" si="100"/>
        <v>3002</v>
      </c>
      <c r="B3003">
        <v>2018</v>
      </c>
      <c r="C3003" t="s">
        <v>8</v>
      </c>
      <c r="D3003" t="s">
        <v>24</v>
      </c>
      <c r="E3003" t="s">
        <v>1430</v>
      </c>
      <c r="F3003" s="2">
        <v>230</v>
      </c>
      <c r="G3003" s="2">
        <v>5</v>
      </c>
      <c r="H3003" t="s">
        <v>433</v>
      </c>
      <c r="I3003" t="s">
        <v>434</v>
      </c>
      <c r="J3003" s="11">
        <v>374.0940135031002</v>
      </c>
      <c r="K3003" t="str">
        <f t="shared" si="99"/>
        <v>AJ Evangelista</v>
      </c>
    </row>
    <row r="3004" spans="1:11" hidden="1" x14ac:dyDescent="0.35">
      <c r="A3004">
        <f t="shared" si="100"/>
        <v>3003</v>
      </c>
      <c r="B3004">
        <v>2018</v>
      </c>
      <c r="C3004" t="s">
        <v>8</v>
      </c>
      <c r="D3004" t="s">
        <v>24</v>
      </c>
      <c r="E3004" t="s">
        <v>1430</v>
      </c>
      <c r="F3004" s="2">
        <v>170</v>
      </c>
      <c r="G3004" s="2">
        <v>6</v>
      </c>
      <c r="H3004" t="s">
        <v>128</v>
      </c>
      <c r="I3004" t="s">
        <v>443</v>
      </c>
      <c r="J3004" s="11">
        <v>334.50339047928776</v>
      </c>
      <c r="K3004" s="10" t="str">
        <f t="shared" si="99"/>
        <v>Ming Lee</v>
      </c>
    </row>
    <row r="3005" spans="1:11" hidden="1" x14ac:dyDescent="0.35">
      <c r="A3005">
        <f t="shared" si="100"/>
        <v>3004</v>
      </c>
      <c r="B3005">
        <v>2018</v>
      </c>
      <c r="C3005" t="s">
        <v>8</v>
      </c>
      <c r="D3005" t="s">
        <v>24</v>
      </c>
      <c r="E3005" t="s">
        <v>1430</v>
      </c>
      <c r="F3005" s="2">
        <v>170</v>
      </c>
      <c r="G3005" s="2">
        <v>6</v>
      </c>
      <c r="H3005" t="s">
        <v>195</v>
      </c>
      <c r="I3005" t="s">
        <v>196</v>
      </c>
      <c r="J3005" s="11">
        <v>334.50339047928776</v>
      </c>
      <c r="K3005" s="10" t="str">
        <f t="shared" si="99"/>
        <v>Dave Tahajian</v>
      </c>
    </row>
    <row r="3006" spans="1:11" hidden="1" x14ac:dyDescent="0.35">
      <c r="A3006">
        <f t="shared" si="100"/>
        <v>3005</v>
      </c>
      <c r="B3006">
        <v>2019</v>
      </c>
      <c r="C3006" t="s">
        <v>2410</v>
      </c>
      <c r="D3006" t="s">
        <v>557</v>
      </c>
      <c r="E3006" t="s">
        <v>1430</v>
      </c>
      <c r="F3006" s="2">
        <v>1500</v>
      </c>
      <c r="G3006" s="2">
        <v>1</v>
      </c>
      <c r="H3006" t="s">
        <v>2458</v>
      </c>
      <c r="I3006" t="s">
        <v>384</v>
      </c>
      <c r="J3006" s="11">
        <v>1698.9700043360187</v>
      </c>
      <c r="K3006" t="str">
        <f t="shared" si="99"/>
        <v>Jeff Bento</v>
      </c>
    </row>
    <row r="3007" spans="1:11" hidden="1" x14ac:dyDescent="0.35">
      <c r="A3007">
        <f t="shared" si="100"/>
        <v>3006</v>
      </c>
      <c r="B3007">
        <v>2019</v>
      </c>
      <c r="C3007" t="s">
        <v>2410</v>
      </c>
      <c r="D3007" t="s">
        <v>557</v>
      </c>
      <c r="E3007" t="s">
        <v>1430</v>
      </c>
      <c r="F3007" s="2">
        <v>1100</v>
      </c>
      <c r="G3007" s="2">
        <v>2</v>
      </c>
      <c r="H3007" t="s">
        <v>889</v>
      </c>
      <c r="I3007" t="s">
        <v>890</v>
      </c>
      <c r="J3007" s="11">
        <v>1397.9400086720375</v>
      </c>
      <c r="K3007" t="str">
        <f t="shared" si="99"/>
        <v>Perry Spies</v>
      </c>
    </row>
    <row r="3008" spans="1:11" hidden="1" x14ac:dyDescent="0.35">
      <c r="A3008">
        <f t="shared" si="100"/>
        <v>3007</v>
      </c>
      <c r="B3008">
        <v>2019</v>
      </c>
      <c r="C3008" t="s">
        <v>2410</v>
      </c>
      <c r="D3008" t="s">
        <v>557</v>
      </c>
      <c r="E3008" t="s">
        <v>1430</v>
      </c>
      <c r="F3008" s="2">
        <v>1025</v>
      </c>
      <c r="G3008" s="2">
        <v>3</v>
      </c>
      <c r="H3008" t="s">
        <v>2460</v>
      </c>
      <c r="I3008" t="s">
        <v>187</v>
      </c>
      <c r="J3008" s="11">
        <v>1221.8487496163564</v>
      </c>
      <c r="K3008" t="str">
        <f t="shared" si="99"/>
        <v>Joe Berman</v>
      </c>
    </row>
    <row r="3009" spans="1:11" hidden="1" x14ac:dyDescent="0.35">
      <c r="A3009">
        <f t="shared" si="100"/>
        <v>3008</v>
      </c>
      <c r="B3009">
        <v>2019</v>
      </c>
      <c r="C3009" t="s">
        <v>2410</v>
      </c>
      <c r="D3009" t="s">
        <v>557</v>
      </c>
      <c r="E3009" t="s">
        <v>1430</v>
      </c>
      <c r="F3009" s="2">
        <v>475</v>
      </c>
      <c r="G3009" s="2">
        <v>4</v>
      </c>
      <c r="H3009" t="s">
        <v>161</v>
      </c>
      <c r="I3009" t="s">
        <v>162</v>
      </c>
      <c r="J3009" s="11">
        <v>1096.9100130080562</v>
      </c>
      <c r="K3009" t="str">
        <f t="shared" si="99"/>
        <v>Tracy Becker</v>
      </c>
    </row>
    <row r="3010" spans="1:11" hidden="1" x14ac:dyDescent="0.35">
      <c r="A3010">
        <f t="shared" si="100"/>
        <v>3009</v>
      </c>
      <c r="B3010">
        <v>2019</v>
      </c>
      <c r="C3010" t="s">
        <v>2410</v>
      </c>
      <c r="D3010" t="s">
        <v>557</v>
      </c>
      <c r="E3010" t="s">
        <v>1430</v>
      </c>
      <c r="F3010" s="2">
        <v>375</v>
      </c>
      <c r="G3010" s="2">
        <v>5</v>
      </c>
      <c r="H3010" t="s">
        <v>64</v>
      </c>
      <c r="I3010" t="s">
        <v>65</v>
      </c>
      <c r="J3010" s="11">
        <v>999.99999999999989</v>
      </c>
      <c r="K3010" t="str">
        <f t="shared" ref="K3010:K3073" si="101">I3010&amp;" "&amp;H3010</f>
        <v>Steve Daniel</v>
      </c>
    </row>
    <row r="3011" spans="1:11" hidden="1" x14ac:dyDescent="0.35">
      <c r="A3011">
        <f t="shared" si="100"/>
        <v>3010</v>
      </c>
      <c r="B3011">
        <v>2019</v>
      </c>
      <c r="C3011" t="s">
        <v>2410</v>
      </c>
      <c r="D3011" t="s">
        <v>557</v>
      </c>
      <c r="E3011" t="s">
        <v>1430</v>
      </c>
      <c r="F3011" s="2">
        <v>300</v>
      </c>
      <c r="G3011" s="2">
        <v>6</v>
      </c>
      <c r="H3011" t="s">
        <v>204</v>
      </c>
      <c r="I3011" t="s">
        <v>205</v>
      </c>
      <c r="J3011" s="11">
        <v>920.81875395237512</v>
      </c>
      <c r="K3011" t="str">
        <f t="shared" si="101"/>
        <v>Ron Grossberg</v>
      </c>
    </row>
    <row r="3012" spans="1:11" hidden="1" x14ac:dyDescent="0.35">
      <c r="A3012">
        <f t="shared" si="100"/>
        <v>3011</v>
      </c>
      <c r="B3012">
        <v>2019</v>
      </c>
      <c r="C3012" t="s">
        <v>2410</v>
      </c>
      <c r="D3012" t="s">
        <v>557</v>
      </c>
      <c r="E3012" t="s">
        <v>1430</v>
      </c>
      <c r="F3012" s="2">
        <v>225</v>
      </c>
      <c r="G3012" s="2">
        <v>7</v>
      </c>
      <c r="H3012" t="s">
        <v>2398</v>
      </c>
      <c r="I3012" t="s">
        <v>1955</v>
      </c>
      <c r="J3012" s="11">
        <v>853.87196432176188</v>
      </c>
      <c r="K3012" t="str">
        <f t="shared" si="101"/>
        <v>Nancy Robertson</v>
      </c>
    </row>
    <row r="3013" spans="1:11" hidden="1" x14ac:dyDescent="0.35">
      <c r="A3013">
        <f t="shared" si="100"/>
        <v>3012</v>
      </c>
      <c r="B3013">
        <v>2019</v>
      </c>
      <c r="C3013" t="s">
        <v>2410</v>
      </c>
      <c r="D3013" t="s">
        <v>2469</v>
      </c>
      <c r="E3013" t="s">
        <v>133</v>
      </c>
      <c r="F3013" s="2">
        <v>1517</v>
      </c>
      <c r="G3013" s="2">
        <v>1</v>
      </c>
      <c r="H3013" t="s">
        <v>103</v>
      </c>
      <c r="I3013" t="s">
        <v>104</v>
      </c>
      <c r="J3013" s="11">
        <v>1568.201724066995</v>
      </c>
      <c r="K3013" t="str">
        <f t="shared" si="101"/>
        <v>Masanobu Fujioka</v>
      </c>
    </row>
    <row r="3014" spans="1:11" hidden="1" x14ac:dyDescent="0.35">
      <c r="A3014">
        <f t="shared" si="100"/>
        <v>3013</v>
      </c>
      <c r="B3014">
        <v>2019</v>
      </c>
      <c r="C3014" t="s">
        <v>2410</v>
      </c>
      <c r="D3014" t="s">
        <v>2469</v>
      </c>
      <c r="E3014" t="s">
        <v>133</v>
      </c>
      <c r="F3014" s="2">
        <v>925</v>
      </c>
      <c r="G3014" s="2">
        <v>2</v>
      </c>
      <c r="H3014" t="s">
        <v>461</v>
      </c>
      <c r="I3014" t="s">
        <v>1448</v>
      </c>
      <c r="J3014" s="11">
        <v>1267.1717284030137</v>
      </c>
      <c r="K3014" t="str">
        <f t="shared" si="101"/>
        <v>Christian Jones</v>
      </c>
    </row>
    <row r="3015" spans="1:11" hidden="1" x14ac:dyDescent="0.35">
      <c r="A3015">
        <f t="shared" si="100"/>
        <v>3014</v>
      </c>
      <c r="B3015">
        <v>2019</v>
      </c>
      <c r="C3015" t="s">
        <v>2410</v>
      </c>
      <c r="D3015" t="s">
        <v>2469</v>
      </c>
      <c r="E3015" t="s">
        <v>133</v>
      </c>
      <c r="F3015" s="2">
        <v>555</v>
      </c>
      <c r="G3015" s="2">
        <v>3</v>
      </c>
      <c r="H3015" t="s">
        <v>1437</v>
      </c>
      <c r="I3015" t="s">
        <v>44</v>
      </c>
      <c r="J3015" s="11">
        <v>1091.0804693473326</v>
      </c>
      <c r="K3015" t="str">
        <f t="shared" si="101"/>
        <v>Mike Fujita</v>
      </c>
    </row>
    <row r="3016" spans="1:11" hidden="1" x14ac:dyDescent="0.35">
      <c r="A3016">
        <f t="shared" si="100"/>
        <v>3015</v>
      </c>
      <c r="B3016">
        <v>2019</v>
      </c>
      <c r="C3016" t="s">
        <v>2410</v>
      </c>
      <c r="D3016" t="s">
        <v>2469</v>
      </c>
      <c r="E3016" t="s">
        <v>133</v>
      </c>
      <c r="F3016" s="2">
        <v>407</v>
      </c>
      <c r="G3016" s="2">
        <v>4</v>
      </c>
      <c r="H3016" t="s">
        <v>2470</v>
      </c>
      <c r="I3016" t="s">
        <v>218</v>
      </c>
      <c r="J3016" s="11">
        <v>966.14173273903259</v>
      </c>
      <c r="K3016" t="str">
        <f t="shared" si="101"/>
        <v>Michael Perlmutter</v>
      </c>
    </row>
    <row r="3017" spans="1:11" hidden="1" x14ac:dyDescent="0.35">
      <c r="A3017">
        <f t="shared" si="100"/>
        <v>3016</v>
      </c>
      <c r="B3017">
        <v>2019</v>
      </c>
      <c r="C3017" t="s">
        <v>2410</v>
      </c>
      <c r="D3017" t="s">
        <v>2469</v>
      </c>
      <c r="E3017" t="s">
        <v>133</v>
      </c>
      <c r="F3017" s="2">
        <v>296</v>
      </c>
      <c r="G3017" s="2">
        <v>5</v>
      </c>
      <c r="H3017" t="s">
        <v>202</v>
      </c>
      <c r="I3017" t="s">
        <v>205</v>
      </c>
      <c r="J3017" s="11">
        <v>869.23171973097612</v>
      </c>
      <c r="K3017" t="str">
        <f t="shared" si="101"/>
        <v>Ron Lyons</v>
      </c>
    </row>
    <row r="3018" spans="1:11" hidden="1" x14ac:dyDescent="0.35">
      <c r="A3018">
        <f t="shared" si="100"/>
        <v>3017</v>
      </c>
      <c r="B3018">
        <v>2019</v>
      </c>
      <c r="C3018" t="s">
        <v>2410</v>
      </c>
      <c r="D3018" t="s">
        <v>2469</v>
      </c>
      <c r="E3018" t="s">
        <v>133</v>
      </c>
      <c r="F3018" s="2">
        <v>120</v>
      </c>
      <c r="G3018" s="2">
        <v>6</v>
      </c>
      <c r="H3018" t="s">
        <v>836</v>
      </c>
      <c r="I3018" t="s">
        <v>136</v>
      </c>
      <c r="J3018" s="11">
        <v>790.05047368335136</v>
      </c>
      <c r="K3018" t="str">
        <f t="shared" si="101"/>
        <v>John Grout</v>
      </c>
    </row>
    <row r="3019" spans="1:11" hidden="1" x14ac:dyDescent="0.35">
      <c r="A3019">
        <f t="shared" si="100"/>
        <v>3018</v>
      </c>
      <c r="B3019">
        <v>2019</v>
      </c>
      <c r="C3019" t="s">
        <v>2410</v>
      </c>
      <c r="D3019" t="s">
        <v>2462</v>
      </c>
      <c r="E3019" t="s">
        <v>1429</v>
      </c>
      <c r="F3019" s="2">
        <v>1084</v>
      </c>
      <c r="G3019" s="2">
        <v>1</v>
      </c>
      <c r="H3019" t="s">
        <v>2463</v>
      </c>
      <c r="I3019" t="s">
        <v>1073</v>
      </c>
      <c r="J3019" s="11">
        <v>1707.5701760979362</v>
      </c>
      <c r="K3019" t="str">
        <f t="shared" si="101"/>
        <v>Sam Birchem</v>
      </c>
    </row>
    <row r="3020" spans="1:11" hidden="1" x14ac:dyDescent="0.35">
      <c r="A3020">
        <f t="shared" si="100"/>
        <v>3019</v>
      </c>
      <c r="B3020">
        <v>2019</v>
      </c>
      <c r="C3020" t="s">
        <v>2410</v>
      </c>
      <c r="D3020" t="s">
        <v>2462</v>
      </c>
      <c r="E3020" t="s">
        <v>1429</v>
      </c>
      <c r="F3020" s="2">
        <v>817</v>
      </c>
      <c r="G3020" s="2">
        <v>2</v>
      </c>
      <c r="H3020" t="s">
        <v>1060</v>
      </c>
      <c r="I3020" t="s">
        <v>13</v>
      </c>
      <c r="J3020" s="11">
        <v>1406.5401804339549</v>
      </c>
      <c r="K3020" t="str">
        <f t="shared" si="101"/>
        <v>Tom Abraham</v>
      </c>
    </row>
    <row r="3021" spans="1:11" hidden="1" x14ac:dyDescent="0.35">
      <c r="A3021">
        <f t="shared" si="100"/>
        <v>3020</v>
      </c>
      <c r="B3021">
        <v>2019</v>
      </c>
      <c r="C3021" t="s">
        <v>2410</v>
      </c>
      <c r="D3021" t="s">
        <v>2462</v>
      </c>
      <c r="E3021" t="s">
        <v>1429</v>
      </c>
      <c r="F3021" s="2">
        <v>768</v>
      </c>
      <c r="G3021" s="2">
        <v>3</v>
      </c>
      <c r="H3021" t="s">
        <v>2460</v>
      </c>
      <c r="I3021" t="s">
        <v>187</v>
      </c>
      <c r="J3021" s="11">
        <v>1230.4489213782738</v>
      </c>
      <c r="K3021" t="str">
        <f t="shared" si="101"/>
        <v>Joe Berman</v>
      </c>
    </row>
    <row r="3022" spans="1:11" hidden="1" x14ac:dyDescent="0.35">
      <c r="A3022">
        <f t="shared" si="100"/>
        <v>3021</v>
      </c>
      <c r="B3022">
        <v>2019</v>
      </c>
      <c r="C3022" t="s">
        <v>2410</v>
      </c>
      <c r="D3022" t="s">
        <v>2462</v>
      </c>
      <c r="E3022" t="s">
        <v>1429</v>
      </c>
      <c r="F3022" s="2">
        <v>601</v>
      </c>
      <c r="G3022" s="2">
        <v>4</v>
      </c>
      <c r="H3022" t="s">
        <v>836</v>
      </c>
      <c r="I3022" t="s">
        <v>136</v>
      </c>
      <c r="J3022" s="11">
        <v>1105.5101847699736</v>
      </c>
      <c r="K3022" t="str">
        <f t="shared" si="101"/>
        <v>John Grout</v>
      </c>
    </row>
    <row r="3023" spans="1:11" hidden="1" x14ac:dyDescent="0.35">
      <c r="A3023">
        <f t="shared" si="100"/>
        <v>3022</v>
      </c>
      <c r="B3023">
        <v>2019</v>
      </c>
      <c r="C3023" t="s">
        <v>2410</v>
      </c>
      <c r="D3023" t="s">
        <v>2462</v>
      </c>
      <c r="E3023" t="s">
        <v>1429</v>
      </c>
      <c r="F3023" s="2">
        <v>800</v>
      </c>
      <c r="G3023" s="2">
        <v>5</v>
      </c>
      <c r="H3023" t="s">
        <v>19</v>
      </c>
      <c r="I3023" t="s">
        <v>20</v>
      </c>
      <c r="J3023" s="11">
        <v>1008.6001717619175</v>
      </c>
      <c r="K3023" t="str">
        <f t="shared" si="101"/>
        <v>Barry Kornspan</v>
      </c>
    </row>
    <row r="3024" spans="1:11" hidden="1" x14ac:dyDescent="0.35">
      <c r="A3024">
        <f t="shared" si="100"/>
        <v>3023</v>
      </c>
      <c r="B3024">
        <v>2019</v>
      </c>
      <c r="C3024" t="s">
        <v>2410</v>
      </c>
      <c r="D3024" t="s">
        <v>2462</v>
      </c>
      <c r="E3024" t="s">
        <v>1429</v>
      </c>
      <c r="F3024" s="2">
        <v>800</v>
      </c>
      <c r="G3024" s="2">
        <v>6</v>
      </c>
      <c r="H3024" t="s">
        <v>1437</v>
      </c>
      <c r="I3024" t="s">
        <v>44</v>
      </c>
      <c r="J3024" s="11">
        <v>929.41892571429264</v>
      </c>
      <c r="K3024" t="str">
        <f t="shared" si="101"/>
        <v>Mike Fujita</v>
      </c>
    </row>
    <row r="3025" spans="1:11" hidden="1" x14ac:dyDescent="0.35">
      <c r="A3025">
        <f t="shared" si="100"/>
        <v>3024</v>
      </c>
      <c r="B3025">
        <v>2019</v>
      </c>
      <c r="C3025" t="s">
        <v>2410</v>
      </c>
      <c r="D3025" t="s">
        <v>2462</v>
      </c>
      <c r="E3025" t="s">
        <v>1429</v>
      </c>
      <c r="F3025" s="2">
        <v>230</v>
      </c>
      <c r="G3025" s="2">
        <v>7</v>
      </c>
      <c r="H3025" t="s">
        <v>2465</v>
      </c>
      <c r="I3025" t="s">
        <v>2173</v>
      </c>
      <c r="J3025" s="11">
        <v>862.4721360836794</v>
      </c>
      <c r="K3025" t="str">
        <f t="shared" si="101"/>
        <v>Allen Stern</v>
      </c>
    </row>
    <row r="3026" spans="1:11" hidden="1" x14ac:dyDescent="0.35">
      <c r="A3026">
        <f t="shared" si="100"/>
        <v>3025</v>
      </c>
      <c r="B3026">
        <v>2019</v>
      </c>
      <c r="C3026" t="s">
        <v>2410</v>
      </c>
      <c r="D3026" t="s">
        <v>2462</v>
      </c>
      <c r="E3026" t="s">
        <v>1429</v>
      </c>
      <c r="F3026" s="2">
        <v>160</v>
      </c>
      <c r="G3026" s="2">
        <v>8</v>
      </c>
      <c r="H3026" t="s">
        <v>2467</v>
      </c>
      <c r="I3026" t="s">
        <v>196</v>
      </c>
      <c r="J3026" s="11">
        <v>804.48018910599274</v>
      </c>
      <c r="K3026" t="str">
        <f t="shared" si="101"/>
        <v>Dave Raszewski</v>
      </c>
    </row>
    <row r="3027" spans="1:11" hidden="1" x14ac:dyDescent="0.35">
      <c r="A3027">
        <f t="shared" si="100"/>
        <v>3026</v>
      </c>
      <c r="B3027">
        <v>2019</v>
      </c>
      <c r="C3027" t="s">
        <v>109</v>
      </c>
      <c r="D3027" t="s">
        <v>45</v>
      </c>
      <c r="E3027" t="s">
        <v>1429</v>
      </c>
      <c r="F3027" s="2">
        <v>1935</v>
      </c>
      <c r="G3027" s="2">
        <v>1</v>
      </c>
      <c r="H3027" t="s">
        <v>947</v>
      </c>
      <c r="I3027" t="s">
        <v>16</v>
      </c>
      <c r="J3027" s="11">
        <v>1755.8748556724915</v>
      </c>
      <c r="K3027" t="str">
        <f t="shared" si="101"/>
        <v>David Chan</v>
      </c>
    </row>
    <row r="3028" spans="1:11" hidden="1" x14ac:dyDescent="0.35">
      <c r="A3028">
        <f t="shared" si="100"/>
        <v>3027</v>
      </c>
      <c r="B3028">
        <v>2019</v>
      </c>
      <c r="C3028" t="s">
        <v>109</v>
      </c>
      <c r="D3028" t="s">
        <v>45</v>
      </c>
      <c r="E3028" t="s">
        <v>1429</v>
      </c>
      <c r="F3028" s="2">
        <v>1051</v>
      </c>
      <c r="G3028" s="2">
        <v>2</v>
      </c>
      <c r="H3028" t="s">
        <v>33</v>
      </c>
      <c r="I3028" t="s">
        <v>34</v>
      </c>
      <c r="J3028" s="11">
        <v>1454.8448600085103</v>
      </c>
      <c r="K3028" t="str">
        <f t="shared" si="101"/>
        <v>Meredith Holtzman</v>
      </c>
    </row>
    <row r="3029" spans="1:11" hidden="1" x14ac:dyDescent="0.35">
      <c r="A3029">
        <f t="shared" si="100"/>
        <v>3028</v>
      </c>
      <c r="B3029">
        <v>2019</v>
      </c>
      <c r="C3029" t="s">
        <v>109</v>
      </c>
      <c r="D3029" t="s">
        <v>45</v>
      </c>
      <c r="E3029" t="s">
        <v>1429</v>
      </c>
      <c r="F3029" s="2">
        <v>663</v>
      </c>
      <c r="G3029" s="2">
        <v>3</v>
      </c>
      <c r="H3029" t="s">
        <v>420</v>
      </c>
      <c r="I3029" t="s">
        <v>153</v>
      </c>
      <c r="J3029" s="11">
        <v>1278.7536009528292</v>
      </c>
      <c r="K3029" t="str">
        <f t="shared" si="101"/>
        <v>Stephen Jacobs</v>
      </c>
    </row>
    <row r="3030" spans="1:11" hidden="1" x14ac:dyDescent="0.35">
      <c r="A3030">
        <f t="shared" si="100"/>
        <v>3029</v>
      </c>
      <c r="B3030">
        <v>2019</v>
      </c>
      <c r="C3030" t="s">
        <v>109</v>
      </c>
      <c r="D3030" t="s">
        <v>45</v>
      </c>
      <c r="E3030" t="s">
        <v>1429</v>
      </c>
      <c r="F3030" s="2">
        <v>498</v>
      </c>
      <c r="G3030" s="2">
        <v>4</v>
      </c>
      <c r="H3030" t="s">
        <v>64</v>
      </c>
      <c r="I3030" t="s">
        <v>65</v>
      </c>
      <c r="J3030" s="11">
        <v>1153.814864344529</v>
      </c>
      <c r="K3030" t="str">
        <f t="shared" si="101"/>
        <v>Steve Daniel</v>
      </c>
    </row>
    <row r="3031" spans="1:11" hidden="1" x14ac:dyDescent="0.35">
      <c r="A3031">
        <f t="shared" si="100"/>
        <v>3030</v>
      </c>
      <c r="B3031">
        <v>2019</v>
      </c>
      <c r="C3031" t="s">
        <v>109</v>
      </c>
      <c r="D3031" t="s">
        <v>45</v>
      </c>
      <c r="E3031" t="s">
        <v>1429</v>
      </c>
      <c r="F3031" s="2">
        <v>387</v>
      </c>
      <c r="G3031" s="2">
        <v>5</v>
      </c>
      <c r="H3031" t="s">
        <v>2456</v>
      </c>
      <c r="I3031" t="s">
        <v>463</v>
      </c>
      <c r="J3031" s="11">
        <v>1056.9048513364728</v>
      </c>
      <c r="K3031" t="str">
        <f t="shared" si="101"/>
        <v>Richard Klemm</v>
      </c>
    </row>
    <row r="3032" spans="1:11" hidden="1" x14ac:dyDescent="0.35">
      <c r="A3032">
        <f t="shared" si="100"/>
        <v>3031</v>
      </c>
      <c r="B3032">
        <v>2019</v>
      </c>
      <c r="C3032" t="s">
        <v>109</v>
      </c>
      <c r="D3032" t="s">
        <v>45</v>
      </c>
      <c r="E3032" t="s">
        <v>1429</v>
      </c>
      <c r="F3032" s="2">
        <v>332</v>
      </c>
      <c r="G3032" s="2">
        <v>6</v>
      </c>
      <c r="H3032" t="s">
        <v>461</v>
      </c>
      <c r="I3032" t="s">
        <v>1448</v>
      </c>
      <c r="J3032" s="11">
        <v>977.72360528884781</v>
      </c>
      <c r="K3032" t="str">
        <f t="shared" si="101"/>
        <v>Christian Jones</v>
      </c>
    </row>
    <row r="3033" spans="1:11" hidden="1" x14ac:dyDescent="0.35">
      <c r="A3033">
        <f t="shared" si="100"/>
        <v>3032</v>
      </c>
      <c r="B3033">
        <v>2019</v>
      </c>
      <c r="C3033" t="s">
        <v>109</v>
      </c>
      <c r="D3033" t="s">
        <v>45</v>
      </c>
      <c r="E3033" t="s">
        <v>1429</v>
      </c>
      <c r="F3033" s="2">
        <v>276</v>
      </c>
      <c r="G3033" s="2">
        <v>7</v>
      </c>
      <c r="H3033" t="s">
        <v>320</v>
      </c>
      <c r="I3033" t="s">
        <v>321</v>
      </c>
      <c r="J3033" s="11">
        <v>910.77681565823468</v>
      </c>
      <c r="K3033" t="str">
        <f t="shared" si="101"/>
        <v>Tina Gonzalez</v>
      </c>
    </row>
    <row r="3034" spans="1:11" hidden="1" x14ac:dyDescent="0.35">
      <c r="A3034">
        <f t="shared" si="100"/>
        <v>3033</v>
      </c>
      <c r="B3034">
        <v>2019</v>
      </c>
      <c r="C3034" t="s">
        <v>109</v>
      </c>
      <c r="D3034" t="s">
        <v>45</v>
      </c>
      <c r="E3034" t="s">
        <v>1429</v>
      </c>
      <c r="F3034" s="2">
        <v>221</v>
      </c>
      <c r="G3034" s="2">
        <v>8</v>
      </c>
      <c r="H3034" t="s">
        <v>2369</v>
      </c>
      <c r="I3034" t="s">
        <v>139</v>
      </c>
      <c r="J3034" s="11">
        <v>852.7848686805479</v>
      </c>
      <c r="K3034" t="str">
        <f t="shared" si="101"/>
        <v>Mark Manitzas</v>
      </c>
    </row>
    <row r="3035" spans="1:11" hidden="1" x14ac:dyDescent="0.35">
      <c r="A3035">
        <f t="shared" si="100"/>
        <v>3034</v>
      </c>
      <c r="B3035">
        <v>2019</v>
      </c>
      <c r="C3035" t="s">
        <v>109</v>
      </c>
      <c r="D3035" t="s">
        <v>45</v>
      </c>
      <c r="E3035" t="s">
        <v>1429</v>
      </c>
      <c r="F3035" s="2">
        <v>166</v>
      </c>
      <c r="G3035" s="2">
        <v>9</v>
      </c>
      <c r="H3035" t="s">
        <v>558</v>
      </c>
      <c r="I3035" t="s">
        <v>79</v>
      </c>
      <c r="J3035" s="11">
        <v>801.63234623316657</v>
      </c>
      <c r="K3035" t="str">
        <f t="shared" si="101"/>
        <v>Kevin Conlon</v>
      </c>
    </row>
    <row r="3036" spans="1:11" hidden="1" x14ac:dyDescent="0.35">
      <c r="A3036">
        <f t="shared" si="100"/>
        <v>3035</v>
      </c>
      <c r="B3036">
        <v>2019</v>
      </c>
      <c r="C3036" t="s">
        <v>109</v>
      </c>
      <c r="D3036" t="s">
        <v>133</v>
      </c>
      <c r="E3036" t="s">
        <v>133</v>
      </c>
      <c r="F3036" s="2">
        <v>1298</v>
      </c>
      <c r="G3036" s="2">
        <v>1</v>
      </c>
      <c r="H3036" t="s">
        <v>21</v>
      </c>
      <c r="I3036" t="s">
        <v>463</v>
      </c>
      <c r="J3036" s="11">
        <v>1447.1580313422191</v>
      </c>
      <c r="K3036" t="str">
        <f t="shared" si="101"/>
        <v>Richard Bremer</v>
      </c>
    </row>
    <row r="3037" spans="1:11" hidden="1" x14ac:dyDescent="0.35">
      <c r="A3037">
        <f t="shared" si="100"/>
        <v>3036</v>
      </c>
      <c r="B3037">
        <v>2019</v>
      </c>
      <c r="C3037" t="s">
        <v>109</v>
      </c>
      <c r="D3037" t="s">
        <v>133</v>
      </c>
      <c r="E3037" t="s">
        <v>133</v>
      </c>
      <c r="F3037" s="2">
        <v>755</v>
      </c>
      <c r="G3037" s="2">
        <v>2</v>
      </c>
      <c r="H3037" t="s">
        <v>15</v>
      </c>
      <c r="I3037" t="s">
        <v>28</v>
      </c>
      <c r="J3037" s="11">
        <v>1146.1280356782379</v>
      </c>
      <c r="K3037" t="str">
        <f t="shared" si="101"/>
        <v>Chris Kluchman</v>
      </c>
    </row>
    <row r="3038" spans="1:11" hidden="1" x14ac:dyDescent="0.35">
      <c r="A3038">
        <f t="shared" ref="A3038:A3101" si="102">A3037+1</f>
        <v>3037</v>
      </c>
      <c r="B3038">
        <v>2019</v>
      </c>
      <c r="C3038" t="s">
        <v>109</v>
      </c>
      <c r="D3038" t="s">
        <v>133</v>
      </c>
      <c r="E3038" t="s">
        <v>133</v>
      </c>
      <c r="F3038" s="2">
        <v>543</v>
      </c>
      <c r="G3038" s="2">
        <v>3</v>
      </c>
      <c r="H3038" t="s">
        <v>70</v>
      </c>
      <c r="I3038" t="s">
        <v>71</v>
      </c>
      <c r="J3038" s="11">
        <v>970.03677662255677</v>
      </c>
      <c r="K3038" t="str">
        <f t="shared" si="101"/>
        <v>Scott Byron</v>
      </c>
    </row>
    <row r="3039" spans="1:11" hidden="1" x14ac:dyDescent="0.35">
      <c r="A3039">
        <f t="shared" si="102"/>
        <v>3038</v>
      </c>
      <c r="B3039">
        <v>2019</v>
      </c>
      <c r="C3039" t="s">
        <v>109</v>
      </c>
      <c r="D3039" t="s">
        <v>133</v>
      </c>
      <c r="E3039" t="s">
        <v>133</v>
      </c>
      <c r="F3039" s="2">
        <v>120</v>
      </c>
      <c r="G3039" s="2">
        <v>4</v>
      </c>
      <c r="H3039" t="s">
        <v>407</v>
      </c>
      <c r="I3039" t="s">
        <v>406</v>
      </c>
      <c r="J3039" s="11">
        <v>845.09804001425687</v>
      </c>
      <c r="K3039" t="str">
        <f t="shared" si="101"/>
        <v>Howard Jackson</v>
      </c>
    </row>
    <row r="3040" spans="1:11" hidden="1" x14ac:dyDescent="0.35">
      <c r="A3040">
        <f t="shared" si="102"/>
        <v>3039</v>
      </c>
      <c r="B3040">
        <v>2019</v>
      </c>
      <c r="C3040" t="s">
        <v>109</v>
      </c>
      <c r="D3040" t="s">
        <v>770</v>
      </c>
      <c r="E3040" t="s">
        <v>1430</v>
      </c>
      <c r="F3040" s="2">
        <v>1628</v>
      </c>
      <c r="G3040" s="2">
        <v>1</v>
      </c>
      <c r="H3040" t="s">
        <v>39</v>
      </c>
      <c r="I3040" t="s">
        <v>40</v>
      </c>
      <c r="J3040" s="11">
        <v>1633.4684555795864</v>
      </c>
      <c r="K3040" t="str">
        <f t="shared" si="101"/>
        <v>Katie Baxter</v>
      </c>
    </row>
    <row r="3041" spans="1:11" hidden="1" x14ac:dyDescent="0.35">
      <c r="A3041">
        <f t="shared" si="102"/>
        <v>3040</v>
      </c>
      <c r="B3041">
        <v>2019</v>
      </c>
      <c r="C3041" t="s">
        <v>109</v>
      </c>
      <c r="D3041" t="s">
        <v>770</v>
      </c>
      <c r="E3041" t="s">
        <v>1430</v>
      </c>
      <c r="F3041" s="2">
        <v>1023</v>
      </c>
      <c r="G3041" s="2">
        <v>2</v>
      </c>
      <c r="H3041" t="s">
        <v>70</v>
      </c>
      <c r="I3041" t="s">
        <v>71</v>
      </c>
      <c r="J3041" s="11">
        <v>1332.4384599156051</v>
      </c>
      <c r="K3041" t="str">
        <f t="shared" si="101"/>
        <v>Scott Byron</v>
      </c>
    </row>
    <row r="3042" spans="1:11" hidden="1" x14ac:dyDescent="0.35">
      <c r="A3042">
        <f t="shared" si="102"/>
        <v>3041</v>
      </c>
      <c r="B3042">
        <v>2019</v>
      </c>
      <c r="C3042" t="s">
        <v>109</v>
      </c>
      <c r="D3042" t="s">
        <v>770</v>
      </c>
      <c r="E3042" t="s">
        <v>1430</v>
      </c>
      <c r="F3042" s="2">
        <v>606</v>
      </c>
      <c r="G3042" s="2">
        <v>3</v>
      </c>
      <c r="H3042" t="s">
        <v>237</v>
      </c>
      <c r="I3042" t="s">
        <v>13</v>
      </c>
      <c r="J3042" s="11">
        <v>1156.347200859924</v>
      </c>
      <c r="K3042" t="str">
        <f t="shared" si="101"/>
        <v>Tom Goodwin</v>
      </c>
    </row>
    <row r="3043" spans="1:11" hidden="1" x14ac:dyDescent="0.35">
      <c r="A3043">
        <f t="shared" si="102"/>
        <v>3042</v>
      </c>
      <c r="B3043">
        <v>2019</v>
      </c>
      <c r="C3043" t="s">
        <v>109</v>
      </c>
      <c r="D3043" t="s">
        <v>770</v>
      </c>
      <c r="E3043" t="s">
        <v>1430</v>
      </c>
      <c r="F3043" s="2">
        <v>439</v>
      </c>
      <c r="G3043" s="2">
        <v>4</v>
      </c>
      <c r="H3043" t="s">
        <v>37</v>
      </c>
      <c r="I3043" t="s">
        <v>38</v>
      </c>
      <c r="J3043" s="11">
        <v>1031.4084642516241</v>
      </c>
      <c r="K3043" t="str">
        <f t="shared" si="101"/>
        <v>Doug Grismore</v>
      </c>
    </row>
    <row r="3044" spans="1:11" hidden="1" x14ac:dyDescent="0.35">
      <c r="A3044">
        <f t="shared" si="102"/>
        <v>3043</v>
      </c>
      <c r="B3044">
        <v>2019</v>
      </c>
      <c r="C3044" t="s">
        <v>109</v>
      </c>
      <c r="D3044" t="s">
        <v>770</v>
      </c>
      <c r="E3044" t="s">
        <v>1430</v>
      </c>
      <c r="F3044" s="2">
        <v>355</v>
      </c>
      <c r="G3044" s="2">
        <v>5</v>
      </c>
      <c r="H3044" t="s">
        <v>50</v>
      </c>
      <c r="I3044" t="s">
        <v>25</v>
      </c>
      <c r="J3044" s="11">
        <v>934.49845124356762</v>
      </c>
      <c r="K3044" t="str">
        <f t="shared" si="101"/>
        <v>Russell Fox</v>
      </c>
    </row>
    <row r="3045" spans="1:11" hidden="1" x14ac:dyDescent="0.35">
      <c r="A3045">
        <f t="shared" si="102"/>
        <v>3044</v>
      </c>
      <c r="B3045">
        <v>2019</v>
      </c>
      <c r="C3045" t="s">
        <v>109</v>
      </c>
      <c r="D3045" t="s">
        <v>770</v>
      </c>
      <c r="E3045" t="s">
        <v>1430</v>
      </c>
      <c r="F3045" s="2">
        <v>120</v>
      </c>
      <c r="G3045" s="2">
        <v>6</v>
      </c>
      <c r="H3045" t="s">
        <v>563</v>
      </c>
      <c r="I3045" t="s">
        <v>564</v>
      </c>
      <c r="J3045" s="11">
        <v>855.31720519594273</v>
      </c>
      <c r="K3045" t="str">
        <f t="shared" si="101"/>
        <v>Leslie Schenkel</v>
      </c>
    </row>
    <row r="3046" spans="1:11" hidden="1" x14ac:dyDescent="0.35">
      <c r="A3046">
        <f t="shared" si="102"/>
        <v>3045</v>
      </c>
      <c r="B3046">
        <v>2019</v>
      </c>
      <c r="C3046" t="s">
        <v>263</v>
      </c>
      <c r="D3046" t="s">
        <v>592</v>
      </c>
      <c r="E3046" t="s">
        <v>1430</v>
      </c>
      <c r="F3046" s="2">
        <v>1998</v>
      </c>
      <c r="G3046" s="2">
        <v>1</v>
      </c>
      <c r="H3046" t="s">
        <v>74</v>
      </c>
      <c r="I3046" t="s">
        <v>75</v>
      </c>
      <c r="J3046" s="11">
        <v>1869.2317197309762</v>
      </c>
      <c r="K3046" s="11" t="str">
        <f t="shared" si="101"/>
        <v>Sabyl Landrum</v>
      </c>
    </row>
    <row r="3047" spans="1:11" hidden="1" x14ac:dyDescent="0.35">
      <c r="A3047">
        <f t="shared" si="102"/>
        <v>3046</v>
      </c>
      <c r="B3047">
        <v>2019</v>
      </c>
      <c r="C3047" t="s">
        <v>263</v>
      </c>
      <c r="D3047" t="s">
        <v>592</v>
      </c>
      <c r="E3047" t="s">
        <v>1430</v>
      </c>
      <c r="F3047" s="2">
        <v>1480</v>
      </c>
      <c r="G3047" s="2">
        <v>2</v>
      </c>
      <c r="H3047" t="s">
        <v>12</v>
      </c>
      <c r="I3047" t="s">
        <v>13</v>
      </c>
      <c r="J3047" s="11">
        <v>1568.201724066995</v>
      </c>
      <c r="K3047" s="11" t="str">
        <f t="shared" si="101"/>
        <v>Tom Bessoir</v>
      </c>
    </row>
    <row r="3048" spans="1:11" hidden="1" x14ac:dyDescent="0.35">
      <c r="A3048">
        <f t="shared" si="102"/>
        <v>3047</v>
      </c>
      <c r="B3048">
        <v>2019</v>
      </c>
      <c r="C3048" t="s">
        <v>263</v>
      </c>
      <c r="D3048" t="s">
        <v>592</v>
      </c>
      <c r="E3048" t="s">
        <v>1430</v>
      </c>
      <c r="F3048" s="2">
        <v>1110</v>
      </c>
      <c r="G3048" s="2">
        <v>3</v>
      </c>
      <c r="H3048" t="s">
        <v>306</v>
      </c>
      <c r="I3048" t="s">
        <v>694</v>
      </c>
      <c r="J3048" s="11">
        <v>1392.1104650113139</v>
      </c>
      <c r="K3048" t="str">
        <f t="shared" si="101"/>
        <v>J P Massar</v>
      </c>
    </row>
    <row r="3049" spans="1:11" hidden="1" x14ac:dyDescent="0.35">
      <c r="A3049">
        <f t="shared" si="102"/>
        <v>3048</v>
      </c>
      <c r="B3049">
        <v>2019</v>
      </c>
      <c r="C3049" t="s">
        <v>263</v>
      </c>
      <c r="D3049" t="s">
        <v>592</v>
      </c>
      <c r="E3049" t="s">
        <v>1430</v>
      </c>
      <c r="F3049" s="2">
        <v>888</v>
      </c>
      <c r="G3049" s="2">
        <v>4</v>
      </c>
      <c r="H3049" t="s">
        <v>2474</v>
      </c>
      <c r="I3049" t="s">
        <v>717</v>
      </c>
      <c r="J3049" s="11">
        <v>1267.1717284030137</v>
      </c>
      <c r="K3049" t="str">
        <f t="shared" si="101"/>
        <v>Ben Ludlow</v>
      </c>
    </row>
    <row r="3050" spans="1:11" hidden="1" x14ac:dyDescent="0.35">
      <c r="A3050">
        <f t="shared" si="102"/>
        <v>3049</v>
      </c>
      <c r="B3050">
        <v>2019</v>
      </c>
      <c r="C3050" t="s">
        <v>263</v>
      </c>
      <c r="D3050" t="s">
        <v>592</v>
      </c>
      <c r="E3050" t="s">
        <v>1430</v>
      </c>
      <c r="F3050" s="2">
        <v>740</v>
      </c>
      <c r="G3050" s="2">
        <v>5</v>
      </c>
      <c r="H3050" t="s">
        <v>517</v>
      </c>
      <c r="I3050" t="s">
        <v>413</v>
      </c>
      <c r="J3050" s="11">
        <v>1170.2617153949575</v>
      </c>
      <c r="K3050" s="11" t="str">
        <f t="shared" si="101"/>
        <v>Bruce Iwamoto</v>
      </c>
    </row>
    <row r="3051" spans="1:11" hidden="1" x14ac:dyDescent="0.35">
      <c r="A3051">
        <f t="shared" si="102"/>
        <v>3050</v>
      </c>
      <c r="B3051">
        <v>2019</v>
      </c>
      <c r="C3051" t="s">
        <v>263</v>
      </c>
      <c r="D3051" t="s">
        <v>592</v>
      </c>
      <c r="E3051" t="s">
        <v>1430</v>
      </c>
      <c r="F3051" s="2">
        <v>518</v>
      </c>
      <c r="G3051" s="2">
        <v>6</v>
      </c>
      <c r="H3051" t="s">
        <v>514</v>
      </c>
      <c r="I3051" t="s">
        <v>515</v>
      </c>
      <c r="J3051" s="11">
        <v>1091.0804693473326</v>
      </c>
      <c r="K3051" s="11" t="str">
        <f t="shared" si="101"/>
        <v>Darlene Springman</v>
      </c>
    </row>
    <row r="3052" spans="1:11" hidden="1" x14ac:dyDescent="0.35">
      <c r="A3052">
        <f t="shared" si="102"/>
        <v>3051</v>
      </c>
      <c r="B3052">
        <v>2019</v>
      </c>
      <c r="C3052" t="s">
        <v>263</v>
      </c>
      <c r="D3052" t="s">
        <v>592</v>
      </c>
      <c r="E3052" t="s">
        <v>1430</v>
      </c>
      <c r="F3052" s="2">
        <v>370</v>
      </c>
      <c r="G3052" s="2">
        <v>7</v>
      </c>
      <c r="H3052" t="s">
        <v>16</v>
      </c>
      <c r="I3052" t="s">
        <v>59</v>
      </c>
      <c r="J3052" s="11">
        <v>1024.1336797167194</v>
      </c>
      <c r="K3052" s="11" t="str">
        <f t="shared" si="101"/>
        <v>Jeanne David</v>
      </c>
    </row>
    <row r="3053" spans="1:11" hidden="1" x14ac:dyDescent="0.35">
      <c r="A3053">
        <f t="shared" si="102"/>
        <v>3052</v>
      </c>
      <c r="B3053">
        <v>2019</v>
      </c>
      <c r="C3053" t="s">
        <v>263</v>
      </c>
      <c r="D3053" t="s">
        <v>592</v>
      </c>
      <c r="E3053" t="s">
        <v>1430</v>
      </c>
      <c r="F3053" s="2">
        <v>296</v>
      </c>
      <c r="G3053" s="2">
        <v>8</v>
      </c>
      <c r="H3053" t="s">
        <v>2373</v>
      </c>
      <c r="I3053" t="s">
        <v>2374</v>
      </c>
      <c r="J3053" s="11">
        <v>966.1417327390327</v>
      </c>
      <c r="K3053" t="str">
        <f t="shared" si="101"/>
        <v>Voltaire Ronquillo</v>
      </c>
    </row>
    <row r="3054" spans="1:11" hidden="1" x14ac:dyDescent="0.35">
      <c r="A3054">
        <f t="shared" si="102"/>
        <v>3053</v>
      </c>
      <c r="B3054">
        <v>2019</v>
      </c>
      <c r="C3054" t="s">
        <v>263</v>
      </c>
      <c r="D3054" t="s">
        <v>2478</v>
      </c>
      <c r="E3054" t="s">
        <v>1430</v>
      </c>
      <c r="F3054" s="2">
        <v>1320</v>
      </c>
      <c r="G3054" s="2">
        <v>1</v>
      </c>
      <c r="H3054" t="s">
        <v>609</v>
      </c>
      <c r="I3054" t="s">
        <v>610</v>
      </c>
      <c r="J3054" s="11">
        <v>1681.2412373755872</v>
      </c>
      <c r="K3054" t="str">
        <f t="shared" si="101"/>
        <v>Deron Brod</v>
      </c>
    </row>
    <row r="3055" spans="1:11" hidden="1" x14ac:dyDescent="0.35">
      <c r="A3055">
        <f t="shared" si="102"/>
        <v>3054</v>
      </c>
      <c r="B3055">
        <v>2019</v>
      </c>
      <c r="C3055" t="s">
        <v>263</v>
      </c>
      <c r="D3055" t="s">
        <v>2478</v>
      </c>
      <c r="E3055" t="s">
        <v>1430</v>
      </c>
      <c r="F3055" s="2">
        <v>990</v>
      </c>
      <c r="G3055" s="2">
        <v>2</v>
      </c>
      <c r="H3055" t="s">
        <v>148</v>
      </c>
      <c r="I3055" t="s">
        <v>149</v>
      </c>
      <c r="J3055" s="11">
        <v>1380.2112417116059</v>
      </c>
      <c r="K3055" t="str">
        <f t="shared" si="101"/>
        <v>Alex Ziselman</v>
      </c>
    </row>
    <row r="3056" spans="1:11" hidden="1" x14ac:dyDescent="0.35">
      <c r="A3056">
        <f t="shared" si="102"/>
        <v>3055</v>
      </c>
      <c r="B3056">
        <v>2019</v>
      </c>
      <c r="C3056" t="s">
        <v>263</v>
      </c>
      <c r="D3056" t="s">
        <v>2478</v>
      </c>
      <c r="E3056" t="s">
        <v>1430</v>
      </c>
      <c r="F3056" s="2">
        <v>750</v>
      </c>
      <c r="G3056" s="2">
        <v>3</v>
      </c>
      <c r="H3056" t="s">
        <v>306</v>
      </c>
      <c r="I3056" t="s">
        <v>694</v>
      </c>
      <c r="J3056" s="11">
        <v>1204.1199826559248</v>
      </c>
      <c r="K3056" t="str">
        <f t="shared" si="101"/>
        <v>J P Massar</v>
      </c>
    </row>
    <row r="3057" spans="1:11" hidden="1" x14ac:dyDescent="0.35">
      <c r="A3057">
        <f t="shared" si="102"/>
        <v>3056</v>
      </c>
      <c r="B3057">
        <v>2019</v>
      </c>
      <c r="C3057" t="s">
        <v>263</v>
      </c>
      <c r="D3057" t="s">
        <v>2478</v>
      </c>
      <c r="E3057" t="s">
        <v>1430</v>
      </c>
      <c r="F3057" s="2">
        <v>650</v>
      </c>
      <c r="G3057" s="2">
        <v>4</v>
      </c>
      <c r="H3057" t="s">
        <v>99</v>
      </c>
      <c r="I3057" t="s">
        <v>101</v>
      </c>
      <c r="J3057" s="11">
        <v>1079.1812460476247</v>
      </c>
      <c r="K3057" s="11" t="str">
        <f t="shared" si="101"/>
        <v>Dean Kerl</v>
      </c>
    </row>
    <row r="3058" spans="1:11" hidden="1" x14ac:dyDescent="0.35">
      <c r="A3058">
        <f t="shared" si="102"/>
        <v>3057</v>
      </c>
      <c r="B3058">
        <v>2019</v>
      </c>
      <c r="C3058" t="s">
        <v>263</v>
      </c>
      <c r="D3058" t="s">
        <v>2478</v>
      </c>
      <c r="E3058" t="s">
        <v>1430</v>
      </c>
      <c r="F3058" s="2">
        <v>460</v>
      </c>
      <c r="G3058" s="2">
        <v>5</v>
      </c>
      <c r="H3058" t="s">
        <v>99</v>
      </c>
      <c r="I3058" t="s">
        <v>2500</v>
      </c>
      <c r="J3058" s="11">
        <v>982.2712330395683</v>
      </c>
      <c r="K3058" t="str">
        <f t="shared" si="101"/>
        <v>Bex Kerl</v>
      </c>
    </row>
    <row r="3059" spans="1:11" hidden="1" x14ac:dyDescent="0.35">
      <c r="A3059">
        <f t="shared" si="102"/>
        <v>3058</v>
      </c>
      <c r="B3059">
        <v>2019</v>
      </c>
      <c r="C3059" t="s">
        <v>263</v>
      </c>
      <c r="D3059" t="s">
        <v>2478</v>
      </c>
      <c r="E3059" t="s">
        <v>1430</v>
      </c>
      <c r="F3059" s="2">
        <v>315</v>
      </c>
      <c r="G3059" s="2">
        <v>6</v>
      </c>
      <c r="H3059" t="s">
        <v>35</v>
      </c>
      <c r="I3059" t="s">
        <v>36</v>
      </c>
      <c r="J3059" s="11">
        <v>903.08998699194353</v>
      </c>
      <c r="K3059" s="11" t="str">
        <f t="shared" si="101"/>
        <v>Nolan Dalla</v>
      </c>
    </row>
    <row r="3060" spans="1:11" hidden="1" x14ac:dyDescent="0.35">
      <c r="A3060">
        <f t="shared" si="102"/>
        <v>3059</v>
      </c>
      <c r="B3060">
        <v>2019</v>
      </c>
      <c r="C3060" t="s">
        <v>263</v>
      </c>
      <c r="D3060" t="s">
        <v>2478</v>
      </c>
      <c r="E3060" t="s">
        <v>1430</v>
      </c>
      <c r="F3060" s="2">
        <v>220</v>
      </c>
      <c r="G3060" s="2">
        <v>7</v>
      </c>
      <c r="H3060" t="s">
        <v>999</v>
      </c>
      <c r="I3060" t="s">
        <v>815</v>
      </c>
      <c r="J3060" s="11">
        <v>836.14319736133041</v>
      </c>
      <c r="K3060" s="11" t="str">
        <f t="shared" si="101"/>
        <v>Sean McGuiness</v>
      </c>
    </row>
    <row r="3061" spans="1:11" hidden="1" x14ac:dyDescent="0.35">
      <c r="A3061">
        <f t="shared" si="102"/>
        <v>3060</v>
      </c>
      <c r="B3061">
        <v>2019</v>
      </c>
      <c r="C3061" t="s">
        <v>263</v>
      </c>
      <c r="D3061" t="s">
        <v>2478</v>
      </c>
      <c r="E3061" t="s">
        <v>1430</v>
      </c>
      <c r="F3061" s="2">
        <v>140</v>
      </c>
      <c r="G3061" s="2">
        <v>8</v>
      </c>
      <c r="H3061" t="s">
        <v>1719</v>
      </c>
      <c r="I3061" t="s">
        <v>524</v>
      </c>
      <c r="J3061" s="11">
        <v>778.15125038364363</v>
      </c>
      <c r="K3061" t="str">
        <f t="shared" si="101"/>
        <v>Guy Berentsen</v>
      </c>
    </row>
    <row r="3062" spans="1:11" hidden="1" x14ac:dyDescent="0.35">
      <c r="A3062">
        <f t="shared" si="102"/>
        <v>3061</v>
      </c>
      <c r="B3062">
        <v>2019</v>
      </c>
      <c r="C3062" t="s">
        <v>263</v>
      </c>
      <c r="D3062" t="s">
        <v>2482</v>
      </c>
      <c r="E3062" t="s">
        <v>1432</v>
      </c>
      <c r="F3062" s="2">
        <v>430</v>
      </c>
      <c r="G3062" s="2">
        <v>1</v>
      </c>
      <c r="H3062" t="s">
        <v>99</v>
      </c>
      <c r="I3062" t="s">
        <v>101</v>
      </c>
      <c r="J3062" s="11">
        <v>1255.272505103306</v>
      </c>
      <c r="K3062" s="11" t="str">
        <f t="shared" si="101"/>
        <v>Dean Kerl</v>
      </c>
    </row>
    <row r="3063" spans="1:11" hidden="1" x14ac:dyDescent="0.35">
      <c r="A3063">
        <f t="shared" si="102"/>
        <v>3062</v>
      </c>
      <c r="B3063">
        <v>2019</v>
      </c>
      <c r="C3063" t="s">
        <v>263</v>
      </c>
      <c r="D3063" t="s">
        <v>2482</v>
      </c>
      <c r="E3063" t="s">
        <v>1432</v>
      </c>
      <c r="F3063" s="2">
        <v>267</v>
      </c>
      <c r="G3063" s="2">
        <v>2</v>
      </c>
      <c r="H3063" t="s">
        <v>527</v>
      </c>
      <c r="I3063" t="s">
        <v>11</v>
      </c>
      <c r="J3063" s="11">
        <v>954.24250943932475</v>
      </c>
      <c r="K3063" s="11" t="str">
        <f t="shared" si="101"/>
        <v>Paul Stine</v>
      </c>
    </row>
    <row r="3064" spans="1:11" hidden="1" x14ac:dyDescent="0.35">
      <c r="A3064">
        <f t="shared" si="102"/>
        <v>3063</v>
      </c>
      <c r="B3064">
        <v>2019</v>
      </c>
      <c r="C3064" t="s">
        <v>263</v>
      </c>
      <c r="D3064" t="s">
        <v>2482</v>
      </c>
      <c r="E3064" t="s">
        <v>1432</v>
      </c>
      <c r="F3064" s="2">
        <v>185</v>
      </c>
      <c r="G3064" s="2">
        <v>3</v>
      </c>
      <c r="H3064" t="s">
        <v>968</v>
      </c>
      <c r="I3064" t="s">
        <v>701</v>
      </c>
      <c r="J3064" s="11">
        <v>778.15125038364363</v>
      </c>
      <c r="K3064" s="11" t="str">
        <f t="shared" si="101"/>
        <v>Bryan Juliano</v>
      </c>
    </row>
    <row r="3065" spans="1:11" hidden="1" x14ac:dyDescent="0.35">
      <c r="A3065">
        <f t="shared" si="102"/>
        <v>3064</v>
      </c>
      <c r="B3065">
        <v>2019</v>
      </c>
      <c r="C3065" t="s">
        <v>263</v>
      </c>
      <c r="D3065" t="s">
        <v>2482</v>
      </c>
      <c r="E3065" t="s">
        <v>1432</v>
      </c>
      <c r="F3065" s="2">
        <v>144</v>
      </c>
      <c r="G3065" s="2">
        <v>4</v>
      </c>
      <c r="H3065" t="s">
        <v>2483</v>
      </c>
      <c r="I3065" t="s">
        <v>2484</v>
      </c>
      <c r="J3065" s="11">
        <v>653.21251377534361</v>
      </c>
      <c r="K3065" s="11" t="str">
        <f t="shared" si="101"/>
        <v>Corky Parks</v>
      </c>
    </row>
    <row r="3066" spans="1:11" hidden="1" x14ac:dyDescent="0.35">
      <c r="A3066">
        <f t="shared" si="102"/>
        <v>3065</v>
      </c>
      <c r="B3066">
        <v>2019</v>
      </c>
      <c r="C3066" t="s">
        <v>263</v>
      </c>
      <c r="D3066" t="s">
        <v>2488</v>
      </c>
      <c r="E3066" t="s">
        <v>1429</v>
      </c>
      <c r="F3066" s="2">
        <v>4287</v>
      </c>
      <c r="G3066" s="2">
        <v>1</v>
      </c>
      <c r="H3066" t="s">
        <v>903</v>
      </c>
      <c r="I3066" t="s">
        <v>71</v>
      </c>
      <c r="J3066" s="11">
        <v>2103.8037209559566</v>
      </c>
      <c r="K3066" t="str">
        <f t="shared" si="101"/>
        <v>Scott Harker</v>
      </c>
    </row>
    <row r="3067" spans="1:11" hidden="1" x14ac:dyDescent="0.35">
      <c r="A3067">
        <f t="shared" si="102"/>
        <v>3066</v>
      </c>
      <c r="B3067">
        <v>2019</v>
      </c>
      <c r="C3067" t="s">
        <v>263</v>
      </c>
      <c r="D3067" t="s">
        <v>2488</v>
      </c>
      <c r="E3067" t="s">
        <v>1429</v>
      </c>
      <c r="F3067" s="2">
        <v>3258</v>
      </c>
      <c r="G3067" s="2">
        <v>2</v>
      </c>
      <c r="H3067" t="s">
        <v>531</v>
      </c>
      <c r="I3067" t="s">
        <v>271</v>
      </c>
      <c r="J3067" s="11">
        <v>1802.7737252919756</v>
      </c>
      <c r="K3067" s="11" t="str">
        <f t="shared" si="101"/>
        <v>Dan Nussbaum</v>
      </c>
    </row>
    <row r="3068" spans="1:11" hidden="1" x14ac:dyDescent="0.35">
      <c r="A3068">
        <f t="shared" si="102"/>
        <v>3067</v>
      </c>
      <c r="B3068">
        <v>2019</v>
      </c>
      <c r="C3068" t="s">
        <v>263</v>
      </c>
      <c r="D3068" t="s">
        <v>2488</v>
      </c>
      <c r="E3068" t="s">
        <v>1429</v>
      </c>
      <c r="F3068" s="2">
        <v>2400</v>
      </c>
      <c r="G3068" s="2">
        <v>3</v>
      </c>
      <c r="H3068" t="s">
        <v>1111</v>
      </c>
      <c r="I3068" t="s">
        <v>1112</v>
      </c>
      <c r="J3068" s="11">
        <v>1626.6824662362944</v>
      </c>
      <c r="K3068" s="11" t="str">
        <f t="shared" si="101"/>
        <v>Oliver Juang</v>
      </c>
    </row>
    <row r="3069" spans="1:11" hidden="1" x14ac:dyDescent="0.35">
      <c r="A3069">
        <f t="shared" si="102"/>
        <v>3068</v>
      </c>
      <c r="B3069">
        <v>2019</v>
      </c>
      <c r="C3069" t="s">
        <v>263</v>
      </c>
      <c r="D3069" t="s">
        <v>2488</v>
      </c>
      <c r="E3069" t="s">
        <v>1429</v>
      </c>
      <c r="F3069" s="2">
        <v>1886</v>
      </c>
      <c r="G3069" s="2">
        <v>4</v>
      </c>
      <c r="H3069" t="s">
        <v>251</v>
      </c>
      <c r="I3069" t="s">
        <v>252</v>
      </c>
      <c r="J3069" s="11">
        <v>1501.7437296279943</v>
      </c>
      <c r="K3069" s="11" t="str">
        <f t="shared" si="101"/>
        <v>Linda Lewis</v>
      </c>
    </row>
    <row r="3070" spans="1:11" hidden="1" x14ac:dyDescent="0.35">
      <c r="A3070">
        <f t="shared" si="102"/>
        <v>3069</v>
      </c>
      <c r="B3070">
        <v>2019</v>
      </c>
      <c r="C3070" t="s">
        <v>263</v>
      </c>
      <c r="D3070" t="s">
        <v>2488</v>
      </c>
      <c r="E3070" t="s">
        <v>1429</v>
      </c>
      <c r="F3070" s="2">
        <v>1372</v>
      </c>
      <c r="G3070" s="2">
        <v>5</v>
      </c>
      <c r="H3070" t="s">
        <v>35</v>
      </c>
      <c r="I3070" t="s">
        <v>36</v>
      </c>
      <c r="J3070" s="11">
        <v>1404.8337166199381</v>
      </c>
      <c r="K3070" s="11" t="str">
        <f t="shared" si="101"/>
        <v>Nolan Dalla</v>
      </c>
    </row>
    <row r="3071" spans="1:11" hidden="1" x14ac:dyDescent="0.35">
      <c r="A3071">
        <f t="shared" si="102"/>
        <v>3070</v>
      </c>
      <c r="B3071">
        <v>2019</v>
      </c>
      <c r="C3071" t="s">
        <v>263</v>
      </c>
      <c r="D3071" t="s">
        <v>2488</v>
      </c>
      <c r="E3071" t="s">
        <v>1429</v>
      </c>
      <c r="F3071" s="2">
        <v>1372</v>
      </c>
      <c r="G3071" s="2">
        <v>6</v>
      </c>
      <c r="H3071" t="s">
        <v>37</v>
      </c>
      <c r="I3071" t="s">
        <v>38</v>
      </c>
      <c r="J3071" s="11">
        <v>1325.6524705723132</v>
      </c>
      <c r="K3071" s="11" t="str">
        <f t="shared" si="101"/>
        <v>Doug Grismore</v>
      </c>
    </row>
    <row r="3072" spans="1:11" hidden="1" x14ac:dyDescent="0.35">
      <c r="A3072">
        <f t="shared" si="102"/>
        <v>3071</v>
      </c>
      <c r="B3072">
        <v>2019</v>
      </c>
      <c r="C3072" t="s">
        <v>263</v>
      </c>
      <c r="D3072" t="s">
        <v>2488</v>
      </c>
      <c r="E3072" t="s">
        <v>1429</v>
      </c>
      <c r="F3072" s="2">
        <v>1029</v>
      </c>
      <c r="G3072" s="2">
        <v>7</v>
      </c>
      <c r="H3072" t="s">
        <v>525</v>
      </c>
      <c r="I3072" t="s">
        <v>58</v>
      </c>
      <c r="J3072" s="11">
        <v>1258.7056809416999</v>
      </c>
      <c r="K3072" s="11" t="str">
        <f t="shared" si="101"/>
        <v>Jim Anderson</v>
      </c>
    </row>
    <row r="3073" spans="1:11" hidden="1" x14ac:dyDescent="0.35">
      <c r="A3073">
        <f t="shared" si="102"/>
        <v>3072</v>
      </c>
      <c r="B3073">
        <v>2019</v>
      </c>
      <c r="C3073" t="s">
        <v>263</v>
      </c>
      <c r="D3073" t="s">
        <v>2488</v>
      </c>
      <c r="E3073" t="s">
        <v>1429</v>
      </c>
      <c r="F3073" s="2">
        <v>686</v>
      </c>
      <c r="G3073" s="2">
        <v>8</v>
      </c>
      <c r="H3073" t="s">
        <v>14</v>
      </c>
      <c r="I3073" t="s">
        <v>11</v>
      </c>
      <c r="J3073" s="11">
        <v>1200.7137339640133</v>
      </c>
      <c r="K3073" s="11" t="str">
        <f t="shared" si="101"/>
        <v>Paul McMullin</v>
      </c>
    </row>
    <row r="3074" spans="1:11" hidden="1" x14ac:dyDescent="0.35">
      <c r="A3074">
        <f t="shared" si="102"/>
        <v>3073</v>
      </c>
      <c r="B3074">
        <v>2019</v>
      </c>
      <c r="C3074" t="s">
        <v>263</v>
      </c>
      <c r="D3074" t="s">
        <v>2488</v>
      </c>
      <c r="E3074" t="s">
        <v>1429</v>
      </c>
      <c r="F3074" s="2">
        <v>514</v>
      </c>
      <c r="G3074" s="2">
        <v>9</v>
      </c>
      <c r="H3074" t="s">
        <v>1978</v>
      </c>
      <c r="I3074" t="s">
        <v>2489</v>
      </c>
      <c r="J3074" s="11">
        <v>1149.5612115166321</v>
      </c>
      <c r="K3074" s="11" t="str">
        <f t="shared" ref="K3074:K3137" si="103">I3074&amp;" "&amp;H3074</f>
        <v>Roy Cooke</v>
      </c>
    </row>
    <row r="3075" spans="1:11" hidden="1" x14ac:dyDescent="0.35">
      <c r="A3075">
        <f t="shared" si="102"/>
        <v>3074</v>
      </c>
      <c r="B3075">
        <v>2019</v>
      </c>
      <c r="C3075" t="s">
        <v>263</v>
      </c>
      <c r="D3075" t="s">
        <v>2488</v>
      </c>
      <c r="E3075" t="s">
        <v>1429</v>
      </c>
      <c r="F3075" s="2">
        <v>343</v>
      </c>
      <c r="G3075" s="2">
        <v>10</v>
      </c>
      <c r="H3075" t="s">
        <v>277</v>
      </c>
      <c r="I3075" t="s">
        <v>16</v>
      </c>
      <c r="J3075" s="11">
        <v>1103.8037209559568</v>
      </c>
      <c r="K3075" s="11" t="str">
        <f t="shared" si="103"/>
        <v>David Lawful</v>
      </c>
    </row>
    <row r="3076" spans="1:11" hidden="1" x14ac:dyDescent="0.35">
      <c r="A3076">
        <f t="shared" si="102"/>
        <v>3075</v>
      </c>
      <c r="B3076">
        <v>2019</v>
      </c>
      <c r="C3076" t="s">
        <v>263</v>
      </c>
      <c r="D3076" t="s">
        <v>2488</v>
      </c>
      <c r="E3076" t="s">
        <v>1429</v>
      </c>
      <c r="F3076" s="2">
        <v>343</v>
      </c>
      <c r="G3076" s="2">
        <v>11</v>
      </c>
      <c r="H3076" t="s">
        <v>88</v>
      </c>
      <c r="I3076" t="s">
        <v>89</v>
      </c>
      <c r="J3076" s="11">
        <v>1062.4110357977318</v>
      </c>
      <c r="K3076" s="11" t="str">
        <f t="shared" si="103"/>
        <v>Ken Kubey</v>
      </c>
    </row>
    <row r="3077" spans="1:11" hidden="1" x14ac:dyDescent="0.35">
      <c r="A3077">
        <f t="shared" si="102"/>
        <v>3076</v>
      </c>
      <c r="B3077">
        <v>2019</v>
      </c>
      <c r="C3077" t="s">
        <v>263</v>
      </c>
      <c r="D3077" t="s">
        <v>2488</v>
      </c>
      <c r="E3077" t="s">
        <v>1429</v>
      </c>
      <c r="F3077" s="2">
        <v>257</v>
      </c>
      <c r="G3077" s="2">
        <v>12</v>
      </c>
      <c r="H3077" t="s">
        <v>226</v>
      </c>
      <c r="I3077" t="s">
        <v>227</v>
      </c>
      <c r="J3077" s="11">
        <v>1024.6224749083319</v>
      </c>
      <c r="K3077" s="11" t="str">
        <f t="shared" si="103"/>
        <v>Patti Beadles</v>
      </c>
    </row>
    <row r="3078" spans="1:11" hidden="1" x14ac:dyDescent="0.35">
      <c r="A3078">
        <f t="shared" si="102"/>
        <v>3077</v>
      </c>
      <c r="B3078">
        <v>2019</v>
      </c>
      <c r="C3078" t="s">
        <v>263</v>
      </c>
      <c r="D3078" t="s">
        <v>2488</v>
      </c>
      <c r="E3078" t="s">
        <v>1429</v>
      </c>
      <c r="F3078" s="2">
        <v>257</v>
      </c>
      <c r="G3078" s="2">
        <v>13</v>
      </c>
      <c r="H3078" t="s">
        <v>2281</v>
      </c>
      <c r="I3078" t="s">
        <v>2282</v>
      </c>
      <c r="J3078" s="11">
        <v>989.86036864912012</v>
      </c>
      <c r="K3078" s="11" t="str">
        <f t="shared" si="103"/>
        <v>Diana Mercer</v>
      </c>
    </row>
    <row r="3079" spans="1:11" hidden="1" x14ac:dyDescent="0.35">
      <c r="A3079">
        <f t="shared" si="102"/>
        <v>3078</v>
      </c>
      <c r="B3079">
        <v>2019</v>
      </c>
      <c r="C3079" t="s">
        <v>263</v>
      </c>
      <c r="D3079" t="s">
        <v>2488</v>
      </c>
      <c r="E3079" t="s">
        <v>1429</v>
      </c>
      <c r="F3079" s="2">
        <v>171</v>
      </c>
      <c r="G3079" s="2">
        <v>14</v>
      </c>
      <c r="H3079" t="s">
        <v>306</v>
      </c>
      <c r="I3079" t="s">
        <v>694</v>
      </c>
      <c r="J3079" s="11">
        <v>957.6756852777188</v>
      </c>
      <c r="K3079" t="str">
        <f t="shared" si="103"/>
        <v>J P Massar</v>
      </c>
    </row>
    <row r="3080" spans="1:11" hidden="1" x14ac:dyDescent="0.35">
      <c r="A3080">
        <f t="shared" si="102"/>
        <v>3079</v>
      </c>
      <c r="B3080">
        <v>2019</v>
      </c>
      <c r="C3080" t="s">
        <v>263</v>
      </c>
      <c r="D3080" t="s">
        <v>2488</v>
      </c>
      <c r="E3080" t="s">
        <v>1429</v>
      </c>
      <c r="F3080" s="2">
        <v>171</v>
      </c>
      <c r="G3080" s="2">
        <v>15</v>
      </c>
      <c r="H3080" t="s">
        <v>99</v>
      </c>
      <c r="I3080" t="s">
        <v>2500</v>
      </c>
      <c r="J3080" s="11">
        <v>927.71246190027546</v>
      </c>
      <c r="K3080" t="str">
        <f t="shared" si="103"/>
        <v>Bex Kerl</v>
      </c>
    </row>
    <row r="3081" spans="1:11" hidden="1" x14ac:dyDescent="0.35">
      <c r="A3081">
        <f t="shared" si="102"/>
        <v>3080</v>
      </c>
      <c r="B3081">
        <v>2019</v>
      </c>
      <c r="C3081" t="s">
        <v>263</v>
      </c>
      <c r="D3081" t="s">
        <v>2481</v>
      </c>
      <c r="E3081" t="s">
        <v>509</v>
      </c>
      <c r="F3081" s="2">
        <v>382</v>
      </c>
      <c r="G3081" s="2">
        <v>1</v>
      </c>
      <c r="H3081" t="s">
        <v>383</v>
      </c>
      <c r="I3081" t="s">
        <v>384</v>
      </c>
      <c r="J3081" s="11">
        <v>1176.0912590556813</v>
      </c>
      <c r="K3081" s="11" t="str">
        <f t="shared" si="103"/>
        <v>Jeff Deitch</v>
      </c>
    </row>
    <row r="3082" spans="1:11" hidden="1" x14ac:dyDescent="0.35">
      <c r="A3082">
        <f t="shared" si="102"/>
        <v>3081</v>
      </c>
      <c r="B3082">
        <v>2019</v>
      </c>
      <c r="C3082" t="s">
        <v>263</v>
      </c>
      <c r="D3082" t="s">
        <v>2481</v>
      </c>
      <c r="E3082" t="s">
        <v>509</v>
      </c>
      <c r="F3082" s="2">
        <v>232</v>
      </c>
      <c r="G3082" s="2">
        <v>2</v>
      </c>
      <c r="H3082" t="s">
        <v>1507</v>
      </c>
      <c r="I3082" t="s">
        <v>153</v>
      </c>
      <c r="J3082" s="11">
        <v>875.06126339170009</v>
      </c>
      <c r="K3082" s="11" t="str">
        <f t="shared" si="103"/>
        <v>Stephen Rokitka</v>
      </c>
    </row>
    <row r="3083" spans="1:11" hidden="1" x14ac:dyDescent="0.35">
      <c r="A3083">
        <f t="shared" si="102"/>
        <v>3082</v>
      </c>
      <c r="B3083">
        <v>2019</v>
      </c>
      <c r="C3083" t="s">
        <v>263</v>
      </c>
      <c r="D3083" t="s">
        <v>2481</v>
      </c>
      <c r="E3083" t="s">
        <v>509</v>
      </c>
      <c r="F3083" s="2">
        <v>161</v>
      </c>
      <c r="G3083" s="2">
        <v>3</v>
      </c>
      <c r="H3083" t="s">
        <v>713</v>
      </c>
      <c r="I3083" t="s">
        <v>28</v>
      </c>
      <c r="J3083" s="11">
        <v>698.97000433601897</v>
      </c>
      <c r="K3083" s="11" t="str">
        <f t="shared" si="103"/>
        <v>Chris Jepsen</v>
      </c>
    </row>
    <row r="3084" spans="1:11" hidden="1" x14ac:dyDescent="0.35">
      <c r="A3084">
        <f t="shared" si="102"/>
        <v>3083</v>
      </c>
      <c r="B3084">
        <v>2019</v>
      </c>
      <c r="C3084" t="s">
        <v>263</v>
      </c>
      <c r="D3084" t="s">
        <v>2481</v>
      </c>
      <c r="E3084" t="s">
        <v>509</v>
      </c>
      <c r="F3084" s="2">
        <v>80</v>
      </c>
      <c r="G3084" s="2">
        <v>4</v>
      </c>
      <c r="H3084" t="s">
        <v>285</v>
      </c>
      <c r="I3084" t="s">
        <v>119</v>
      </c>
      <c r="J3084" s="11">
        <v>574.03126772771896</v>
      </c>
      <c r="K3084" s="11" t="str">
        <f t="shared" si="103"/>
        <v>Peter Secor</v>
      </c>
    </row>
    <row r="3085" spans="1:11" hidden="1" x14ac:dyDescent="0.35">
      <c r="A3085">
        <f t="shared" si="102"/>
        <v>3084</v>
      </c>
      <c r="B3085">
        <v>2019</v>
      </c>
      <c r="C3085" t="s">
        <v>263</v>
      </c>
      <c r="D3085" t="s">
        <v>133</v>
      </c>
      <c r="E3085" t="s">
        <v>133</v>
      </c>
      <c r="F3085" s="2">
        <v>1843</v>
      </c>
      <c r="G3085" s="2">
        <v>1</v>
      </c>
      <c r="H3085" t="s">
        <v>48</v>
      </c>
      <c r="I3085" t="s">
        <v>49</v>
      </c>
      <c r="J3085" s="11">
        <v>1799.3405494535816</v>
      </c>
      <c r="K3085" s="11" t="str">
        <f t="shared" si="103"/>
        <v>Regis Donovan</v>
      </c>
    </row>
    <row r="3086" spans="1:11" hidden="1" x14ac:dyDescent="0.35">
      <c r="A3086">
        <f t="shared" si="102"/>
        <v>3085</v>
      </c>
      <c r="B3086">
        <v>2019</v>
      </c>
      <c r="C3086" t="s">
        <v>263</v>
      </c>
      <c r="D3086" t="s">
        <v>133</v>
      </c>
      <c r="E3086" t="s">
        <v>133</v>
      </c>
      <c r="F3086" s="2">
        <v>1360</v>
      </c>
      <c r="G3086" s="2">
        <v>2</v>
      </c>
      <c r="H3086" t="s">
        <v>692</v>
      </c>
      <c r="I3086" t="s">
        <v>200</v>
      </c>
      <c r="J3086" s="11">
        <v>1498.3105537896004</v>
      </c>
      <c r="K3086" t="str">
        <f t="shared" si="103"/>
        <v>Rick Monbourquette</v>
      </c>
    </row>
    <row r="3087" spans="1:11" hidden="1" x14ac:dyDescent="0.35">
      <c r="A3087">
        <f t="shared" si="102"/>
        <v>3086</v>
      </c>
      <c r="B3087">
        <v>2019</v>
      </c>
      <c r="C3087" t="s">
        <v>263</v>
      </c>
      <c r="D3087" t="s">
        <v>133</v>
      </c>
      <c r="E3087" t="s">
        <v>133</v>
      </c>
      <c r="F3087" s="2">
        <v>1015</v>
      </c>
      <c r="G3087" s="2">
        <v>3</v>
      </c>
      <c r="H3087" t="s">
        <v>64</v>
      </c>
      <c r="I3087" t="s">
        <v>65</v>
      </c>
      <c r="J3087" s="11">
        <v>1322.2192947339192</v>
      </c>
      <c r="K3087" t="str">
        <f t="shared" si="103"/>
        <v>Steve Daniel</v>
      </c>
    </row>
    <row r="3088" spans="1:11" hidden="1" x14ac:dyDescent="0.35">
      <c r="A3088">
        <f t="shared" si="102"/>
        <v>3087</v>
      </c>
      <c r="B3088">
        <v>2019</v>
      </c>
      <c r="C3088" t="s">
        <v>263</v>
      </c>
      <c r="D3088" t="s">
        <v>133</v>
      </c>
      <c r="E3088" t="s">
        <v>133</v>
      </c>
      <c r="F3088" s="2">
        <v>808</v>
      </c>
      <c r="G3088" s="2">
        <v>4</v>
      </c>
      <c r="H3088" t="s">
        <v>711</v>
      </c>
      <c r="I3088" t="s">
        <v>85</v>
      </c>
      <c r="J3088" s="11">
        <v>1197.2805581256191</v>
      </c>
      <c r="K3088" s="11" t="str">
        <f t="shared" si="103"/>
        <v>Patrick Kirwan</v>
      </c>
    </row>
    <row r="3089" spans="1:11" hidden="1" x14ac:dyDescent="0.35">
      <c r="A3089">
        <f t="shared" si="102"/>
        <v>3088</v>
      </c>
      <c r="B3089">
        <v>2019</v>
      </c>
      <c r="C3089" t="s">
        <v>263</v>
      </c>
      <c r="D3089" t="s">
        <v>133</v>
      </c>
      <c r="E3089" t="s">
        <v>133</v>
      </c>
      <c r="F3089" s="2">
        <v>670</v>
      </c>
      <c r="G3089" s="2">
        <v>5</v>
      </c>
      <c r="H3089" t="s">
        <v>1519</v>
      </c>
      <c r="I3089" t="s">
        <v>153</v>
      </c>
      <c r="J3089" s="11">
        <v>1100.3705451175629</v>
      </c>
      <c r="K3089" s="11" t="str">
        <f t="shared" si="103"/>
        <v>Stephen Blackstock</v>
      </c>
    </row>
    <row r="3090" spans="1:11" hidden="1" x14ac:dyDescent="0.35">
      <c r="A3090">
        <f t="shared" si="102"/>
        <v>3089</v>
      </c>
      <c r="B3090">
        <v>2019</v>
      </c>
      <c r="C3090" t="s">
        <v>263</v>
      </c>
      <c r="D3090" t="s">
        <v>133</v>
      </c>
      <c r="E3090" t="s">
        <v>133</v>
      </c>
      <c r="F3090" s="2">
        <v>463</v>
      </c>
      <c r="G3090" s="2">
        <v>6</v>
      </c>
      <c r="H3090" t="s">
        <v>2373</v>
      </c>
      <c r="I3090" t="s">
        <v>2374</v>
      </c>
      <c r="J3090" s="11">
        <v>1021.1892990699381</v>
      </c>
      <c r="K3090" t="str">
        <f t="shared" si="103"/>
        <v>Voltaire Ronquillo</v>
      </c>
    </row>
    <row r="3091" spans="1:11" hidden="1" x14ac:dyDescent="0.35">
      <c r="A3091">
        <f t="shared" si="102"/>
        <v>3090</v>
      </c>
      <c r="B3091">
        <v>2019</v>
      </c>
      <c r="C3091" t="s">
        <v>263</v>
      </c>
      <c r="D3091" t="s">
        <v>133</v>
      </c>
      <c r="E3091" t="s">
        <v>133</v>
      </c>
      <c r="F3091" s="2">
        <v>325</v>
      </c>
      <c r="G3091" s="2">
        <v>7</v>
      </c>
      <c r="H3091" t="s">
        <v>1719</v>
      </c>
      <c r="I3091" t="s">
        <v>524</v>
      </c>
      <c r="J3091" s="11">
        <v>954.24250943932486</v>
      </c>
      <c r="K3091" t="str">
        <f t="shared" si="103"/>
        <v>Guy Berentsen</v>
      </c>
    </row>
    <row r="3092" spans="1:11" x14ac:dyDescent="0.35">
      <c r="A3092">
        <f t="shared" si="102"/>
        <v>3091</v>
      </c>
      <c r="B3092">
        <v>2019</v>
      </c>
      <c r="C3092" t="s">
        <v>263</v>
      </c>
      <c r="D3092" t="s">
        <v>133</v>
      </c>
      <c r="E3092" t="s">
        <v>133</v>
      </c>
      <c r="F3092" s="2">
        <v>276</v>
      </c>
      <c r="G3092" s="2">
        <v>8</v>
      </c>
      <c r="H3092" t="s">
        <v>313</v>
      </c>
      <c r="I3092" t="s">
        <v>314</v>
      </c>
      <c r="J3092" s="11">
        <v>896.2505624616382</v>
      </c>
      <c r="K3092" s="11" t="str">
        <f t="shared" si="103"/>
        <v>Gerald Petersen</v>
      </c>
    </row>
    <row r="3093" spans="1:11" hidden="1" x14ac:dyDescent="0.35">
      <c r="A3093">
        <f t="shared" si="102"/>
        <v>3092</v>
      </c>
      <c r="B3093">
        <v>2019</v>
      </c>
      <c r="C3093" t="s">
        <v>263</v>
      </c>
      <c r="D3093" t="s">
        <v>133</v>
      </c>
      <c r="E3093" t="s">
        <v>133</v>
      </c>
      <c r="F3093" s="2">
        <v>140</v>
      </c>
      <c r="G3093" s="2">
        <v>9</v>
      </c>
      <c r="H3093" t="s">
        <v>99</v>
      </c>
      <c r="I3093" t="s">
        <v>2500</v>
      </c>
      <c r="J3093" s="11">
        <v>845.09804001425687</v>
      </c>
      <c r="K3093" t="str">
        <f t="shared" si="103"/>
        <v>Bex Kerl</v>
      </c>
    </row>
    <row r="3094" spans="1:11" hidden="1" x14ac:dyDescent="0.35">
      <c r="A3094">
        <f t="shared" si="102"/>
        <v>3093</v>
      </c>
      <c r="B3094">
        <v>2019</v>
      </c>
      <c r="C3094" t="s">
        <v>263</v>
      </c>
      <c r="D3094" t="s">
        <v>2480</v>
      </c>
      <c r="E3094" t="s">
        <v>1430</v>
      </c>
      <c r="F3094" s="2">
        <v>1224</v>
      </c>
      <c r="G3094" s="2">
        <v>1</v>
      </c>
      <c r="H3094" t="s">
        <v>351</v>
      </c>
      <c r="I3094" t="s">
        <v>153</v>
      </c>
      <c r="J3094" s="11">
        <v>1531.478917042255</v>
      </c>
      <c r="K3094" s="11" t="str">
        <f t="shared" si="103"/>
        <v>Stephen Lewin-Berlin</v>
      </c>
    </row>
    <row r="3095" spans="1:11" hidden="1" x14ac:dyDescent="0.35">
      <c r="A3095">
        <f t="shared" si="102"/>
        <v>3094</v>
      </c>
      <c r="B3095">
        <v>2019</v>
      </c>
      <c r="C3095" t="s">
        <v>263</v>
      </c>
      <c r="D3095" t="s">
        <v>2480</v>
      </c>
      <c r="E3095" t="s">
        <v>1430</v>
      </c>
      <c r="F3095" s="2">
        <v>816</v>
      </c>
      <c r="G3095" s="2">
        <v>2</v>
      </c>
      <c r="H3095" t="s">
        <v>105</v>
      </c>
      <c r="I3095" t="s">
        <v>106</v>
      </c>
      <c r="J3095" s="11">
        <v>1230.4489213782738</v>
      </c>
      <c r="K3095" s="11" t="str">
        <f t="shared" si="103"/>
        <v>Kenny Shei</v>
      </c>
    </row>
    <row r="3096" spans="1:11" hidden="1" x14ac:dyDescent="0.35">
      <c r="A3096">
        <f t="shared" si="102"/>
        <v>3095</v>
      </c>
      <c r="B3096">
        <v>2019</v>
      </c>
      <c r="C3096" t="s">
        <v>263</v>
      </c>
      <c r="D3096" t="s">
        <v>2480</v>
      </c>
      <c r="E3096" t="s">
        <v>1430</v>
      </c>
      <c r="F3096" s="2">
        <v>578</v>
      </c>
      <c r="G3096" s="2">
        <v>3</v>
      </c>
      <c r="H3096" t="s">
        <v>307</v>
      </c>
      <c r="I3096" t="s">
        <v>67</v>
      </c>
      <c r="J3096" s="11">
        <v>1054.3576623225927</v>
      </c>
      <c r="K3096" s="11" t="str">
        <f t="shared" si="103"/>
        <v>Bob Ogus</v>
      </c>
    </row>
    <row r="3097" spans="1:11" hidden="1" x14ac:dyDescent="0.35">
      <c r="A3097">
        <f t="shared" si="102"/>
        <v>3096</v>
      </c>
      <c r="B3097">
        <v>2019</v>
      </c>
      <c r="C3097" t="s">
        <v>263</v>
      </c>
      <c r="D3097" t="s">
        <v>2480</v>
      </c>
      <c r="E3097" t="s">
        <v>1430</v>
      </c>
      <c r="F3097" s="2">
        <v>442</v>
      </c>
      <c r="G3097" s="2">
        <v>4</v>
      </c>
      <c r="H3097" t="s">
        <v>2365</v>
      </c>
      <c r="I3097" t="s">
        <v>2366</v>
      </c>
      <c r="J3097" s="11">
        <v>929.41892571429275</v>
      </c>
      <c r="K3097" s="11" t="str">
        <f t="shared" si="103"/>
        <v>Jesse Capps</v>
      </c>
    </row>
    <row r="3098" spans="1:11" hidden="1" x14ac:dyDescent="0.35">
      <c r="A3098">
        <f t="shared" si="102"/>
        <v>3097</v>
      </c>
      <c r="B3098">
        <v>2019</v>
      </c>
      <c r="C3098" t="s">
        <v>263</v>
      </c>
      <c r="D3098" t="s">
        <v>2480</v>
      </c>
      <c r="E3098" t="s">
        <v>1430</v>
      </c>
      <c r="F3098" s="2">
        <v>340</v>
      </c>
      <c r="G3098" s="2">
        <v>5</v>
      </c>
      <c r="H3098" t="s">
        <v>86</v>
      </c>
      <c r="I3098" t="s">
        <v>271</v>
      </c>
      <c r="J3098" s="11">
        <v>832.50891270623629</v>
      </c>
      <c r="K3098" s="11" t="str">
        <f t="shared" si="103"/>
        <v>Dan Goldman</v>
      </c>
    </row>
    <row r="3099" spans="1:11" hidden="1" x14ac:dyDescent="0.35">
      <c r="A3099">
        <f t="shared" si="102"/>
        <v>3098</v>
      </c>
      <c r="B3099">
        <v>2019</v>
      </c>
      <c r="C3099" t="s">
        <v>263</v>
      </c>
      <c r="D3099" t="s">
        <v>2462</v>
      </c>
      <c r="E3099" t="s">
        <v>1429</v>
      </c>
      <c r="F3099" s="2">
        <v>1109</v>
      </c>
      <c r="G3099" s="2">
        <v>1</v>
      </c>
      <c r="H3099" t="s">
        <v>2472</v>
      </c>
      <c r="I3099" t="s">
        <v>16</v>
      </c>
      <c r="J3099" s="11">
        <v>1591.0646070264991</v>
      </c>
      <c r="K3099" t="str">
        <f t="shared" si="103"/>
        <v>David Soussn</v>
      </c>
    </row>
    <row r="3100" spans="1:11" hidden="1" x14ac:dyDescent="0.35">
      <c r="A3100">
        <f t="shared" si="102"/>
        <v>3099</v>
      </c>
      <c r="B3100">
        <v>2019</v>
      </c>
      <c r="C3100" t="s">
        <v>263</v>
      </c>
      <c r="D3100" t="s">
        <v>2462</v>
      </c>
      <c r="E3100" t="s">
        <v>1429</v>
      </c>
      <c r="F3100" s="2">
        <v>808</v>
      </c>
      <c r="G3100" s="2">
        <v>2</v>
      </c>
      <c r="H3100" t="s">
        <v>2474</v>
      </c>
      <c r="I3100" t="s">
        <v>717</v>
      </c>
      <c r="J3100" s="11">
        <v>1290.0346113625178</v>
      </c>
      <c r="K3100" t="str">
        <f t="shared" si="103"/>
        <v>Ben Ludlow</v>
      </c>
    </row>
    <row r="3101" spans="1:11" hidden="1" x14ac:dyDescent="0.35">
      <c r="A3101">
        <f t="shared" si="102"/>
        <v>3100</v>
      </c>
      <c r="B3101">
        <v>2019</v>
      </c>
      <c r="C3101" t="s">
        <v>263</v>
      </c>
      <c r="D3101" t="s">
        <v>2462</v>
      </c>
      <c r="E3101" t="s">
        <v>1429</v>
      </c>
      <c r="F3101" s="2">
        <v>638</v>
      </c>
      <c r="G3101" s="2">
        <v>3</v>
      </c>
      <c r="H3101" t="s">
        <v>86</v>
      </c>
      <c r="I3101" t="s">
        <v>87</v>
      </c>
      <c r="J3101" s="11">
        <v>1113.9433523068367</v>
      </c>
      <c r="K3101" t="str">
        <f t="shared" si="103"/>
        <v>Stevan Goldman</v>
      </c>
    </row>
    <row r="3102" spans="1:11" hidden="1" x14ac:dyDescent="0.35">
      <c r="A3102">
        <f t="shared" ref="A3102:A3165" si="104">A3101+1</f>
        <v>3101</v>
      </c>
      <c r="B3102">
        <v>2019</v>
      </c>
      <c r="C3102" t="s">
        <v>263</v>
      </c>
      <c r="D3102" t="s">
        <v>2462</v>
      </c>
      <c r="E3102" t="s">
        <v>1429</v>
      </c>
      <c r="F3102" s="2">
        <v>582</v>
      </c>
      <c r="G3102" s="2">
        <v>4</v>
      </c>
      <c r="H3102" t="s">
        <v>2398</v>
      </c>
      <c r="I3102" t="s">
        <v>1955</v>
      </c>
      <c r="J3102" s="11">
        <v>989.00461569853667</v>
      </c>
      <c r="K3102" t="str">
        <f t="shared" si="103"/>
        <v>Nancy Robertson</v>
      </c>
    </row>
    <row r="3103" spans="1:11" hidden="1" x14ac:dyDescent="0.35">
      <c r="A3103">
        <f t="shared" si="104"/>
        <v>3102</v>
      </c>
      <c r="B3103">
        <v>2019</v>
      </c>
      <c r="C3103" t="s">
        <v>263</v>
      </c>
      <c r="D3103" t="s">
        <v>2462</v>
      </c>
      <c r="E3103" t="s">
        <v>1429</v>
      </c>
      <c r="F3103" s="2">
        <v>390</v>
      </c>
      <c r="G3103" s="2">
        <v>5</v>
      </c>
      <c r="H3103" t="s">
        <v>266</v>
      </c>
      <c r="I3103" t="s">
        <v>28</v>
      </c>
      <c r="J3103" s="11">
        <v>892.0946026904802</v>
      </c>
      <c r="K3103" t="str">
        <f t="shared" si="103"/>
        <v>Chris Mecklin</v>
      </c>
    </row>
    <row r="3104" spans="1:11" hidden="1" x14ac:dyDescent="0.35">
      <c r="A3104">
        <f t="shared" si="104"/>
        <v>3103</v>
      </c>
      <c r="B3104">
        <v>2019</v>
      </c>
      <c r="C3104" t="s">
        <v>263</v>
      </c>
      <c r="D3104" t="s">
        <v>2462</v>
      </c>
      <c r="E3104" t="s">
        <v>1429</v>
      </c>
      <c r="F3104" s="2">
        <v>273</v>
      </c>
      <c r="G3104" s="2">
        <v>6</v>
      </c>
      <c r="H3104" t="s">
        <v>2476</v>
      </c>
      <c r="I3104" t="s">
        <v>77</v>
      </c>
      <c r="J3104" s="11">
        <v>812.91335664285543</v>
      </c>
      <c r="K3104" t="str">
        <f t="shared" si="103"/>
        <v>Eric Schneller</v>
      </c>
    </row>
    <row r="3105" spans="1:11" hidden="1" x14ac:dyDescent="0.35">
      <c r="A3105">
        <f t="shared" si="104"/>
        <v>3104</v>
      </c>
      <c r="B3105">
        <v>2019</v>
      </c>
      <c r="C3105" t="s">
        <v>263</v>
      </c>
      <c r="D3105" t="s">
        <v>2462</v>
      </c>
      <c r="E3105" t="s">
        <v>1429</v>
      </c>
      <c r="F3105" s="2">
        <v>100</v>
      </c>
      <c r="G3105" s="2">
        <v>7</v>
      </c>
      <c r="H3105" t="s">
        <v>99</v>
      </c>
      <c r="I3105" t="s">
        <v>2500</v>
      </c>
      <c r="J3105" s="11">
        <v>745.96656701224231</v>
      </c>
      <c r="K3105" t="str">
        <f t="shared" si="103"/>
        <v>Bex Kerl</v>
      </c>
    </row>
    <row r="3106" spans="1:11" hidden="1" x14ac:dyDescent="0.35">
      <c r="A3106">
        <f t="shared" si="104"/>
        <v>3105</v>
      </c>
      <c r="B3106">
        <v>2019</v>
      </c>
      <c r="C3106" t="s">
        <v>263</v>
      </c>
      <c r="D3106" t="s">
        <v>2462</v>
      </c>
      <c r="E3106" t="s">
        <v>1429</v>
      </c>
      <c r="F3106" s="2">
        <v>100</v>
      </c>
      <c r="G3106" s="2">
        <v>8</v>
      </c>
      <c r="H3106" t="s">
        <v>43</v>
      </c>
      <c r="I3106" t="s">
        <v>218</v>
      </c>
      <c r="J3106" s="11">
        <v>687.97462003455553</v>
      </c>
      <c r="K3106" t="str">
        <f t="shared" si="103"/>
        <v>Michael Klein</v>
      </c>
    </row>
    <row r="3107" spans="1:11" hidden="1" x14ac:dyDescent="0.35">
      <c r="A3107">
        <f t="shared" si="104"/>
        <v>3106</v>
      </c>
      <c r="B3107">
        <v>2019</v>
      </c>
      <c r="C3107" t="s">
        <v>263</v>
      </c>
      <c r="D3107" t="s">
        <v>2479</v>
      </c>
      <c r="E3107" t="s">
        <v>1430</v>
      </c>
      <c r="F3107" s="2">
        <v>554</v>
      </c>
      <c r="G3107" s="2">
        <v>1</v>
      </c>
      <c r="H3107" t="s">
        <v>2365</v>
      </c>
      <c r="I3107" t="s">
        <v>2366</v>
      </c>
      <c r="J3107" s="11">
        <v>1431.3637641589874</v>
      </c>
      <c r="K3107" s="11" t="str">
        <f t="shared" si="103"/>
        <v>Jesse Capps</v>
      </c>
    </row>
    <row r="3108" spans="1:11" hidden="1" x14ac:dyDescent="0.35">
      <c r="A3108">
        <f t="shared" si="104"/>
        <v>3107</v>
      </c>
      <c r="B3108">
        <v>2019</v>
      </c>
      <c r="C3108" t="s">
        <v>263</v>
      </c>
      <c r="D3108" t="s">
        <v>2479</v>
      </c>
      <c r="E3108" t="s">
        <v>1430</v>
      </c>
      <c r="F3108" s="2">
        <v>369</v>
      </c>
      <c r="G3108" s="2">
        <v>2</v>
      </c>
      <c r="H3108" t="s">
        <v>299</v>
      </c>
      <c r="I3108" t="s">
        <v>300</v>
      </c>
      <c r="J3108" s="11">
        <v>1130.3337684950061</v>
      </c>
      <c r="K3108" s="11" t="str">
        <f t="shared" si="103"/>
        <v>Gillian Groves</v>
      </c>
    </row>
    <row r="3109" spans="1:11" hidden="1" x14ac:dyDescent="0.35">
      <c r="A3109">
        <f t="shared" si="104"/>
        <v>3108</v>
      </c>
      <c r="B3109">
        <v>2019</v>
      </c>
      <c r="C3109" t="s">
        <v>263</v>
      </c>
      <c r="D3109" t="s">
        <v>2479</v>
      </c>
      <c r="E3109" t="s">
        <v>1430</v>
      </c>
      <c r="F3109" s="2">
        <v>262</v>
      </c>
      <c r="G3109" s="2">
        <v>3</v>
      </c>
      <c r="H3109" t="s">
        <v>294</v>
      </c>
      <c r="I3109" t="s">
        <v>16</v>
      </c>
      <c r="J3109" s="11">
        <v>954.24250943932498</v>
      </c>
      <c r="K3109" s="11" t="str">
        <f t="shared" si="103"/>
        <v>David Low</v>
      </c>
    </row>
    <row r="3110" spans="1:11" hidden="1" x14ac:dyDescent="0.35">
      <c r="A3110">
        <f t="shared" si="104"/>
        <v>3109</v>
      </c>
      <c r="B3110">
        <v>2019</v>
      </c>
      <c r="C3110" t="s">
        <v>263</v>
      </c>
      <c r="D3110" t="s">
        <v>2479</v>
      </c>
      <c r="E3110" t="s">
        <v>1430</v>
      </c>
      <c r="F3110" s="2">
        <v>200</v>
      </c>
      <c r="G3110" s="2">
        <v>4</v>
      </c>
      <c r="H3110" t="s">
        <v>105</v>
      </c>
      <c r="I3110" t="s">
        <v>106</v>
      </c>
      <c r="J3110" s="11">
        <v>829.30377283102496</v>
      </c>
      <c r="K3110" s="11" t="str">
        <f t="shared" si="103"/>
        <v>Kenny Shei</v>
      </c>
    </row>
    <row r="3111" spans="1:11" hidden="1" x14ac:dyDescent="0.35">
      <c r="A3111">
        <f t="shared" si="104"/>
        <v>3110</v>
      </c>
      <c r="B3111">
        <v>2019</v>
      </c>
      <c r="C3111" t="s">
        <v>263</v>
      </c>
      <c r="D3111" t="s">
        <v>2479</v>
      </c>
      <c r="E3111" t="s">
        <v>1430</v>
      </c>
      <c r="F3111" s="2">
        <v>80</v>
      </c>
      <c r="G3111" s="2">
        <v>5</v>
      </c>
      <c r="H3111" t="s">
        <v>37</v>
      </c>
      <c r="I3111" t="s">
        <v>38</v>
      </c>
      <c r="J3111" s="11">
        <v>732.39375982296849</v>
      </c>
      <c r="K3111" s="11" t="str">
        <f t="shared" si="103"/>
        <v>Doug Grismore</v>
      </c>
    </row>
    <row r="3112" spans="1:11" hidden="1" x14ac:dyDescent="0.35">
      <c r="A3112">
        <f t="shared" si="104"/>
        <v>3111</v>
      </c>
      <c r="B3112">
        <v>2019</v>
      </c>
      <c r="C3112" t="s">
        <v>263</v>
      </c>
      <c r="D3112" t="s">
        <v>2479</v>
      </c>
      <c r="E3112" t="s">
        <v>1430</v>
      </c>
      <c r="F3112" s="2">
        <v>74</v>
      </c>
      <c r="G3112" s="2">
        <v>6</v>
      </c>
      <c r="H3112" t="s">
        <v>95</v>
      </c>
      <c r="I3112" t="s">
        <v>71</v>
      </c>
      <c r="J3112" s="11">
        <v>653.21251377534372</v>
      </c>
      <c r="K3112" s="11" t="str">
        <f t="shared" si="103"/>
        <v>Scott Samarel</v>
      </c>
    </row>
    <row r="3113" spans="1:11" hidden="1" x14ac:dyDescent="0.35">
      <c r="A3113">
        <f t="shared" si="104"/>
        <v>3112</v>
      </c>
      <c r="B3113">
        <v>2019</v>
      </c>
      <c r="C3113" t="s">
        <v>263</v>
      </c>
      <c r="D3113" t="s">
        <v>110</v>
      </c>
      <c r="E3113" t="s">
        <v>1430</v>
      </c>
      <c r="F3113" s="2">
        <v>3076</v>
      </c>
      <c r="G3113" s="2">
        <v>1</v>
      </c>
      <c r="H3113" t="s">
        <v>70</v>
      </c>
      <c r="I3113" t="s">
        <v>71</v>
      </c>
      <c r="J3113" s="11">
        <v>2029.3837776852097</v>
      </c>
      <c r="K3113" s="11" t="str">
        <f t="shared" si="103"/>
        <v>Scott Byron</v>
      </c>
    </row>
    <row r="3114" spans="1:11" hidden="1" x14ac:dyDescent="0.35">
      <c r="A3114">
        <f t="shared" si="104"/>
        <v>3113</v>
      </c>
      <c r="B3114">
        <v>2019</v>
      </c>
      <c r="C3114" t="s">
        <v>263</v>
      </c>
      <c r="D3114" t="s">
        <v>110</v>
      </c>
      <c r="E3114" t="s">
        <v>1430</v>
      </c>
      <c r="F3114" s="2">
        <v>2338</v>
      </c>
      <c r="G3114" s="2">
        <v>2</v>
      </c>
      <c r="H3114" t="s">
        <v>366</v>
      </c>
      <c r="I3114" t="s">
        <v>61</v>
      </c>
      <c r="J3114" s="11">
        <v>1728.3537820212284</v>
      </c>
      <c r="K3114" s="11" t="str">
        <f t="shared" si="103"/>
        <v>Len Greenberg</v>
      </c>
    </row>
    <row r="3115" spans="1:11" hidden="1" x14ac:dyDescent="0.35">
      <c r="A3115">
        <f t="shared" si="104"/>
        <v>3114</v>
      </c>
      <c r="B3115">
        <v>2019</v>
      </c>
      <c r="C3115" t="s">
        <v>263</v>
      </c>
      <c r="D3115" t="s">
        <v>110</v>
      </c>
      <c r="E3115" t="s">
        <v>1430</v>
      </c>
      <c r="F3115" s="2">
        <v>1723</v>
      </c>
      <c r="G3115" s="2">
        <v>3</v>
      </c>
      <c r="H3115" t="s">
        <v>323</v>
      </c>
      <c r="I3115" t="s">
        <v>324</v>
      </c>
      <c r="J3115" s="11">
        <v>1552.2625229655473</v>
      </c>
      <c r="K3115" s="11" t="str">
        <f t="shared" si="103"/>
        <v>Andrew Prock</v>
      </c>
    </row>
    <row r="3116" spans="1:11" hidden="1" x14ac:dyDescent="0.35">
      <c r="A3116">
        <f t="shared" si="104"/>
        <v>3115</v>
      </c>
      <c r="B3116">
        <v>2019</v>
      </c>
      <c r="C3116" t="s">
        <v>263</v>
      </c>
      <c r="D3116" t="s">
        <v>110</v>
      </c>
      <c r="E3116" t="s">
        <v>1430</v>
      </c>
      <c r="F3116" s="2">
        <v>1354</v>
      </c>
      <c r="G3116" s="2">
        <v>4</v>
      </c>
      <c r="H3116" t="s">
        <v>118</v>
      </c>
      <c r="I3116" t="s">
        <v>415</v>
      </c>
      <c r="J3116" s="11">
        <v>1427.3237863572472</v>
      </c>
      <c r="K3116" t="str">
        <f t="shared" si="103"/>
        <v>Pete Segal</v>
      </c>
    </row>
    <row r="3117" spans="1:11" hidden="1" x14ac:dyDescent="0.35">
      <c r="A3117">
        <f t="shared" si="104"/>
        <v>3116</v>
      </c>
      <c r="B3117">
        <v>2019</v>
      </c>
      <c r="C3117" t="s">
        <v>263</v>
      </c>
      <c r="D3117" t="s">
        <v>110</v>
      </c>
      <c r="E3117" t="s">
        <v>1430</v>
      </c>
      <c r="F3117" s="2">
        <v>1107</v>
      </c>
      <c r="G3117" s="2">
        <v>5</v>
      </c>
      <c r="H3117" t="s">
        <v>12</v>
      </c>
      <c r="I3117" t="s">
        <v>13</v>
      </c>
      <c r="J3117" s="11">
        <v>1330.4137733491909</v>
      </c>
      <c r="K3117" s="11" t="str">
        <f t="shared" si="103"/>
        <v>Tom Bessoir</v>
      </c>
    </row>
    <row r="3118" spans="1:11" hidden="1" x14ac:dyDescent="0.35">
      <c r="A3118">
        <f t="shared" si="104"/>
        <v>3117</v>
      </c>
      <c r="B3118">
        <v>2019</v>
      </c>
      <c r="C3118" t="s">
        <v>263</v>
      </c>
      <c r="D3118" t="s">
        <v>110</v>
      </c>
      <c r="E3118" t="s">
        <v>1430</v>
      </c>
      <c r="F3118" s="2">
        <v>861</v>
      </c>
      <c r="G3118" s="2">
        <v>6</v>
      </c>
      <c r="H3118" t="s">
        <v>88</v>
      </c>
      <c r="I3118" t="s">
        <v>89</v>
      </c>
      <c r="J3118" s="11">
        <v>1251.2325273015661</v>
      </c>
      <c r="K3118" s="11" t="str">
        <f t="shared" si="103"/>
        <v>Ken Kubey</v>
      </c>
    </row>
    <row r="3119" spans="1:11" hidden="1" x14ac:dyDescent="0.35">
      <c r="A3119">
        <f t="shared" si="104"/>
        <v>3118</v>
      </c>
      <c r="B3119">
        <v>2019</v>
      </c>
      <c r="C3119" t="s">
        <v>263</v>
      </c>
      <c r="D3119" t="s">
        <v>110</v>
      </c>
      <c r="E3119" t="s">
        <v>1430</v>
      </c>
      <c r="F3119" s="2">
        <v>615</v>
      </c>
      <c r="G3119" s="2">
        <v>7</v>
      </c>
      <c r="H3119" t="s">
        <v>527</v>
      </c>
      <c r="I3119" t="s">
        <v>11</v>
      </c>
      <c r="J3119" s="11">
        <v>1184.2857376709528</v>
      </c>
      <c r="K3119" s="11" t="str">
        <f t="shared" si="103"/>
        <v>Paul Stine</v>
      </c>
    </row>
    <row r="3120" spans="1:11" hidden="1" x14ac:dyDescent="0.35">
      <c r="A3120">
        <f t="shared" si="104"/>
        <v>3119</v>
      </c>
      <c r="B3120">
        <v>2019</v>
      </c>
      <c r="C3120" t="s">
        <v>263</v>
      </c>
      <c r="D3120" t="s">
        <v>110</v>
      </c>
      <c r="E3120" t="s">
        <v>1430</v>
      </c>
      <c r="F3120" s="2">
        <v>369</v>
      </c>
      <c r="G3120" s="2">
        <v>8</v>
      </c>
      <c r="H3120" t="s">
        <v>86</v>
      </c>
      <c r="I3120" t="s">
        <v>87</v>
      </c>
      <c r="J3120" s="11">
        <v>1126.2937906932661</v>
      </c>
      <c r="K3120" s="11" t="str">
        <f t="shared" si="103"/>
        <v>Stevan Goldman</v>
      </c>
    </row>
    <row r="3121" spans="1:11" hidden="1" x14ac:dyDescent="0.35">
      <c r="A3121">
        <f t="shared" si="104"/>
        <v>3120</v>
      </c>
      <c r="B3121">
        <v>2019</v>
      </c>
      <c r="C3121" t="s">
        <v>263</v>
      </c>
      <c r="D3121" t="s">
        <v>110</v>
      </c>
      <c r="E3121" t="s">
        <v>1430</v>
      </c>
      <c r="F3121" s="2">
        <v>246</v>
      </c>
      <c r="G3121" s="2">
        <v>9</v>
      </c>
      <c r="H3121" t="s">
        <v>86</v>
      </c>
      <c r="I3121" t="s">
        <v>271</v>
      </c>
      <c r="J3121" s="11">
        <v>1075.1412682458849</v>
      </c>
      <c r="K3121" s="11" t="str">
        <f t="shared" si="103"/>
        <v>Dan Goldman</v>
      </c>
    </row>
    <row r="3122" spans="1:11" hidden="1" x14ac:dyDescent="0.35">
      <c r="A3122">
        <f t="shared" si="104"/>
        <v>3121</v>
      </c>
      <c r="B3122">
        <v>2019</v>
      </c>
      <c r="C3122" t="s">
        <v>263</v>
      </c>
      <c r="D3122" t="s">
        <v>110</v>
      </c>
      <c r="E3122" t="s">
        <v>1430</v>
      </c>
      <c r="F3122" s="2">
        <v>246</v>
      </c>
      <c r="G3122" s="2">
        <v>10</v>
      </c>
      <c r="H3122" t="s">
        <v>461</v>
      </c>
      <c r="I3122" t="s">
        <v>665</v>
      </c>
      <c r="J3122" s="11">
        <v>1029.3837776852097</v>
      </c>
      <c r="K3122" s="11" t="str">
        <f t="shared" si="103"/>
        <v>Robert Jones</v>
      </c>
    </row>
    <row r="3123" spans="1:11" hidden="1" x14ac:dyDescent="0.35">
      <c r="A3123">
        <f t="shared" si="104"/>
        <v>3122</v>
      </c>
      <c r="B3123">
        <v>2019</v>
      </c>
      <c r="C3123" t="s">
        <v>263</v>
      </c>
      <c r="D3123" t="s">
        <v>110</v>
      </c>
      <c r="E3123" t="s">
        <v>1430</v>
      </c>
      <c r="F3123" s="2">
        <v>185</v>
      </c>
      <c r="G3123" s="2">
        <v>11</v>
      </c>
      <c r="H3123" t="s">
        <v>307</v>
      </c>
      <c r="I3123" t="s">
        <v>67</v>
      </c>
      <c r="J3123" s="11">
        <v>987.99109252698463</v>
      </c>
      <c r="K3123" s="11" t="str">
        <f t="shared" si="103"/>
        <v>Bob Ogus</v>
      </c>
    </row>
    <row r="3124" spans="1:11" hidden="1" x14ac:dyDescent="0.35">
      <c r="A3124">
        <f t="shared" si="104"/>
        <v>3123</v>
      </c>
      <c r="B3124">
        <v>2019</v>
      </c>
      <c r="C3124" t="s">
        <v>263</v>
      </c>
      <c r="D3124" t="s">
        <v>110</v>
      </c>
      <c r="E3124" t="s">
        <v>1430</v>
      </c>
      <c r="F3124" s="2">
        <v>185</v>
      </c>
      <c r="G3124" s="2">
        <v>12</v>
      </c>
      <c r="H3124" t="s">
        <v>517</v>
      </c>
      <c r="I3124" t="s">
        <v>2383</v>
      </c>
      <c r="J3124" s="11">
        <v>950.2025316375848</v>
      </c>
      <c r="K3124" s="11" t="str">
        <f t="shared" si="103"/>
        <v>Lynsy Iwamoto</v>
      </c>
    </row>
    <row r="3125" spans="1:11" hidden="1" x14ac:dyDescent="0.35">
      <c r="A3125">
        <f t="shared" si="104"/>
        <v>3124</v>
      </c>
      <c r="B3125">
        <v>2019</v>
      </c>
      <c r="C3125" t="s">
        <v>263</v>
      </c>
      <c r="D3125" t="s">
        <v>2487</v>
      </c>
      <c r="E3125" t="s">
        <v>509</v>
      </c>
      <c r="F3125" s="2">
        <v>514</v>
      </c>
      <c r="G3125" s="2">
        <v>1</v>
      </c>
      <c r="H3125" t="s">
        <v>2432</v>
      </c>
      <c r="I3125" t="s">
        <v>139</v>
      </c>
      <c r="J3125" s="11">
        <v>1431.3637641589874</v>
      </c>
      <c r="K3125" s="11" t="str">
        <f t="shared" si="103"/>
        <v>Mark Haroldson</v>
      </c>
    </row>
    <row r="3126" spans="1:11" hidden="1" x14ac:dyDescent="0.35">
      <c r="A3126">
        <f t="shared" si="104"/>
        <v>3125</v>
      </c>
      <c r="B3126">
        <v>2019</v>
      </c>
      <c r="C3126" t="s">
        <v>263</v>
      </c>
      <c r="D3126" t="s">
        <v>2487</v>
      </c>
      <c r="E3126" t="s">
        <v>509</v>
      </c>
      <c r="F3126" s="2">
        <v>339</v>
      </c>
      <c r="G3126" s="2">
        <v>2</v>
      </c>
      <c r="H3126" t="s">
        <v>170</v>
      </c>
      <c r="I3126" t="s">
        <v>171</v>
      </c>
      <c r="J3126" s="11">
        <v>1130.3337684950061</v>
      </c>
      <c r="K3126" s="11" t="str">
        <f t="shared" si="103"/>
        <v>Brenda Mowrey</v>
      </c>
    </row>
    <row r="3127" spans="1:11" hidden="1" x14ac:dyDescent="0.35">
      <c r="A3127">
        <f t="shared" si="104"/>
        <v>3126</v>
      </c>
      <c r="B3127">
        <v>2019</v>
      </c>
      <c r="C3127" t="s">
        <v>263</v>
      </c>
      <c r="D3127" t="s">
        <v>2487</v>
      </c>
      <c r="E3127" t="s">
        <v>509</v>
      </c>
      <c r="F3127" s="2">
        <v>242</v>
      </c>
      <c r="G3127" s="2">
        <v>3</v>
      </c>
      <c r="H3127" t="s">
        <v>1458</v>
      </c>
      <c r="I3127" t="s">
        <v>67</v>
      </c>
      <c r="J3127" s="11">
        <v>954.24250943932498</v>
      </c>
      <c r="K3127" s="11" t="str">
        <f t="shared" si="103"/>
        <v>Bob Gilbert</v>
      </c>
    </row>
    <row r="3128" spans="1:11" hidden="1" x14ac:dyDescent="0.35">
      <c r="A3128">
        <f t="shared" si="104"/>
        <v>3127</v>
      </c>
      <c r="B3128">
        <v>2019</v>
      </c>
      <c r="C3128" t="s">
        <v>263</v>
      </c>
      <c r="D3128" t="s">
        <v>2487</v>
      </c>
      <c r="E3128" t="s">
        <v>509</v>
      </c>
      <c r="F3128" s="2">
        <v>190</v>
      </c>
      <c r="G3128" s="2">
        <v>4</v>
      </c>
      <c r="H3128" t="s">
        <v>461</v>
      </c>
      <c r="I3128" t="s">
        <v>1448</v>
      </c>
      <c r="J3128" s="11">
        <v>829.30377283102496</v>
      </c>
      <c r="K3128" s="11" t="str">
        <f t="shared" si="103"/>
        <v>Christian Jones</v>
      </c>
    </row>
    <row r="3129" spans="1:11" hidden="1" x14ac:dyDescent="0.35">
      <c r="A3129">
        <f t="shared" si="104"/>
        <v>3128</v>
      </c>
      <c r="B3129">
        <v>2019</v>
      </c>
      <c r="C3129" t="s">
        <v>263</v>
      </c>
      <c r="D3129" t="s">
        <v>2487</v>
      </c>
      <c r="E3129" t="s">
        <v>509</v>
      </c>
      <c r="F3129" s="2">
        <v>154</v>
      </c>
      <c r="G3129" s="2">
        <v>5</v>
      </c>
      <c r="H3129" t="s">
        <v>72</v>
      </c>
      <c r="I3129" t="s">
        <v>73</v>
      </c>
      <c r="J3129" s="11">
        <v>732.39375982296849</v>
      </c>
      <c r="K3129" s="11" t="str">
        <f t="shared" si="103"/>
        <v>Corey Imsdahl</v>
      </c>
    </row>
    <row r="3130" spans="1:11" hidden="1" x14ac:dyDescent="0.35">
      <c r="A3130">
        <f t="shared" si="104"/>
        <v>3129</v>
      </c>
      <c r="B3130">
        <v>2019</v>
      </c>
      <c r="C3130" t="s">
        <v>263</v>
      </c>
      <c r="D3130" t="s">
        <v>2487</v>
      </c>
      <c r="E3130" t="s">
        <v>509</v>
      </c>
      <c r="F3130" s="2">
        <v>100</v>
      </c>
      <c r="G3130" s="2">
        <v>6</v>
      </c>
      <c r="H3130" t="s">
        <v>310</v>
      </c>
      <c r="I3130" t="s">
        <v>119</v>
      </c>
      <c r="J3130" s="11">
        <v>653.21251377534372</v>
      </c>
      <c r="K3130" s="11" t="str">
        <f t="shared" si="103"/>
        <v>Peter Caldes</v>
      </c>
    </row>
    <row r="3131" spans="1:11" hidden="1" x14ac:dyDescent="0.35">
      <c r="A3131">
        <f t="shared" si="104"/>
        <v>3130</v>
      </c>
      <c r="B3131">
        <v>2019</v>
      </c>
      <c r="C3131" t="s">
        <v>68</v>
      </c>
      <c r="D3131" t="s">
        <v>2450</v>
      </c>
      <c r="E3131" t="s">
        <v>1232</v>
      </c>
      <c r="F3131" s="2">
        <v>886</v>
      </c>
      <c r="G3131" s="2">
        <v>1</v>
      </c>
      <c r="H3131" t="s">
        <v>2451</v>
      </c>
      <c r="I3131" t="s">
        <v>2452</v>
      </c>
      <c r="J3131" s="11">
        <v>1623.2492903979005</v>
      </c>
      <c r="K3131" t="str">
        <f t="shared" si="103"/>
        <v>Han Hoai</v>
      </c>
    </row>
    <row r="3132" spans="1:11" hidden="1" x14ac:dyDescent="0.35">
      <c r="A3132">
        <f t="shared" si="104"/>
        <v>3131</v>
      </c>
      <c r="B3132">
        <v>2019</v>
      </c>
      <c r="C3132" t="s">
        <v>68</v>
      </c>
      <c r="D3132" t="s">
        <v>2450</v>
      </c>
      <c r="E3132" t="s">
        <v>1232</v>
      </c>
      <c r="F3132" s="2">
        <v>622</v>
      </c>
      <c r="G3132" s="2">
        <v>2</v>
      </c>
      <c r="H3132" t="s">
        <v>105</v>
      </c>
      <c r="I3132" t="s">
        <v>106</v>
      </c>
      <c r="J3132" s="11">
        <v>1322.2192947339192</v>
      </c>
      <c r="K3132" t="str">
        <f t="shared" si="103"/>
        <v>Kenny Shei</v>
      </c>
    </row>
    <row r="3133" spans="1:11" hidden="1" x14ac:dyDescent="0.35">
      <c r="A3133">
        <f t="shared" si="104"/>
        <v>3132</v>
      </c>
      <c r="B3133">
        <v>2019</v>
      </c>
      <c r="C3133" t="s">
        <v>68</v>
      </c>
      <c r="D3133" t="s">
        <v>2450</v>
      </c>
      <c r="E3133" t="s">
        <v>1232</v>
      </c>
      <c r="F3133" s="2">
        <v>475</v>
      </c>
      <c r="G3133" s="2">
        <v>3</v>
      </c>
      <c r="H3133" t="s">
        <v>1843</v>
      </c>
      <c r="I3133" t="s">
        <v>282</v>
      </c>
      <c r="J3133" s="11">
        <v>1146.1280356782381</v>
      </c>
      <c r="K3133" t="str">
        <f t="shared" si="103"/>
        <v>Randy Hudson</v>
      </c>
    </row>
    <row r="3134" spans="1:11" hidden="1" x14ac:dyDescent="0.35">
      <c r="A3134">
        <f t="shared" si="104"/>
        <v>3133</v>
      </c>
      <c r="B3134">
        <v>2019</v>
      </c>
      <c r="C3134" t="s">
        <v>68</v>
      </c>
      <c r="D3134" t="s">
        <v>2450</v>
      </c>
      <c r="E3134" t="s">
        <v>1232</v>
      </c>
      <c r="F3134" s="2">
        <v>357</v>
      </c>
      <c r="G3134" s="2">
        <v>4</v>
      </c>
      <c r="H3134" t="s">
        <v>277</v>
      </c>
      <c r="I3134" t="s">
        <v>16</v>
      </c>
      <c r="J3134" s="11">
        <v>1021.1892990699382</v>
      </c>
      <c r="K3134" t="str">
        <f t="shared" si="103"/>
        <v>David Lawful</v>
      </c>
    </row>
    <row r="3135" spans="1:11" hidden="1" x14ac:dyDescent="0.35">
      <c r="A3135">
        <f t="shared" si="104"/>
        <v>3134</v>
      </c>
      <c r="B3135">
        <v>2019</v>
      </c>
      <c r="C3135" t="s">
        <v>68</v>
      </c>
      <c r="D3135" t="s">
        <v>2450</v>
      </c>
      <c r="E3135" t="s">
        <v>1232</v>
      </c>
      <c r="F3135" s="2">
        <v>294</v>
      </c>
      <c r="G3135" s="2">
        <v>5</v>
      </c>
      <c r="H3135" t="s">
        <v>525</v>
      </c>
      <c r="I3135" t="s">
        <v>58</v>
      </c>
      <c r="J3135" s="11">
        <v>924.27928606188175</v>
      </c>
      <c r="K3135" t="str">
        <f t="shared" si="103"/>
        <v>Jim Anderson</v>
      </c>
    </row>
    <row r="3136" spans="1:11" hidden="1" x14ac:dyDescent="0.35">
      <c r="A3136">
        <f t="shared" si="104"/>
        <v>3135</v>
      </c>
      <c r="B3136">
        <v>2019</v>
      </c>
      <c r="C3136" t="s">
        <v>68</v>
      </c>
      <c r="D3136" t="s">
        <v>2450</v>
      </c>
      <c r="E3136" t="s">
        <v>1232</v>
      </c>
      <c r="F3136" s="2">
        <v>206</v>
      </c>
      <c r="G3136" s="2">
        <v>6</v>
      </c>
      <c r="H3136" t="s">
        <v>107</v>
      </c>
      <c r="I3136" t="s">
        <v>108</v>
      </c>
      <c r="J3136" s="11">
        <v>845.09804001425687</v>
      </c>
      <c r="K3136" t="str">
        <f t="shared" si="103"/>
        <v>Kyle Minnis</v>
      </c>
    </row>
    <row r="3137" spans="1:11" hidden="1" x14ac:dyDescent="0.35">
      <c r="A3137">
        <f t="shared" si="104"/>
        <v>3136</v>
      </c>
      <c r="B3137">
        <v>2019</v>
      </c>
      <c r="C3137" t="s">
        <v>68</v>
      </c>
      <c r="D3137" t="s">
        <v>2450</v>
      </c>
      <c r="E3137" t="s">
        <v>1232</v>
      </c>
      <c r="F3137" s="2">
        <v>100</v>
      </c>
      <c r="G3137" s="2">
        <v>7</v>
      </c>
      <c r="H3137" t="s">
        <v>316</v>
      </c>
      <c r="I3137" t="s">
        <v>269</v>
      </c>
      <c r="J3137" s="11">
        <v>778.15125038364374</v>
      </c>
      <c r="K3137" t="str">
        <f t="shared" si="103"/>
        <v>Keith Troell</v>
      </c>
    </row>
    <row r="3138" spans="1:11" hidden="1" x14ac:dyDescent="0.35">
      <c r="A3138">
        <f t="shared" si="104"/>
        <v>3137</v>
      </c>
      <c r="B3138">
        <v>2019</v>
      </c>
      <c r="C3138" t="s">
        <v>68</v>
      </c>
      <c r="D3138" t="s">
        <v>91</v>
      </c>
      <c r="E3138" t="s">
        <v>509</v>
      </c>
      <c r="F3138" s="2">
        <v>846</v>
      </c>
      <c r="G3138" s="2">
        <v>1</v>
      </c>
      <c r="H3138" t="s">
        <v>204</v>
      </c>
      <c r="I3138" t="s">
        <v>205</v>
      </c>
      <c r="J3138" s="11">
        <v>1591.0646070264991</v>
      </c>
      <c r="K3138" t="str">
        <f t="shared" ref="K3138:K3201" si="105">I3138&amp;" "&amp;H3138</f>
        <v>Ron Grossberg</v>
      </c>
    </row>
    <row r="3139" spans="1:11" hidden="1" x14ac:dyDescent="0.35">
      <c r="A3139">
        <f t="shared" si="104"/>
        <v>3138</v>
      </c>
      <c r="B3139">
        <v>2019</v>
      </c>
      <c r="C3139" t="s">
        <v>68</v>
      </c>
      <c r="D3139" t="s">
        <v>91</v>
      </c>
      <c r="E3139" t="s">
        <v>509</v>
      </c>
      <c r="F3139" s="2">
        <v>601</v>
      </c>
      <c r="G3139" s="2">
        <v>2</v>
      </c>
      <c r="H3139" t="s">
        <v>21</v>
      </c>
      <c r="I3139" t="s">
        <v>463</v>
      </c>
      <c r="J3139" s="11">
        <v>1290.0346113625178</v>
      </c>
      <c r="K3139" t="str">
        <f t="shared" si="105"/>
        <v>Richard Bremer</v>
      </c>
    </row>
    <row r="3140" spans="1:11" hidden="1" x14ac:dyDescent="0.35">
      <c r="A3140">
        <f t="shared" si="104"/>
        <v>3139</v>
      </c>
      <c r="B3140">
        <v>2019</v>
      </c>
      <c r="C3140" t="s">
        <v>68</v>
      </c>
      <c r="D3140" t="s">
        <v>91</v>
      </c>
      <c r="E3140" t="s">
        <v>509</v>
      </c>
      <c r="F3140" s="2">
        <v>464</v>
      </c>
      <c r="G3140" s="2">
        <v>3</v>
      </c>
      <c r="H3140" t="s">
        <v>603</v>
      </c>
      <c r="I3140" t="s">
        <v>604</v>
      </c>
      <c r="J3140" s="11">
        <v>1113.9433523068367</v>
      </c>
      <c r="K3140" t="str">
        <f t="shared" si="105"/>
        <v>Jordan Devenport</v>
      </c>
    </row>
    <row r="3141" spans="1:11" hidden="1" x14ac:dyDescent="0.35">
      <c r="A3141">
        <f t="shared" si="104"/>
        <v>3140</v>
      </c>
      <c r="B3141">
        <v>2019</v>
      </c>
      <c r="C3141" t="s">
        <v>68</v>
      </c>
      <c r="D3141" t="s">
        <v>91</v>
      </c>
      <c r="E3141" t="s">
        <v>509</v>
      </c>
      <c r="F3141" s="2">
        <v>355</v>
      </c>
      <c r="G3141" s="2">
        <v>4</v>
      </c>
      <c r="H3141" t="s">
        <v>2512</v>
      </c>
      <c r="I3141" t="s">
        <v>659</v>
      </c>
      <c r="J3141" s="11">
        <v>989.00461569853667</v>
      </c>
      <c r="K3141" t="str">
        <f t="shared" si="105"/>
        <v>Tanya Peck-Devenport</v>
      </c>
    </row>
    <row r="3142" spans="1:11" hidden="1" x14ac:dyDescent="0.35">
      <c r="A3142">
        <f t="shared" si="104"/>
        <v>3141</v>
      </c>
      <c r="B3142">
        <v>2019</v>
      </c>
      <c r="C3142" t="s">
        <v>68</v>
      </c>
      <c r="D3142" t="s">
        <v>91</v>
      </c>
      <c r="E3142" t="s">
        <v>509</v>
      </c>
      <c r="F3142" s="2">
        <v>273</v>
      </c>
      <c r="G3142" s="2">
        <v>5</v>
      </c>
      <c r="H3142" t="s">
        <v>1504</v>
      </c>
      <c r="I3142" t="s">
        <v>85</v>
      </c>
      <c r="J3142" s="11">
        <v>892.0946026904802</v>
      </c>
      <c r="K3142" t="str">
        <f t="shared" si="105"/>
        <v>Patrick Milligan</v>
      </c>
    </row>
    <row r="3143" spans="1:11" hidden="1" x14ac:dyDescent="0.35">
      <c r="A3143">
        <f t="shared" si="104"/>
        <v>3142</v>
      </c>
      <c r="B3143">
        <v>2019</v>
      </c>
      <c r="C3143" t="s">
        <v>68</v>
      </c>
      <c r="D3143" t="s">
        <v>91</v>
      </c>
      <c r="E3143" t="s">
        <v>509</v>
      </c>
      <c r="F3143" s="2">
        <v>191</v>
      </c>
      <c r="G3143" s="2">
        <v>6</v>
      </c>
      <c r="H3143" t="s">
        <v>2281</v>
      </c>
      <c r="I3143" t="s">
        <v>2282</v>
      </c>
      <c r="J3143" s="11">
        <v>812.91335664285543</v>
      </c>
      <c r="K3143" t="str">
        <f t="shared" si="105"/>
        <v>Diana Mercer</v>
      </c>
    </row>
    <row r="3144" spans="1:11" hidden="1" x14ac:dyDescent="0.35">
      <c r="A3144">
        <f t="shared" si="104"/>
        <v>3143</v>
      </c>
      <c r="B3144">
        <v>2019</v>
      </c>
      <c r="C3144" t="s">
        <v>68</v>
      </c>
      <c r="D3144" t="s">
        <v>557</v>
      </c>
      <c r="E3144" t="s">
        <v>1430</v>
      </c>
      <c r="F3144" s="2">
        <v>843</v>
      </c>
      <c r="G3144" s="2">
        <v>1</v>
      </c>
      <c r="H3144" t="s">
        <v>525</v>
      </c>
      <c r="I3144" t="s">
        <v>2320</v>
      </c>
      <c r="J3144" s="11">
        <v>1602.0599913279623</v>
      </c>
      <c r="K3144" t="str">
        <f t="shared" si="105"/>
        <v>Jared Anderson</v>
      </c>
    </row>
    <row r="3145" spans="1:11" hidden="1" x14ac:dyDescent="0.35">
      <c r="A3145">
        <f t="shared" si="104"/>
        <v>3144</v>
      </c>
      <c r="B3145">
        <v>2019</v>
      </c>
      <c r="C3145" t="s">
        <v>68</v>
      </c>
      <c r="D3145" t="s">
        <v>557</v>
      </c>
      <c r="E3145" t="s">
        <v>1430</v>
      </c>
      <c r="F3145" s="2">
        <v>591</v>
      </c>
      <c r="G3145" s="2">
        <v>2</v>
      </c>
      <c r="H3145" t="s">
        <v>2454</v>
      </c>
      <c r="I3145" t="s">
        <v>782</v>
      </c>
      <c r="J3145" s="11">
        <v>1301.029995663981</v>
      </c>
      <c r="K3145" t="str">
        <f t="shared" si="105"/>
        <v>Dennis Axel</v>
      </c>
    </row>
    <row r="3146" spans="1:11" hidden="1" x14ac:dyDescent="0.35">
      <c r="A3146">
        <f t="shared" si="104"/>
        <v>3145</v>
      </c>
      <c r="B3146">
        <v>2019</v>
      </c>
      <c r="C3146" t="s">
        <v>68</v>
      </c>
      <c r="D3146" t="s">
        <v>557</v>
      </c>
      <c r="E3146" t="s">
        <v>1430</v>
      </c>
      <c r="F3146" s="2">
        <v>451</v>
      </c>
      <c r="G3146" s="2">
        <v>3</v>
      </c>
      <c r="H3146" t="s">
        <v>105</v>
      </c>
      <c r="I3146" t="s">
        <v>106</v>
      </c>
      <c r="J3146" s="11">
        <v>1124.9387366082999</v>
      </c>
      <c r="K3146" t="str">
        <f t="shared" si="105"/>
        <v>Kenny Shei</v>
      </c>
    </row>
    <row r="3147" spans="1:11" hidden="1" x14ac:dyDescent="0.35">
      <c r="A3147">
        <f t="shared" si="104"/>
        <v>3146</v>
      </c>
      <c r="B3147">
        <v>2019</v>
      </c>
      <c r="C3147" t="s">
        <v>68</v>
      </c>
      <c r="D3147" t="s">
        <v>557</v>
      </c>
      <c r="E3147" t="s">
        <v>1430</v>
      </c>
      <c r="F3147" s="2">
        <v>339</v>
      </c>
      <c r="G3147" s="2">
        <v>4</v>
      </c>
      <c r="H3147" t="s">
        <v>92</v>
      </c>
      <c r="I3147" t="s">
        <v>93</v>
      </c>
      <c r="J3147" s="11">
        <v>999.99999999999989</v>
      </c>
      <c r="K3147" t="str">
        <f t="shared" si="105"/>
        <v>Kirk Oshiro</v>
      </c>
    </row>
    <row r="3148" spans="1:11" hidden="1" x14ac:dyDescent="0.35">
      <c r="A3148">
        <f t="shared" si="104"/>
        <v>3147</v>
      </c>
      <c r="B3148">
        <v>2019</v>
      </c>
      <c r="C3148" t="s">
        <v>68</v>
      </c>
      <c r="D3148" t="s">
        <v>557</v>
      </c>
      <c r="E3148" t="s">
        <v>1430</v>
      </c>
      <c r="F3148" s="2">
        <v>280</v>
      </c>
      <c r="G3148" s="2">
        <v>5</v>
      </c>
      <c r="H3148" t="s">
        <v>2451</v>
      </c>
      <c r="I3148" t="s">
        <v>2452</v>
      </c>
      <c r="J3148" s="11">
        <v>903.08998699194342</v>
      </c>
      <c r="K3148" t="str">
        <f t="shared" si="105"/>
        <v>Han Hoai</v>
      </c>
    </row>
    <row r="3149" spans="1:11" hidden="1" x14ac:dyDescent="0.35">
      <c r="A3149">
        <f t="shared" si="104"/>
        <v>3148</v>
      </c>
      <c r="B3149">
        <v>2019</v>
      </c>
      <c r="C3149" t="s">
        <v>68</v>
      </c>
      <c r="D3149" t="s">
        <v>557</v>
      </c>
      <c r="E3149" t="s">
        <v>1430</v>
      </c>
      <c r="F3149" s="2">
        <v>196</v>
      </c>
      <c r="G3149" s="2">
        <v>6</v>
      </c>
      <c r="H3149" t="s">
        <v>525</v>
      </c>
      <c r="I3149" t="s">
        <v>58</v>
      </c>
      <c r="J3149" s="11">
        <v>823.90874094431865</v>
      </c>
      <c r="K3149" t="str">
        <f t="shared" si="105"/>
        <v>Jim Anderson</v>
      </c>
    </row>
    <row r="3150" spans="1:11" hidden="1" x14ac:dyDescent="0.35">
      <c r="A3150">
        <f t="shared" si="104"/>
        <v>3149</v>
      </c>
      <c r="B3150">
        <v>2019</v>
      </c>
      <c r="C3150" t="s">
        <v>68</v>
      </c>
      <c r="D3150" t="s">
        <v>557</v>
      </c>
      <c r="E3150" t="s">
        <v>1430</v>
      </c>
      <c r="F3150" s="2">
        <v>100</v>
      </c>
      <c r="G3150" s="2">
        <v>7</v>
      </c>
      <c r="H3150" t="s">
        <v>80</v>
      </c>
      <c r="I3150" t="s">
        <v>82</v>
      </c>
      <c r="J3150" s="11">
        <v>756.96195131370553</v>
      </c>
      <c r="K3150" t="str">
        <f t="shared" si="105"/>
        <v>Karen Adams</v>
      </c>
    </row>
    <row r="3151" spans="1:11" hidden="1" x14ac:dyDescent="0.35">
      <c r="A3151">
        <f t="shared" si="104"/>
        <v>3150</v>
      </c>
      <c r="B3151">
        <v>2019</v>
      </c>
      <c r="C3151" t="s">
        <v>68</v>
      </c>
      <c r="D3151" t="s">
        <v>2453</v>
      </c>
      <c r="E3151" t="s">
        <v>1429</v>
      </c>
      <c r="F3151" s="2">
        <v>400</v>
      </c>
      <c r="G3151" s="2">
        <v>1</v>
      </c>
      <c r="H3151" t="s">
        <v>50</v>
      </c>
      <c r="I3151" t="s">
        <v>25</v>
      </c>
      <c r="J3151" s="11">
        <v>1653.2125137753437</v>
      </c>
      <c r="K3151" t="str">
        <f t="shared" si="105"/>
        <v>Russell Fox</v>
      </c>
    </row>
    <row r="3152" spans="1:11" hidden="1" x14ac:dyDescent="0.35">
      <c r="A3152">
        <f t="shared" si="104"/>
        <v>3151</v>
      </c>
      <c r="B3152">
        <v>2019</v>
      </c>
      <c r="C3152" t="s">
        <v>68</v>
      </c>
      <c r="D3152" t="s">
        <v>2453</v>
      </c>
      <c r="E3152" t="s">
        <v>1429</v>
      </c>
      <c r="F3152" s="2">
        <v>500</v>
      </c>
      <c r="G3152" s="2">
        <v>2</v>
      </c>
      <c r="H3152" t="s">
        <v>86</v>
      </c>
      <c r="I3152" t="s">
        <v>87</v>
      </c>
      <c r="J3152" s="11">
        <v>1352.1825181113625</v>
      </c>
      <c r="K3152" t="str">
        <f t="shared" si="105"/>
        <v>Stevan Goldman</v>
      </c>
    </row>
    <row r="3153" spans="1:11" hidden="1" x14ac:dyDescent="0.35">
      <c r="A3153">
        <f t="shared" si="104"/>
        <v>3152</v>
      </c>
      <c r="B3153">
        <v>2019</v>
      </c>
      <c r="C3153" t="s">
        <v>68</v>
      </c>
      <c r="D3153" t="s">
        <v>2453</v>
      </c>
      <c r="E3153" t="s">
        <v>1429</v>
      </c>
      <c r="F3153" s="2">
        <v>600</v>
      </c>
      <c r="G3153" s="2">
        <v>3</v>
      </c>
      <c r="H3153" t="s">
        <v>265</v>
      </c>
      <c r="I3153" t="s">
        <v>139</v>
      </c>
      <c r="J3153" s="11">
        <v>1176.0912590556813</v>
      </c>
      <c r="K3153" t="str">
        <f t="shared" si="105"/>
        <v>Mark Hughes</v>
      </c>
    </row>
    <row r="3154" spans="1:11" hidden="1" x14ac:dyDescent="0.35">
      <c r="A3154">
        <f t="shared" si="104"/>
        <v>3153</v>
      </c>
      <c r="B3154">
        <v>2019</v>
      </c>
      <c r="C3154" t="s">
        <v>68</v>
      </c>
      <c r="D3154" t="s">
        <v>2453</v>
      </c>
      <c r="E3154" t="s">
        <v>1429</v>
      </c>
      <c r="F3154" s="2">
        <v>400</v>
      </c>
      <c r="G3154" s="2">
        <v>4</v>
      </c>
      <c r="H3154" t="s">
        <v>999</v>
      </c>
      <c r="I3154" t="s">
        <v>815</v>
      </c>
      <c r="J3154" s="11">
        <v>1051.1525224473814</v>
      </c>
      <c r="K3154" t="str">
        <f t="shared" si="105"/>
        <v>Sean McGuiness</v>
      </c>
    </row>
    <row r="3155" spans="1:11" hidden="1" x14ac:dyDescent="0.35">
      <c r="A3155">
        <f t="shared" si="104"/>
        <v>3154</v>
      </c>
      <c r="B3155">
        <v>2019</v>
      </c>
      <c r="C3155" t="s">
        <v>68</v>
      </c>
      <c r="D3155" t="s">
        <v>2453</v>
      </c>
      <c r="E3155" t="s">
        <v>1429</v>
      </c>
      <c r="F3155" s="2">
        <v>100</v>
      </c>
      <c r="G3155" s="2">
        <v>5</v>
      </c>
      <c r="H3155" t="s">
        <v>37</v>
      </c>
      <c r="I3155" t="s">
        <v>38</v>
      </c>
      <c r="J3155" s="11">
        <v>954.24250943932486</v>
      </c>
      <c r="K3155" t="str">
        <f t="shared" si="105"/>
        <v>Doug Grismore</v>
      </c>
    </row>
    <row r="3156" spans="1:11" hidden="1" x14ac:dyDescent="0.35">
      <c r="A3156">
        <f t="shared" si="104"/>
        <v>3155</v>
      </c>
      <c r="B3156">
        <v>2019</v>
      </c>
      <c r="C3156" t="s">
        <v>68</v>
      </c>
      <c r="D3156" t="s">
        <v>2453</v>
      </c>
      <c r="E3156" t="s">
        <v>1429</v>
      </c>
      <c r="F3156" s="2">
        <v>400</v>
      </c>
      <c r="G3156" s="2">
        <v>6</v>
      </c>
      <c r="H3156" t="s">
        <v>603</v>
      </c>
      <c r="I3156" t="s">
        <v>604</v>
      </c>
      <c r="J3156" s="11">
        <v>875.06126339170009</v>
      </c>
      <c r="K3156" t="str">
        <f t="shared" si="105"/>
        <v>Jordan Devenport</v>
      </c>
    </row>
    <row r="3157" spans="1:11" hidden="1" x14ac:dyDescent="0.35">
      <c r="A3157">
        <f t="shared" si="104"/>
        <v>3156</v>
      </c>
      <c r="B3157">
        <v>2019</v>
      </c>
      <c r="C3157" t="s">
        <v>68</v>
      </c>
      <c r="D3157" t="s">
        <v>2453</v>
      </c>
      <c r="E3157" t="s">
        <v>1429</v>
      </c>
      <c r="F3157" s="2">
        <v>700</v>
      </c>
      <c r="G3157" s="2">
        <v>7</v>
      </c>
      <c r="H3157" t="s">
        <v>2365</v>
      </c>
      <c r="I3157" t="s">
        <v>2366</v>
      </c>
      <c r="J3157" s="11">
        <v>808.11447376108697</v>
      </c>
      <c r="K3157" t="str">
        <f t="shared" si="105"/>
        <v>Jesse Capps</v>
      </c>
    </row>
    <row r="3158" spans="1:11" hidden="1" x14ac:dyDescent="0.35">
      <c r="A3158">
        <f t="shared" si="104"/>
        <v>3157</v>
      </c>
      <c r="B3158">
        <v>2019</v>
      </c>
      <c r="C3158" t="s">
        <v>68</v>
      </c>
      <c r="D3158" t="s">
        <v>133</v>
      </c>
      <c r="E3158" t="s">
        <v>133</v>
      </c>
      <c r="F3158" s="2">
        <v>806</v>
      </c>
      <c r="G3158" s="2">
        <v>1</v>
      </c>
      <c r="H3158" t="s">
        <v>86</v>
      </c>
      <c r="I3158" t="s">
        <v>87</v>
      </c>
      <c r="J3158" s="11">
        <v>1505.149978319906</v>
      </c>
      <c r="K3158" t="str">
        <f t="shared" si="105"/>
        <v>Stevan Goldman</v>
      </c>
    </row>
    <row r="3159" spans="1:11" hidden="1" x14ac:dyDescent="0.35">
      <c r="A3159">
        <f t="shared" si="104"/>
        <v>3158</v>
      </c>
      <c r="B3159">
        <v>2019</v>
      </c>
      <c r="C3159" t="s">
        <v>68</v>
      </c>
      <c r="D3159" t="s">
        <v>133</v>
      </c>
      <c r="E3159" t="s">
        <v>133</v>
      </c>
      <c r="F3159" s="2">
        <v>538</v>
      </c>
      <c r="G3159" s="2">
        <v>2</v>
      </c>
      <c r="H3159" t="s">
        <v>603</v>
      </c>
      <c r="I3159" t="s">
        <v>604</v>
      </c>
      <c r="J3159" s="11">
        <v>1204.1199826559248</v>
      </c>
      <c r="K3159" t="str">
        <f t="shared" si="105"/>
        <v>Jordan Devenport</v>
      </c>
    </row>
    <row r="3160" spans="1:11" hidden="1" x14ac:dyDescent="0.35">
      <c r="A3160">
        <f t="shared" si="104"/>
        <v>3159</v>
      </c>
      <c r="B3160">
        <v>2019</v>
      </c>
      <c r="C3160" t="s">
        <v>68</v>
      </c>
      <c r="D3160" t="s">
        <v>133</v>
      </c>
      <c r="E3160" t="s">
        <v>133</v>
      </c>
      <c r="F3160" s="2">
        <v>381</v>
      </c>
      <c r="G3160" s="2">
        <v>3</v>
      </c>
      <c r="H3160" t="s">
        <v>64</v>
      </c>
      <c r="I3160" t="s">
        <v>65</v>
      </c>
      <c r="J3160" s="11">
        <v>1028.0287236002437</v>
      </c>
      <c r="K3160" t="str">
        <f t="shared" si="105"/>
        <v>Steve Daniel</v>
      </c>
    </row>
    <row r="3161" spans="1:11" hidden="1" x14ac:dyDescent="0.35">
      <c r="A3161">
        <f t="shared" si="104"/>
        <v>3160</v>
      </c>
      <c r="B3161">
        <v>2019</v>
      </c>
      <c r="C3161" t="s">
        <v>68</v>
      </c>
      <c r="D3161" t="s">
        <v>133</v>
      </c>
      <c r="E3161" t="s">
        <v>133</v>
      </c>
      <c r="F3161" s="2">
        <v>291</v>
      </c>
      <c r="G3161" s="2">
        <v>4</v>
      </c>
      <c r="H3161" t="s">
        <v>525</v>
      </c>
      <c r="I3161" t="s">
        <v>58</v>
      </c>
      <c r="J3161" s="11">
        <v>903.08998699194365</v>
      </c>
      <c r="K3161" t="str">
        <f t="shared" si="105"/>
        <v>Jim Anderson</v>
      </c>
    </row>
    <row r="3162" spans="1:11" hidden="1" x14ac:dyDescent="0.35">
      <c r="A3162">
        <f t="shared" si="104"/>
        <v>3161</v>
      </c>
      <c r="B3162">
        <v>2019</v>
      </c>
      <c r="C3162" t="s">
        <v>68</v>
      </c>
      <c r="D3162" t="s">
        <v>133</v>
      </c>
      <c r="E3162" t="s">
        <v>133</v>
      </c>
      <c r="F3162" s="2">
        <v>224</v>
      </c>
      <c r="G3162" s="2">
        <v>5</v>
      </c>
      <c r="H3162" t="s">
        <v>88</v>
      </c>
      <c r="I3162" t="s">
        <v>89</v>
      </c>
      <c r="J3162" s="11">
        <v>806.17997398388718</v>
      </c>
      <c r="K3162" t="str">
        <f t="shared" si="105"/>
        <v>Ken Kubey</v>
      </c>
    </row>
    <row r="3163" spans="1:11" hidden="1" x14ac:dyDescent="0.35">
      <c r="A3163">
        <f t="shared" si="104"/>
        <v>3162</v>
      </c>
      <c r="B3163">
        <v>2019</v>
      </c>
      <c r="C3163" t="s">
        <v>8</v>
      </c>
      <c r="D3163" t="s">
        <v>2446</v>
      </c>
      <c r="E3163" t="s">
        <v>1429</v>
      </c>
      <c r="F3163" s="2">
        <v>422</v>
      </c>
      <c r="G3163" s="2">
        <v>1</v>
      </c>
      <c r="H3163" t="s">
        <v>23</v>
      </c>
      <c r="I3163" t="s">
        <v>13</v>
      </c>
      <c r="J3163" s="11">
        <f>((LOG(17)-LOG(G3163))*1000)</f>
        <v>1230.4489213782738</v>
      </c>
      <c r="K3163" t="str">
        <f t="shared" si="105"/>
        <v>Tom Hummel</v>
      </c>
    </row>
    <row r="3164" spans="1:11" hidden="1" x14ac:dyDescent="0.35">
      <c r="A3164">
        <f t="shared" si="104"/>
        <v>3163</v>
      </c>
      <c r="B3164">
        <v>2019</v>
      </c>
      <c r="C3164" t="s">
        <v>8</v>
      </c>
      <c r="D3164" t="s">
        <v>2446</v>
      </c>
      <c r="E3164" t="s">
        <v>1429</v>
      </c>
      <c r="F3164" s="2">
        <v>300</v>
      </c>
      <c r="G3164" s="2">
        <v>2</v>
      </c>
      <c r="H3164" t="s">
        <v>407</v>
      </c>
      <c r="I3164" t="s">
        <v>406</v>
      </c>
      <c r="J3164" s="11">
        <f>((LOG(17)-LOG(G3164))*1000)</f>
        <v>929.41892571429264</v>
      </c>
      <c r="K3164" t="str">
        <f t="shared" si="105"/>
        <v>Howard Jackson</v>
      </c>
    </row>
    <row r="3165" spans="1:11" hidden="1" x14ac:dyDescent="0.35">
      <c r="A3165">
        <f t="shared" si="104"/>
        <v>3164</v>
      </c>
      <c r="B3165">
        <v>2019</v>
      </c>
      <c r="C3165" t="s">
        <v>8</v>
      </c>
      <c r="D3165" t="s">
        <v>2446</v>
      </c>
      <c r="E3165" t="s">
        <v>1429</v>
      </c>
      <c r="F3165" s="2">
        <v>216</v>
      </c>
      <c r="G3165" s="2">
        <v>3</v>
      </c>
      <c r="H3165" t="s">
        <v>19</v>
      </c>
      <c r="I3165" t="s">
        <v>20</v>
      </c>
      <c r="J3165" s="11">
        <f>((LOG(17)-LOG(G3165))*1000)</f>
        <v>753.32766665861152</v>
      </c>
      <c r="K3165" t="str">
        <f t="shared" si="105"/>
        <v>Barry Kornspan</v>
      </c>
    </row>
    <row r="3166" spans="1:11" hidden="1" x14ac:dyDescent="0.35">
      <c r="A3166">
        <f t="shared" ref="A3166:A3229" si="106">A3165+1</f>
        <v>3165</v>
      </c>
      <c r="B3166">
        <v>2019</v>
      </c>
      <c r="C3166" t="s">
        <v>8</v>
      </c>
      <c r="D3166" t="s">
        <v>1443</v>
      </c>
      <c r="E3166" t="s">
        <v>1429</v>
      </c>
      <c r="F3166" s="2">
        <v>1825</v>
      </c>
      <c r="G3166" s="2">
        <v>1</v>
      </c>
      <c r="H3166" t="s">
        <v>118</v>
      </c>
      <c r="I3166" t="s">
        <v>415</v>
      </c>
      <c r="J3166" s="11">
        <f t="shared" ref="J3166:J3173" si="107">((LOG(57)-LOG(G3166))*1000)</f>
        <v>1755.8748556724915</v>
      </c>
      <c r="K3166" t="str">
        <f t="shared" si="105"/>
        <v>Pete Segal</v>
      </c>
    </row>
    <row r="3167" spans="1:11" hidden="1" x14ac:dyDescent="0.35">
      <c r="A3167">
        <f t="shared" si="106"/>
        <v>3166</v>
      </c>
      <c r="B3167">
        <v>2019</v>
      </c>
      <c r="C3167" t="s">
        <v>8</v>
      </c>
      <c r="D3167" t="s">
        <v>1443</v>
      </c>
      <c r="E3167" t="s">
        <v>1429</v>
      </c>
      <c r="F3167" s="2">
        <v>995</v>
      </c>
      <c r="G3167" s="2">
        <v>2</v>
      </c>
      <c r="H3167" t="s">
        <v>33</v>
      </c>
      <c r="I3167" t="s">
        <v>34</v>
      </c>
      <c r="J3167" s="11">
        <f t="shared" si="107"/>
        <v>1454.8448600085103</v>
      </c>
      <c r="K3167" t="str">
        <f t="shared" si="105"/>
        <v>Meredith Holtzman</v>
      </c>
    </row>
    <row r="3168" spans="1:11" hidden="1" x14ac:dyDescent="0.35">
      <c r="A3168">
        <f t="shared" si="106"/>
        <v>3167</v>
      </c>
      <c r="B3168">
        <v>2019</v>
      </c>
      <c r="C3168" t="s">
        <v>8</v>
      </c>
      <c r="D3168" t="s">
        <v>1443</v>
      </c>
      <c r="E3168" t="s">
        <v>1429</v>
      </c>
      <c r="F3168" s="2">
        <v>719</v>
      </c>
      <c r="G3168" s="2">
        <v>3</v>
      </c>
      <c r="H3168" t="s">
        <v>130</v>
      </c>
      <c r="I3168" t="s">
        <v>131</v>
      </c>
      <c r="J3168" s="11">
        <f t="shared" si="107"/>
        <v>1278.7536009528292</v>
      </c>
      <c r="K3168" t="str">
        <f t="shared" si="105"/>
        <v>Alan Stuart</v>
      </c>
    </row>
    <row r="3169" spans="1:11" hidden="1" x14ac:dyDescent="0.35">
      <c r="A3169">
        <f t="shared" si="106"/>
        <v>3168</v>
      </c>
      <c r="B3169">
        <v>2019</v>
      </c>
      <c r="C3169" t="s">
        <v>8</v>
      </c>
      <c r="D3169" t="s">
        <v>1443</v>
      </c>
      <c r="E3169" t="s">
        <v>1429</v>
      </c>
      <c r="F3169" s="2">
        <v>609</v>
      </c>
      <c r="G3169" s="2">
        <v>4</v>
      </c>
      <c r="H3169" t="s">
        <v>15</v>
      </c>
      <c r="I3169" t="s">
        <v>28</v>
      </c>
      <c r="J3169" s="11">
        <f t="shared" si="107"/>
        <v>1153.814864344529</v>
      </c>
      <c r="K3169" t="str">
        <f t="shared" si="105"/>
        <v>Chris Kluchman</v>
      </c>
    </row>
    <row r="3170" spans="1:11" hidden="1" x14ac:dyDescent="0.35">
      <c r="A3170">
        <f t="shared" si="106"/>
        <v>3169</v>
      </c>
      <c r="B3170">
        <v>2019</v>
      </c>
      <c r="C3170" t="s">
        <v>8</v>
      </c>
      <c r="D3170" t="s">
        <v>1443</v>
      </c>
      <c r="E3170" t="s">
        <v>1429</v>
      </c>
      <c r="F3170" s="2">
        <v>498</v>
      </c>
      <c r="G3170" s="2">
        <v>5</v>
      </c>
      <c r="H3170" t="s">
        <v>23</v>
      </c>
      <c r="I3170" t="s">
        <v>13</v>
      </c>
      <c r="J3170" s="11">
        <f t="shared" si="107"/>
        <v>1056.9048513364728</v>
      </c>
      <c r="K3170" t="str">
        <f t="shared" si="105"/>
        <v>Tom Hummel</v>
      </c>
    </row>
    <row r="3171" spans="1:11" hidden="1" x14ac:dyDescent="0.35">
      <c r="A3171">
        <f t="shared" si="106"/>
        <v>3170</v>
      </c>
      <c r="B3171">
        <v>2019</v>
      </c>
      <c r="C3171" t="s">
        <v>8</v>
      </c>
      <c r="D3171" t="s">
        <v>1443</v>
      </c>
      <c r="E3171" t="s">
        <v>1429</v>
      </c>
      <c r="F3171" s="2">
        <v>387</v>
      </c>
      <c r="G3171" s="2">
        <v>6</v>
      </c>
      <c r="H3171" t="s">
        <v>256</v>
      </c>
      <c r="I3171" t="s">
        <v>257</v>
      </c>
      <c r="J3171" s="11">
        <f t="shared" si="107"/>
        <v>977.72360528884781</v>
      </c>
      <c r="K3171" t="str">
        <f t="shared" si="105"/>
        <v>Stephanie Wasserman</v>
      </c>
    </row>
    <row r="3172" spans="1:11" hidden="1" x14ac:dyDescent="0.35">
      <c r="A3172">
        <f t="shared" si="106"/>
        <v>3171</v>
      </c>
      <c r="B3172">
        <v>2019</v>
      </c>
      <c r="C3172" t="s">
        <v>8</v>
      </c>
      <c r="D3172" t="s">
        <v>1443</v>
      </c>
      <c r="E3172" t="s">
        <v>1429</v>
      </c>
      <c r="F3172" s="2">
        <v>276</v>
      </c>
      <c r="G3172" s="2">
        <v>7</v>
      </c>
      <c r="H3172" t="s">
        <v>2440</v>
      </c>
      <c r="I3172" t="s">
        <v>2441</v>
      </c>
      <c r="J3172" s="11">
        <f t="shared" si="107"/>
        <v>910.77681565823468</v>
      </c>
      <c r="K3172" t="str">
        <f t="shared" si="105"/>
        <v>Vito Esparo</v>
      </c>
    </row>
    <row r="3173" spans="1:11" hidden="1" x14ac:dyDescent="0.35">
      <c r="A3173">
        <f t="shared" si="106"/>
        <v>3172</v>
      </c>
      <c r="B3173">
        <v>2019</v>
      </c>
      <c r="C3173" t="s">
        <v>8</v>
      </c>
      <c r="D3173" t="s">
        <v>1443</v>
      </c>
      <c r="E3173" t="s">
        <v>1429</v>
      </c>
      <c r="F3173" s="2">
        <v>221</v>
      </c>
      <c r="G3173" s="2">
        <v>8</v>
      </c>
      <c r="H3173" t="s">
        <v>2443</v>
      </c>
      <c r="I3173" t="s">
        <v>2444</v>
      </c>
      <c r="J3173" s="11">
        <f t="shared" si="107"/>
        <v>852.7848686805479</v>
      </c>
      <c r="K3173" t="str">
        <f t="shared" si="105"/>
        <v>Bogan Painter</v>
      </c>
    </row>
    <row r="3174" spans="1:11" hidden="1" x14ac:dyDescent="0.35">
      <c r="A3174">
        <f t="shared" si="106"/>
        <v>3173</v>
      </c>
      <c r="B3174">
        <v>2019</v>
      </c>
      <c r="C3174" t="s">
        <v>8</v>
      </c>
      <c r="D3174" t="s">
        <v>24</v>
      </c>
      <c r="E3174" t="s">
        <v>1430</v>
      </c>
      <c r="F3174" s="2">
        <v>838</v>
      </c>
      <c r="G3174" s="2">
        <v>1</v>
      </c>
      <c r="H3174" t="s">
        <v>653</v>
      </c>
      <c r="I3174" t="s">
        <v>2386</v>
      </c>
      <c r="J3174" s="11">
        <f t="shared" ref="J3174:J3183" si="108">((LOG(24)-LOG(G3174))*1000)/2</f>
        <v>690.10562085580295</v>
      </c>
      <c r="K3174" t="str">
        <f t="shared" si="105"/>
        <v>Winchester Brown</v>
      </c>
    </row>
    <row r="3175" spans="1:11" hidden="1" x14ac:dyDescent="0.35">
      <c r="A3175">
        <f t="shared" si="106"/>
        <v>3174</v>
      </c>
      <c r="B3175">
        <v>2019</v>
      </c>
      <c r="C3175" t="s">
        <v>8</v>
      </c>
      <c r="D3175" t="s">
        <v>24</v>
      </c>
      <c r="E3175" t="s">
        <v>1430</v>
      </c>
      <c r="F3175" s="2">
        <v>838</v>
      </c>
      <c r="G3175" s="2">
        <v>1</v>
      </c>
      <c r="H3175" t="s">
        <v>2278</v>
      </c>
      <c r="I3175" t="s">
        <v>324</v>
      </c>
      <c r="J3175" s="11">
        <f t="shared" si="108"/>
        <v>690.10562085580295</v>
      </c>
      <c r="K3175" t="str">
        <f t="shared" si="105"/>
        <v>Andrew Chapman</v>
      </c>
    </row>
    <row r="3176" spans="1:11" hidden="1" x14ac:dyDescent="0.35">
      <c r="A3176">
        <f t="shared" si="106"/>
        <v>3175</v>
      </c>
      <c r="B3176">
        <v>2019</v>
      </c>
      <c r="C3176" t="s">
        <v>8</v>
      </c>
      <c r="D3176" t="s">
        <v>24</v>
      </c>
      <c r="E3176" t="s">
        <v>1430</v>
      </c>
      <c r="F3176" s="2">
        <v>582</v>
      </c>
      <c r="G3176" s="2">
        <v>2</v>
      </c>
      <c r="H3176" t="s">
        <v>29</v>
      </c>
      <c r="I3176" t="s">
        <v>30</v>
      </c>
      <c r="J3176" s="11">
        <f t="shared" si="108"/>
        <v>539.59062302381233</v>
      </c>
      <c r="K3176" t="str">
        <f t="shared" si="105"/>
        <v>Tedford Armistead</v>
      </c>
    </row>
    <row r="3177" spans="1:11" hidden="1" x14ac:dyDescent="0.35">
      <c r="A3177">
        <f t="shared" si="106"/>
        <v>3176</v>
      </c>
      <c r="B3177">
        <v>2019</v>
      </c>
      <c r="C3177" t="s">
        <v>8</v>
      </c>
      <c r="D3177" t="s">
        <v>24</v>
      </c>
      <c r="E3177" t="s">
        <v>1430</v>
      </c>
      <c r="F3177" s="2">
        <v>582</v>
      </c>
      <c r="G3177" s="2">
        <v>2</v>
      </c>
      <c r="H3177" t="s">
        <v>2438</v>
      </c>
      <c r="I3177" t="s">
        <v>65</v>
      </c>
      <c r="J3177" s="11">
        <f t="shared" si="108"/>
        <v>539.59062302381233</v>
      </c>
      <c r="K3177" t="str">
        <f t="shared" si="105"/>
        <v>Steve Lewis-Berlin</v>
      </c>
    </row>
    <row r="3178" spans="1:11" hidden="1" x14ac:dyDescent="0.35">
      <c r="A3178">
        <f t="shared" si="106"/>
        <v>3177</v>
      </c>
      <c r="B3178">
        <v>2019</v>
      </c>
      <c r="C3178" t="s">
        <v>8</v>
      </c>
      <c r="D3178" t="s">
        <v>24</v>
      </c>
      <c r="E3178" t="s">
        <v>1430</v>
      </c>
      <c r="F3178" s="2">
        <v>373</v>
      </c>
      <c r="G3178" s="2">
        <v>3</v>
      </c>
      <c r="H3178" t="s">
        <v>366</v>
      </c>
      <c r="I3178" t="s">
        <v>61</v>
      </c>
      <c r="J3178" s="11">
        <f t="shared" si="108"/>
        <v>451.54499349597177</v>
      </c>
      <c r="K3178" t="str">
        <f t="shared" si="105"/>
        <v>Len Greenberg</v>
      </c>
    </row>
    <row r="3179" spans="1:11" hidden="1" x14ac:dyDescent="0.35">
      <c r="A3179">
        <f t="shared" si="106"/>
        <v>3178</v>
      </c>
      <c r="B3179">
        <v>2019</v>
      </c>
      <c r="C3179" t="s">
        <v>8</v>
      </c>
      <c r="D3179" t="s">
        <v>24</v>
      </c>
      <c r="E3179" t="s">
        <v>1430</v>
      </c>
      <c r="F3179" s="2">
        <v>373</v>
      </c>
      <c r="G3179" s="2">
        <v>3</v>
      </c>
      <c r="H3179" t="s">
        <v>118</v>
      </c>
      <c r="I3179" t="s">
        <v>415</v>
      </c>
      <c r="J3179" s="11">
        <f t="shared" si="108"/>
        <v>451.54499349597177</v>
      </c>
      <c r="K3179" t="str">
        <f t="shared" si="105"/>
        <v>Pete Segal</v>
      </c>
    </row>
    <row r="3180" spans="1:11" hidden="1" x14ac:dyDescent="0.35">
      <c r="A3180">
        <f t="shared" si="106"/>
        <v>3179</v>
      </c>
      <c r="B3180">
        <v>2019</v>
      </c>
      <c r="C3180" t="s">
        <v>8</v>
      </c>
      <c r="D3180" t="s">
        <v>24</v>
      </c>
      <c r="E3180" t="s">
        <v>1430</v>
      </c>
      <c r="F3180" s="2">
        <v>302</v>
      </c>
      <c r="G3180" s="2">
        <v>4</v>
      </c>
      <c r="H3180" t="s">
        <v>498</v>
      </c>
      <c r="I3180" t="s">
        <v>28</v>
      </c>
      <c r="J3180" s="11">
        <f t="shared" si="108"/>
        <v>389.07562519182176</v>
      </c>
      <c r="K3180" t="str">
        <f t="shared" si="105"/>
        <v>Chris Alaura</v>
      </c>
    </row>
    <row r="3181" spans="1:11" hidden="1" x14ac:dyDescent="0.35">
      <c r="A3181">
        <f t="shared" si="106"/>
        <v>3180</v>
      </c>
      <c r="B3181">
        <v>2019</v>
      </c>
      <c r="C3181" t="s">
        <v>8</v>
      </c>
      <c r="D3181" t="s">
        <v>24</v>
      </c>
      <c r="E3181" t="s">
        <v>1430</v>
      </c>
      <c r="F3181" s="2">
        <v>302</v>
      </c>
      <c r="G3181" s="2">
        <v>4</v>
      </c>
      <c r="H3181" t="s">
        <v>25</v>
      </c>
      <c r="I3181" t="s">
        <v>26</v>
      </c>
      <c r="J3181" s="11">
        <f t="shared" si="108"/>
        <v>389.07562519182176</v>
      </c>
      <c r="K3181" t="str">
        <f t="shared" si="105"/>
        <v>Louise Russell</v>
      </c>
    </row>
    <row r="3182" spans="1:11" hidden="1" x14ac:dyDescent="0.35">
      <c r="A3182">
        <f t="shared" si="106"/>
        <v>3181</v>
      </c>
      <c r="B3182">
        <v>2019</v>
      </c>
      <c r="C3182" t="s">
        <v>8</v>
      </c>
      <c r="D3182" t="s">
        <v>24</v>
      </c>
      <c r="E3182" t="s">
        <v>1430</v>
      </c>
      <c r="F3182" s="2">
        <v>233</v>
      </c>
      <c r="G3182" s="2">
        <v>5</v>
      </c>
      <c r="H3182" t="s">
        <v>19</v>
      </c>
      <c r="I3182" t="s">
        <v>20</v>
      </c>
      <c r="J3182" s="11">
        <f t="shared" si="108"/>
        <v>340.62061868779352</v>
      </c>
      <c r="K3182" t="str">
        <f t="shared" si="105"/>
        <v>Barry Kornspan</v>
      </c>
    </row>
    <row r="3183" spans="1:11" hidden="1" x14ac:dyDescent="0.35">
      <c r="A3183">
        <f t="shared" si="106"/>
        <v>3182</v>
      </c>
      <c r="B3183">
        <v>2019</v>
      </c>
      <c r="C3183" t="s">
        <v>8</v>
      </c>
      <c r="D3183" t="s">
        <v>24</v>
      </c>
      <c r="E3183" t="s">
        <v>1430</v>
      </c>
      <c r="F3183" s="2">
        <v>233</v>
      </c>
      <c r="G3183" s="2">
        <v>5</v>
      </c>
      <c r="H3183" t="s">
        <v>251</v>
      </c>
      <c r="I3183" t="s">
        <v>510</v>
      </c>
      <c r="J3183" s="11">
        <f t="shared" si="108"/>
        <v>340.62061868779352</v>
      </c>
      <c r="K3183" t="str">
        <f t="shared" si="105"/>
        <v>Sharon Lewis</v>
      </c>
    </row>
    <row r="3184" spans="1:11" hidden="1" x14ac:dyDescent="0.35">
      <c r="A3184">
        <f t="shared" si="106"/>
        <v>3183</v>
      </c>
      <c r="B3184">
        <v>2019</v>
      </c>
      <c r="C3184" t="s">
        <v>8</v>
      </c>
      <c r="D3184" t="s">
        <v>2447</v>
      </c>
      <c r="E3184" t="s">
        <v>1430</v>
      </c>
      <c r="F3184" s="2">
        <v>1222</v>
      </c>
      <c r="G3184" s="2">
        <v>1</v>
      </c>
      <c r="H3184" t="s">
        <v>161</v>
      </c>
      <c r="I3184" t="s">
        <v>162</v>
      </c>
      <c r="J3184" s="11">
        <f t="shared" ref="J3184:J3189" si="109">((LOG(30)-LOG(G3184))*1000)</f>
        <v>1477.1212547196624</v>
      </c>
      <c r="K3184" t="str">
        <f t="shared" si="105"/>
        <v>Tracy Becker</v>
      </c>
    </row>
    <row r="3185" spans="1:11" hidden="1" x14ac:dyDescent="0.35">
      <c r="A3185">
        <f t="shared" si="106"/>
        <v>3184</v>
      </c>
      <c r="B3185">
        <v>2019</v>
      </c>
      <c r="C3185" t="s">
        <v>8</v>
      </c>
      <c r="D3185" t="s">
        <v>2447</v>
      </c>
      <c r="E3185" t="s">
        <v>1430</v>
      </c>
      <c r="F3185" s="2">
        <v>611</v>
      </c>
      <c r="G3185" s="2">
        <v>2</v>
      </c>
      <c r="H3185" t="s">
        <v>2278</v>
      </c>
      <c r="I3185" t="s">
        <v>324</v>
      </c>
      <c r="J3185" s="11">
        <f t="shared" si="109"/>
        <v>1176.0912590556811</v>
      </c>
      <c r="K3185" t="str">
        <f t="shared" si="105"/>
        <v>Andrew Chapman</v>
      </c>
    </row>
    <row r="3186" spans="1:11" hidden="1" x14ac:dyDescent="0.35">
      <c r="A3186">
        <f t="shared" si="106"/>
        <v>3185</v>
      </c>
      <c r="B3186">
        <v>2019</v>
      </c>
      <c r="C3186" t="s">
        <v>8</v>
      </c>
      <c r="D3186" t="s">
        <v>2447</v>
      </c>
      <c r="E3186" t="s">
        <v>1430</v>
      </c>
      <c r="F3186" s="2">
        <v>378</v>
      </c>
      <c r="G3186" s="2">
        <v>3</v>
      </c>
      <c r="H3186" t="s">
        <v>64</v>
      </c>
      <c r="I3186" t="s">
        <v>65</v>
      </c>
      <c r="J3186" s="11">
        <f t="shared" si="109"/>
        <v>1000</v>
      </c>
      <c r="K3186" t="str">
        <f t="shared" si="105"/>
        <v>Steve Daniel</v>
      </c>
    </row>
    <row r="3187" spans="1:11" hidden="1" x14ac:dyDescent="0.35">
      <c r="A3187">
        <f t="shared" si="106"/>
        <v>3186</v>
      </c>
      <c r="B3187">
        <v>2019</v>
      </c>
      <c r="C3187" t="s">
        <v>8</v>
      </c>
      <c r="D3187" t="s">
        <v>2447</v>
      </c>
      <c r="E3187" t="s">
        <v>1430</v>
      </c>
      <c r="F3187" s="2">
        <v>291</v>
      </c>
      <c r="G3187" s="2">
        <v>4</v>
      </c>
      <c r="H3187" t="s">
        <v>70</v>
      </c>
      <c r="I3187" t="s">
        <v>71</v>
      </c>
      <c r="J3187" s="11">
        <f t="shared" si="109"/>
        <v>875.06126339169998</v>
      </c>
      <c r="K3187" t="str">
        <f t="shared" si="105"/>
        <v>Scott Byron</v>
      </c>
    </row>
    <row r="3188" spans="1:11" hidden="1" x14ac:dyDescent="0.35">
      <c r="A3188">
        <f t="shared" si="106"/>
        <v>3187</v>
      </c>
      <c r="B3188">
        <v>2019</v>
      </c>
      <c r="C3188" t="s">
        <v>8</v>
      </c>
      <c r="D3188" t="s">
        <v>2447</v>
      </c>
      <c r="E3188" t="s">
        <v>1430</v>
      </c>
      <c r="F3188" s="2">
        <v>233</v>
      </c>
      <c r="G3188" s="2">
        <v>5</v>
      </c>
      <c r="H3188" t="s">
        <v>1439</v>
      </c>
      <c r="I3188" t="s">
        <v>384</v>
      </c>
      <c r="J3188" s="11">
        <f t="shared" si="109"/>
        <v>778.15125038364351</v>
      </c>
      <c r="K3188" t="str">
        <f t="shared" si="105"/>
        <v>Jeff Palmucci</v>
      </c>
    </row>
    <row r="3189" spans="1:11" hidden="1" x14ac:dyDescent="0.35">
      <c r="A3189">
        <f t="shared" si="106"/>
        <v>3188</v>
      </c>
      <c r="B3189">
        <v>2019</v>
      </c>
      <c r="C3189" t="s">
        <v>8</v>
      </c>
      <c r="D3189" t="s">
        <v>2447</v>
      </c>
      <c r="E3189" t="s">
        <v>1430</v>
      </c>
      <c r="F3189" s="2">
        <v>175</v>
      </c>
      <c r="G3189" s="2">
        <v>6</v>
      </c>
      <c r="H3189" t="s">
        <v>256</v>
      </c>
      <c r="I3189" t="s">
        <v>257</v>
      </c>
      <c r="J3189" s="11">
        <f t="shared" si="109"/>
        <v>698.97000433601875</v>
      </c>
      <c r="K3189" t="str">
        <f t="shared" si="105"/>
        <v>Stephanie Wasserman</v>
      </c>
    </row>
    <row r="3190" spans="1:11" hidden="1" x14ac:dyDescent="0.35">
      <c r="A3190">
        <f t="shared" si="106"/>
        <v>3189</v>
      </c>
      <c r="B3190">
        <v>2020</v>
      </c>
      <c r="C3190" t="s">
        <v>109</v>
      </c>
      <c r="D3190" t="s">
        <v>84</v>
      </c>
      <c r="E3190" t="s">
        <v>1432</v>
      </c>
      <c r="G3190" s="2">
        <v>1</v>
      </c>
      <c r="H3190" t="s">
        <v>21</v>
      </c>
      <c r="I3190" t="s">
        <v>463</v>
      </c>
      <c r="J3190" s="11">
        <v>1505.149978319906</v>
      </c>
      <c r="K3190" t="str">
        <f t="shared" si="105"/>
        <v>Richard Bremer</v>
      </c>
    </row>
    <row r="3191" spans="1:11" hidden="1" x14ac:dyDescent="0.35">
      <c r="A3191">
        <f t="shared" si="106"/>
        <v>3190</v>
      </c>
      <c r="B3191">
        <v>2020</v>
      </c>
      <c r="C3191" t="s">
        <v>109</v>
      </c>
      <c r="D3191" t="s">
        <v>84</v>
      </c>
      <c r="E3191" t="s">
        <v>1432</v>
      </c>
      <c r="G3191" s="2">
        <v>2</v>
      </c>
      <c r="H3191" t="s">
        <v>618</v>
      </c>
      <c r="I3191" t="s">
        <v>521</v>
      </c>
      <c r="J3191" s="11">
        <v>1204.1199826559248</v>
      </c>
      <c r="K3191" t="str">
        <f t="shared" si="105"/>
        <v>Chuck Weinstock</v>
      </c>
    </row>
    <row r="3192" spans="1:11" hidden="1" x14ac:dyDescent="0.35">
      <c r="A3192">
        <f t="shared" si="106"/>
        <v>3191</v>
      </c>
      <c r="B3192">
        <v>2020</v>
      </c>
      <c r="C3192" t="s">
        <v>109</v>
      </c>
      <c r="D3192" t="s">
        <v>84</v>
      </c>
      <c r="E3192" t="s">
        <v>1432</v>
      </c>
      <c r="G3192" s="2">
        <v>3</v>
      </c>
      <c r="H3192" t="s">
        <v>83</v>
      </c>
      <c r="I3192" t="s">
        <v>36</v>
      </c>
      <c r="J3192" s="11">
        <v>1028.0287236002437</v>
      </c>
      <c r="K3192" t="str">
        <f t="shared" si="105"/>
        <v>Nolan Hee</v>
      </c>
    </row>
    <row r="3193" spans="1:11" hidden="1" x14ac:dyDescent="0.35">
      <c r="A3193">
        <f t="shared" si="106"/>
        <v>3192</v>
      </c>
      <c r="B3193">
        <v>2020</v>
      </c>
      <c r="C3193" t="s">
        <v>109</v>
      </c>
      <c r="D3193" t="s">
        <v>84</v>
      </c>
      <c r="E3193" t="s">
        <v>1432</v>
      </c>
      <c r="G3193" s="2">
        <v>4</v>
      </c>
      <c r="H3193" t="s">
        <v>883</v>
      </c>
      <c r="I3193" t="s">
        <v>884</v>
      </c>
      <c r="J3193" s="11">
        <v>903.08998699194365</v>
      </c>
      <c r="K3193" t="str">
        <f t="shared" si="105"/>
        <v>Salim Valimahomed</v>
      </c>
    </row>
    <row r="3194" spans="1:11" hidden="1" x14ac:dyDescent="0.35">
      <c r="A3194">
        <f t="shared" si="106"/>
        <v>3193</v>
      </c>
      <c r="B3194">
        <v>2020</v>
      </c>
      <c r="C3194" t="s">
        <v>109</v>
      </c>
      <c r="D3194" t="s">
        <v>84</v>
      </c>
      <c r="E3194" t="s">
        <v>1432</v>
      </c>
      <c r="G3194" s="2">
        <v>5</v>
      </c>
      <c r="H3194" t="s">
        <v>526</v>
      </c>
      <c r="I3194" t="s">
        <v>136</v>
      </c>
      <c r="J3194" s="11">
        <v>806.17997398388718</v>
      </c>
      <c r="K3194" t="str">
        <f t="shared" si="105"/>
        <v>John Reed</v>
      </c>
    </row>
    <row r="3195" spans="1:11" hidden="1" x14ac:dyDescent="0.35">
      <c r="A3195">
        <f t="shared" si="106"/>
        <v>3194</v>
      </c>
      <c r="B3195">
        <v>2020</v>
      </c>
      <c r="C3195" t="s">
        <v>109</v>
      </c>
      <c r="D3195" t="s">
        <v>45</v>
      </c>
      <c r="E3195" t="s">
        <v>1429</v>
      </c>
      <c r="G3195" s="2">
        <v>1</v>
      </c>
      <c r="H3195" t="s">
        <v>86</v>
      </c>
      <c r="I3195" t="s">
        <v>87</v>
      </c>
      <c r="J3195" s="11">
        <v>1770.8520116421441</v>
      </c>
      <c r="K3195" t="str">
        <f t="shared" si="105"/>
        <v>Stevan Goldman</v>
      </c>
    </row>
    <row r="3196" spans="1:11" hidden="1" x14ac:dyDescent="0.35">
      <c r="A3196">
        <f t="shared" si="106"/>
        <v>3195</v>
      </c>
      <c r="B3196">
        <v>2020</v>
      </c>
      <c r="C3196" t="s">
        <v>109</v>
      </c>
      <c r="D3196" t="s">
        <v>45</v>
      </c>
      <c r="E3196" t="s">
        <v>1429</v>
      </c>
      <c r="G3196" s="2">
        <v>2</v>
      </c>
      <c r="H3196" t="s">
        <v>2363</v>
      </c>
      <c r="I3196" t="s">
        <v>2364</v>
      </c>
      <c r="J3196" s="11">
        <v>1469.8220159781629</v>
      </c>
      <c r="K3196" t="str">
        <f t="shared" si="105"/>
        <v>Shari Silk</v>
      </c>
    </row>
    <row r="3197" spans="1:11" hidden="1" x14ac:dyDescent="0.35">
      <c r="A3197">
        <f t="shared" si="106"/>
        <v>3196</v>
      </c>
      <c r="B3197">
        <v>2020</v>
      </c>
      <c r="C3197" t="s">
        <v>109</v>
      </c>
      <c r="D3197" t="s">
        <v>45</v>
      </c>
      <c r="E3197" t="s">
        <v>1429</v>
      </c>
      <c r="G3197" s="2">
        <v>3</v>
      </c>
      <c r="H3197" t="s">
        <v>217</v>
      </c>
      <c r="I3197" t="s">
        <v>218</v>
      </c>
      <c r="J3197" s="11">
        <v>1293.7307569224818</v>
      </c>
      <c r="K3197" t="str">
        <f t="shared" si="105"/>
        <v>Michael Patterson</v>
      </c>
    </row>
    <row r="3198" spans="1:11" hidden="1" x14ac:dyDescent="0.35">
      <c r="A3198">
        <f t="shared" si="106"/>
        <v>3197</v>
      </c>
      <c r="B3198">
        <v>2020</v>
      </c>
      <c r="C3198" t="s">
        <v>109</v>
      </c>
      <c r="D3198" t="s">
        <v>45</v>
      </c>
      <c r="E3198" t="s">
        <v>1429</v>
      </c>
      <c r="G3198" s="2">
        <v>4</v>
      </c>
      <c r="H3198" t="s">
        <v>83</v>
      </c>
      <c r="I3198" t="s">
        <v>36</v>
      </c>
      <c r="J3198" s="11">
        <v>1168.7920203141816</v>
      </c>
      <c r="K3198" t="str">
        <f t="shared" si="105"/>
        <v>Nolan Hee</v>
      </c>
    </row>
    <row r="3199" spans="1:11" hidden="1" x14ac:dyDescent="0.35">
      <c r="A3199">
        <f t="shared" si="106"/>
        <v>3198</v>
      </c>
      <c r="B3199">
        <v>2020</v>
      </c>
      <c r="C3199" t="s">
        <v>109</v>
      </c>
      <c r="D3199" t="s">
        <v>45</v>
      </c>
      <c r="E3199" t="s">
        <v>1429</v>
      </c>
      <c r="G3199" s="2">
        <v>5</v>
      </c>
      <c r="H3199" t="s">
        <v>14</v>
      </c>
      <c r="I3199" t="s">
        <v>11</v>
      </c>
      <c r="J3199" s="11">
        <v>1071.8820073061254</v>
      </c>
      <c r="K3199" t="str">
        <f t="shared" si="105"/>
        <v>Paul McMullin</v>
      </c>
    </row>
    <row r="3200" spans="1:11" hidden="1" x14ac:dyDescent="0.35">
      <c r="A3200">
        <f t="shared" si="106"/>
        <v>3199</v>
      </c>
      <c r="B3200">
        <v>2020</v>
      </c>
      <c r="C3200" t="s">
        <v>109</v>
      </c>
      <c r="D3200" t="s">
        <v>45</v>
      </c>
      <c r="E3200" t="s">
        <v>1429</v>
      </c>
      <c r="G3200" s="2">
        <v>6</v>
      </c>
      <c r="H3200" t="s">
        <v>383</v>
      </c>
      <c r="I3200" t="s">
        <v>384</v>
      </c>
      <c r="J3200" s="11">
        <v>992.70076125850062</v>
      </c>
      <c r="K3200" t="str">
        <f t="shared" si="105"/>
        <v>Jeff Deitch</v>
      </c>
    </row>
    <row r="3201" spans="1:11" hidden="1" x14ac:dyDescent="0.35">
      <c r="A3201">
        <f t="shared" si="106"/>
        <v>3200</v>
      </c>
      <c r="B3201">
        <v>2020</v>
      </c>
      <c r="C3201" t="s">
        <v>109</v>
      </c>
      <c r="D3201" t="s">
        <v>45</v>
      </c>
      <c r="E3201" t="s">
        <v>1429</v>
      </c>
      <c r="G3201" s="2">
        <v>7</v>
      </c>
      <c r="H3201" t="s">
        <v>609</v>
      </c>
      <c r="I3201" t="s">
        <v>610</v>
      </c>
      <c r="J3201" s="11">
        <v>925.75397162788738</v>
      </c>
      <c r="K3201" t="str">
        <f t="shared" si="105"/>
        <v>Deron Brod</v>
      </c>
    </row>
    <row r="3202" spans="1:11" hidden="1" x14ac:dyDescent="0.35">
      <c r="A3202">
        <f t="shared" si="106"/>
        <v>3201</v>
      </c>
      <c r="B3202">
        <v>2020</v>
      </c>
      <c r="C3202" t="s">
        <v>109</v>
      </c>
      <c r="D3202" t="s">
        <v>45</v>
      </c>
      <c r="E3202" t="s">
        <v>1429</v>
      </c>
      <c r="G3202" s="2">
        <v>8</v>
      </c>
      <c r="H3202" t="s">
        <v>574</v>
      </c>
      <c r="I3202" t="s">
        <v>2519</v>
      </c>
      <c r="J3202" s="11">
        <v>867.76202465020071</v>
      </c>
      <c r="K3202" t="str">
        <f t="shared" ref="K3202:K3265" si="110">I3202&amp;" "&amp;H3202</f>
        <v>Ted Hennessey</v>
      </c>
    </row>
    <row r="3203" spans="1:11" hidden="1" x14ac:dyDescent="0.35">
      <c r="A3203">
        <f t="shared" si="106"/>
        <v>3202</v>
      </c>
      <c r="B3203">
        <v>2020</v>
      </c>
      <c r="C3203" t="s">
        <v>109</v>
      </c>
      <c r="D3203" t="s">
        <v>45</v>
      </c>
      <c r="E3203" t="s">
        <v>1429</v>
      </c>
      <c r="G3203" s="2">
        <v>9</v>
      </c>
      <c r="H3203" t="s">
        <v>135</v>
      </c>
      <c r="I3203" t="s">
        <v>136</v>
      </c>
      <c r="J3203" s="11">
        <v>816.60950220281939</v>
      </c>
      <c r="K3203" t="str">
        <f t="shared" si="110"/>
        <v>John Scheinberg</v>
      </c>
    </row>
    <row r="3204" spans="1:11" hidden="1" x14ac:dyDescent="0.35">
      <c r="A3204">
        <f t="shared" si="106"/>
        <v>3203</v>
      </c>
      <c r="B3204">
        <v>2020</v>
      </c>
      <c r="C3204" t="s">
        <v>109</v>
      </c>
      <c r="D3204" t="s">
        <v>133</v>
      </c>
      <c r="E3204" t="s">
        <v>133</v>
      </c>
      <c r="G3204" s="2">
        <v>1</v>
      </c>
      <c r="H3204" t="s">
        <v>1460</v>
      </c>
      <c r="I3204" t="s">
        <v>1461</v>
      </c>
      <c r="J3204" s="11">
        <v>1707.5701760979362</v>
      </c>
      <c r="K3204" t="str">
        <f t="shared" si="110"/>
        <v>Andreas Wolfram</v>
      </c>
    </row>
    <row r="3205" spans="1:11" hidden="1" x14ac:dyDescent="0.35">
      <c r="A3205">
        <f t="shared" si="106"/>
        <v>3204</v>
      </c>
      <c r="B3205">
        <v>2020</v>
      </c>
      <c r="C3205" t="s">
        <v>109</v>
      </c>
      <c r="D3205" t="s">
        <v>133</v>
      </c>
      <c r="E3205" t="s">
        <v>133</v>
      </c>
      <c r="G3205" s="2">
        <v>2</v>
      </c>
      <c r="H3205" t="s">
        <v>2401</v>
      </c>
      <c r="I3205" t="s">
        <v>2017</v>
      </c>
      <c r="J3205" s="11">
        <v>1406.5401804339549</v>
      </c>
      <c r="K3205" t="str">
        <f t="shared" si="110"/>
        <v>Kathy Chang</v>
      </c>
    </row>
    <row r="3206" spans="1:11" hidden="1" x14ac:dyDescent="0.35">
      <c r="A3206">
        <f t="shared" si="106"/>
        <v>3205</v>
      </c>
      <c r="B3206">
        <v>2020</v>
      </c>
      <c r="C3206" t="s">
        <v>109</v>
      </c>
      <c r="D3206" t="s">
        <v>133</v>
      </c>
      <c r="E3206" t="s">
        <v>133</v>
      </c>
      <c r="G3206" s="2">
        <v>3</v>
      </c>
      <c r="H3206" t="s">
        <v>50</v>
      </c>
      <c r="I3206" t="s">
        <v>25</v>
      </c>
      <c r="J3206" s="11">
        <v>1230.4489213782738</v>
      </c>
      <c r="K3206" t="str">
        <f t="shared" si="110"/>
        <v>Russell Fox</v>
      </c>
    </row>
    <row r="3207" spans="1:11" hidden="1" x14ac:dyDescent="0.35">
      <c r="A3207">
        <f t="shared" si="106"/>
        <v>3206</v>
      </c>
      <c r="B3207">
        <v>2020</v>
      </c>
      <c r="C3207" t="s">
        <v>109</v>
      </c>
      <c r="D3207" t="s">
        <v>133</v>
      </c>
      <c r="E3207" t="s">
        <v>133</v>
      </c>
      <c r="G3207" s="2">
        <v>4</v>
      </c>
      <c r="H3207" t="s">
        <v>21</v>
      </c>
      <c r="I3207" t="s">
        <v>463</v>
      </c>
      <c r="J3207" s="11">
        <v>1105.5101847699736</v>
      </c>
      <c r="K3207" t="str">
        <f t="shared" si="110"/>
        <v>Richard Bremer</v>
      </c>
    </row>
    <row r="3208" spans="1:11" hidden="1" x14ac:dyDescent="0.35">
      <c r="A3208">
        <f t="shared" si="106"/>
        <v>3207</v>
      </c>
      <c r="B3208">
        <v>2020</v>
      </c>
      <c r="C3208" t="s">
        <v>109</v>
      </c>
      <c r="D3208" t="s">
        <v>133</v>
      </c>
      <c r="E3208" t="s">
        <v>133</v>
      </c>
      <c r="G3208" s="2">
        <v>5</v>
      </c>
      <c r="H3208" t="s">
        <v>83</v>
      </c>
      <c r="I3208" t="s">
        <v>36</v>
      </c>
      <c r="J3208" s="11">
        <v>1008.6001717619175</v>
      </c>
      <c r="K3208" t="str">
        <f t="shared" si="110"/>
        <v>Nolan Hee</v>
      </c>
    </row>
    <row r="3209" spans="1:11" hidden="1" x14ac:dyDescent="0.35">
      <c r="A3209">
        <f t="shared" si="106"/>
        <v>3208</v>
      </c>
      <c r="B3209">
        <v>2020</v>
      </c>
      <c r="C3209" t="s">
        <v>109</v>
      </c>
      <c r="D3209" t="s">
        <v>133</v>
      </c>
      <c r="E3209" t="s">
        <v>133</v>
      </c>
      <c r="G3209" s="2">
        <v>6</v>
      </c>
      <c r="H3209" t="s">
        <v>609</v>
      </c>
      <c r="I3209" t="s">
        <v>610</v>
      </c>
      <c r="J3209" s="11">
        <v>929.41892571429264</v>
      </c>
      <c r="K3209" t="str">
        <f t="shared" si="110"/>
        <v>Deron Brod</v>
      </c>
    </row>
    <row r="3210" spans="1:11" hidden="1" x14ac:dyDescent="0.35">
      <c r="A3210">
        <f t="shared" si="106"/>
        <v>3209</v>
      </c>
      <c r="B3210">
        <v>2020</v>
      </c>
      <c r="C3210" t="s">
        <v>109</v>
      </c>
      <c r="D3210" t="s">
        <v>133</v>
      </c>
      <c r="E3210" t="s">
        <v>133</v>
      </c>
      <c r="G3210" s="2">
        <v>7</v>
      </c>
      <c r="H3210" t="s">
        <v>88</v>
      </c>
      <c r="I3210" t="s">
        <v>89</v>
      </c>
      <c r="J3210" s="11">
        <v>862.4721360836794</v>
      </c>
      <c r="K3210" t="str">
        <f t="shared" si="110"/>
        <v>Ken Kubey</v>
      </c>
    </row>
    <row r="3211" spans="1:11" hidden="1" x14ac:dyDescent="0.35">
      <c r="A3211">
        <f t="shared" si="106"/>
        <v>3210</v>
      </c>
      <c r="B3211">
        <v>2020</v>
      </c>
      <c r="C3211" t="s">
        <v>109</v>
      </c>
      <c r="D3211" t="s">
        <v>770</v>
      </c>
      <c r="E3211" t="s">
        <v>1430</v>
      </c>
      <c r="G3211" s="2">
        <v>1</v>
      </c>
      <c r="H3211" t="s">
        <v>526</v>
      </c>
      <c r="I3211" t="s">
        <v>136</v>
      </c>
      <c r="J3211" s="11">
        <v>1755.8748556724915</v>
      </c>
      <c r="K3211" t="str">
        <f t="shared" si="110"/>
        <v>John Reed</v>
      </c>
    </row>
    <row r="3212" spans="1:11" hidden="1" x14ac:dyDescent="0.35">
      <c r="A3212">
        <f t="shared" si="106"/>
        <v>3211</v>
      </c>
      <c r="B3212">
        <v>2020</v>
      </c>
      <c r="C3212" t="s">
        <v>109</v>
      </c>
      <c r="D3212" t="s">
        <v>770</v>
      </c>
      <c r="E3212" t="s">
        <v>1430</v>
      </c>
      <c r="G3212" s="2">
        <v>2</v>
      </c>
      <c r="H3212" t="s">
        <v>2401</v>
      </c>
      <c r="I3212" t="s">
        <v>2017</v>
      </c>
      <c r="J3212" s="11">
        <v>1454.8448600085103</v>
      </c>
      <c r="K3212" t="str">
        <f t="shared" si="110"/>
        <v>Kathy Chang</v>
      </c>
    </row>
    <row r="3213" spans="1:11" hidden="1" x14ac:dyDescent="0.35">
      <c r="A3213">
        <f t="shared" si="106"/>
        <v>3212</v>
      </c>
      <c r="B3213">
        <v>2020</v>
      </c>
      <c r="C3213" t="s">
        <v>109</v>
      </c>
      <c r="D3213" t="s">
        <v>770</v>
      </c>
      <c r="E3213" t="s">
        <v>1430</v>
      </c>
      <c r="G3213" s="2">
        <v>3</v>
      </c>
      <c r="H3213" t="s">
        <v>21</v>
      </c>
      <c r="I3213" t="s">
        <v>463</v>
      </c>
      <c r="J3213" s="11">
        <v>1278.7536009528292</v>
      </c>
      <c r="K3213" t="str">
        <f t="shared" si="110"/>
        <v>Richard Bremer</v>
      </c>
    </row>
    <row r="3214" spans="1:11" hidden="1" x14ac:dyDescent="0.35">
      <c r="A3214">
        <f t="shared" si="106"/>
        <v>3213</v>
      </c>
      <c r="B3214">
        <v>2020</v>
      </c>
      <c r="C3214" t="s">
        <v>109</v>
      </c>
      <c r="D3214" t="s">
        <v>770</v>
      </c>
      <c r="E3214" t="s">
        <v>1430</v>
      </c>
      <c r="G3214" s="2">
        <v>4</v>
      </c>
      <c r="H3214" t="s">
        <v>37</v>
      </c>
      <c r="I3214" t="s">
        <v>38</v>
      </c>
      <c r="J3214" s="11">
        <v>1153.814864344529</v>
      </c>
      <c r="K3214" t="str">
        <f t="shared" si="110"/>
        <v>Doug Grismore</v>
      </c>
    </row>
    <row r="3215" spans="1:11" hidden="1" x14ac:dyDescent="0.35">
      <c r="A3215">
        <f t="shared" si="106"/>
        <v>3214</v>
      </c>
      <c r="B3215">
        <v>2020</v>
      </c>
      <c r="C3215" t="s">
        <v>109</v>
      </c>
      <c r="D3215" t="s">
        <v>770</v>
      </c>
      <c r="E3215" t="s">
        <v>1430</v>
      </c>
      <c r="G3215" s="2">
        <v>5</v>
      </c>
      <c r="H3215" t="s">
        <v>99</v>
      </c>
      <c r="I3215" t="s">
        <v>2500</v>
      </c>
      <c r="J3215" s="11">
        <v>1056.9048513364728</v>
      </c>
      <c r="K3215" t="str">
        <f t="shared" si="110"/>
        <v>Bex Kerl</v>
      </c>
    </row>
    <row r="3216" spans="1:11" hidden="1" x14ac:dyDescent="0.35">
      <c r="A3216">
        <f t="shared" si="106"/>
        <v>3215</v>
      </c>
      <c r="B3216">
        <v>2020</v>
      </c>
      <c r="C3216" t="s">
        <v>263</v>
      </c>
      <c r="D3216" t="s">
        <v>2508</v>
      </c>
      <c r="E3216" t="s">
        <v>1429</v>
      </c>
      <c r="F3216" s="2">
        <v>2160</v>
      </c>
      <c r="G3216" s="2">
        <v>1</v>
      </c>
      <c r="H3216" t="s">
        <v>537</v>
      </c>
      <c r="I3216" t="s">
        <v>538</v>
      </c>
      <c r="J3216" s="11">
        <v>1903.0899869919435</v>
      </c>
      <c r="K3216" t="str">
        <f t="shared" si="110"/>
        <v>Cliff Matthews</v>
      </c>
    </row>
    <row r="3217" spans="1:11" hidden="1" x14ac:dyDescent="0.35">
      <c r="A3217">
        <f t="shared" si="106"/>
        <v>3216</v>
      </c>
      <c r="B3217">
        <v>2020</v>
      </c>
      <c r="C3217" t="s">
        <v>263</v>
      </c>
      <c r="D3217" t="s">
        <v>2508</v>
      </c>
      <c r="E3217" t="s">
        <v>1429</v>
      </c>
      <c r="F3217" s="2">
        <v>1600</v>
      </c>
      <c r="G3217" s="2">
        <v>2</v>
      </c>
      <c r="H3217" t="s">
        <v>388</v>
      </c>
      <c r="I3217" t="s">
        <v>200</v>
      </c>
      <c r="J3217" s="11">
        <v>1602.0599913279623</v>
      </c>
      <c r="K3217" t="str">
        <f t="shared" si="110"/>
        <v>Rick Charles</v>
      </c>
    </row>
    <row r="3218" spans="1:11" hidden="1" x14ac:dyDescent="0.35">
      <c r="A3218">
        <f t="shared" si="106"/>
        <v>3217</v>
      </c>
      <c r="B3218">
        <v>2020</v>
      </c>
      <c r="C3218" t="s">
        <v>263</v>
      </c>
      <c r="D3218" t="s">
        <v>2508</v>
      </c>
      <c r="E3218" t="s">
        <v>1429</v>
      </c>
      <c r="F3218" s="2">
        <v>1200</v>
      </c>
      <c r="G3218" s="2">
        <v>3</v>
      </c>
      <c r="H3218" t="s">
        <v>99</v>
      </c>
      <c r="I3218" t="s">
        <v>101</v>
      </c>
      <c r="J3218" s="11">
        <v>1425.9687322722812</v>
      </c>
      <c r="K3218" t="str">
        <f t="shared" si="110"/>
        <v>Dean Kerl</v>
      </c>
    </row>
    <row r="3219" spans="1:11" hidden="1" x14ac:dyDescent="0.35">
      <c r="A3219">
        <f t="shared" si="106"/>
        <v>3218</v>
      </c>
      <c r="B3219">
        <v>2020</v>
      </c>
      <c r="C3219" t="s">
        <v>263</v>
      </c>
      <c r="D3219" t="s">
        <v>2508</v>
      </c>
      <c r="E3219" t="s">
        <v>1429</v>
      </c>
      <c r="F3219" s="2">
        <v>960</v>
      </c>
      <c r="G3219" s="2">
        <v>4</v>
      </c>
      <c r="H3219" t="s">
        <v>251</v>
      </c>
      <c r="I3219" t="s">
        <v>252</v>
      </c>
      <c r="J3219" s="11">
        <v>1301.0299956639813</v>
      </c>
      <c r="K3219" t="str">
        <f t="shared" si="110"/>
        <v>Linda Lewis</v>
      </c>
    </row>
    <row r="3220" spans="1:11" hidden="1" x14ac:dyDescent="0.35">
      <c r="A3220">
        <f t="shared" si="106"/>
        <v>3219</v>
      </c>
      <c r="B3220">
        <v>2020</v>
      </c>
      <c r="C3220" t="s">
        <v>263</v>
      </c>
      <c r="D3220" t="s">
        <v>2508</v>
      </c>
      <c r="E3220" t="s">
        <v>1429</v>
      </c>
      <c r="F3220" s="2">
        <v>800</v>
      </c>
      <c r="G3220" s="2">
        <v>5</v>
      </c>
      <c r="H3220" t="s">
        <v>618</v>
      </c>
      <c r="I3220" t="s">
        <v>521</v>
      </c>
      <c r="J3220" s="11">
        <v>1204.1199826559246</v>
      </c>
      <c r="K3220" t="str">
        <f t="shared" si="110"/>
        <v>Chuck Weinstock</v>
      </c>
    </row>
    <row r="3221" spans="1:11" hidden="1" x14ac:dyDescent="0.35">
      <c r="A3221">
        <f t="shared" si="106"/>
        <v>3220</v>
      </c>
      <c r="B3221">
        <v>2020</v>
      </c>
      <c r="C3221" t="s">
        <v>263</v>
      </c>
      <c r="D3221" t="s">
        <v>2508</v>
      </c>
      <c r="E3221" t="s">
        <v>1429</v>
      </c>
      <c r="F3221" s="2">
        <v>560</v>
      </c>
      <c r="G3221" s="2">
        <v>6</v>
      </c>
      <c r="H3221" t="s">
        <v>251</v>
      </c>
      <c r="I3221" t="s">
        <v>71</v>
      </c>
      <c r="J3221" s="11">
        <v>1124.9387366082999</v>
      </c>
      <c r="K3221" t="str">
        <f t="shared" si="110"/>
        <v>Scott Lewis</v>
      </c>
    </row>
    <row r="3222" spans="1:11" hidden="1" x14ac:dyDescent="0.35">
      <c r="A3222">
        <f t="shared" si="106"/>
        <v>3221</v>
      </c>
      <c r="B3222">
        <v>2020</v>
      </c>
      <c r="C3222" t="s">
        <v>263</v>
      </c>
      <c r="D3222" t="s">
        <v>2508</v>
      </c>
      <c r="E3222" t="s">
        <v>1429</v>
      </c>
      <c r="F3222" s="2">
        <v>400</v>
      </c>
      <c r="G3222" s="2">
        <v>7</v>
      </c>
      <c r="H3222" t="s">
        <v>48</v>
      </c>
      <c r="I3222" t="s">
        <v>49</v>
      </c>
      <c r="J3222" s="11">
        <v>1057.9919469776869</v>
      </c>
      <c r="K3222" t="str">
        <f t="shared" si="110"/>
        <v>Regis Donovan</v>
      </c>
    </row>
    <row r="3223" spans="1:11" hidden="1" x14ac:dyDescent="0.35">
      <c r="A3223">
        <f t="shared" si="106"/>
        <v>3222</v>
      </c>
      <c r="B3223">
        <v>2020</v>
      </c>
      <c r="C3223" t="s">
        <v>263</v>
      </c>
      <c r="D3223" t="s">
        <v>2508</v>
      </c>
      <c r="E3223" t="s">
        <v>1429</v>
      </c>
      <c r="F3223" s="2">
        <v>320</v>
      </c>
      <c r="G3223" s="2">
        <v>8</v>
      </c>
      <c r="H3223" t="s">
        <v>50</v>
      </c>
      <c r="I3223" t="s">
        <v>25</v>
      </c>
      <c r="J3223" s="11">
        <v>1000</v>
      </c>
      <c r="K3223" t="str">
        <f t="shared" si="110"/>
        <v>Russell Fox</v>
      </c>
    </row>
    <row r="3224" spans="1:11" hidden="1" x14ac:dyDescent="0.35">
      <c r="A3224">
        <f t="shared" si="106"/>
        <v>3223</v>
      </c>
      <c r="B3224">
        <v>2020</v>
      </c>
      <c r="C3224" t="s">
        <v>263</v>
      </c>
      <c r="D3224" t="s">
        <v>2507</v>
      </c>
      <c r="E3224" t="s">
        <v>1430</v>
      </c>
      <c r="F3224" s="2">
        <v>2184</v>
      </c>
      <c r="G3224" s="2">
        <v>1</v>
      </c>
      <c r="H3224" t="s">
        <v>1311</v>
      </c>
      <c r="I3224" t="s">
        <v>16</v>
      </c>
      <c r="J3224" s="11">
        <v>1924.2792860618815</v>
      </c>
      <c r="K3224" t="str">
        <f t="shared" si="110"/>
        <v>David Croson</v>
      </c>
    </row>
    <row r="3225" spans="1:11" hidden="1" x14ac:dyDescent="0.35">
      <c r="A3225">
        <f t="shared" si="106"/>
        <v>3224</v>
      </c>
      <c r="B3225">
        <v>2020</v>
      </c>
      <c r="C3225" t="s">
        <v>263</v>
      </c>
      <c r="D3225" t="s">
        <v>2507</v>
      </c>
      <c r="E3225" t="s">
        <v>1430</v>
      </c>
      <c r="F3225" s="2">
        <v>1596</v>
      </c>
      <c r="G3225" s="2">
        <v>2</v>
      </c>
      <c r="H3225" t="s">
        <v>86</v>
      </c>
      <c r="I3225" t="s">
        <v>271</v>
      </c>
      <c r="J3225" s="11">
        <v>1623.2492903979003</v>
      </c>
      <c r="K3225" t="str">
        <f t="shared" si="110"/>
        <v>Dan Goldman</v>
      </c>
    </row>
    <row r="3226" spans="1:11" hidden="1" x14ac:dyDescent="0.35">
      <c r="A3226">
        <f t="shared" si="106"/>
        <v>3225</v>
      </c>
      <c r="B3226">
        <v>2020</v>
      </c>
      <c r="C3226" t="s">
        <v>263</v>
      </c>
      <c r="D3226" t="s">
        <v>2507</v>
      </c>
      <c r="E3226" t="s">
        <v>1430</v>
      </c>
      <c r="F3226" s="2">
        <v>1260</v>
      </c>
      <c r="G3226" s="2">
        <v>3</v>
      </c>
      <c r="H3226" t="s">
        <v>21</v>
      </c>
      <c r="I3226" t="s">
        <v>463</v>
      </c>
      <c r="J3226" s="11">
        <v>1447.1580313422191</v>
      </c>
      <c r="K3226" t="str">
        <f t="shared" si="110"/>
        <v>Richard Bremer</v>
      </c>
    </row>
    <row r="3227" spans="1:11" hidden="1" x14ac:dyDescent="0.35">
      <c r="A3227">
        <f t="shared" si="106"/>
        <v>3226</v>
      </c>
      <c r="B3227">
        <v>2020</v>
      </c>
      <c r="C3227" t="s">
        <v>263</v>
      </c>
      <c r="D3227" t="s">
        <v>2507</v>
      </c>
      <c r="E3227" t="s">
        <v>1430</v>
      </c>
      <c r="F3227" s="2">
        <v>1008</v>
      </c>
      <c r="G3227" s="2">
        <v>4</v>
      </c>
      <c r="H3227" t="s">
        <v>31</v>
      </c>
      <c r="I3227" t="s">
        <v>16</v>
      </c>
      <c r="J3227" s="11">
        <v>1322.219294733919</v>
      </c>
      <c r="K3227" t="str">
        <f t="shared" si="110"/>
        <v>David Aronson</v>
      </c>
    </row>
    <row r="3228" spans="1:11" hidden="1" x14ac:dyDescent="0.35">
      <c r="A3228">
        <f t="shared" si="106"/>
        <v>3227</v>
      </c>
      <c r="B3228">
        <v>2020</v>
      </c>
      <c r="C3228" t="s">
        <v>263</v>
      </c>
      <c r="D3228" t="s">
        <v>2507</v>
      </c>
      <c r="E3228" t="s">
        <v>1430</v>
      </c>
      <c r="F3228" s="2">
        <v>756</v>
      </c>
      <c r="G3228" s="2">
        <v>5</v>
      </c>
      <c r="H3228" t="s">
        <v>2476</v>
      </c>
      <c r="I3228" t="s">
        <v>77</v>
      </c>
      <c r="J3228" s="11">
        <v>1225.3092817258628</v>
      </c>
      <c r="K3228" t="str">
        <f t="shared" si="110"/>
        <v>Eric Schneller</v>
      </c>
    </row>
    <row r="3229" spans="1:11" hidden="1" x14ac:dyDescent="0.35">
      <c r="A3229">
        <f t="shared" si="106"/>
        <v>3228</v>
      </c>
      <c r="B3229">
        <v>2020</v>
      </c>
      <c r="C3229" t="s">
        <v>263</v>
      </c>
      <c r="D3229" t="s">
        <v>2507</v>
      </c>
      <c r="E3229" t="s">
        <v>1430</v>
      </c>
      <c r="F3229" s="2">
        <v>588</v>
      </c>
      <c r="G3229" s="2">
        <v>6</v>
      </c>
      <c r="H3229" t="s">
        <v>31</v>
      </c>
      <c r="I3229" t="s">
        <v>32</v>
      </c>
      <c r="J3229" s="11">
        <v>1146.1280356782379</v>
      </c>
      <c r="K3229" t="str">
        <f t="shared" si="110"/>
        <v>Caryl Aronson</v>
      </c>
    </row>
    <row r="3230" spans="1:11" hidden="1" x14ac:dyDescent="0.35">
      <c r="A3230">
        <f t="shared" ref="A3230:A3293" si="111">A3229+1</f>
        <v>3229</v>
      </c>
      <c r="B3230">
        <v>2020</v>
      </c>
      <c r="C3230" t="s">
        <v>263</v>
      </c>
      <c r="D3230" t="s">
        <v>2507</v>
      </c>
      <c r="E3230" t="s">
        <v>1430</v>
      </c>
      <c r="F3230" s="2">
        <v>420</v>
      </c>
      <c r="G3230" s="2">
        <v>7</v>
      </c>
      <c r="H3230" t="s">
        <v>95</v>
      </c>
      <c r="I3230" t="s">
        <v>71</v>
      </c>
      <c r="J3230" s="11">
        <v>1079.1812460476247</v>
      </c>
      <c r="K3230" t="str">
        <f t="shared" si="110"/>
        <v>Scott Samarel</v>
      </c>
    </row>
    <row r="3231" spans="1:11" hidden="1" x14ac:dyDescent="0.35">
      <c r="A3231">
        <f t="shared" si="111"/>
        <v>3230</v>
      </c>
      <c r="B3231">
        <v>2020</v>
      </c>
      <c r="C3231" t="s">
        <v>263</v>
      </c>
      <c r="D3231" t="s">
        <v>2507</v>
      </c>
      <c r="E3231" t="s">
        <v>1430</v>
      </c>
      <c r="F3231" s="2">
        <v>252</v>
      </c>
      <c r="G3231" s="2">
        <v>8</v>
      </c>
      <c r="H3231" t="s">
        <v>609</v>
      </c>
      <c r="I3231" t="s">
        <v>610</v>
      </c>
      <c r="J3231" s="11">
        <v>1021.1892990699381</v>
      </c>
      <c r="K3231" t="str">
        <f t="shared" si="110"/>
        <v>Deron Brod</v>
      </c>
    </row>
    <row r="3232" spans="1:11" hidden="1" x14ac:dyDescent="0.35">
      <c r="A3232">
        <f t="shared" si="111"/>
        <v>3231</v>
      </c>
      <c r="B3232">
        <v>2020</v>
      </c>
      <c r="C3232" t="s">
        <v>263</v>
      </c>
      <c r="D3232" t="s">
        <v>2507</v>
      </c>
      <c r="E3232" t="s">
        <v>1430</v>
      </c>
      <c r="F3232" s="2">
        <v>168</v>
      </c>
      <c r="G3232" s="2">
        <v>9</v>
      </c>
      <c r="H3232" t="s">
        <v>204</v>
      </c>
      <c r="I3232" t="s">
        <v>205</v>
      </c>
      <c r="J3232" s="11">
        <v>970.03677662255677</v>
      </c>
      <c r="K3232" t="str">
        <f t="shared" si="110"/>
        <v>Ron Grossberg</v>
      </c>
    </row>
    <row r="3233" spans="1:11" hidden="1" x14ac:dyDescent="0.35">
      <c r="A3233">
        <f t="shared" si="111"/>
        <v>3232</v>
      </c>
      <c r="B3233">
        <v>2020</v>
      </c>
      <c r="C3233" t="s">
        <v>263</v>
      </c>
      <c r="D3233" t="s">
        <v>2507</v>
      </c>
      <c r="E3233" t="s">
        <v>1430</v>
      </c>
      <c r="F3233" s="2">
        <v>168</v>
      </c>
      <c r="G3233" s="2">
        <v>10</v>
      </c>
      <c r="H3233" t="s">
        <v>965</v>
      </c>
      <c r="I3233" t="s">
        <v>44</v>
      </c>
      <c r="J3233" s="11">
        <v>924.27928606188163</v>
      </c>
      <c r="K3233" t="str">
        <f t="shared" si="110"/>
        <v>Mike McBride</v>
      </c>
    </row>
    <row r="3234" spans="1:11" hidden="1" x14ac:dyDescent="0.35">
      <c r="A3234">
        <f t="shared" si="111"/>
        <v>3233</v>
      </c>
      <c r="B3234">
        <v>2020</v>
      </c>
      <c r="C3234" t="s">
        <v>263</v>
      </c>
      <c r="D3234" t="s">
        <v>2510</v>
      </c>
      <c r="E3234" t="s">
        <v>1432</v>
      </c>
      <c r="F3234" s="2">
        <v>1264</v>
      </c>
      <c r="G3234" s="2">
        <v>1</v>
      </c>
      <c r="H3234" t="s">
        <v>1714</v>
      </c>
      <c r="I3234" t="s">
        <v>2004</v>
      </c>
      <c r="J3234" s="11">
        <v>1892.0946026904803</v>
      </c>
      <c r="K3234" t="str">
        <f t="shared" si="110"/>
        <v>Lennie Augustine</v>
      </c>
    </row>
    <row r="3235" spans="1:11" hidden="1" x14ac:dyDescent="0.35">
      <c r="A3235">
        <f t="shared" si="111"/>
        <v>3234</v>
      </c>
      <c r="B3235">
        <v>2020</v>
      </c>
      <c r="C3235" t="s">
        <v>263</v>
      </c>
      <c r="D3235" t="s">
        <v>2510</v>
      </c>
      <c r="E3235" t="s">
        <v>1432</v>
      </c>
      <c r="F3235" s="2">
        <v>936</v>
      </c>
      <c r="G3235" s="2">
        <v>2</v>
      </c>
      <c r="H3235" t="s">
        <v>414</v>
      </c>
      <c r="I3235" t="s">
        <v>413</v>
      </c>
      <c r="J3235" s="11">
        <v>1591.0646070264991</v>
      </c>
      <c r="K3235" t="str">
        <f t="shared" si="110"/>
        <v>Bruce Kramer</v>
      </c>
    </row>
    <row r="3236" spans="1:11" hidden="1" x14ac:dyDescent="0.35">
      <c r="A3236">
        <f t="shared" si="111"/>
        <v>3235</v>
      </c>
      <c r="B3236">
        <v>2020</v>
      </c>
      <c r="C3236" t="s">
        <v>263</v>
      </c>
      <c r="D3236" t="s">
        <v>2510</v>
      </c>
      <c r="E3236" t="s">
        <v>1432</v>
      </c>
      <c r="F3236" s="2">
        <v>702</v>
      </c>
      <c r="G3236" s="2">
        <v>3</v>
      </c>
      <c r="H3236" t="s">
        <v>294</v>
      </c>
      <c r="I3236" t="s">
        <v>16</v>
      </c>
      <c r="J3236" s="11">
        <v>1414.9733479708179</v>
      </c>
      <c r="K3236" t="str">
        <f t="shared" si="110"/>
        <v>David Low</v>
      </c>
    </row>
    <row r="3237" spans="1:11" hidden="1" x14ac:dyDescent="0.35">
      <c r="A3237">
        <f t="shared" si="111"/>
        <v>3236</v>
      </c>
      <c r="B3237">
        <v>2020</v>
      </c>
      <c r="C3237" t="s">
        <v>263</v>
      </c>
      <c r="D3237" t="s">
        <v>2510</v>
      </c>
      <c r="E3237" t="s">
        <v>1432</v>
      </c>
      <c r="F3237" s="2">
        <v>562</v>
      </c>
      <c r="G3237" s="2">
        <v>4</v>
      </c>
      <c r="H3237" t="s">
        <v>99</v>
      </c>
      <c r="I3237" t="s">
        <v>101</v>
      </c>
      <c r="J3237" s="11">
        <v>1290.0346113625178</v>
      </c>
      <c r="K3237" t="str">
        <f t="shared" si="110"/>
        <v>Dean Kerl</v>
      </c>
    </row>
    <row r="3238" spans="1:11" hidden="1" x14ac:dyDescent="0.35">
      <c r="A3238">
        <f t="shared" si="111"/>
        <v>3237</v>
      </c>
      <c r="B3238">
        <v>2020</v>
      </c>
      <c r="C3238" t="s">
        <v>263</v>
      </c>
      <c r="D3238" t="s">
        <v>2510</v>
      </c>
      <c r="E3238" t="s">
        <v>1432</v>
      </c>
      <c r="F3238" s="2">
        <v>468</v>
      </c>
      <c r="G3238" s="2">
        <v>5</v>
      </c>
      <c r="H3238" t="s">
        <v>299</v>
      </c>
      <c r="I3238" t="s">
        <v>300</v>
      </c>
      <c r="J3238" s="11">
        <v>1193.1245983544616</v>
      </c>
      <c r="K3238" t="str">
        <f t="shared" si="110"/>
        <v>Gillian Groves</v>
      </c>
    </row>
    <row r="3239" spans="1:11" hidden="1" x14ac:dyDescent="0.35">
      <c r="A3239">
        <f t="shared" si="111"/>
        <v>3238</v>
      </c>
      <c r="B3239">
        <v>2020</v>
      </c>
      <c r="C3239" t="s">
        <v>263</v>
      </c>
      <c r="D3239" t="s">
        <v>2510</v>
      </c>
      <c r="E3239" t="s">
        <v>1432</v>
      </c>
      <c r="F3239" s="2">
        <v>327</v>
      </c>
      <c r="G3239" s="2">
        <v>6</v>
      </c>
      <c r="H3239" t="s">
        <v>88</v>
      </c>
      <c r="I3239" t="s">
        <v>89</v>
      </c>
      <c r="J3239" s="11">
        <v>1113.9433523068367</v>
      </c>
      <c r="K3239" t="str">
        <f t="shared" si="110"/>
        <v>Ken Kubey</v>
      </c>
    </row>
    <row r="3240" spans="1:11" hidden="1" x14ac:dyDescent="0.35">
      <c r="A3240">
        <f t="shared" si="111"/>
        <v>3239</v>
      </c>
      <c r="B3240">
        <v>2020</v>
      </c>
      <c r="C3240" t="s">
        <v>263</v>
      </c>
      <c r="D3240" t="s">
        <v>2510</v>
      </c>
      <c r="E3240" t="s">
        <v>1432</v>
      </c>
      <c r="F3240" s="2">
        <v>234</v>
      </c>
      <c r="G3240" s="2">
        <v>7</v>
      </c>
      <c r="H3240" t="s">
        <v>105</v>
      </c>
      <c r="I3240" t="s">
        <v>106</v>
      </c>
      <c r="J3240" s="11">
        <v>1046.9965626762234</v>
      </c>
      <c r="K3240" t="str">
        <f t="shared" si="110"/>
        <v>Kenny Shei</v>
      </c>
    </row>
    <row r="3241" spans="1:11" hidden="1" x14ac:dyDescent="0.35">
      <c r="A3241">
        <f t="shared" si="111"/>
        <v>3240</v>
      </c>
      <c r="B3241">
        <v>2020</v>
      </c>
      <c r="C3241" t="s">
        <v>263</v>
      </c>
      <c r="D3241" t="s">
        <v>2510</v>
      </c>
      <c r="E3241" t="s">
        <v>1432</v>
      </c>
      <c r="F3241" s="2">
        <v>187</v>
      </c>
      <c r="G3241" s="2">
        <v>8</v>
      </c>
      <c r="H3241" t="s">
        <v>23</v>
      </c>
      <c r="I3241" t="s">
        <v>13</v>
      </c>
      <c r="J3241" s="11">
        <v>989.00461569853678</v>
      </c>
      <c r="K3241" t="str">
        <f t="shared" si="110"/>
        <v>Tom Hummel</v>
      </c>
    </row>
    <row r="3242" spans="1:11" hidden="1" x14ac:dyDescent="0.35">
      <c r="A3242">
        <f t="shared" si="111"/>
        <v>3241</v>
      </c>
      <c r="B3242">
        <v>2020</v>
      </c>
      <c r="C3242" t="s">
        <v>263</v>
      </c>
      <c r="D3242" t="s">
        <v>2517</v>
      </c>
      <c r="E3242" t="s">
        <v>1430</v>
      </c>
      <c r="F3242" s="2">
        <v>1264</v>
      </c>
      <c r="G3242" s="2">
        <v>1</v>
      </c>
      <c r="H3242" t="s">
        <v>2476</v>
      </c>
      <c r="I3242" t="s">
        <v>77</v>
      </c>
      <c r="J3242" s="11">
        <v>1908.4850188786497</v>
      </c>
      <c r="K3242" t="str">
        <f t="shared" si="110"/>
        <v>Eric Schneller</v>
      </c>
    </row>
    <row r="3243" spans="1:11" hidden="1" x14ac:dyDescent="0.35">
      <c r="A3243">
        <f t="shared" si="111"/>
        <v>3242</v>
      </c>
      <c r="B3243">
        <v>2020</v>
      </c>
      <c r="C3243" t="s">
        <v>263</v>
      </c>
      <c r="D3243" t="s">
        <v>2517</v>
      </c>
      <c r="E3243" t="s">
        <v>1430</v>
      </c>
      <c r="F3243" s="2">
        <v>924</v>
      </c>
      <c r="G3243" s="2">
        <v>2</v>
      </c>
      <c r="H3243" t="s">
        <v>21</v>
      </c>
      <c r="I3243" t="s">
        <v>463</v>
      </c>
      <c r="J3243" s="11">
        <v>1607.4550232146685</v>
      </c>
      <c r="K3243" t="str">
        <f t="shared" si="110"/>
        <v>Richard Bremer</v>
      </c>
    </row>
    <row r="3244" spans="1:11" hidden="1" x14ac:dyDescent="0.35">
      <c r="A3244">
        <f t="shared" si="111"/>
        <v>3243</v>
      </c>
      <c r="B3244">
        <v>2020</v>
      </c>
      <c r="C3244" t="s">
        <v>263</v>
      </c>
      <c r="D3244" t="s">
        <v>2517</v>
      </c>
      <c r="E3244" t="s">
        <v>1430</v>
      </c>
      <c r="F3244" s="2">
        <v>729</v>
      </c>
      <c r="G3244" s="2">
        <v>3</v>
      </c>
      <c r="H3244" t="s">
        <v>868</v>
      </c>
      <c r="I3244" t="s">
        <v>63</v>
      </c>
      <c r="J3244" s="11">
        <v>1431.3637641589874</v>
      </c>
      <c r="K3244" t="str">
        <f t="shared" si="110"/>
        <v>Claudia Mastroianni</v>
      </c>
    </row>
    <row r="3245" spans="1:11" hidden="1" x14ac:dyDescent="0.35">
      <c r="A3245">
        <f t="shared" si="111"/>
        <v>3244</v>
      </c>
      <c r="B3245">
        <v>2020</v>
      </c>
      <c r="C3245" t="s">
        <v>263</v>
      </c>
      <c r="D3245" t="s">
        <v>2517</v>
      </c>
      <c r="E3245" t="s">
        <v>1430</v>
      </c>
      <c r="F3245" s="2">
        <v>583</v>
      </c>
      <c r="G3245" s="2">
        <v>4</v>
      </c>
      <c r="H3245" t="s">
        <v>37</v>
      </c>
      <c r="I3245" t="s">
        <v>38</v>
      </c>
      <c r="J3245" s="11">
        <v>1306.4250275506874</v>
      </c>
      <c r="K3245" t="str">
        <f t="shared" si="110"/>
        <v>Doug Grismore</v>
      </c>
    </row>
    <row r="3246" spans="1:11" hidden="1" x14ac:dyDescent="0.35">
      <c r="A3246">
        <f t="shared" si="111"/>
        <v>3245</v>
      </c>
      <c r="B3246">
        <v>2020</v>
      </c>
      <c r="C3246" t="s">
        <v>263</v>
      </c>
      <c r="D3246" t="s">
        <v>2517</v>
      </c>
      <c r="E3246" t="s">
        <v>1430</v>
      </c>
      <c r="F3246" s="2">
        <v>437</v>
      </c>
      <c r="G3246" s="2">
        <v>5</v>
      </c>
      <c r="H3246" t="s">
        <v>1781</v>
      </c>
      <c r="I3246" t="s">
        <v>528</v>
      </c>
      <c r="J3246" s="11">
        <v>1209.5150145426308</v>
      </c>
      <c r="K3246" t="str">
        <f t="shared" si="110"/>
        <v>Tim McGarvey</v>
      </c>
    </row>
    <row r="3247" spans="1:11" hidden="1" x14ac:dyDescent="0.35">
      <c r="A3247">
        <f t="shared" si="111"/>
        <v>3246</v>
      </c>
      <c r="B3247">
        <v>2020</v>
      </c>
      <c r="C3247" t="s">
        <v>263</v>
      </c>
      <c r="D3247" t="s">
        <v>2517</v>
      </c>
      <c r="E3247" t="s">
        <v>1430</v>
      </c>
      <c r="F3247" s="2">
        <v>340</v>
      </c>
      <c r="G3247" s="2">
        <v>6</v>
      </c>
      <c r="H3247" t="s">
        <v>277</v>
      </c>
      <c r="I3247" t="s">
        <v>16</v>
      </c>
      <c r="J3247" s="11">
        <v>1130.3337684950061</v>
      </c>
      <c r="K3247" t="str">
        <f t="shared" si="110"/>
        <v>David Lawful</v>
      </c>
    </row>
    <row r="3248" spans="1:11" hidden="1" x14ac:dyDescent="0.35">
      <c r="A3248">
        <f t="shared" si="111"/>
        <v>3247</v>
      </c>
      <c r="B3248">
        <v>2020</v>
      </c>
      <c r="C3248" t="s">
        <v>263</v>
      </c>
      <c r="D3248" t="s">
        <v>2517</v>
      </c>
      <c r="E3248" t="s">
        <v>1430</v>
      </c>
      <c r="F3248" s="2">
        <v>243</v>
      </c>
      <c r="G3248" s="2">
        <v>7</v>
      </c>
      <c r="H3248" t="s">
        <v>266</v>
      </c>
      <c r="I3248" t="s">
        <v>28</v>
      </c>
      <c r="J3248" s="11">
        <v>1063.3869788643931</v>
      </c>
      <c r="K3248" t="str">
        <f t="shared" si="110"/>
        <v>Chris Mecklin</v>
      </c>
    </row>
    <row r="3249" spans="1:11" hidden="1" x14ac:dyDescent="0.35">
      <c r="A3249">
        <f t="shared" si="111"/>
        <v>3248</v>
      </c>
      <c r="B3249">
        <v>2020</v>
      </c>
      <c r="C3249" t="s">
        <v>263</v>
      </c>
      <c r="D3249" t="s">
        <v>2517</v>
      </c>
      <c r="E3249" t="s">
        <v>1430</v>
      </c>
      <c r="F3249" s="2">
        <v>146</v>
      </c>
      <c r="G3249" s="2">
        <v>8</v>
      </c>
      <c r="H3249" t="s">
        <v>2305</v>
      </c>
      <c r="I3249" t="s">
        <v>2306</v>
      </c>
      <c r="J3249" s="11">
        <v>1005.3950318867062</v>
      </c>
      <c r="K3249" t="str">
        <f t="shared" si="110"/>
        <v>Randal Hennemuth</v>
      </c>
    </row>
    <row r="3250" spans="1:11" hidden="1" x14ac:dyDescent="0.35">
      <c r="A3250">
        <f t="shared" si="111"/>
        <v>3249</v>
      </c>
      <c r="B3250">
        <v>2020</v>
      </c>
      <c r="C3250" t="s">
        <v>263</v>
      </c>
      <c r="D3250" t="s">
        <v>2517</v>
      </c>
      <c r="E3250" t="s">
        <v>1430</v>
      </c>
      <c r="F3250" s="2">
        <v>97</v>
      </c>
      <c r="G3250" s="2">
        <v>9</v>
      </c>
      <c r="H3250" t="s">
        <v>204</v>
      </c>
      <c r="I3250" t="s">
        <v>205</v>
      </c>
      <c r="J3250" s="11">
        <v>954.24250943932486</v>
      </c>
      <c r="K3250" t="str">
        <f t="shared" si="110"/>
        <v>Ron Grossberg</v>
      </c>
    </row>
    <row r="3251" spans="1:11" hidden="1" x14ac:dyDescent="0.35">
      <c r="A3251">
        <f t="shared" si="111"/>
        <v>3250</v>
      </c>
      <c r="B3251">
        <v>2020</v>
      </c>
      <c r="C3251" t="s">
        <v>263</v>
      </c>
      <c r="D3251" t="s">
        <v>2517</v>
      </c>
      <c r="E3251" t="s">
        <v>1430</v>
      </c>
      <c r="F3251" s="2">
        <v>97</v>
      </c>
      <c r="G3251" s="2">
        <v>10</v>
      </c>
      <c r="H3251" t="s">
        <v>2363</v>
      </c>
      <c r="I3251" t="s">
        <v>2364</v>
      </c>
      <c r="J3251" s="11">
        <v>908.48501887864973</v>
      </c>
      <c r="K3251" t="str">
        <f t="shared" si="110"/>
        <v>Shari Silk</v>
      </c>
    </row>
    <row r="3252" spans="1:11" hidden="1" x14ac:dyDescent="0.35">
      <c r="A3252">
        <f t="shared" si="111"/>
        <v>3251</v>
      </c>
      <c r="B3252">
        <v>2020</v>
      </c>
      <c r="C3252" t="s">
        <v>263</v>
      </c>
      <c r="D3252" t="s">
        <v>45</v>
      </c>
      <c r="E3252" t="s">
        <v>1429</v>
      </c>
      <c r="F3252" s="2">
        <v>4060</v>
      </c>
      <c r="G3252" s="2">
        <v>1</v>
      </c>
      <c r="H3252" t="s">
        <v>50</v>
      </c>
      <c r="I3252" t="s">
        <v>25</v>
      </c>
      <c r="J3252" s="11">
        <v>2064.4579892269185</v>
      </c>
      <c r="K3252" t="str">
        <f t="shared" si="110"/>
        <v>Russell Fox</v>
      </c>
    </row>
    <row r="3253" spans="1:11" hidden="1" x14ac:dyDescent="0.35">
      <c r="A3253">
        <f t="shared" si="111"/>
        <v>3252</v>
      </c>
      <c r="B3253">
        <v>2020</v>
      </c>
      <c r="C3253" t="s">
        <v>263</v>
      </c>
      <c r="D3253" t="s">
        <v>45</v>
      </c>
      <c r="E3253" t="s">
        <v>1429</v>
      </c>
      <c r="F3253" s="2">
        <v>3086</v>
      </c>
      <c r="G3253" s="2">
        <v>2</v>
      </c>
      <c r="H3253" t="s">
        <v>836</v>
      </c>
      <c r="I3253" t="s">
        <v>136</v>
      </c>
      <c r="J3253" s="11">
        <v>1763.4279935629374</v>
      </c>
      <c r="K3253" t="str">
        <f t="shared" si="110"/>
        <v>John Grout</v>
      </c>
    </row>
    <row r="3254" spans="1:11" hidden="1" x14ac:dyDescent="0.35">
      <c r="A3254">
        <f t="shared" si="111"/>
        <v>3253</v>
      </c>
      <c r="B3254">
        <v>2020</v>
      </c>
      <c r="C3254" t="s">
        <v>263</v>
      </c>
      <c r="D3254" t="s">
        <v>45</v>
      </c>
      <c r="E3254" t="s">
        <v>1429</v>
      </c>
      <c r="F3254" s="2">
        <v>2274</v>
      </c>
      <c r="G3254" s="2">
        <v>3</v>
      </c>
      <c r="H3254" t="s">
        <v>585</v>
      </c>
      <c r="I3254" t="s">
        <v>136</v>
      </c>
      <c r="J3254" s="11">
        <v>1587.3367345072561</v>
      </c>
      <c r="K3254" t="str">
        <f t="shared" si="110"/>
        <v>John Pickels</v>
      </c>
    </row>
    <row r="3255" spans="1:11" hidden="1" x14ac:dyDescent="0.35">
      <c r="A3255">
        <f t="shared" si="111"/>
        <v>3254</v>
      </c>
      <c r="B3255">
        <v>2020</v>
      </c>
      <c r="C3255" t="s">
        <v>263</v>
      </c>
      <c r="D3255" t="s">
        <v>45</v>
      </c>
      <c r="E3255" t="s">
        <v>1429</v>
      </c>
      <c r="F3255" s="2">
        <v>1786</v>
      </c>
      <c r="G3255" s="2">
        <v>4</v>
      </c>
      <c r="H3255" t="s">
        <v>299</v>
      </c>
      <c r="I3255" t="s">
        <v>300</v>
      </c>
      <c r="J3255" s="11">
        <v>1462.3979978989562</v>
      </c>
      <c r="K3255" t="str">
        <f t="shared" si="110"/>
        <v>Gillian Groves</v>
      </c>
    </row>
    <row r="3256" spans="1:11" hidden="1" x14ac:dyDescent="0.35">
      <c r="A3256">
        <f t="shared" si="111"/>
        <v>3255</v>
      </c>
      <c r="B3256">
        <v>2020</v>
      </c>
      <c r="C3256" t="s">
        <v>263</v>
      </c>
      <c r="D3256" t="s">
        <v>45</v>
      </c>
      <c r="E3256" t="s">
        <v>1429</v>
      </c>
      <c r="F3256" s="2">
        <v>1462</v>
      </c>
      <c r="G3256" s="2">
        <v>5</v>
      </c>
      <c r="H3256" t="s">
        <v>266</v>
      </c>
      <c r="I3256" t="s">
        <v>28</v>
      </c>
      <c r="J3256" s="11">
        <v>1365.4879848909</v>
      </c>
      <c r="K3256" t="str">
        <f t="shared" si="110"/>
        <v>Chris Mecklin</v>
      </c>
    </row>
    <row r="3257" spans="1:11" hidden="1" x14ac:dyDescent="0.35">
      <c r="A3257">
        <f t="shared" si="111"/>
        <v>3256</v>
      </c>
      <c r="B3257">
        <v>2020</v>
      </c>
      <c r="C3257" t="s">
        <v>263</v>
      </c>
      <c r="D3257" t="s">
        <v>45</v>
      </c>
      <c r="E3257" t="s">
        <v>1429</v>
      </c>
      <c r="F3257" s="2">
        <v>1137</v>
      </c>
      <c r="G3257" s="2">
        <v>6</v>
      </c>
      <c r="H3257" t="s">
        <v>105</v>
      </c>
      <c r="I3257" t="s">
        <v>106</v>
      </c>
      <c r="J3257" s="11">
        <v>1286.3067388432748</v>
      </c>
      <c r="K3257" t="str">
        <f t="shared" si="110"/>
        <v>Kenny Shei</v>
      </c>
    </row>
    <row r="3258" spans="1:11" hidden="1" x14ac:dyDescent="0.35">
      <c r="A3258">
        <f t="shared" si="111"/>
        <v>3257</v>
      </c>
      <c r="B3258">
        <v>2020</v>
      </c>
      <c r="C3258" t="s">
        <v>263</v>
      </c>
      <c r="D3258" t="s">
        <v>45</v>
      </c>
      <c r="E3258" t="s">
        <v>1429</v>
      </c>
      <c r="F3258" s="2">
        <v>812</v>
      </c>
      <c r="G3258" s="2">
        <v>7</v>
      </c>
      <c r="H3258" t="s">
        <v>968</v>
      </c>
      <c r="I3258" t="s">
        <v>701</v>
      </c>
      <c r="J3258" s="11">
        <v>1219.3599492126616</v>
      </c>
      <c r="K3258" t="str">
        <f t="shared" si="110"/>
        <v>Bryan Juliano</v>
      </c>
    </row>
    <row r="3259" spans="1:11" hidden="1" x14ac:dyDescent="0.35">
      <c r="A3259">
        <f t="shared" si="111"/>
        <v>3258</v>
      </c>
      <c r="B3259">
        <v>2020</v>
      </c>
      <c r="C3259" t="s">
        <v>263</v>
      </c>
      <c r="D3259" t="s">
        <v>45</v>
      </c>
      <c r="E3259" t="s">
        <v>1429</v>
      </c>
      <c r="F3259" s="2">
        <v>487</v>
      </c>
      <c r="G3259" s="2">
        <v>8</v>
      </c>
      <c r="H3259" t="s">
        <v>2512</v>
      </c>
      <c r="I3259" t="s">
        <v>659</v>
      </c>
      <c r="J3259" s="11">
        <v>1161.3680022349749</v>
      </c>
      <c r="K3259" t="str">
        <f t="shared" si="110"/>
        <v>Tanya Peck-Devenport</v>
      </c>
    </row>
    <row r="3260" spans="1:11" hidden="1" x14ac:dyDescent="0.35">
      <c r="A3260">
        <f t="shared" si="111"/>
        <v>3259</v>
      </c>
      <c r="B3260">
        <v>2020</v>
      </c>
      <c r="C3260" t="s">
        <v>263</v>
      </c>
      <c r="D3260" t="s">
        <v>45</v>
      </c>
      <c r="E3260" t="s">
        <v>1429</v>
      </c>
      <c r="F3260" s="2">
        <v>325</v>
      </c>
      <c r="G3260" s="2">
        <v>9</v>
      </c>
      <c r="H3260" t="s">
        <v>2363</v>
      </c>
      <c r="I3260" t="s">
        <v>2364</v>
      </c>
      <c r="J3260" s="11">
        <v>1110.2154797875937</v>
      </c>
      <c r="K3260" t="str">
        <f t="shared" si="110"/>
        <v>Shari Silk</v>
      </c>
    </row>
    <row r="3261" spans="1:11" hidden="1" x14ac:dyDescent="0.35">
      <c r="A3261">
        <f t="shared" si="111"/>
        <v>3260</v>
      </c>
      <c r="B3261">
        <v>2020</v>
      </c>
      <c r="C3261" t="s">
        <v>263</v>
      </c>
      <c r="D3261" t="s">
        <v>45</v>
      </c>
      <c r="E3261" t="s">
        <v>1429</v>
      </c>
      <c r="F3261" s="2">
        <v>325</v>
      </c>
      <c r="G3261" s="2">
        <v>10</v>
      </c>
      <c r="H3261" t="s">
        <v>2514</v>
      </c>
      <c r="I3261" t="s">
        <v>218</v>
      </c>
      <c r="J3261" s="11">
        <v>1064.4579892269187</v>
      </c>
      <c r="K3261" t="str">
        <f t="shared" si="110"/>
        <v>Michael Brennan </v>
      </c>
    </row>
    <row r="3262" spans="1:11" hidden="1" x14ac:dyDescent="0.35">
      <c r="A3262">
        <f t="shared" si="111"/>
        <v>3261</v>
      </c>
      <c r="B3262">
        <v>2020</v>
      </c>
      <c r="C3262" t="s">
        <v>263</v>
      </c>
      <c r="D3262" t="s">
        <v>45</v>
      </c>
      <c r="E3262" t="s">
        <v>1429</v>
      </c>
      <c r="F3262" s="2">
        <v>243</v>
      </c>
      <c r="G3262" s="2">
        <v>11</v>
      </c>
      <c r="H3262" t="s">
        <v>19</v>
      </c>
      <c r="I3262" t="s">
        <v>20</v>
      </c>
      <c r="J3262" s="11">
        <v>1023.0653040686934</v>
      </c>
      <c r="K3262" t="str">
        <f t="shared" si="110"/>
        <v>Barry Kornspan</v>
      </c>
    </row>
    <row r="3263" spans="1:11" hidden="1" x14ac:dyDescent="0.35">
      <c r="A3263">
        <f t="shared" si="111"/>
        <v>3262</v>
      </c>
      <c r="B3263">
        <v>2020</v>
      </c>
      <c r="C3263" t="s">
        <v>263</v>
      </c>
      <c r="D3263" t="s">
        <v>45</v>
      </c>
      <c r="E3263" t="s">
        <v>1429</v>
      </c>
      <c r="F3263" s="2">
        <v>243</v>
      </c>
      <c r="G3263" s="2">
        <v>12</v>
      </c>
      <c r="H3263" t="s">
        <v>526</v>
      </c>
      <c r="I3263" t="s">
        <v>136</v>
      </c>
      <c r="J3263" s="11">
        <v>985.2767431792937</v>
      </c>
      <c r="K3263" t="str">
        <f t="shared" si="110"/>
        <v>John Reed</v>
      </c>
    </row>
    <row r="3264" spans="1:11" hidden="1" x14ac:dyDescent="0.35">
      <c r="A3264">
        <f t="shared" si="111"/>
        <v>3263</v>
      </c>
      <c r="B3264">
        <v>2020</v>
      </c>
      <c r="C3264" t="s">
        <v>263</v>
      </c>
      <c r="D3264" t="s">
        <v>133</v>
      </c>
      <c r="E3264" t="s">
        <v>133</v>
      </c>
      <c r="F3264" s="2">
        <v>2106</v>
      </c>
      <c r="G3264" s="2">
        <v>1</v>
      </c>
      <c r="H3264" t="s">
        <v>1460</v>
      </c>
      <c r="I3264" t="s">
        <v>1461</v>
      </c>
      <c r="J3264" s="11">
        <v>1908.4850188786497</v>
      </c>
      <c r="K3264" t="str">
        <f t="shared" si="110"/>
        <v>Andreas Wolfram</v>
      </c>
    </row>
    <row r="3265" spans="1:11" hidden="1" x14ac:dyDescent="0.35">
      <c r="A3265">
        <f t="shared" si="111"/>
        <v>3264</v>
      </c>
      <c r="B3265">
        <v>2020</v>
      </c>
      <c r="C3265" t="s">
        <v>263</v>
      </c>
      <c r="D3265" t="s">
        <v>133</v>
      </c>
      <c r="E3265" t="s">
        <v>133</v>
      </c>
      <c r="F3265" s="2">
        <v>1539</v>
      </c>
      <c r="G3265" s="2">
        <v>2</v>
      </c>
      <c r="H3265" t="s">
        <v>526</v>
      </c>
      <c r="I3265" t="s">
        <v>136</v>
      </c>
      <c r="J3265" s="11">
        <v>1607.4550232146685</v>
      </c>
      <c r="K3265" t="str">
        <f t="shared" si="110"/>
        <v>John Reed</v>
      </c>
    </row>
    <row r="3266" spans="1:11" hidden="1" x14ac:dyDescent="0.35">
      <c r="A3266">
        <f t="shared" si="111"/>
        <v>3265</v>
      </c>
      <c r="B3266">
        <v>2020</v>
      </c>
      <c r="C3266" t="s">
        <v>263</v>
      </c>
      <c r="D3266" t="s">
        <v>133</v>
      </c>
      <c r="E3266" t="s">
        <v>133</v>
      </c>
      <c r="F3266" s="2">
        <v>1215</v>
      </c>
      <c r="G3266" s="2">
        <v>3</v>
      </c>
      <c r="H3266" t="s">
        <v>477</v>
      </c>
      <c r="I3266" t="s">
        <v>136</v>
      </c>
      <c r="J3266" s="11">
        <v>1431.3637641589874</v>
      </c>
      <c r="K3266" t="str">
        <f t="shared" ref="K3266:K3329" si="112">I3266&amp;" "&amp;H3266</f>
        <v>John Lloyd</v>
      </c>
    </row>
    <row r="3267" spans="1:11" hidden="1" x14ac:dyDescent="0.35">
      <c r="A3267">
        <f t="shared" si="111"/>
        <v>3266</v>
      </c>
      <c r="B3267">
        <v>2020</v>
      </c>
      <c r="C3267" t="s">
        <v>263</v>
      </c>
      <c r="D3267" t="s">
        <v>133</v>
      </c>
      <c r="E3267" t="s">
        <v>133</v>
      </c>
      <c r="F3267" s="2">
        <v>972</v>
      </c>
      <c r="G3267" s="2">
        <v>4</v>
      </c>
      <c r="H3267" t="s">
        <v>99</v>
      </c>
      <c r="I3267" t="s">
        <v>2500</v>
      </c>
      <c r="J3267" s="11">
        <v>1306.4250275506874</v>
      </c>
      <c r="K3267" t="str">
        <f t="shared" si="112"/>
        <v>Bex Kerl</v>
      </c>
    </row>
    <row r="3268" spans="1:11" hidden="1" x14ac:dyDescent="0.35">
      <c r="A3268">
        <f t="shared" si="111"/>
        <v>3267</v>
      </c>
      <c r="B3268">
        <v>2020</v>
      </c>
      <c r="C3268" t="s">
        <v>263</v>
      </c>
      <c r="D3268" t="s">
        <v>133</v>
      </c>
      <c r="E3268" t="s">
        <v>133</v>
      </c>
      <c r="F3268" s="2">
        <v>729</v>
      </c>
      <c r="G3268" s="2">
        <v>5</v>
      </c>
      <c r="H3268" t="s">
        <v>266</v>
      </c>
      <c r="I3268" t="s">
        <v>28</v>
      </c>
      <c r="J3268" s="11">
        <v>1209.5150145426308</v>
      </c>
      <c r="K3268" t="str">
        <f t="shared" si="112"/>
        <v>Chris Mecklin</v>
      </c>
    </row>
    <row r="3269" spans="1:11" hidden="1" x14ac:dyDescent="0.35">
      <c r="A3269">
        <f t="shared" si="111"/>
        <v>3268</v>
      </c>
      <c r="B3269">
        <v>2020</v>
      </c>
      <c r="C3269" t="s">
        <v>263</v>
      </c>
      <c r="D3269" t="s">
        <v>133</v>
      </c>
      <c r="E3269" t="s">
        <v>133</v>
      </c>
      <c r="F3269" s="2">
        <v>567</v>
      </c>
      <c r="G3269" s="2">
        <v>6</v>
      </c>
      <c r="H3269" t="s">
        <v>86</v>
      </c>
      <c r="I3269" t="s">
        <v>271</v>
      </c>
      <c r="J3269" s="11">
        <v>1130.3337684950061</v>
      </c>
      <c r="K3269" t="str">
        <f t="shared" si="112"/>
        <v>Dan Goldman</v>
      </c>
    </row>
    <row r="3270" spans="1:11" hidden="1" x14ac:dyDescent="0.35">
      <c r="A3270">
        <f t="shared" si="111"/>
        <v>3269</v>
      </c>
      <c r="B3270">
        <v>2020</v>
      </c>
      <c r="C3270" t="s">
        <v>263</v>
      </c>
      <c r="D3270" t="s">
        <v>133</v>
      </c>
      <c r="E3270" t="s">
        <v>133</v>
      </c>
      <c r="F3270" s="2">
        <v>405</v>
      </c>
      <c r="G3270" s="2">
        <v>7</v>
      </c>
      <c r="H3270" t="s">
        <v>396</v>
      </c>
      <c r="I3270" t="s">
        <v>397</v>
      </c>
      <c r="J3270" s="11">
        <v>1063.3869788643931</v>
      </c>
      <c r="K3270" t="str">
        <f t="shared" si="112"/>
        <v>Asya Kamsky</v>
      </c>
    </row>
    <row r="3271" spans="1:11" hidden="1" x14ac:dyDescent="0.35">
      <c r="A3271">
        <f t="shared" si="111"/>
        <v>3270</v>
      </c>
      <c r="B3271">
        <v>2020</v>
      </c>
      <c r="C3271" t="s">
        <v>263</v>
      </c>
      <c r="D3271" t="s">
        <v>133</v>
      </c>
      <c r="E3271" t="s">
        <v>133</v>
      </c>
      <c r="F3271" s="2">
        <v>243</v>
      </c>
      <c r="G3271" s="2">
        <v>8</v>
      </c>
      <c r="H3271" t="s">
        <v>86</v>
      </c>
      <c r="I3271" t="s">
        <v>510</v>
      </c>
      <c r="J3271" s="11">
        <v>1005.3950318867062</v>
      </c>
      <c r="K3271" t="str">
        <f t="shared" si="112"/>
        <v>Sharon Goldman</v>
      </c>
    </row>
    <row r="3272" spans="1:11" hidden="1" x14ac:dyDescent="0.35">
      <c r="A3272">
        <f t="shared" si="111"/>
        <v>3271</v>
      </c>
      <c r="B3272">
        <v>2020</v>
      </c>
      <c r="C3272" t="s">
        <v>263</v>
      </c>
      <c r="D3272" t="s">
        <v>133</v>
      </c>
      <c r="E3272" t="s">
        <v>133</v>
      </c>
      <c r="F3272" s="2">
        <v>162</v>
      </c>
      <c r="G3272" s="2">
        <v>9</v>
      </c>
      <c r="H3272" t="s">
        <v>19</v>
      </c>
      <c r="I3272" t="s">
        <v>20</v>
      </c>
      <c r="J3272" s="11">
        <v>954.24250943932486</v>
      </c>
      <c r="K3272" t="str">
        <f t="shared" si="112"/>
        <v>Barry Kornspan</v>
      </c>
    </row>
    <row r="3273" spans="1:11" hidden="1" x14ac:dyDescent="0.35">
      <c r="A3273">
        <f t="shared" si="111"/>
        <v>3272</v>
      </c>
      <c r="B3273">
        <v>2020</v>
      </c>
      <c r="C3273" t="s">
        <v>263</v>
      </c>
      <c r="D3273" t="s">
        <v>133</v>
      </c>
      <c r="E3273" t="s">
        <v>133</v>
      </c>
      <c r="F3273" s="2">
        <v>162</v>
      </c>
      <c r="G3273" s="2">
        <v>10</v>
      </c>
      <c r="H3273" t="s">
        <v>1504</v>
      </c>
      <c r="I3273" t="s">
        <v>85</v>
      </c>
      <c r="J3273" s="11">
        <v>908.48501887864973</v>
      </c>
      <c r="K3273" t="str">
        <f t="shared" si="112"/>
        <v>Patrick Milligan</v>
      </c>
    </row>
    <row r="3274" spans="1:11" hidden="1" x14ac:dyDescent="0.35">
      <c r="A3274">
        <f t="shared" si="111"/>
        <v>3273</v>
      </c>
      <c r="B3274">
        <v>2020</v>
      </c>
      <c r="C3274" t="s">
        <v>263</v>
      </c>
      <c r="D3274" t="s">
        <v>110</v>
      </c>
      <c r="E3274" t="s">
        <v>1430</v>
      </c>
      <c r="F3274" s="2">
        <v>2772</v>
      </c>
      <c r="G3274" s="2">
        <v>1</v>
      </c>
      <c r="H3274" t="s">
        <v>23</v>
      </c>
      <c r="I3274" t="s">
        <v>13</v>
      </c>
      <c r="J3274" s="11">
        <v>1949.3900066449128</v>
      </c>
      <c r="K3274" t="str">
        <f t="shared" si="112"/>
        <v>Tom Hummel</v>
      </c>
    </row>
    <row r="3275" spans="1:11" x14ac:dyDescent="0.35">
      <c r="A3275">
        <f t="shared" si="111"/>
        <v>3274</v>
      </c>
      <c r="B3275">
        <v>2020</v>
      </c>
      <c r="C3275" t="s">
        <v>263</v>
      </c>
      <c r="D3275" t="s">
        <v>110</v>
      </c>
      <c r="E3275" t="s">
        <v>1430</v>
      </c>
      <c r="F3275" s="2">
        <v>2026</v>
      </c>
      <c r="G3275" s="2">
        <v>2</v>
      </c>
      <c r="H3275" t="s">
        <v>313</v>
      </c>
      <c r="I3275" t="s">
        <v>314</v>
      </c>
      <c r="J3275" s="11">
        <v>1648.3600109809315</v>
      </c>
      <c r="K3275" t="str">
        <f t="shared" si="112"/>
        <v>Gerald Petersen</v>
      </c>
    </row>
    <row r="3276" spans="1:11" hidden="1" x14ac:dyDescent="0.35">
      <c r="A3276">
        <f t="shared" si="111"/>
        <v>3275</v>
      </c>
      <c r="B3276">
        <v>2020</v>
      </c>
      <c r="C3276" t="s">
        <v>263</v>
      </c>
      <c r="D3276" t="s">
        <v>110</v>
      </c>
      <c r="E3276" t="s">
        <v>1430</v>
      </c>
      <c r="F3276" s="2">
        <v>1599</v>
      </c>
      <c r="G3276" s="2">
        <v>3</v>
      </c>
      <c r="H3276" t="s">
        <v>74</v>
      </c>
      <c r="I3276" t="s">
        <v>75</v>
      </c>
      <c r="J3276" s="11">
        <v>1472.2687519252504</v>
      </c>
      <c r="K3276" t="str">
        <f t="shared" si="112"/>
        <v>Sabyl Landrum</v>
      </c>
    </row>
    <row r="3277" spans="1:11" hidden="1" x14ac:dyDescent="0.35">
      <c r="A3277">
        <f t="shared" si="111"/>
        <v>3276</v>
      </c>
      <c r="B3277">
        <v>2020</v>
      </c>
      <c r="C3277" t="s">
        <v>263</v>
      </c>
      <c r="D3277" t="s">
        <v>110</v>
      </c>
      <c r="E3277" t="s">
        <v>1430</v>
      </c>
      <c r="F3277" s="2">
        <v>1279</v>
      </c>
      <c r="G3277" s="2">
        <v>4</v>
      </c>
      <c r="H3277" t="s">
        <v>72</v>
      </c>
      <c r="I3277" t="s">
        <v>73</v>
      </c>
      <c r="J3277" s="11">
        <v>1347.3300153169503</v>
      </c>
      <c r="K3277" t="str">
        <f t="shared" si="112"/>
        <v>Corey Imsdahl</v>
      </c>
    </row>
    <row r="3278" spans="1:11" hidden="1" x14ac:dyDescent="0.35">
      <c r="A3278">
        <f t="shared" si="111"/>
        <v>3277</v>
      </c>
      <c r="B3278">
        <v>2020</v>
      </c>
      <c r="C3278" t="s">
        <v>263</v>
      </c>
      <c r="D3278" t="s">
        <v>110</v>
      </c>
      <c r="E3278" t="s">
        <v>1430</v>
      </c>
      <c r="F3278" s="2">
        <v>959</v>
      </c>
      <c r="G3278" s="2">
        <v>5</v>
      </c>
      <c r="H3278" t="s">
        <v>86</v>
      </c>
      <c r="I3278" t="s">
        <v>271</v>
      </c>
      <c r="J3278" s="11">
        <v>1250.420002308894</v>
      </c>
      <c r="K3278" t="str">
        <f t="shared" si="112"/>
        <v>Dan Goldman</v>
      </c>
    </row>
    <row r="3279" spans="1:11" hidden="1" x14ac:dyDescent="0.35">
      <c r="A3279">
        <f t="shared" si="111"/>
        <v>3278</v>
      </c>
      <c r="B3279">
        <v>2020</v>
      </c>
      <c r="C3279" t="s">
        <v>263</v>
      </c>
      <c r="D3279" t="s">
        <v>110</v>
      </c>
      <c r="E3279" t="s">
        <v>1430</v>
      </c>
      <c r="F3279" s="2">
        <v>746</v>
      </c>
      <c r="G3279" s="2">
        <v>6</v>
      </c>
      <c r="H3279" t="s">
        <v>525</v>
      </c>
      <c r="I3279" t="s">
        <v>58</v>
      </c>
      <c r="J3279" s="11">
        <v>1171.2387562612691</v>
      </c>
      <c r="K3279" t="str">
        <f t="shared" si="112"/>
        <v>Jim Anderson</v>
      </c>
    </row>
    <row r="3280" spans="1:11" hidden="1" x14ac:dyDescent="0.35">
      <c r="A3280">
        <f t="shared" si="111"/>
        <v>3279</v>
      </c>
      <c r="B3280">
        <v>2020</v>
      </c>
      <c r="C3280" t="s">
        <v>263</v>
      </c>
      <c r="D3280" t="s">
        <v>110</v>
      </c>
      <c r="E3280" t="s">
        <v>1430</v>
      </c>
      <c r="F3280" s="2">
        <v>533</v>
      </c>
      <c r="G3280" s="2">
        <v>7</v>
      </c>
      <c r="H3280" t="s">
        <v>88</v>
      </c>
      <c r="I3280" t="s">
        <v>89</v>
      </c>
      <c r="J3280" s="11">
        <v>1104.2919666306559</v>
      </c>
      <c r="K3280" t="str">
        <f t="shared" si="112"/>
        <v>Ken Kubey</v>
      </c>
    </row>
    <row r="3281" spans="1:11" hidden="1" x14ac:dyDescent="0.35">
      <c r="A3281">
        <f t="shared" si="111"/>
        <v>3280</v>
      </c>
      <c r="B3281">
        <v>2020</v>
      </c>
      <c r="C3281" t="s">
        <v>263</v>
      </c>
      <c r="D3281" t="s">
        <v>110</v>
      </c>
      <c r="E3281" t="s">
        <v>1430</v>
      </c>
      <c r="F3281" s="2">
        <v>320</v>
      </c>
      <c r="G3281" s="2">
        <v>8</v>
      </c>
      <c r="H3281" t="s">
        <v>251</v>
      </c>
      <c r="I3281" t="s">
        <v>252</v>
      </c>
      <c r="J3281" s="11">
        <v>1046.3000196529692</v>
      </c>
      <c r="K3281" t="str">
        <f t="shared" si="112"/>
        <v>Linda Lewis</v>
      </c>
    </row>
    <row r="3282" spans="1:11" hidden="1" x14ac:dyDescent="0.35">
      <c r="A3282">
        <f t="shared" si="111"/>
        <v>3281</v>
      </c>
      <c r="B3282">
        <v>2020</v>
      </c>
      <c r="C3282" t="s">
        <v>263</v>
      </c>
      <c r="D3282" t="s">
        <v>110</v>
      </c>
      <c r="E3282" t="s">
        <v>1430</v>
      </c>
      <c r="F3282" s="2">
        <v>213</v>
      </c>
      <c r="G3282" s="2">
        <v>9</v>
      </c>
      <c r="H3282" t="s">
        <v>2539</v>
      </c>
      <c r="I3282" t="s">
        <v>28</v>
      </c>
      <c r="J3282" s="11">
        <v>995.14749720558791</v>
      </c>
      <c r="K3282" t="str">
        <f t="shared" si="112"/>
        <v>Chris O’Connor</v>
      </c>
    </row>
    <row r="3283" spans="1:11" hidden="1" x14ac:dyDescent="0.35">
      <c r="A3283">
        <f t="shared" si="111"/>
        <v>3282</v>
      </c>
      <c r="B3283">
        <v>2020</v>
      </c>
      <c r="C3283" t="s">
        <v>263</v>
      </c>
      <c r="D3283" t="s">
        <v>110</v>
      </c>
      <c r="E3283" t="s">
        <v>1430</v>
      </c>
      <c r="F3283" s="2">
        <v>213</v>
      </c>
      <c r="G3283" s="2">
        <v>10</v>
      </c>
      <c r="H3283" t="s">
        <v>70</v>
      </c>
      <c r="I3283" t="s">
        <v>71</v>
      </c>
      <c r="J3283" s="11">
        <v>949.39000664491277</v>
      </c>
      <c r="K3283" t="str">
        <f t="shared" si="112"/>
        <v>Scott Byron</v>
      </c>
    </row>
    <row r="3284" spans="1:11" hidden="1" x14ac:dyDescent="0.35">
      <c r="A3284">
        <f t="shared" si="111"/>
        <v>3283</v>
      </c>
      <c r="B3284">
        <v>2020</v>
      </c>
      <c r="C3284" t="s">
        <v>263</v>
      </c>
      <c r="D3284" t="s">
        <v>2516</v>
      </c>
      <c r="E3284" t="s">
        <v>1430</v>
      </c>
      <c r="F3284" s="2">
        <v>1290</v>
      </c>
      <c r="G3284" s="2">
        <v>1</v>
      </c>
      <c r="H3284" t="s">
        <v>714</v>
      </c>
      <c r="I3284" t="s">
        <v>528</v>
      </c>
      <c r="J3284" s="11">
        <v>1929.4189257142925</v>
      </c>
      <c r="K3284" t="str">
        <f t="shared" si="112"/>
        <v>Tim Showalter</v>
      </c>
    </row>
    <row r="3285" spans="1:11" hidden="1" x14ac:dyDescent="0.35">
      <c r="A3285">
        <f t="shared" si="111"/>
        <v>3284</v>
      </c>
      <c r="B3285">
        <v>2020</v>
      </c>
      <c r="C3285" t="s">
        <v>263</v>
      </c>
      <c r="D3285" t="s">
        <v>2516</v>
      </c>
      <c r="E3285" t="s">
        <v>1430</v>
      </c>
      <c r="F3285" s="2">
        <v>943</v>
      </c>
      <c r="G3285" s="2">
        <v>2</v>
      </c>
      <c r="H3285" t="s">
        <v>1460</v>
      </c>
      <c r="I3285" t="s">
        <v>1461</v>
      </c>
      <c r="J3285" s="11">
        <v>1628.3889300503113</v>
      </c>
      <c r="K3285" t="str">
        <f t="shared" si="112"/>
        <v>Andreas Wolfram</v>
      </c>
    </row>
    <row r="3286" spans="1:11" hidden="1" x14ac:dyDescent="0.35">
      <c r="A3286">
        <f t="shared" si="111"/>
        <v>3285</v>
      </c>
      <c r="B3286">
        <v>2020</v>
      </c>
      <c r="C3286" t="s">
        <v>263</v>
      </c>
      <c r="D3286" t="s">
        <v>2516</v>
      </c>
      <c r="E3286" t="s">
        <v>1430</v>
      </c>
      <c r="F3286" s="2">
        <v>744</v>
      </c>
      <c r="G3286" s="2">
        <v>3</v>
      </c>
      <c r="H3286" t="s">
        <v>1111</v>
      </c>
      <c r="I3286" t="s">
        <v>1112</v>
      </c>
      <c r="J3286" s="11">
        <v>1452.2976709946302</v>
      </c>
      <c r="K3286" t="str">
        <f t="shared" si="112"/>
        <v>Oliver Juang</v>
      </c>
    </row>
    <row r="3287" spans="1:11" hidden="1" x14ac:dyDescent="0.35">
      <c r="A3287">
        <f t="shared" si="111"/>
        <v>3286</v>
      </c>
      <c r="B3287">
        <v>2020</v>
      </c>
      <c r="C3287" t="s">
        <v>263</v>
      </c>
      <c r="D3287" t="s">
        <v>2516</v>
      </c>
      <c r="E3287" t="s">
        <v>1430</v>
      </c>
      <c r="F3287" s="2">
        <v>595</v>
      </c>
      <c r="G3287" s="2">
        <v>4</v>
      </c>
      <c r="H3287" t="s">
        <v>883</v>
      </c>
      <c r="I3287" t="s">
        <v>884</v>
      </c>
      <c r="J3287" s="11">
        <v>1327.3589343863302</v>
      </c>
      <c r="K3287" t="str">
        <f t="shared" si="112"/>
        <v>Salim Valimahomed</v>
      </c>
    </row>
    <row r="3288" spans="1:11" hidden="1" x14ac:dyDescent="0.35">
      <c r="A3288">
        <f t="shared" si="111"/>
        <v>3287</v>
      </c>
      <c r="B3288">
        <v>2020</v>
      </c>
      <c r="C3288" t="s">
        <v>263</v>
      </c>
      <c r="D3288" t="s">
        <v>2516</v>
      </c>
      <c r="E3288" t="s">
        <v>1430</v>
      </c>
      <c r="F3288" s="2">
        <v>446</v>
      </c>
      <c r="G3288" s="2">
        <v>5</v>
      </c>
      <c r="H3288" t="s">
        <v>217</v>
      </c>
      <c r="I3288" t="s">
        <v>218</v>
      </c>
      <c r="J3288" s="11">
        <v>1230.4489213782736</v>
      </c>
      <c r="K3288" t="str">
        <f t="shared" si="112"/>
        <v>Michael Patterson</v>
      </c>
    </row>
    <row r="3289" spans="1:11" hidden="1" x14ac:dyDescent="0.35">
      <c r="A3289">
        <f t="shared" si="111"/>
        <v>3288</v>
      </c>
      <c r="B3289">
        <v>2020</v>
      </c>
      <c r="C3289" t="s">
        <v>263</v>
      </c>
      <c r="D3289" t="s">
        <v>2516</v>
      </c>
      <c r="E3289" t="s">
        <v>1430</v>
      </c>
      <c r="F3289" s="2">
        <v>357</v>
      </c>
      <c r="G3289" s="2">
        <v>6</v>
      </c>
      <c r="H3289" t="s">
        <v>204</v>
      </c>
      <c r="I3289" t="s">
        <v>205</v>
      </c>
      <c r="J3289" s="11">
        <v>1151.2676753306489</v>
      </c>
      <c r="K3289" t="str">
        <f t="shared" si="112"/>
        <v>Ron Grossberg</v>
      </c>
    </row>
    <row r="3290" spans="1:11" hidden="1" x14ac:dyDescent="0.35">
      <c r="A3290">
        <f t="shared" si="111"/>
        <v>3289</v>
      </c>
      <c r="B3290">
        <v>2020</v>
      </c>
      <c r="C3290" t="s">
        <v>263</v>
      </c>
      <c r="D3290" t="s">
        <v>2516</v>
      </c>
      <c r="E3290" t="s">
        <v>1430</v>
      </c>
      <c r="F3290" s="2">
        <v>248</v>
      </c>
      <c r="G3290" s="2">
        <v>7</v>
      </c>
      <c r="H3290" t="s">
        <v>277</v>
      </c>
      <c r="I3290" t="s">
        <v>16</v>
      </c>
      <c r="J3290" s="11">
        <v>1084.3208857000359</v>
      </c>
      <c r="K3290" t="str">
        <f t="shared" si="112"/>
        <v>David Lawful</v>
      </c>
    </row>
    <row r="3291" spans="1:11" hidden="1" x14ac:dyDescent="0.35">
      <c r="A3291">
        <f t="shared" si="111"/>
        <v>3290</v>
      </c>
      <c r="B3291">
        <v>2020</v>
      </c>
      <c r="C3291" t="s">
        <v>263</v>
      </c>
      <c r="D3291" t="s">
        <v>2516</v>
      </c>
      <c r="E3291" t="s">
        <v>1430</v>
      </c>
      <c r="F3291" s="2">
        <v>149</v>
      </c>
      <c r="G3291" s="2">
        <v>8</v>
      </c>
      <c r="H3291" t="s">
        <v>70</v>
      </c>
      <c r="I3291" t="s">
        <v>71</v>
      </c>
      <c r="J3291" s="11">
        <v>1026.328938722349</v>
      </c>
      <c r="K3291" t="str">
        <f t="shared" si="112"/>
        <v>Scott Byron</v>
      </c>
    </row>
    <row r="3292" spans="1:11" hidden="1" x14ac:dyDescent="0.35">
      <c r="A3292">
        <f t="shared" si="111"/>
        <v>3291</v>
      </c>
      <c r="B3292">
        <v>2020</v>
      </c>
      <c r="C3292" t="s">
        <v>263</v>
      </c>
      <c r="D3292" t="s">
        <v>2516</v>
      </c>
      <c r="E3292" t="s">
        <v>1430</v>
      </c>
      <c r="F3292" s="2">
        <v>99</v>
      </c>
      <c r="G3292" s="2">
        <v>9</v>
      </c>
      <c r="H3292" t="s">
        <v>86</v>
      </c>
      <c r="I3292" t="s">
        <v>271</v>
      </c>
      <c r="J3292" s="11">
        <v>975.17641627496778</v>
      </c>
      <c r="K3292" t="str">
        <f t="shared" si="112"/>
        <v>Dan Goldman</v>
      </c>
    </row>
    <row r="3293" spans="1:11" hidden="1" x14ac:dyDescent="0.35">
      <c r="A3293">
        <f t="shared" si="111"/>
        <v>3292</v>
      </c>
      <c r="B3293">
        <v>2020</v>
      </c>
      <c r="C3293" t="s">
        <v>263</v>
      </c>
      <c r="D3293" t="s">
        <v>2516</v>
      </c>
      <c r="E3293" t="s">
        <v>1430</v>
      </c>
      <c r="F3293" s="2">
        <v>99</v>
      </c>
      <c r="G3293" s="2">
        <v>10</v>
      </c>
      <c r="H3293" t="s">
        <v>100</v>
      </c>
      <c r="I3293" t="s">
        <v>52</v>
      </c>
      <c r="J3293" s="11">
        <v>929.41892571429264</v>
      </c>
      <c r="K3293" t="str">
        <f t="shared" si="112"/>
        <v>Steven Eisenstein</v>
      </c>
    </row>
    <row r="3294" spans="1:11" hidden="1" x14ac:dyDescent="0.35">
      <c r="A3294">
        <f t="shared" ref="A3294:A3357" si="113">A3293+1</f>
        <v>3293</v>
      </c>
      <c r="B3294">
        <v>2020</v>
      </c>
      <c r="C3294" t="s">
        <v>68</v>
      </c>
      <c r="D3294" t="s">
        <v>2505</v>
      </c>
      <c r="E3294" t="s">
        <v>1429</v>
      </c>
      <c r="F3294" s="2">
        <v>1372</v>
      </c>
      <c r="G3294" s="2">
        <v>1</v>
      </c>
      <c r="H3294" t="s">
        <v>525</v>
      </c>
      <c r="I3294" t="s">
        <v>2320</v>
      </c>
      <c r="J3294" s="11">
        <v>1732.3937598229686</v>
      </c>
      <c r="K3294" t="str">
        <f t="shared" si="112"/>
        <v>Jared Anderson</v>
      </c>
    </row>
    <row r="3295" spans="1:11" hidden="1" x14ac:dyDescent="0.35">
      <c r="A3295">
        <f t="shared" si="113"/>
        <v>3294</v>
      </c>
      <c r="B3295">
        <v>2020</v>
      </c>
      <c r="C3295" t="s">
        <v>68</v>
      </c>
      <c r="D3295" t="s">
        <v>2505</v>
      </c>
      <c r="E3295" t="s">
        <v>1429</v>
      </c>
      <c r="F3295" s="2">
        <v>1134</v>
      </c>
      <c r="G3295" s="2">
        <v>2</v>
      </c>
      <c r="H3295" t="s">
        <v>50</v>
      </c>
      <c r="I3295" t="s">
        <v>25</v>
      </c>
      <c r="J3295" s="11">
        <v>1431.3637641589874</v>
      </c>
      <c r="K3295" t="str">
        <f t="shared" si="112"/>
        <v>Russell Fox</v>
      </c>
    </row>
    <row r="3296" spans="1:11" hidden="1" x14ac:dyDescent="0.35">
      <c r="A3296">
        <f t="shared" si="113"/>
        <v>3295</v>
      </c>
      <c r="B3296">
        <v>2020</v>
      </c>
      <c r="C3296" t="s">
        <v>68</v>
      </c>
      <c r="D3296" t="s">
        <v>2505</v>
      </c>
      <c r="E3296" t="s">
        <v>1429</v>
      </c>
      <c r="F3296" s="2">
        <v>864</v>
      </c>
      <c r="G3296" s="2">
        <v>3</v>
      </c>
      <c r="H3296" t="s">
        <v>251</v>
      </c>
      <c r="I3296" t="s">
        <v>252</v>
      </c>
      <c r="J3296" s="11">
        <v>1255.2725051033062</v>
      </c>
      <c r="K3296" t="str">
        <f t="shared" si="112"/>
        <v>Linda Lewis</v>
      </c>
    </row>
    <row r="3297" spans="1:11" hidden="1" x14ac:dyDescent="0.35">
      <c r="A3297">
        <f t="shared" si="113"/>
        <v>3296</v>
      </c>
      <c r="B3297">
        <v>2020</v>
      </c>
      <c r="C3297" t="s">
        <v>68</v>
      </c>
      <c r="D3297" t="s">
        <v>2505</v>
      </c>
      <c r="E3297" t="s">
        <v>1429</v>
      </c>
      <c r="F3297" s="2">
        <v>702</v>
      </c>
      <c r="G3297" s="2">
        <v>4</v>
      </c>
      <c r="H3297" t="s">
        <v>294</v>
      </c>
      <c r="I3297" t="s">
        <v>16</v>
      </c>
      <c r="J3297" s="11">
        <v>1130.3337684950061</v>
      </c>
      <c r="K3297" t="str">
        <f t="shared" si="112"/>
        <v>David Low</v>
      </c>
    </row>
    <row r="3298" spans="1:11" hidden="1" x14ac:dyDescent="0.35">
      <c r="A3298">
        <f t="shared" si="113"/>
        <v>3297</v>
      </c>
      <c r="B3298">
        <v>2020</v>
      </c>
      <c r="C3298" t="s">
        <v>68</v>
      </c>
      <c r="D3298" t="s">
        <v>2505</v>
      </c>
      <c r="E3298" t="s">
        <v>1429</v>
      </c>
      <c r="F3298" s="2">
        <v>540</v>
      </c>
      <c r="G3298" s="2">
        <v>5</v>
      </c>
      <c r="H3298" t="s">
        <v>216</v>
      </c>
      <c r="I3298" t="s">
        <v>65</v>
      </c>
      <c r="J3298" s="11">
        <v>1033.4237554869499</v>
      </c>
      <c r="K3298" t="str">
        <f t="shared" si="112"/>
        <v>Steve Watanabe</v>
      </c>
    </row>
    <row r="3299" spans="1:11" hidden="1" x14ac:dyDescent="0.35">
      <c r="A3299">
        <f t="shared" si="113"/>
        <v>3298</v>
      </c>
      <c r="B3299">
        <v>2020</v>
      </c>
      <c r="C3299" t="s">
        <v>68</v>
      </c>
      <c r="D3299" t="s">
        <v>2505</v>
      </c>
      <c r="E3299" t="s">
        <v>1429</v>
      </c>
      <c r="F3299" s="2">
        <v>378</v>
      </c>
      <c r="G3299" s="2">
        <v>6</v>
      </c>
      <c r="H3299" t="s">
        <v>405</v>
      </c>
      <c r="I3299" t="s">
        <v>404</v>
      </c>
      <c r="J3299" s="11">
        <v>954.24250943932498</v>
      </c>
      <c r="K3299" t="str">
        <f t="shared" si="112"/>
        <v>George Wattman</v>
      </c>
    </row>
    <row r="3300" spans="1:11" hidden="1" x14ac:dyDescent="0.35">
      <c r="A3300">
        <f t="shared" si="113"/>
        <v>3299</v>
      </c>
      <c r="B3300">
        <v>2020</v>
      </c>
      <c r="C3300" t="s">
        <v>68</v>
      </c>
      <c r="D3300" t="s">
        <v>2505</v>
      </c>
      <c r="E3300" t="s">
        <v>1429</v>
      </c>
      <c r="F3300" s="2">
        <v>270</v>
      </c>
      <c r="G3300" s="2">
        <v>7</v>
      </c>
      <c r="H3300" t="s">
        <v>226</v>
      </c>
      <c r="I3300" t="s">
        <v>227</v>
      </c>
      <c r="J3300" s="11">
        <v>887.29571980871185</v>
      </c>
      <c r="K3300" t="str">
        <f t="shared" si="112"/>
        <v>Patti Beadles</v>
      </c>
    </row>
    <row r="3301" spans="1:11" hidden="1" x14ac:dyDescent="0.35">
      <c r="A3301">
        <f t="shared" si="113"/>
        <v>3300</v>
      </c>
      <c r="B3301">
        <v>2020</v>
      </c>
      <c r="C3301" t="s">
        <v>68</v>
      </c>
      <c r="D3301" t="s">
        <v>2505</v>
      </c>
      <c r="E3301" t="s">
        <v>1429</v>
      </c>
      <c r="F3301" s="2">
        <v>140</v>
      </c>
      <c r="G3301" s="2">
        <v>8</v>
      </c>
      <c r="H3301" t="s">
        <v>394</v>
      </c>
      <c r="I3301" t="s">
        <v>1516</v>
      </c>
      <c r="J3301" s="11">
        <v>829.30377283102507</v>
      </c>
      <c r="K3301" t="str">
        <f t="shared" si="112"/>
        <v>Lori Miller</v>
      </c>
    </row>
    <row r="3302" spans="1:11" hidden="1" x14ac:dyDescent="0.35">
      <c r="A3302">
        <f t="shared" si="113"/>
        <v>3301</v>
      </c>
      <c r="B3302">
        <v>2020</v>
      </c>
      <c r="C3302" t="s">
        <v>68</v>
      </c>
      <c r="D3302" t="s">
        <v>91</v>
      </c>
      <c r="E3302" t="s">
        <v>509</v>
      </c>
      <c r="F3302" s="2">
        <v>800</v>
      </c>
      <c r="G3302" s="2">
        <v>1</v>
      </c>
      <c r="H3302" t="s">
        <v>15</v>
      </c>
      <c r="I3302" t="s">
        <v>16</v>
      </c>
      <c r="J3302" s="11">
        <v>1690.1960800285137</v>
      </c>
      <c r="K3302" t="str">
        <f t="shared" si="112"/>
        <v>David Kluchman</v>
      </c>
    </row>
    <row r="3303" spans="1:11" hidden="1" x14ac:dyDescent="0.35">
      <c r="A3303">
        <f t="shared" si="113"/>
        <v>3302</v>
      </c>
      <c r="B3303">
        <v>2020</v>
      </c>
      <c r="C3303" t="s">
        <v>68</v>
      </c>
      <c r="D3303" t="s">
        <v>91</v>
      </c>
      <c r="E3303" t="s">
        <v>509</v>
      </c>
      <c r="F3303" s="2">
        <v>685</v>
      </c>
      <c r="G3303" s="2">
        <v>2</v>
      </c>
      <c r="H3303" t="s">
        <v>482</v>
      </c>
      <c r="I3303" t="s">
        <v>410</v>
      </c>
      <c r="J3303" s="11">
        <v>1389.1660843645325</v>
      </c>
      <c r="K3303" t="str">
        <f t="shared" si="112"/>
        <v>Larry Bierman</v>
      </c>
    </row>
    <row r="3304" spans="1:11" hidden="1" x14ac:dyDescent="0.35">
      <c r="A3304">
        <f t="shared" si="113"/>
        <v>3303</v>
      </c>
      <c r="B3304">
        <v>2020</v>
      </c>
      <c r="C3304" t="s">
        <v>68</v>
      </c>
      <c r="D3304" t="s">
        <v>91</v>
      </c>
      <c r="E3304" t="s">
        <v>509</v>
      </c>
      <c r="F3304" s="2">
        <v>684</v>
      </c>
      <c r="G3304" s="2">
        <v>3</v>
      </c>
      <c r="H3304" t="s">
        <v>80</v>
      </c>
      <c r="I3304" t="s">
        <v>82</v>
      </c>
      <c r="J3304" s="11">
        <v>1213.0748253088514</v>
      </c>
      <c r="K3304" t="str">
        <f t="shared" si="112"/>
        <v>Karen Adams</v>
      </c>
    </row>
    <row r="3305" spans="1:11" hidden="1" x14ac:dyDescent="0.35">
      <c r="A3305">
        <f t="shared" si="113"/>
        <v>3304</v>
      </c>
      <c r="B3305">
        <v>2020</v>
      </c>
      <c r="C3305" t="s">
        <v>68</v>
      </c>
      <c r="D3305" t="s">
        <v>91</v>
      </c>
      <c r="E3305" t="s">
        <v>509</v>
      </c>
      <c r="F3305" s="2">
        <v>426</v>
      </c>
      <c r="G3305" s="2">
        <v>4</v>
      </c>
      <c r="H3305" t="s">
        <v>383</v>
      </c>
      <c r="I3305" t="s">
        <v>384</v>
      </c>
      <c r="J3305" s="11">
        <v>1088.1360887005512</v>
      </c>
      <c r="K3305" t="str">
        <f t="shared" si="112"/>
        <v>Jeff Deitch</v>
      </c>
    </row>
    <row r="3306" spans="1:11" hidden="1" x14ac:dyDescent="0.35">
      <c r="A3306">
        <f t="shared" si="113"/>
        <v>3305</v>
      </c>
      <c r="B3306">
        <v>2020</v>
      </c>
      <c r="C3306" t="s">
        <v>68</v>
      </c>
      <c r="D3306" t="s">
        <v>91</v>
      </c>
      <c r="E3306" t="s">
        <v>509</v>
      </c>
      <c r="F3306" s="2">
        <v>323</v>
      </c>
      <c r="G3306" s="2">
        <v>5</v>
      </c>
      <c r="H3306" t="s">
        <v>396</v>
      </c>
      <c r="I3306" t="s">
        <v>397</v>
      </c>
      <c r="J3306" s="11">
        <v>991.22607569249476</v>
      </c>
      <c r="K3306" t="str">
        <f t="shared" si="112"/>
        <v>Asya Kamsky</v>
      </c>
    </row>
    <row r="3307" spans="1:11" hidden="1" x14ac:dyDescent="0.35">
      <c r="A3307">
        <f t="shared" si="113"/>
        <v>3306</v>
      </c>
      <c r="B3307">
        <v>2020</v>
      </c>
      <c r="C3307" t="s">
        <v>68</v>
      </c>
      <c r="D3307" t="s">
        <v>91</v>
      </c>
      <c r="E3307" t="s">
        <v>509</v>
      </c>
      <c r="F3307" s="2">
        <v>240</v>
      </c>
      <c r="G3307" s="2">
        <v>6</v>
      </c>
      <c r="H3307" t="s">
        <v>1504</v>
      </c>
      <c r="I3307" t="s">
        <v>1050</v>
      </c>
      <c r="J3307" s="11">
        <v>912.04482964486999</v>
      </c>
      <c r="K3307" t="str">
        <f t="shared" si="112"/>
        <v>Eileen Milligan</v>
      </c>
    </row>
    <row r="3308" spans="1:11" hidden="1" x14ac:dyDescent="0.35">
      <c r="A3308">
        <f t="shared" si="113"/>
        <v>3307</v>
      </c>
      <c r="B3308">
        <v>2020</v>
      </c>
      <c r="C3308" t="s">
        <v>68</v>
      </c>
      <c r="D3308" t="s">
        <v>91</v>
      </c>
      <c r="E3308" t="s">
        <v>509</v>
      </c>
      <c r="F3308" s="2">
        <v>172</v>
      </c>
      <c r="G3308" s="2">
        <v>7</v>
      </c>
      <c r="H3308" t="s">
        <v>80</v>
      </c>
      <c r="I3308" t="s">
        <v>81</v>
      </c>
      <c r="J3308" s="11">
        <v>845.09804001425687</v>
      </c>
      <c r="K3308" t="str">
        <f t="shared" si="112"/>
        <v>Don Adams</v>
      </c>
    </row>
    <row r="3309" spans="1:11" hidden="1" x14ac:dyDescent="0.35">
      <c r="A3309">
        <f t="shared" si="113"/>
        <v>3308</v>
      </c>
      <c r="B3309">
        <v>2020</v>
      </c>
      <c r="C3309" t="s">
        <v>68</v>
      </c>
      <c r="D3309" t="s">
        <v>91</v>
      </c>
      <c r="E3309" t="s">
        <v>509</v>
      </c>
      <c r="F3309" s="2">
        <v>100</v>
      </c>
      <c r="G3309" s="2">
        <v>8</v>
      </c>
      <c r="H3309" t="s">
        <v>15</v>
      </c>
      <c r="I3309" t="s">
        <v>28</v>
      </c>
      <c r="J3309" s="11">
        <v>787.10609303657009</v>
      </c>
      <c r="K3309" t="str">
        <f t="shared" si="112"/>
        <v>Chris Kluchman</v>
      </c>
    </row>
    <row r="3310" spans="1:11" hidden="1" x14ac:dyDescent="0.35">
      <c r="A3310">
        <f t="shared" si="113"/>
        <v>3309</v>
      </c>
      <c r="B3310">
        <v>2020</v>
      </c>
      <c r="C3310" t="s">
        <v>68</v>
      </c>
      <c r="D3310" t="s">
        <v>918</v>
      </c>
      <c r="E3310" t="s">
        <v>1430</v>
      </c>
      <c r="F3310" s="2">
        <v>1080</v>
      </c>
      <c r="G3310" s="2">
        <v>1</v>
      </c>
      <c r="H3310" t="s">
        <v>92</v>
      </c>
      <c r="I3310" t="s">
        <v>93</v>
      </c>
      <c r="J3310" s="11">
        <v>1763.4279935629374</v>
      </c>
      <c r="K3310" t="str">
        <f t="shared" si="112"/>
        <v>Kirk Oshiro</v>
      </c>
    </row>
    <row r="3311" spans="1:11" hidden="1" x14ac:dyDescent="0.35">
      <c r="A3311">
        <f t="shared" si="113"/>
        <v>3310</v>
      </c>
      <c r="B3311">
        <v>2020</v>
      </c>
      <c r="C3311" t="s">
        <v>68</v>
      </c>
      <c r="D3311" t="s">
        <v>918</v>
      </c>
      <c r="E3311" t="s">
        <v>1430</v>
      </c>
      <c r="F3311" s="2">
        <v>811</v>
      </c>
      <c r="G3311" s="2">
        <v>2</v>
      </c>
      <c r="H3311" t="s">
        <v>95</v>
      </c>
      <c r="I3311" t="s">
        <v>71</v>
      </c>
      <c r="J3311" s="11">
        <v>1462.3979978989562</v>
      </c>
      <c r="K3311" t="str">
        <f t="shared" si="112"/>
        <v>Scott Samarel</v>
      </c>
    </row>
    <row r="3312" spans="1:11" hidden="1" x14ac:dyDescent="0.35">
      <c r="A3312">
        <f t="shared" si="113"/>
        <v>3311</v>
      </c>
      <c r="B3312">
        <v>2020</v>
      </c>
      <c r="C3312" t="s">
        <v>68</v>
      </c>
      <c r="D3312" t="s">
        <v>918</v>
      </c>
      <c r="E3312" t="s">
        <v>1430</v>
      </c>
      <c r="F3312" s="2">
        <v>618</v>
      </c>
      <c r="G3312" s="2">
        <v>3</v>
      </c>
      <c r="H3312" t="s">
        <v>88</v>
      </c>
      <c r="I3312" t="s">
        <v>89</v>
      </c>
      <c r="J3312" s="11">
        <v>1286.3067388432748</v>
      </c>
      <c r="K3312" t="str">
        <f t="shared" si="112"/>
        <v>Ken Kubey</v>
      </c>
    </row>
    <row r="3313" spans="1:11" hidden="1" x14ac:dyDescent="0.35">
      <c r="A3313">
        <f t="shared" si="113"/>
        <v>3312</v>
      </c>
      <c r="B3313">
        <v>2020</v>
      </c>
      <c r="C3313" t="s">
        <v>68</v>
      </c>
      <c r="D3313" t="s">
        <v>918</v>
      </c>
      <c r="E3313" t="s">
        <v>1430</v>
      </c>
      <c r="F3313" s="2">
        <v>502</v>
      </c>
      <c r="G3313" s="2">
        <v>4</v>
      </c>
      <c r="H3313" t="s">
        <v>217</v>
      </c>
      <c r="I3313" t="s">
        <v>218</v>
      </c>
      <c r="J3313" s="11">
        <v>1161.3680022349749</v>
      </c>
      <c r="K3313" t="str">
        <f t="shared" si="112"/>
        <v>Michael Patterson</v>
      </c>
    </row>
    <row r="3314" spans="1:11" hidden="1" x14ac:dyDescent="0.35">
      <c r="A3314">
        <f t="shared" si="113"/>
        <v>3313</v>
      </c>
      <c r="B3314">
        <v>2020</v>
      </c>
      <c r="C3314" t="s">
        <v>68</v>
      </c>
      <c r="D3314" t="s">
        <v>918</v>
      </c>
      <c r="E3314" t="s">
        <v>1430</v>
      </c>
      <c r="F3314" s="2">
        <v>386</v>
      </c>
      <c r="G3314" s="2">
        <v>5</v>
      </c>
      <c r="H3314" t="s">
        <v>2398</v>
      </c>
      <c r="I3314" t="s">
        <v>1514</v>
      </c>
      <c r="J3314" s="11">
        <v>1064.4579892269187</v>
      </c>
      <c r="K3314" t="str">
        <f t="shared" si="112"/>
        <v>Melissa Robertson</v>
      </c>
    </row>
    <row r="3315" spans="1:11" hidden="1" x14ac:dyDescent="0.35">
      <c r="A3315">
        <f t="shared" si="113"/>
        <v>3314</v>
      </c>
      <c r="B3315">
        <v>2020</v>
      </c>
      <c r="C3315" t="s">
        <v>68</v>
      </c>
      <c r="D3315" t="s">
        <v>918</v>
      </c>
      <c r="E3315" t="s">
        <v>1430</v>
      </c>
      <c r="F3315" s="2">
        <v>270</v>
      </c>
      <c r="G3315" s="2">
        <v>6</v>
      </c>
      <c r="H3315" t="s">
        <v>248</v>
      </c>
      <c r="I3315" t="s">
        <v>249</v>
      </c>
      <c r="J3315" s="11">
        <v>985.2767431792937</v>
      </c>
      <c r="K3315" t="str">
        <f t="shared" si="112"/>
        <v>Ross Poppel</v>
      </c>
    </row>
    <row r="3316" spans="1:11" hidden="1" x14ac:dyDescent="0.35">
      <c r="A3316">
        <f t="shared" si="113"/>
        <v>3315</v>
      </c>
      <c r="B3316">
        <v>2020</v>
      </c>
      <c r="C3316" t="s">
        <v>68</v>
      </c>
      <c r="D3316" t="s">
        <v>918</v>
      </c>
      <c r="E3316" t="s">
        <v>1430</v>
      </c>
      <c r="F3316" s="2">
        <v>193</v>
      </c>
      <c r="G3316" s="2">
        <v>7</v>
      </c>
      <c r="H3316" t="s">
        <v>251</v>
      </c>
      <c r="I3316" t="s">
        <v>252</v>
      </c>
      <c r="J3316" s="11">
        <v>918.32995354868058</v>
      </c>
      <c r="K3316" t="str">
        <f t="shared" si="112"/>
        <v>Linda Lewis</v>
      </c>
    </row>
    <row r="3317" spans="1:11" hidden="1" x14ac:dyDescent="0.35">
      <c r="A3317">
        <f t="shared" si="113"/>
        <v>3316</v>
      </c>
      <c r="B3317">
        <v>2020</v>
      </c>
      <c r="C3317" t="s">
        <v>68</v>
      </c>
      <c r="D3317" t="s">
        <v>918</v>
      </c>
      <c r="E3317" t="s">
        <v>1430</v>
      </c>
      <c r="F3317" s="2">
        <v>100</v>
      </c>
      <c r="G3317" s="2">
        <v>8</v>
      </c>
      <c r="H3317" t="s">
        <v>16</v>
      </c>
      <c r="I3317" t="s">
        <v>59</v>
      </c>
      <c r="J3317" s="11">
        <v>860.3380065709938</v>
      </c>
      <c r="K3317" t="str">
        <f t="shared" si="112"/>
        <v>Jeanne David</v>
      </c>
    </row>
    <row r="3318" spans="1:11" hidden="1" x14ac:dyDescent="0.35">
      <c r="A3318">
        <f t="shared" si="113"/>
        <v>3317</v>
      </c>
      <c r="B3318">
        <v>2020</v>
      </c>
      <c r="C3318" t="s">
        <v>68</v>
      </c>
      <c r="D3318" t="s">
        <v>918</v>
      </c>
      <c r="E3318" t="s">
        <v>1430</v>
      </c>
      <c r="F3318" s="2">
        <v>100</v>
      </c>
      <c r="G3318" s="2">
        <v>8</v>
      </c>
      <c r="H3318" t="s">
        <v>275</v>
      </c>
      <c r="I3318" t="s">
        <v>463</v>
      </c>
      <c r="J3318" s="11">
        <v>860.3380065709938</v>
      </c>
      <c r="K3318" t="str">
        <f t="shared" si="112"/>
        <v>Richard Korbin</v>
      </c>
    </row>
    <row r="3319" spans="1:11" hidden="1" x14ac:dyDescent="0.35">
      <c r="A3319">
        <f t="shared" si="113"/>
        <v>3318</v>
      </c>
      <c r="B3319">
        <v>2020</v>
      </c>
      <c r="C3319" t="s">
        <v>68</v>
      </c>
      <c r="D3319" t="s">
        <v>2506</v>
      </c>
      <c r="E3319" t="s">
        <v>1432</v>
      </c>
      <c r="F3319" s="2">
        <v>654</v>
      </c>
      <c r="G3319" s="2">
        <v>1</v>
      </c>
      <c r="H3319" t="s">
        <v>15</v>
      </c>
      <c r="I3319" t="s">
        <v>28</v>
      </c>
      <c r="J3319" s="11">
        <v>1531.478917042255</v>
      </c>
      <c r="K3319" t="str">
        <f t="shared" si="112"/>
        <v>Chris Kluchman</v>
      </c>
    </row>
    <row r="3320" spans="1:11" hidden="1" x14ac:dyDescent="0.35">
      <c r="A3320">
        <f t="shared" si="113"/>
        <v>3319</v>
      </c>
      <c r="B3320">
        <v>2020</v>
      </c>
      <c r="C3320" t="s">
        <v>68</v>
      </c>
      <c r="D3320" t="s">
        <v>2506</v>
      </c>
      <c r="E3320" t="s">
        <v>1432</v>
      </c>
      <c r="F3320" s="2">
        <v>654</v>
      </c>
      <c r="G3320" s="2">
        <v>2</v>
      </c>
      <c r="H3320" t="s">
        <v>72</v>
      </c>
      <c r="I3320" t="s">
        <v>73</v>
      </c>
      <c r="J3320" s="11">
        <v>1230.4489213782738</v>
      </c>
      <c r="K3320" t="str">
        <f t="shared" si="112"/>
        <v>Corey Imsdahl</v>
      </c>
    </row>
    <row r="3321" spans="1:11" hidden="1" x14ac:dyDescent="0.35">
      <c r="A3321">
        <f t="shared" si="113"/>
        <v>3320</v>
      </c>
      <c r="B3321">
        <v>2020</v>
      </c>
      <c r="C3321" t="s">
        <v>68</v>
      </c>
      <c r="D3321" t="s">
        <v>2506</v>
      </c>
      <c r="E3321" t="s">
        <v>1432</v>
      </c>
      <c r="F3321" s="2">
        <v>371</v>
      </c>
      <c r="G3321" s="2">
        <v>3</v>
      </c>
      <c r="H3321" t="s">
        <v>277</v>
      </c>
      <c r="I3321" t="s">
        <v>16</v>
      </c>
      <c r="J3321" s="11">
        <v>1054.3576623225927</v>
      </c>
      <c r="K3321" t="str">
        <f t="shared" si="112"/>
        <v>David Lawful</v>
      </c>
    </row>
    <row r="3322" spans="1:11" hidden="1" x14ac:dyDescent="0.35">
      <c r="A3322">
        <f t="shared" si="113"/>
        <v>3321</v>
      </c>
      <c r="B3322">
        <v>2020</v>
      </c>
      <c r="C3322" t="s">
        <v>68</v>
      </c>
      <c r="D3322" t="s">
        <v>2506</v>
      </c>
      <c r="E3322" t="s">
        <v>1432</v>
      </c>
      <c r="F3322" s="2">
        <v>283</v>
      </c>
      <c r="G3322" s="2">
        <v>4</v>
      </c>
      <c r="H3322" t="s">
        <v>2313</v>
      </c>
      <c r="I3322" t="s">
        <v>1011</v>
      </c>
      <c r="J3322" s="11">
        <v>929.41892571429275</v>
      </c>
      <c r="K3322" t="str">
        <f t="shared" si="112"/>
        <v>Barbara Zangaro</v>
      </c>
    </row>
    <row r="3323" spans="1:11" hidden="1" x14ac:dyDescent="0.35">
      <c r="A3323">
        <f t="shared" si="113"/>
        <v>3322</v>
      </c>
      <c r="B3323">
        <v>2020</v>
      </c>
      <c r="C3323" t="s">
        <v>68</v>
      </c>
      <c r="D3323" t="s">
        <v>2506</v>
      </c>
      <c r="E3323" t="s">
        <v>1432</v>
      </c>
      <c r="F3323" s="2">
        <v>218</v>
      </c>
      <c r="G3323" s="2">
        <v>5</v>
      </c>
      <c r="H3323" t="s">
        <v>21</v>
      </c>
      <c r="I3323" t="s">
        <v>463</v>
      </c>
      <c r="J3323" s="11">
        <v>832.50891270623629</v>
      </c>
      <c r="K3323" t="str">
        <f t="shared" si="112"/>
        <v>Richard Bremer</v>
      </c>
    </row>
    <row r="3324" spans="1:11" hidden="1" x14ac:dyDescent="0.35">
      <c r="A3324">
        <f t="shared" si="113"/>
        <v>3323</v>
      </c>
      <c r="B3324">
        <v>2020</v>
      </c>
      <c r="C3324" t="s">
        <v>68</v>
      </c>
      <c r="D3324" t="s">
        <v>2506</v>
      </c>
      <c r="E3324" t="s">
        <v>1432</v>
      </c>
      <c r="F3324" s="2">
        <v>100</v>
      </c>
      <c r="G3324" s="2">
        <v>6</v>
      </c>
      <c r="H3324" t="s">
        <v>526</v>
      </c>
      <c r="I3324" t="s">
        <v>136</v>
      </c>
      <c r="J3324" s="11">
        <v>753.32766665861152</v>
      </c>
      <c r="K3324" t="str">
        <f t="shared" si="112"/>
        <v>John Reed</v>
      </c>
    </row>
    <row r="3325" spans="1:11" hidden="1" x14ac:dyDescent="0.35">
      <c r="A3325">
        <f t="shared" si="113"/>
        <v>3324</v>
      </c>
      <c r="B3325">
        <v>2020</v>
      </c>
      <c r="C3325" t="s">
        <v>68</v>
      </c>
      <c r="D3325" t="s">
        <v>2506</v>
      </c>
      <c r="E3325" t="s">
        <v>1432</v>
      </c>
      <c r="F3325" s="2">
        <v>100</v>
      </c>
      <c r="G3325" s="2">
        <v>7</v>
      </c>
      <c r="H3325" t="s">
        <v>16</v>
      </c>
      <c r="I3325" t="s">
        <v>59</v>
      </c>
      <c r="J3325" s="11">
        <v>686.38087702799828</v>
      </c>
      <c r="K3325" t="str">
        <f t="shared" si="112"/>
        <v>Jeanne David</v>
      </c>
    </row>
    <row r="3326" spans="1:11" hidden="1" x14ac:dyDescent="0.35">
      <c r="A3326">
        <f t="shared" si="113"/>
        <v>3325</v>
      </c>
      <c r="B3326">
        <v>2020</v>
      </c>
      <c r="C3326" t="s">
        <v>68</v>
      </c>
      <c r="D3326" t="s">
        <v>2499</v>
      </c>
      <c r="E3326" t="s">
        <v>133</v>
      </c>
      <c r="F3326" s="2">
        <v>756</v>
      </c>
      <c r="G3326" s="2">
        <v>1</v>
      </c>
      <c r="H3326" t="s">
        <v>99</v>
      </c>
      <c r="I3326" t="s">
        <v>2500</v>
      </c>
      <c r="J3326" s="11">
        <v>1491.3616938342727</v>
      </c>
      <c r="K3326" t="str">
        <f t="shared" si="112"/>
        <v>Bex Kerl</v>
      </c>
    </row>
    <row r="3327" spans="1:11" hidden="1" x14ac:dyDescent="0.35">
      <c r="A3327">
        <f t="shared" si="113"/>
        <v>3326</v>
      </c>
      <c r="B3327">
        <v>2020</v>
      </c>
      <c r="C3327" t="s">
        <v>68</v>
      </c>
      <c r="D3327" t="s">
        <v>2499</v>
      </c>
      <c r="E3327" t="s">
        <v>133</v>
      </c>
      <c r="F3327" s="2">
        <v>496</v>
      </c>
      <c r="G3327" s="2">
        <v>2</v>
      </c>
      <c r="H3327" t="s">
        <v>490</v>
      </c>
      <c r="I3327" t="s">
        <v>480</v>
      </c>
      <c r="J3327" s="11">
        <v>1190.3316981702915</v>
      </c>
      <c r="K3327" t="str">
        <f t="shared" si="112"/>
        <v>James Hammer</v>
      </c>
    </row>
    <row r="3328" spans="1:11" hidden="1" x14ac:dyDescent="0.35">
      <c r="A3328">
        <f t="shared" si="113"/>
        <v>3327</v>
      </c>
      <c r="B3328">
        <v>2020</v>
      </c>
      <c r="C3328" t="s">
        <v>68</v>
      </c>
      <c r="D3328" t="s">
        <v>2499</v>
      </c>
      <c r="E3328" t="s">
        <v>133</v>
      </c>
      <c r="F3328" s="2">
        <v>344</v>
      </c>
      <c r="G3328" s="2">
        <v>3</v>
      </c>
      <c r="H3328" t="s">
        <v>1460</v>
      </c>
      <c r="I3328" t="s">
        <v>1461</v>
      </c>
      <c r="J3328" s="11">
        <v>1014.2404391146102</v>
      </c>
      <c r="K3328" t="str">
        <f t="shared" si="112"/>
        <v>Andreas Wolfram</v>
      </c>
    </row>
    <row r="3329" spans="1:11" hidden="1" x14ac:dyDescent="0.35">
      <c r="A3329">
        <f t="shared" si="113"/>
        <v>3328</v>
      </c>
      <c r="B3329">
        <v>2020</v>
      </c>
      <c r="C3329" t="s">
        <v>68</v>
      </c>
      <c r="D3329" t="s">
        <v>2499</v>
      </c>
      <c r="E3329" t="s">
        <v>133</v>
      </c>
      <c r="F3329" s="2">
        <v>257</v>
      </c>
      <c r="G3329" s="2">
        <v>4</v>
      </c>
      <c r="H3329" t="s">
        <v>2398</v>
      </c>
      <c r="I3329" t="s">
        <v>1955</v>
      </c>
      <c r="J3329" s="11">
        <v>889.30170250631022</v>
      </c>
      <c r="K3329" t="str">
        <f t="shared" si="112"/>
        <v>Nancy Robertson</v>
      </c>
    </row>
    <row r="3330" spans="1:11" hidden="1" x14ac:dyDescent="0.35">
      <c r="A3330">
        <f t="shared" si="113"/>
        <v>3329</v>
      </c>
      <c r="B3330">
        <v>2020</v>
      </c>
      <c r="C3330" t="s">
        <v>68</v>
      </c>
      <c r="D3330" t="s">
        <v>2499</v>
      </c>
      <c r="E3330" t="s">
        <v>133</v>
      </c>
      <c r="F3330" s="2">
        <v>192</v>
      </c>
      <c r="G3330" s="2">
        <v>5</v>
      </c>
      <c r="H3330" t="s">
        <v>1519</v>
      </c>
      <c r="I3330" t="s">
        <v>153</v>
      </c>
      <c r="J3330" s="11">
        <v>792.39168949825375</v>
      </c>
      <c r="K3330" t="str">
        <f t="shared" ref="K3330:K3393" si="114">I3330&amp;" "&amp;H3330</f>
        <v>Stephen Blackstock</v>
      </c>
    </row>
    <row r="3331" spans="1:11" hidden="1" x14ac:dyDescent="0.35">
      <c r="A3331">
        <f t="shared" si="113"/>
        <v>3330</v>
      </c>
      <c r="B3331">
        <v>2020</v>
      </c>
      <c r="C3331" t="s">
        <v>68</v>
      </c>
      <c r="D3331" t="s">
        <v>2499</v>
      </c>
      <c r="E3331" t="s">
        <v>133</v>
      </c>
      <c r="F3331" s="2">
        <v>125</v>
      </c>
      <c r="G3331" s="2">
        <v>6</v>
      </c>
      <c r="H3331" t="s">
        <v>2502</v>
      </c>
      <c r="I3331" t="s">
        <v>1516</v>
      </c>
      <c r="J3331" s="11">
        <v>713.21044345062899</v>
      </c>
      <c r="K3331" t="str">
        <f t="shared" si="114"/>
        <v>Lori Hiltz</v>
      </c>
    </row>
    <row r="3332" spans="1:11" hidden="1" x14ac:dyDescent="0.35">
      <c r="A3332">
        <f t="shared" si="113"/>
        <v>3331</v>
      </c>
      <c r="B3332">
        <v>2020</v>
      </c>
      <c r="C3332" t="s">
        <v>8</v>
      </c>
      <c r="D3332" t="s">
        <v>2446</v>
      </c>
      <c r="E3332" t="s">
        <v>1429</v>
      </c>
      <c r="F3332" s="2">
        <v>460</v>
      </c>
      <c r="G3332" s="2">
        <v>1</v>
      </c>
      <c r="H3332" t="s">
        <v>2373</v>
      </c>
      <c r="I3332" t="s">
        <v>2374</v>
      </c>
      <c r="J3332" s="11">
        <v>1079.1812460476249</v>
      </c>
      <c r="K3332" t="str">
        <f t="shared" si="114"/>
        <v>Voltaire Ronquillo</v>
      </c>
    </row>
    <row r="3333" spans="1:11" hidden="1" x14ac:dyDescent="0.35">
      <c r="A3333">
        <f t="shared" si="113"/>
        <v>3332</v>
      </c>
      <c r="B3333">
        <v>2020</v>
      </c>
      <c r="C3333" t="s">
        <v>8</v>
      </c>
      <c r="D3333" t="s">
        <v>2446</v>
      </c>
      <c r="E3333" t="s">
        <v>1429</v>
      </c>
      <c r="F3333" s="2">
        <v>265</v>
      </c>
      <c r="G3333" s="2">
        <v>2</v>
      </c>
      <c r="H3333" t="s">
        <v>21</v>
      </c>
      <c r="I3333" t="s">
        <v>463</v>
      </c>
      <c r="J3333" s="11">
        <v>778.15125038364363</v>
      </c>
      <c r="K3333" t="str">
        <f t="shared" si="114"/>
        <v>Richard Bremer</v>
      </c>
    </row>
    <row r="3334" spans="1:11" hidden="1" x14ac:dyDescent="0.35">
      <c r="A3334">
        <f t="shared" si="113"/>
        <v>3333</v>
      </c>
      <c r="B3334">
        <v>2020</v>
      </c>
      <c r="C3334" t="s">
        <v>8</v>
      </c>
      <c r="D3334" t="s">
        <v>2446</v>
      </c>
      <c r="E3334" t="s">
        <v>1429</v>
      </c>
      <c r="F3334" s="2">
        <v>189</v>
      </c>
      <c r="G3334" s="2">
        <v>3</v>
      </c>
      <c r="H3334" t="s">
        <v>161</v>
      </c>
      <c r="I3334" t="s">
        <v>200</v>
      </c>
      <c r="J3334" s="11">
        <v>602.05999132796251</v>
      </c>
      <c r="K3334" t="str">
        <f t="shared" si="114"/>
        <v>Rick Becker</v>
      </c>
    </row>
    <row r="3335" spans="1:11" hidden="1" x14ac:dyDescent="0.35">
      <c r="A3335">
        <f t="shared" si="113"/>
        <v>3334</v>
      </c>
      <c r="B3335">
        <v>2020</v>
      </c>
      <c r="C3335" t="s">
        <v>8</v>
      </c>
      <c r="D3335" t="s">
        <v>2446</v>
      </c>
      <c r="E3335" t="s">
        <v>1429</v>
      </c>
      <c r="F3335" s="2">
        <v>189</v>
      </c>
      <c r="G3335" s="2">
        <v>3</v>
      </c>
      <c r="H3335" t="s">
        <v>177</v>
      </c>
      <c r="I3335" t="s">
        <v>178</v>
      </c>
      <c r="J3335" s="11">
        <v>602.05999132796251</v>
      </c>
      <c r="K3335" t="str">
        <f t="shared" si="114"/>
        <v>Carlos Lobato</v>
      </c>
    </row>
    <row r="3336" spans="1:11" hidden="1" x14ac:dyDescent="0.35">
      <c r="A3336">
        <f t="shared" si="113"/>
        <v>3335</v>
      </c>
      <c r="B3336">
        <v>2020</v>
      </c>
      <c r="C3336" t="s">
        <v>8</v>
      </c>
      <c r="D3336" t="s">
        <v>1429</v>
      </c>
      <c r="E3336" t="s">
        <v>1429</v>
      </c>
      <c r="F3336" s="2">
        <v>2049</v>
      </c>
      <c r="G3336" s="2">
        <v>1</v>
      </c>
      <c r="H3336" t="s">
        <v>21</v>
      </c>
      <c r="I3336" t="s">
        <v>463</v>
      </c>
      <c r="J3336" s="11">
        <v>1806.1799739838871</v>
      </c>
      <c r="K3336" t="str">
        <f t="shared" si="114"/>
        <v>Richard Bremer</v>
      </c>
    </row>
    <row r="3337" spans="1:11" hidden="1" x14ac:dyDescent="0.35">
      <c r="A3337">
        <f t="shared" si="113"/>
        <v>3336</v>
      </c>
      <c r="B3337">
        <v>2020</v>
      </c>
      <c r="C3337" t="s">
        <v>8</v>
      </c>
      <c r="D3337" t="s">
        <v>1429</v>
      </c>
      <c r="E3337" t="s">
        <v>1429</v>
      </c>
      <c r="F3337" s="2">
        <v>1117</v>
      </c>
      <c r="G3337" s="2">
        <v>2</v>
      </c>
      <c r="H3337" t="s">
        <v>15</v>
      </c>
      <c r="I3337" t="s">
        <v>28</v>
      </c>
      <c r="J3337" s="11">
        <v>1505.1499783199058</v>
      </c>
      <c r="K3337" t="str">
        <f t="shared" si="114"/>
        <v>Chris Kluchman</v>
      </c>
    </row>
    <row r="3338" spans="1:11" hidden="1" x14ac:dyDescent="0.35">
      <c r="A3338">
        <f t="shared" si="113"/>
        <v>3337</v>
      </c>
      <c r="B3338">
        <v>2020</v>
      </c>
      <c r="C3338" t="s">
        <v>8</v>
      </c>
      <c r="D3338" t="s">
        <v>1429</v>
      </c>
      <c r="E3338" t="s">
        <v>1429</v>
      </c>
      <c r="F3338" s="2">
        <v>807</v>
      </c>
      <c r="G3338" s="2">
        <v>3</v>
      </c>
      <c r="H3338" t="s">
        <v>130</v>
      </c>
      <c r="I3338" t="s">
        <v>131</v>
      </c>
      <c r="J3338" s="11">
        <v>1329.0587192642247</v>
      </c>
      <c r="K3338" t="str">
        <f t="shared" si="114"/>
        <v>Alan Stuart</v>
      </c>
    </row>
    <row r="3339" spans="1:11" hidden="1" x14ac:dyDescent="0.35">
      <c r="A3339">
        <f t="shared" si="113"/>
        <v>3338</v>
      </c>
      <c r="B3339">
        <v>2020</v>
      </c>
      <c r="C3339" t="s">
        <v>8</v>
      </c>
      <c r="D3339" t="s">
        <v>1429</v>
      </c>
      <c r="E3339" t="s">
        <v>1429</v>
      </c>
      <c r="F3339" s="2">
        <v>683</v>
      </c>
      <c r="G3339" s="2">
        <v>4</v>
      </c>
      <c r="H3339" t="s">
        <v>2496</v>
      </c>
      <c r="I3339" t="s">
        <v>2497</v>
      </c>
      <c r="J3339" s="11">
        <v>1204.1199826559246</v>
      </c>
      <c r="K3339" t="str">
        <f t="shared" si="114"/>
        <v>Duncan McCallum</v>
      </c>
    </row>
    <row r="3340" spans="1:11" hidden="1" x14ac:dyDescent="0.35">
      <c r="A3340">
        <f t="shared" si="113"/>
        <v>3339</v>
      </c>
      <c r="B3340">
        <v>2020</v>
      </c>
      <c r="C3340" t="s">
        <v>8</v>
      </c>
      <c r="D3340" t="s">
        <v>1429</v>
      </c>
      <c r="E3340" t="s">
        <v>1429</v>
      </c>
      <c r="F3340" s="2">
        <v>559</v>
      </c>
      <c r="G3340" s="2">
        <v>5</v>
      </c>
      <c r="H3340" t="s">
        <v>161</v>
      </c>
      <c r="I3340" t="s">
        <v>162</v>
      </c>
      <c r="J3340" s="11">
        <v>1107.2099696478683</v>
      </c>
      <c r="K3340" t="str">
        <f t="shared" si="114"/>
        <v>Tracy Becker</v>
      </c>
    </row>
    <row r="3341" spans="1:11" hidden="1" x14ac:dyDescent="0.35">
      <c r="A3341">
        <f t="shared" si="113"/>
        <v>3340</v>
      </c>
      <c r="B3341">
        <v>2020</v>
      </c>
      <c r="C3341" t="s">
        <v>8</v>
      </c>
      <c r="D3341" t="s">
        <v>1429</v>
      </c>
      <c r="E3341" t="s">
        <v>1429</v>
      </c>
      <c r="F3341" s="2">
        <v>435</v>
      </c>
      <c r="G3341" s="2">
        <v>6</v>
      </c>
      <c r="H3341" t="s">
        <v>33</v>
      </c>
      <c r="I3341" t="s">
        <v>34</v>
      </c>
      <c r="J3341" s="11">
        <v>1028.0287236002434</v>
      </c>
      <c r="K3341" t="str">
        <f t="shared" si="114"/>
        <v>Meredith Holtzman</v>
      </c>
    </row>
    <row r="3342" spans="1:11" hidden="1" x14ac:dyDescent="0.35">
      <c r="A3342">
        <f t="shared" si="113"/>
        <v>3341</v>
      </c>
      <c r="B3342">
        <v>2020</v>
      </c>
      <c r="C3342" t="s">
        <v>8</v>
      </c>
      <c r="D3342" t="s">
        <v>1429</v>
      </c>
      <c r="E3342" t="s">
        <v>1429</v>
      </c>
      <c r="F3342" s="2">
        <v>310</v>
      </c>
      <c r="G3342" s="2">
        <v>7</v>
      </c>
      <c r="H3342" t="s">
        <v>60</v>
      </c>
      <c r="I3342" t="s">
        <v>61</v>
      </c>
      <c r="J3342" s="11">
        <v>961.08193396963031</v>
      </c>
      <c r="K3342" t="str">
        <f t="shared" si="114"/>
        <v>Len Parness</v>
      </c>
    </row>
    <row r="3343" spans="1:11" hidden="1" x14ac:dyDescent="0.35">
      <c r="A3343">
        <f t="shared" si="113"/>
        <v>3342</v>
      </c>
      <c r="B3343">
        <v>2020</v>
      </c>
      <c r="C3343" t="s">
        <v>8</v>
      </c>
      <c r="D3343" t="s">
        <v>1429</v>
      </c>
      <c r="E3343" t="s">
        <v>1429</v>
      </c>
      <c r="F3343" s="2">
        <v>248</v>
      </c>
      <c r="G3343" s="2">
        <v>8</v>
      </c>
      <c r="H3343" t="s">
        <v>1437</v>
      </c>
      <c r="I3343" t="s">
        <v>44</v>
      </c>
      <c r="J3343" s="11">
        <v>903.08998699194353</v>
      </c>
      <c r="K3343" t="str">
        <f t="shared" si="114"/>
        <v>Mike Fujita</v>
      </c>
    </row>
    <row r="3344" spans="1:11" hidden="1" x14ac:dyDescent="0.35">
      <c r="A3344">
        <f t="shared" si="113"/>
        <v>3343</v>
      </c>
      <c r="B3344">
        <v>2020</v>
      </c>
      <c r="C3344" t="s">
        <v>8</v>
      </c>
      <c r="D3344" t="s">
        <v>24</v>
      </c>
      <c r="E3344" t="s">
        <v>1430</v>
      </c>
      <c r="F3344" s="2">
        <v>818</v>
      </c>
      <c r="G3344" s="2">
        <v>1</v>
      </c>
      <c r="H3344" t="s">
        <v>70</v>
      </c>
      <c r="I3344" t="s">
        <v>71</v>
      </c>
      <c r="J3344" s="11">
        <v>690.10562085580295</v>
      </c>
      <c r="K3344" t="str">
        <f t="shared" si="114"/>
        <v>Scott Byron</v>
      </c>
    </row>
    <row r="3345" spans="1:11" hidden="1" x14ac:dyDescent="0.35">
      <c r="A3345">
        <f t="shared" si="113"/>
        <v>3344</v>
      </c>
      <c r="B3345">
        <v>2020</v>
      </c>
      <c r="C3345" t="s">
        <v>8</v>
      </c>
      <c r="D3345" t="s">
        <v>24</v>
      </c>
      <c r="E3345" t="s">
        <v>1430</v>
      </c>
      <c r="F3345" s="2">
        <v>818</v>
      </c>
      <c r="G3345" s="2">
        <v>1</v>
      </c>
      <c r="H3345" t="s">
        <v>1075</v>
      </c>
      <c r="I3345" t="s">
        <v>942</v>
      </c>
      <c r="J3345" s="11">
        <v>690.10562085580295</v>
      </c>
      <c r="K3345" t="str">
        <f t="shared" si="114"/>
        <v>Jodi Shapiro</v>
      </c>
    </row>
    <row r="3346" spans="1:11" hidden="1" x14ac:dyDescent="0.35">
      <c r="A3346">
        <f t="shared" si="113"/>
        <v>3345</v>
      </c>
      <c r="B3346">
        <v>2020</v>
      </c>
      <c r="C3346" t="s">
        <v>8</v>
      </c>
      <c r="D3346" t="s">
        <v>24</v>
      </c>
      <c r="E3346" t="s">
        <v>1430</v>
      </c>
      <c r="F3346" s="2">
        <v>562</v>
      </c>
      <c r="G3346" s="2">
        <v>2</v>
      </c>
      <c r="H3346" t="s">
        <v>15</v>
      </c>
      <c r="I3346" t="s">
        <v>16</v>
      </c>
      <c r="J3346" s="11">
        <v>539.59062302381233</v>
      </c>
      <c r="K3346" t="str">
        <f t="shared" si="114"/>
        <v>David Kluchman</v>
      </c>
    </row>
    <row r="3347" spans="1:11" hidden="1" x14ac:dyDescent="0.35">
      <c r="A3347">
        <f t="shared" si="113"/>
        <v>3346</v>
      </c>
      <c r="B3347">
        <v>2020</v>
      </c>
      <c r="C3347" t="s">
        <v>8</v>
      </c>
      <c r="D3347" t="s">
        <v>24</v>
      </c>
      <c r="E3347" t="s">
        <v>1430</v>
      </c>
      <c r="F3347" s="2">
        <v>562</v>
      </c>
      <c r="G3347" s="2">
        <v>2</v>
      </c>
      <c r="H3347" t="s">
        <v>195</v>
      </c>
      <c r="I3347" t="s">
        <v>196</v>
      </c>
      <c r="J3347" s="11">
        <v>539.59062302381233</v>
      </c>
      <c r="K3347" t="str">
        <f t="shared" si="114"/>
        <v>Dave Tahajian</v>
      </c>
    </row>
    <row r="3348" spans="1:11" hidden="1" x14ac:dyDescent="0.35">
      <c r="A3348">
        <f t="shared" si="113"/>
        <v>3347</v>
      </c>
      <c r="B3348">
        <v>2020</v>
      </c>
      <c r="C3348" t="s">
        <v>8</v>
      </c>
      <c r="D3348" t="s">
        <v>24</v>
      </c>
      <c r="E3348" t="s">
        <v>1430</v>
      </c>
      <c r="F3348" s="2">
        <v>353</v>
      </c>
      <c r="G3348" s="2">
        <v>3</v>
      </c>
      <c r="H3348" t="s">
        <v>64</v>
      </c>
      <c r="I3348" t="s">
        <v>65</v>
      </c>
      <c r="J3348" s="11">
        <v>451.54499349597177</v>
      </c>
      <c r="K3348" t="str">
        <f t="shared" si="114"/>
        <v>Steve Daniel</v>
      </c>
    </row>
    <row r="3349" spans="1:11" hidden="1" x14ac:dyDescent="0.35">
      <c r="A3349">
        <f t="shared" si="113"/>
        <v>3348</v>
      </c>
      <c r="B3349">
        <v>2020</v>
      </c>
      <c r="C3349" t="s">
        <v>8</v>
      </c>
      <c r="D3349" t="s">
        <v>24</v>
      </c>
      <c r="E3349" t="s">
        <v>1430</v>
      </c>
      <c r="F3349" s="2">
        <v>353</v>
      </c>
      <c r="G3349" s="2">
        <v>3</v>
      </c>
      <c r="H3349" t="s">
        <v>351</v>
      </c>
      <c r="I3349" t="s">
        <v>153</v>
      </c>
      <c r="J3349" s="11">
        <v>451.54499349597177</v>
      </c>
      <c r="K3349" t="str">
        <f t="shared" si="114"/>
        <v>Stephen Lewin-Berlin</v>
      </c>
    </row>
    <row r="3350" spans="1:11" hidden="1" x14ac:dyDescent="0.35">
      <c r="A3350">
        <f t="shared" si="113"/>
        <v>3349</v>
      </c>
      <c r="B3350">
        <v>2020</v>
      </c>
      <c r="C3350" t="s">
        <v>8</v>
      </c>
      <c r="D3350" t="s">
        <v>24</v>
      </c>
      <c r="E3350" t="s">
        <v>1430</v>
      </c>
      <c r="F3350" s="2">
        <v>282</v>
      </c>
      <c r="G3350" s="2">
        <v>4</v>
      </c>
      <c r="H3350" t="s">
        <v>238</v>
      </c>
      <c r="I3350" t="s">
        <v>16</v>
      </c>
      <c r="J3350" s="11">
        <v>389.07562519182176</v>
      </c>
      <c r="K3350" t="str">
        <f t="shared" si="114"/>
        <v>David Kuznick</v>
      </c>
    </row>
    <row r="3351" spans="1:11" hidden="1" x14ac:dyDescent="0.35">
      <c r="A3351">
        <f t="shared" si="113"/>
        <v>3350</v>
      </c>
      <c r="B3351">
        <v>2020</v>
      </c>
      <c r="C3351" t="s">
        <v>8</v>
      </c>
      <c r="D3351" t="s">
        <v>24</v>
      </c>
      <c r="E3351" t="s">
        <v>1430</v>
      </c>
      <c r="F3351" s="2">
        <v>282</v>
      </c>
      <c r="G3351" s="2">
        <v>4</v>
      </c>
      <c r="H3351" t="s">
        <v>238</v>
      </c>
      <c r="I3351" t="s">
        <v>375</v>
      </c>
      <c r="J3351" s="11">
        <v>389.07562519182176</v>
      </c>
      <c r="K3351" t="str">
        <f t="shared" si="114"/>
        <v>Jessica Kuznick</v>
      </c>
    </row>
    <row r="3352" spans="1:11" hidden="1" x14ac:dyDescent="0.35">
      <c r="A3352">
        <f t="shared" si="113"/>
        <v>3351</v>
      </c>
      <c r="B3352">
        <v>2020</v>
      </c>
      <c r="C3352" t="s">
        <v>8</v>
      </c>
      <c r="D3352" t="s">
        <v>24</v>
      </c>
      <c r="E3352" t="s">
        <v>1430</v>
      </c>
      <c r="F3352" s="2">
        <v>213</v>
      </c>
      <c r="G3352" s="2">
        <v>5</v>
      </c>
      <c r="H3352" t="s">
        <v>472</v>
      </c>
      <c r="I3352" t="s">
        <v>473</v>
      </c>
      <c r="J3352" s="11">
        <v>340.62061868779352</v>
      </c>
      <c r="K3352" t="str">
        <f t="shared" si="114"/>
        <v>Noah Daiell</v>
      </c>
    </row>
    <row r="3353" spans="1:11" hidden="1" x14ac:dyDescent="0.35">
      <c r="A3353">
        <f t="shared" si="113"/>
        <v>3352</v>
      </c>
      <c r="B3353">
        <v>2020</v>
      </c>
      <c r="C3353" t="s">
        <v>8</v>
      </c>
      <c r="D3353" t="s">
        <v>24</v>
      </c>
      <c r="E3353" t="s">
        <v>1430</v>
      </c>
      <c r="F3353" s="2">
        <v>213</v>
      </c>
      <c r="G3353" s="2">
        <v>5</v>
      </c>
      <c r="H3353" t="s">
        <v>455</v>
      </c>
      <c r="I3353" t="s">
        <v>136</v>
      </c>
      <c r="J3353" s="11">
        <v>340.62061868779352</v>
      </c>
      <c r="K3353" t="str">
        <f t="shared" si="114"/>
        <v>John Segovia</v>
      </c>
    </row>
    <row r="3354" spans="1:11" hidden="1" x14ac:dyDescent="0.35">
      <c r="A3354">
        <f t="shared" si="113"/>
        <v>3353</v>
      </c>
      <c r="B3354">
        <v>2020</v>
      </c>
      <c r="C3354" t="s">
        <v>8</v>
      </c>
      <c r="D3354" t="s">
        <v>24</v>
      </c>
      <c r="E3354" t="s">
        <v>1430</v>
      </c>
      <c r="F3354" s="2">
        <v>100</v>
      </c>
      <c r="G3354" s="2">
        <v>6</v>
      </c>
      <c r="H3354" t="s">
        <v>43</v>
      </c>
      <c r="I3354" t="s">
        <v>218</v>
      </c>
      <c r="J3354" s="11">
        <v>301.02999566398114</v>
      </c>
      <c r="K3354" t="str">
        <f t="shared" si="114"/>
        <v>Michael Klein</v>
      </c>
    </row>
    <row r="3355" spans="1:11" hidden="1" x14ac:dyDescent="0.35">
      <c r="A3355">
        <f t="shared" si="113"/>
        <v>3354</v>
      </c>
      <c r="B3355">
        <v>2020</v>
      </c>
      <c r="C3355" t="s">
        <v>8</v>
      </c>
      <c r="D3355" t="s">
        <v>24</v>
      </c>
      <c r="E3355" t="s">
        <v>1430</v>
      </c>
      <c r="F3355" s="2">
        <v>100</v>
      </c>
      <c r="G3355" s="2">
        <v>6</v>
      </c>
      <c r="H3355" t="s">
        <v>130</v>
      </c>
      <c r="I3355" t="s">
        <v>131</v>
      </c>
      <c r="J3355" s="11">
        <v>301.02999566398114</v>
      </c>
      <c r="K3355" t="str">
        <f t="shared" si="114"/>
        <v>Alan Stuart</v>
      </c>
    </row>
    <row r="3356" spans="1:11" hidden="1" x14ac:dyDescent="0.35">
      <c r="A3356">
        <f t="shared" si="113"/>
        <v>3355</v>
      </c>
      <c r="B3356">
        <v>2020</v>
      </c>
      <c r="C3356" t="s">
        <v>8</v>
      </c>
      <c r="D3356" t="s">
        <v>2326</v>
      </c>
      <c r="E3356" t="s">
        <v>1430</v>
      </c>
      <c r="F3356" s="2">
        <v>1006</v>
      </c>
      <c r="G3356" s="2">
        <v>1</v>
      </c>
      <c r="H3356" t="s">
        <v>195</v>
      </c>
      <c r="I3356" t="s">
        <v>196</v>
      </c>
      <c r="J3356" s="11">
        <v>1544.0680443502756</v>
      </c>
      <c r="K3356" t="str">
        <f t="shared" si="114"/>
        <v>Dave Tahajian</v>
      </c>
    </row>
    <row r="3357" spans="1:11" hidden="1" x14ac:dyDescent="0.35">
      <c r="A3357">
        <f t="shared" si="113"/>
        <v>3356</v>
      </c>
      <c r="B3357">
        <v>2020</v>
      </c>
      <c r="C3357" t="s">
        <v>8</v>
      </c>
      <c r="D3357" t="s">
        <v>2326</v>
      </c>
      <c r="E3357" t="s">
        <v>1430</v>
      </c>
      <c r="F3357" s="2">
        <v>846</v>
      </c>
      <c r="G3357" s="2">
        <v>2</v>
      </c>
      <c r="H3357" t="s">
        <v>461</v>
      </c>
      <c r="I3357" t="s">
        <v>1448</v>
      </c>
      <c r="J3357" s="11">
        <v>1243.0380486862944</v>
      </c>
      <c r="K3357" t="str">
        <f t="shared" si="114"/>
        <v>Christian Jones</v>
      </c>
    </row>
    <row r="3358" spans="1:11" hidden="1" x14ac:dyDescent="0.35">
      <c r="A3358">
        <f t="shared" ref="A3358:A3421" si="115">A3357+1</f>
        <v>3357</v>
      </c>
      <c r="B3358">
        <v>2020</v>
      </c>
      <c r="C3358" t="s">
        <v>8</v>
      </c>
      <c r="D3358" t="s">
        <v>2326</v>
      </c>
      <c r="E3358" t="s">
        <v>1430</v>
      </c>
      <c r="F3358" s="2">
        <v>735</v>
      </c>
      <c r="G3358" s="2">
        <v>3</v>
      </c>
      <c r="H3358" t="s">
        <v>238</v>
      </c>
      <c r="I3358" t="s">
        <v>375</v>
      </c>
      <c r="J3358" s="11">
        <v>1066.9467896306132</v>
      </c>
      <c r="K3358" t="str">
        <f t="shared" si="114"/>
        <v>Jessica Kuznick</v>
      </c>
    </row>
    <row r="3359" spans="1:11" hidden="1" x14ac:dyDescent="0.35">
      <c r="A3359">
        <f t="shared" si="115"/>
        <v>3358</v>
      </c>
      <c r="B3359">
        <v>2020</v>
      </c>
      <c r="C3359" t="s">
        <v>8</v>
      </c>
      <c r="D3359" t="s">
        <v>2326</v>
      </c>
      <c r="E3359" t="s">
        <v>1430</v>
      </c>
      <c r="F3359" s="2">
        <v>708</v>
      </c>
      <c r="G3359" s="2">
        <v>4</v>
      </c>
      <c r="H3359" t="s">
        <v>1452</v>
      </c>
      <c r="I3359" t="s">
        <v>16</v>
      </c>
      <c r="J3359" s="11">
        <v>942.00805302231322</v>
      </c>
      <c r="K3359" t="str">
        <f t="shared" si="114"/>
        <v>David Torrente</v>
      </c>
    </row>
    <row r="3360" spans="1:11" hidden="1" x14ac:dyDescent="0.35">
      <c r="A3360">
        <f t="shared" si="115"/>
        <v>3359</v>
      </c>
      <c r="B3360">
        <v>2020</v>
      </c>
      <c r="C3360" t="s">
        <v>8</v>
      </c>
      <c r="D3360" t="s">
        <v>2326</v>
      </c>
      <c r="E3360" t="s">
        <v>1430</v>
      </c>
      <c r="F3360" s="2">
        <v>100</v>
      </c>
      <c r="G3360" s="2">
        <v>5</v>
      </c>
      <c r="H3360" t="s">
        <v>118</v>
      </c>
      <c r="I3360" t="s">
        <v>415</v>
      </c>
      <c r="J3360" s="11">
        <v>845.09804001425687</v>
      </c>
      <c r="K3360" t="str">
        <f t="shared" si="114"/>
        <v>Pete Segal</v>
      </c>
    </row>
    <row r="3361" spans="1:11" hidden="1" x14ac:dyDescent="0.35">
      <c r="A3361">
        <f t="shared" si="115"/>
        <v>3360</v>
      </c>
      <c r="B3361">
        <v>2021</v>
      </c>
      <c r="C3361" t="s">
        <v>263</v>
      </c>
      <c r="D3361" t="s">
        <v>2531</v>
      </c>
      <c r="E3361" t="s">
        <v>1430</v>
      </c>
      <c r="F3361" s="2">
        <v>1594</v>
      </c>
      <c r="G3361" s="2">
        <v>1</v>
      </c>
      <c r="H3361" t="s">
        <v>880</v>
      </c>
      <c r="I3361" t="s">
        <v>252</v>
      </c>
      <c r="J3361" s="11">
        <v>1763.4279935629374</v>
      </c>
      <c r="K3361" t="str">
        <f t="shared" si="114"/>
        <v>Linda Johnson</v>
      </c>
    </row>
    <row r="3362" spans="1:11" hidden="1" x14ac:dyDescent="0.35">
      <c r="A3362">
        <f t="shared" si="115"/>
        <v>3361</v>
      </c>
      <c r="B3362">
        <v>2021</v>
      </c>
      <c r="C3362" t="s">
        <v>263</v>
      </c>
      <c r="D3362" t="s">
        <v>2531</v>
      </c>
      <c r="E3362" t="s">
        <v>1430</v>
      </c>
      <c r="F3362" s="2">
        <v>1208</v>
      </c>
      <c r="G3362" s="2">
        <v>2</v>
      </c>
      <c r="H3362" t="s">
        <v>608</v>
      </c>
      <c r="I3362" t="s">
        <v>267</v>
      </c>
      <c r="J3362" s="11">
        <v>1462.3979978989562</v>
      </c>
      <c r="K3362" t="str">
        <f t="shared" si="114"/>
        <v>Christopher Kuntz</v>
      </c>
    </row>
    <row r="3363" spans="1:11" hidden="1" x14ac:dyDescent="0.35">
      <c r="A3363">
        <f t="shared" si="115"/>
        <v>3362</v>
      </c>
      <c r="B3363">
        <v>2021</v>
      </c>
      <c r="C3363" t="s">
        <v>263</v>
      </c>
      <c r="D3363" t="s">
        <v>2531</v>
      </c>
      <c r="E3363" t="s">
        <v>1430</v>
      </c>
      <c r="F3363" s="2">
        <v>928</v>
      </c>
      <c r="G3363" s="2">
        <v>3</v>
      </c>
      <c r="H3363" t="s">
        <v>2476</v>
      </c>
      <c r="I3363" t="s">
        <v>77</v>
      </c>
      <c r="J3363" s="11">
        <v>1286.3067388432748</v>
      </c>
      <c r="K3363" t="str">
        <f t="shared" si="114"/>
        <v>Eric Schneller</v>
      </c>
    </row>
    <row r="3364" spans="1:11" hidden="1" x14ac:dyDescent="0.35">
      <c r="A3364">
        <f t="shared" si="115"/>
        <v>3363</v>
      </c>
      <c r="B3364">
        <v>2021</v>
      </c>
      <c r="C3364" t="s">
        <v>263</v>
      </c>
      <c r="D3364" t="s">
        <v>2531</v>
      </c>
      <c r="E3364" t="s">
        <v>1430</v>
      </c>
      <c r="F3364" s="2">
        <v>754</v>
      </c>
      <c r="G3364" s="2">
        <v>4</v>
      </c>
      <c r="H3364" t="s">
        <v>461</v>
      </c>
      <c r="I3364" t="s">
        <v>2548</v>
      </c>
      <c r="J3364" s="11">
        <v>1161.3680022349749</v>
      </c>
      <c r="K3364" t="str">
        <f t="shared" si="114"/>
        <v>Holly Jones</v>
      </c>
    </row>
    <row r="3365" spans="1:11" hidden="1" x14ac:dyDescent="0.35">
      <c r="A3365">
        <f t="shared" si="115"/>
        <v>3364</v>
      </c>
      <c r="B3365">
        <v>2021</v>
      </c>
      <c r="C3365" t="s">
        <v>263</v>
      </c>
      <c r="D3365" t="s">
        <v>2531</v>
      </c>
      <c r="E3365" t="s">
        <v>1430</v>
      </c>
      <c r="F3365" s="2">
        <v>580</v>
      </c>
      <c r="G3365" s="2">
        <v>5</v>
      </c>
      <c r="H3365" t="s">
        <v>31</v>
      </c>
      <c r="I3365" t="s">
        <v>32</v>
      </c>
      <c r="J3365" s="11">
        <v>1064.4579892269187</v>
      </c>
      <c r="K3365" t="str">
        <f t="shared" si="114"/>
        <v>Caryl Aronson</v>
      </c>
    </row>
    <row r="3366" spans="1:11" hidden="1" x14ac:dyDescent="0.35">
      <c r="A3366">
        <f t="shared" si="115"/>
        <v>3365</v>
      </c>
      <c r="B3366">
        <v>2021</v>
      </c>
      <c r="C3366" t="s">
        <v>263</v>
      </c>
      <c r="D3366" t="s">
        <v>2531</v>
      </c>
      <c r="E3366" t="s">
        <v>1430</v>
      </c>
      <c r="F3366" s="2">
        <v>406</v>
      </c>
      <c r="G3366" s="2">
        <v>6</v>
      </c>
      <c r="H3366" t="s">
        <v>514</v>
      </c>
      <c r="I3366" t="s">
        <v>515</v>
      </c>
      <c r="J3366" s="11">
        <v>985.2767431792937</v>
      </c>
      <c r="K3366" t="str">
        <f t="shared" si="114"/>
        <v>Darlene Springman</v>
      </c>
    </row>
    <row r="3367" spans="1:11" hidden="1" x14ac:dyDescent="0.35">
      <c r="A3367">
        <f t="shared" si="115"/>
        <v>3366</v>
      </c>
      <c r="B3367">
        <v>2021</v>
      </c>
      <c r="C3367" t="s">
        <v>263</v>
      </c>
      <c r="D3367" t="s">
        <v>2531</v>
      </c>
      <c r="E3367" t="s">
        <v>1430</v>
      </c>
      <c r="F3367" s="2">
        <v>290</v>
      </c>
      <c r="G3367" s="2">
        <v>7</v>
      </c>
      <c r="H3367" t="s">
        <v>245</v>
      </c>
      <c r="I3367" t="s">
        <v>2550</v>
      </c>
      <c r="J3367" s="11">
        <v>918.32995354868058</v>
      </c>
      <c r="K3367" t="str">
        <f t="shared" si="114"/>
        <v>Cole Stewart</v>
      </c>
    </row>
    <row r="3368" spans="1:11" hidden="1" x14ac:dyDescent="0.35">
      <c r="A3368">
        <f t="shared" si="115"/>
        <v>3367</v>
      </c>
      <c r="B3368">
        <v>2021</v>
      </c>
      <c r="C3368" t="s">
        <v>263</v>
      </c>
      <c r="D3368" t="s">
        <v>2531</v>
      </c>
      <c r="E3368" t="s">
        <v>1430</v>
      </c>
      <c r="F3368" s="2">
        <v>40</v>
      </c>
      <c r="G3368" s="2">
        <v>8</v>
      </c>
      <c r="H3368" t="s">
        <v>95</v>
      </c>
      <c r="I3368" t="s">
        <v>71</v>
      </c>
      <c r="J3368" s="11">
        <v>860.3380065709938</v>
      </c>
      <c r="K3368" t="str">
        <f t="shared" si="114"/>
        <v>Scott Samarel</v>
      </c>
    </row>
    <row r="3369" spans="1:11" hidden="1" x14ac:dyDescent="0.35">
      <c r="A3369">
        <f t="shared" si="115"/>
        <v>3368</v>
      </c>
      <c r="B3369">
        <v>2021</v>
      </c>
      <c r="C3369" t="s">
        <v>263</v>
      </c>
      <c r="D3369" t="s">
        <v>2533</v>
      </c>
      <c r="E3369" t="s">
        <v>133</v>
      </c>
      <c r="F3369" s="2">
        <v>706</v>
      </c>
      <c r="G3369" s="2">
        <v>1</v>
      </c>
      <c r="H3369" t="s">
        <v>64</v>
      </c>
      <c r="I3369" t="s">
        <v>65</v>
      </c>
      <c r="J3369" s="11">
        <v>1322.2192947339192</v>
      </c>
      <c r="K3369" t="str">
        <f t="shared" si="114"/>
        <v>Steve Daniel</v>
      </c>
    </row>
    <row r="3370" spans="1:11" hidden="1" x14ac:dyDescent="0.35">
      <c r="A3370">
        <f t="shared" si="115"/>
        <v>3369</v>
      </c>
      <c r="B3370">
        <v>2021</v>
      </c>
      <c r="C3370" t="s">
        <v>263</v>
      </c>
      <c r="D3370" t="s">
        <v>2533</v>
      </c>
      <c r="E3370" t="s">
        <v>133</v>
      </c>
      <c r="F3370" s="2">
        <v>437</v>
      </c>
      <c r="G3370" s="2">
        <v>2</v>
      </c>
      <c r="H3370" t="s">
        <v>2365</v>
      </c>
      <c r="I3370" t="s">
        <v>2366</v>
      </c>
      <c r="J3370" s="11">
        <v>1021.1892990699381</v>
      </c>
      <c r="K3370" t="str">
        <f t="shared" si="114"/>
        <v>Jesse Capps</v>
      </c>
    </row>
    <row r="3371" spans="1:11" hidden="1" x14ac:dyDescent="0.35">
      <c r="A3371">
        <f t="shared" si="115"/>
        <v>3370</v>
      </c>
      <c r="B3371">
        <v>2021</v>
      </c>
      <c r="C3371" t="s">
        <v>263</v>
      </c>
      <c r="D3371" t="s">
        <v>2533</v>
      </c>
      <c r="E3371" t="s">
        <v>133</v>
      </c>
      <c r="F3371" s="2">
        <v>302</v>
      </c>
      <c r="G3371" s="2">
        <v>3</v>
      </c>
      <c r="H3371" t="s">
        <v>482</v>
      </c>
      <c r="I3371" t="s">
        <v>410</v>
      </c>
      <c r="J3371" s="11">
        <v>845.09804001425687</v>
      </c>
      <c r="K3371" t="str">
        <f t="shared" si="114"/>
        <v>Larry Bierman</v>
      </c>
    </row>
    <row r="3372" spans="1:11" hidden="1" x14ac:dyDescent="0.35">
      <c r="A3372">
        <f t="shared" si="115"/>
        <v>3371</v>
      </c>
      <c r="B3372">
        <v>2021</v>
      </c>
      <c r="C3372" t="s">
        <v>263</v>
      </c>
      <c r="D3372" t="s">
        <v>2533</v>
      </c>
      <c r="E3372" t="s">
        <v>133</v>
      </c>
      <c r="F3372" s="2">
        <v>235</v>
      </c>
      <c r="G3372" s="2">
        <v>4</v>
      </c>
      <c r="H3372" t="s">
        <v>533</v>
      </c>
      <c r="I3372" t="s">
        <v>534</v>
      </c>
      <c r="J3372" s="11">
        <v>720.15930340595696</v>
      </c>
      <c r="K3372" t="str">
        <f t="shared" si="114"/>
        <v>Edmund Hack</v>
      </c>
    </row>
    <row r="3373" spans="1:11" hidden="1" x14ac:dyDescent="0.35">
      <c r="A3373">
        <f t="shared" si="115"/>
        <v>3372</v>
      </c>
      <c r="B3373">
        <v>2021</v>
      </c>
      <c r="C3373" t="s">
        <v>263</v>
      </c>
      <c r="D3373" t="s">
        <v>2529</v>
      </c>
      <c r="E3373" t="s">
        <v>133</v>
      </c>
      <c r="F3373" s="2">
        <v>764</v>
      </c>
      <c r="G3373" s="2">
        <v>1</v>
      </c>
      <c r="H3373" t="s">
        <v>35</v>
      </c>
      <c r="I3373" t="s">
        <v>36</v>
      </c>
      <c r="J3373" s="11">
        <v>1414.9733479708179</v>
      </c>
      <c r="K3373" t="str">
        <f t="shared" si="114"/>
        <v>Nolan Dalla</v>
      </c>
    </row>
    <row r="3374" spans="1:11" hidden="1" x14ac:dyDescent="0.35">
      <c r="A3374">
        <f t="shared" si="115"/>
        <v>3373</v>
      </c>
      <c r="B3374">
        <v>2021</v>
      </c>
      <c r="C3374" t="s">
        <v>263</v>
      </c>
      <c r="D3374" t="s">
        <v>2529</v>
      </c>
      <c r="E3374" t="s">
        <v>133</v>
      </c>
      <c r="F3374" s="2">
        <v>666</v>
      </c>
      <c r="G3374" s="2">
        <v>2</v>
      </c>
      <c r="H3374" t="s">
        <v>50</v>
      </c>
      <c r="I3374" t="s">
        <v>25</v>
      </c>
      <c r="J3374" s="11">
        <v>1113.9433523068367</v>
      </c>
      <c r="K3374" t="str">
        <f t="shared" si="114"/>
        <v>Russell Fox</v>
      </c>
    </row>
    <row r="3375" spans="1:11" hidden="1" x14ac:dyDescent="0.35">
      <c r="A3375">
        <f t="shared" si="115"/>
        <v>3374</v>
      </c>
      <c r="B3375">
        <v>2021</v>
      </c>
      <c r="C3375" t="s">
        <v>263</v>
      </c>
      <c r="D3375" t="s">
        <v>2529</v>
      </c>
      <c r="E3375" t="s">
        <v>133</v>
      </c>
      <c r="F3375" s="2">
        <v>42</v>
      </c>
      <c r="G3375" s="2">
        <v>3</v>
      </c>
      <c r="H3375" t="s">
        <v>107</v>
      </c>
      <c r="I3375" t="s">
        <v>108</v>
      </c>
      <c r="J3375" s="11">
        <v>937.85209325115557</v>
      </c>
      <c r="K3375" t="str">
        <f t="shared" si="114"/>
        <v>Kyle Minnis</v>
      </c>
    </row>
    <row r="3376" spans="1:11" hidden="1" x14ac:dyDescent="0.35">
      <c r="A3376">
        <f t="shared" si="115"/>
        <v>3375</v>
      </c>
      <c r="B3376">
        <v>2021</v>
      </c>
      <c r="C3376" t="s">
        <v>263</v>
      </c>
      <c r="D3376" t="s">
        <v>2529</v>
      </c>
      <c r="E3376" t="s">
        <v>133</v>
      </c>
      <c r="F3376" s="2">
        <v>338</v>
      </c>
      <c r="G3376" s="2">
        <v>4</v>
      </c>
      <c r="H3376" t="s">
        <v>2401</v>
      </c>
      <c r="I3376" t="s">
        <v>2017</v>
      </c>
      <c r="J3376" s="11">
        <v>812.91335664285555</v>
      </c>
      <c r="K3376" t="str">
        <f t="shared" si="114"/>
        <v>Kathy Chang</v>
      </c>
    </row>
    <row r="3377" spans="1:11" hidden="1" x14ac:dyDescent="0.35">
      <c r="A3377">
        <f t="shared" si="115"/>
        <v>3376</v>
      </c>
      <c r="B3377">
        <v>2021</v>
      </c>
      <c r="C3377" t="s">
        <v>263</v>
      </c>
      <c r="D3377" t="s">
        <v>2529</v>
      </c>
      <c r="E3377" t="s">
        <v>133</v>
      </c>
      <c r="F3377" s="2">
        <v>260</v>
      </c>
      <c r="G3377" s="2">
        <v>5</v>
      </c>
      <c r="H3377" t="s">
        <v>86</v>
      </c>
      <c r="I3377" t="s">
        <v>271</v>
      </c>
      <c r="J3377" s="11">
        <v>716.00334363479908</v>
      </c>
      <c r="K3377" t="str">
        <f t="shared" si="114"/>
        <v>Dan Goldman</v>
      </c>
    </row>
    <row r="3378" spans="1:11" hidden="1" x14ac:dyDescent="0.35">
      <c r="A3378">
        <f t="shared" si="115"/>
        <v>3377</v>
      </c>
      <c r="B3378">
        <v>2021</v>
      </c>
      <c r="C3378" t="s">
        <v>263</v>
      </c>
      <c r="D3378" t="s">
        <v>2529</v>
      </c>
      <c r="E3378" t="s">
        <v>133</v>
      </c>
      <c r="F3378" s="2">
        <v>160</v>
      </c>
      <c r="G3378" s="2">
        <v>6</v>
      </c>
      <c r="H3378" t="s">
        <v>608</v>
      </c>
      <c r="I3378" t="s">
        <v>267</v>
      </c>
      <c r="J3378" s="11">
        <v>636.82209758717431</v>
      </c>
      <c r="K3378" t="str">
        <f t="shared" si="114"/>
        <v>Christopher Kuntz</v>
      </c>
    </row>
    <row r="3379" spans="1:11" hidden="1" x14ac:dyDescent="0.35">
      <c r="A3379">
        <f t="shared" si="115"/>
        <v>3378</v>
      </c>
      <c r="B3379">
        <v>2021</v>
      </c>
      <c r="C3379" t="s">
        <v>263</v>
      </c>
      <c r="D3379" t="s">
        <v>2526</v>
      </c>
      <c r="E3379" t="s">
        <v>1429</v>
      </c>
      <c r="F3379" s="2">
        <v>1116</v>
      </c>
      <c r="G3379" s="2">
        <v>1</v>
      </c>
      <c r="H3379" t="s">
        <v>2401</v>
      </c>
      <c r="I3379" t="s">
        <v>2017</v>
      </c>
      <c r="J3379" s="11">
        <v>1556.3025007672873</v>
      </c>
      <c r="K3379" t="str">
        <f t="shared" si="114"/>
        <v>Kathy Chang</v>
      </c>
    </row>
    <row r="3380" spans="1:11" hidden="1" x14ac:dyDescent="0.35">
      <c r="A3380">
        <f t="shared" si="115"/>
        <v>3379</v>
      </c>
      <c r="B3380">
        <v>2021</v>
      </c>
      <c r="C3380" t="s">
        <v>263</v>
      </c>
      <c r="D3380" t="s">
        <v>2526</v>
      </c>
      <c r="E3380" t="s">
        <v>1429</v>
      </c>
      <c r="F3380" s="2">
        <v>792</v>
      </c>
      <c r="G3380" s="2">
        <v>2</v>
      </c>
      <c r="H3380" t="s">
        <v>226</v>
      </c>
      <c r="I3380" t="s">
        <v>227</v>
      </c>
      <c r="J3380" s="11">
        <v>1255.272505103306</v>
      </c>
      <c r="K3380" t="str">
        <f t="shared" si="114"/>
        <v>Patti Beadles</v>
      </c>
    </row>
    <row r="3381" spans="1:11" hidden="1" x14ac:dyDescent="0.35">
      <c r="A3381">
        <f t="shared" si="115"/>
        <v>3380</v>
      </c>
      <c r="B3381">
        <v>2021</v>
      </c>
      <c r="C3381" t="s">
        <v>263</v>
      </c>
      <c r="D3381" t="s">
        <v>2526</v>
      </c>
      <c r="E3381" t="s">
        <v>1429</v>
      </c>
      <c r="F3381" s="2">
        <v>612</v>
      </c>
      <c r="G3381" s="2">
        <v>3</v>
      </c>
      <c r="H3381" t="s">
        <v>1177</v>
      </c>
      <c r="I3381" t="s">
        <v>717</v>
      </c>
      <c r="J3381" s="11">
        <v>1079.1812460476249</v>
      </c>
      <c r="K3381" t="str">
        <f t="shared" si="114"/>
        <v>Ben Gamble</v>
      </c>
    </row>
    <row r="3382" spans="1:11" hidden="1" x14ac:dyDescent="0.35">
      <c r="A3382">
        <f t="shared" si="115"/>
        <v>3381</v>
      </c>
      <c r="B3382">
        <v>2021</v>
      </c>
      <c r="C3382" t="s">
        <v>263</v>
      </c>
      <c r="D3382" t="s">
        <v>2526</v>
      </c>
      <c r="E3382" t="s">
        <v>1429</v>
      </c>
      <c r="F3382" s="2">
        <v>468</v>
      </c>
      <c r="G3382" s="2">
        <v>4</v>
      </c>
      <c r="H3382" t="s">
        <v>2432</v>
      </c>
      <c r="I3382" t="s">
        <v>139</v>
      </c>
      <c r="J3382" s="11">
        <v>954.24250943932486</v>
      </c>
      <c r="K3382" t="str">
        <f t="shared" si="114"/>
        <v>Mark Haroldson</v>
      </c>
    </row>
    <row r="3383" spans="1:11" hidden="1" x14ac:dyDescent="0.35">
      <c r="A3383">
        <f t="shared" si="115"/>
        <v>3382</v>
      </c>
      <c r="B3383">
        <v>2021</v>
      </c>
      <c r="C3383" t="s">
        <v>263</v>
      </c>
      <c r="D3383" t="s">
        <v>2526</v>
      </c>
      <c r="E3383" t="s">
        <v>1429</v>
      </c>
      <c r="F3383" s="2">
        <v>360</v>
      </c>
      <c r="G3383" s="2">
        <v>5</v>
      </c>
      <c r="H3383" t="s">
        <v>277</v>
      </c>
      <c r="I3383" t="s">
        <v>16</v>
      </c>
      <c r="J3383" s="11">
        <v>857.3324964312684</v>
      </c>
      <c r="K3383" t="str">
        <f t="shared" si="114"/>
        <v>David Lawful</v>
      </c>
    </row>
    <row r="3384" spans="1:11" hidden="1" x14ac:dyDescent="0.35">
      <c r="A3384">
        <f t="shared" si="115"/>
        <v>3383</v>
      </c>
      <c r="B3384">
        <v>2021</v>
      </c>
      <c r="C3384" t="s">
        <v>263</v>
      </c>
      <c r="D3384" t="s">
        <v>2526</v>
      </c>
      <c r="E3384" t="s">
        <v>1429</v>
      </c>
      <c r="F3384" s="2">
        <v>252</v>
      </c>
      <c r="G3384" s="2">
        <v>6</v>
      </c>
      <c r="H3384" t="s">
        <v>2543</v>
      </c>
      <c r="I3384" t="s">
        <v>1141</v>
      </c>
      <c r="J3384" s="11">
        <v>778.15125038364363</v>
      </c>
      <c r="K3384" t="str">
        <f t="shared" si="114"/>
        <v>Billy Hayes</v>
      </c>
    </row>
    <row r="3385" spans="1:11" hidden="1" x14ac:dyDescent="0.35">
      <c r="A3385">
        <f t="shared" si="115"/>
        <v>3384</v>
      </c>
      <c r="B3385">
        <v>2021</v>
      </c>
      <c r="C3385" t="s">
        <v>263</v>
      </c>
      <c r="D3385" t="s">
        <v>2528</v>
      </c>
      <c r="E3385" t="s">
        <v>1051</v>
      </c>
      <c r="F3385" s="2">
        <v>864</v>
      </c>
      <c r="G3385" s="2">
        <v>1</v>
      </c>
      <c r="H3385" t="s">
        <v>78</v>
      </c>
      <c r="I3385" t="s">
        <v>79</v>
      </c>
      <c r="J3385" s="11">
        <v>1505.149978319906</v>
      </c>
      <c r="K3385" t="str">
        <f t="shared" si="114"/>
        <v>Kevin Knourek</v>
      </c>
    </row>
    <row r="3386" spans="1:11" hidden="1" x14ac:dyDescent="0.35">
      <c r="A3386">
        <f t="shared" si="115"/>
        <v>3385</v>
      </c>
      <c r="B3386">
        <v>2021</v>
      </c>
      <c r="C3386" t="s">
        <v>263</v>
      </c>
      <c r="D3386" t="s">
        <v>2528</v>
      </c>
      <c r="E3386" t="s">
        <v>1051</v>
      </c>
      <c r="F3386" s="2">
        <v>576</v>
      </c>
      <c r="G3386" s="2">
        <v>2</v>
      </c>
      <c r="H3386" t="s">
        <v>99</v>
      </c>
      <c r="I3386" t="s">
        <v>101</v>
      </c>
      <c r="J3386" s="11">
        <v>1204.1199826559248</v>
      </c>
      <c r="K3386" t="str">
        <f t="shared" si="114"/>
        <v>Dean Kerl</v>
      </c>
    </row>
    <row r="3387" spans="1:11" x14ac:dyDescent="0.35">
      <c r="A3387">
        <f t="shared" si="115"/>
        <v>3386</v>
      </c>
      <c r="B3387">
        <v>2021</v>
      </c>
      <c r="C3387" t="s">
        <v>263</v>
      </c>
      <c r="D3387" t="s">
        <v>2528</v>
      </c>
      <c r="E3387" t="s">
        <v>1051</v>
      </c>
      <c r="F3387" s="2">
        <v>408</v>
      </c>
      <c r="G3387" s="2">
        <v>3</v>
      </c>
      <c r="H3387" t="s">
        <v>313</v>
      </c>
      <c r="I3387" t="s">
        <v>314</v>
      </c>
      <c r="J3387" s="11">
        <v>1028.0287236002437</v>
      </c>
      <c r="K3387" t="str">
        <f t="shared" si="114"/>
        <v>Gerald Petersen</v>
      </c>
    </row>
    <row r="3388" spans="1:11" hidden="1" x14ac:dyDescent="0.35">
      <c r="A3388">
        <f t="shared" si="115"/>
        <v>3387</v>
      </c>
      <c r="B3388">
        <v>2021</v>
      </c>
      <c r="C3388" t="s">
        <v>263</v>
      </c>
      <c r="D3388" t="s">
        <v>2528</v>
      </c>
      <c r="E3388" t="s">
        <v>1051</v>
      </c>
      <c r="F3388" s="2">
        <v>312</v>
      </c>
      <c r="G3388" s="2">
        <v>4</v>
      </c>
      <c r="H3388" t="s">
        <v>21</v>
      </c>
      <c r="I3388" t="s">
        <v>463</v>
      </c>
      <c r="J3388" s="11">
        <v>903.08998699194365</v>
      </c>
      <c r="K3388" t="str">
        <f t="shared" si="114"/>
        <v>Richard Bremer</v>
      </c>
    </row>
    <row r="3389" spans="1:11" hidden="1" x14ac:dyDescent="0.35">
      <c r="A3389">
        <f t="shared" si="115"/>
        <v>3388</v>
      </c>
      <c r="B3389">
        <v>2021</v>
      </c>
      <c r="C3389" t="s">
        <v>263</v>
      </c>
      <c r="D3389" t="s">
        <v>2528</v>
      </c>
      <c r="E3389" t="s">
        <v>1051</v>
      </c>
      <c r="F3389" s="2">
        <v>240</v>
      </c>
      <c r="G3389" s="2">
        <v>5</v>
      </c>
      <c r="H3389" t="s">
        <v>31</v>
      </c>
      <c r="I3389" t="s">
        <v>16</v>
      </c>
      <c r="J3389" s="11">
        <v>806.17997398388718</v>
      </c>
      <c r="K3389" t="str">
        <f t="shared" si="114"/>
        <v>David Aronson</v>
      </c>
    </row>
    <row r="3390" spans="1:11" hidden="1" x14ac:dyDescent="0.35">
      <c r="A3390">
        <f t="shared" si="115"/>
        <v>3389</v>
      </c>
      <c r="B3390">
        <v>2021</v>
      </c>
      <c r="C3390" t="s">
        <v>263</v>
      </c>
      <c r="D3390" t="s">
        <v>2530</v>
      </c>
      <c r="E3390" t="s">
        <v>1432</v>
      </c>
      <c r="F3390" s="2">
        <v>714</v>
      </c>
      <c r="G3390" s="2">
        <v>1</v>
      </c>
      <c r="H3390" t="s">
        <v>2545</v>
      </c>
      <c r="I3390" t="s">
        <v>71</v>
      </c>
      <c r="J3390" s="11">
        <v>1342.4226808222061</v>
      </c>
      <c r="K3390" t="str">
        <f t="shared" si="114"/>
        <v>Scott Canalichio</v>
      </c>
    </row>
    <row r="3391" spans="1:11" hidden="1" x14ac:dyDescent="0.35">
      <c r="A3391">
        <f t="shared" si="115"/>
        <v>3390</v>
      </c>
      <c r="B3391">
        <v>2021</v>
      </c>
      <c r="C3391" t="s">
        <v>263</v>
      </c>
      <c r="D3391" t="s">
        <v>2530</v>
      </c>
      <c r="E3391" t="s">
        <v>1432</v>
      </c>
      <c r="F3391" s="2">
        <v>433</v>
      </c>
      <c r="G3391" s="2">
        <v>2</v>
      </c>
      <c r="H3391" t="s">
        <v>99</v>
      </c>
      <c r="I3391" t="s">
        <v>2500</v>
      </c>
      <c r="J3391" s="11">
        <v>1041.3926851582248</v>
      </c>
      <c r="K3391" t="str">
        <f t="shared" si="114"/>
        <v>Bex Kerl</v>
      </c>
    </row>
    <row r="3392" spans="1:11" hidden="1" x14ac:dyDescent="0.35">
      <c r="A3392">
        <f t="shared" si="115"/>
        <v>3391</v>
      </c>
      <c r="B3392">
        <v>2021</v>
      </c>
      <c r="C3392" t="s">
        <v>263</v>
      </c>
      <c r="D3392" t="s">
        <v>2530</v>
      </c>
      <c r="E3392" t="s">
        <v>1432</v>
      </c>
      <c r="F3392" s="2">
        <v>292</v>
      </c>
      <c r="G3392" s="2">
        <v>3</v>
      </c>
      <c r="H3392" t="s">
        <v>414</v>
      </c>
      <c r="I3392" t="s">
        <v>413</v>
      </c>
      <c r="J3392" s="11">
        <v>865.30142610254381</v>
      </c>
      <c r="K3392" t="str">
        <f t="shared" si="114"/>
        <v>Bruce Kramer</v>
      </c>
    </row>
    <row r="3393" spans="1:11" hidden="1" x14ac:dyDescent="0.35">
      <c r="A3393">
        <f t="shared" si="115"/>
        <v>3392</v>
      </c>
      <c r="B3393">
        <v>2021</v>
      </c>
      <c r="C3393" t="s">
        <v>263</v>
      </c>
      <c r="D3393" t="s">
        <v>2530</v>
      </c>
      <c r="E3393" t="s">
        <v>1432</v>
      </c>
      <c r="F3393" s="2">
        <v>221</v>
      </c>
      <c r="G3393" s="2">
        <v>4</v>
      </c>
      <c r="H3393" t="s">
        <v>968</v>
      </c>
      <c r="I3393" t="s">
        <v>701</v>
      </c>
      <c r="J3393" s="11">
        <v>740.3626894942438</v>
      </c>
      <c r="K3393" t="str">
        <f t="shared" si="114"/>
        <v>Bryan Juliano</v>
      </c>
    </row>
    <row r="3394" spans="1:11" hidden="1" x14ac:dyDescent="0.35">
      <c r="A3394">
        <f t="shared" si="115"/>
        <v>3393</v>
      </c>
      <c r="B3394">
        <v>2021</v>
      </c>
      <c r="C3394" t="s">
        <v>263</v>
      </c>
      <c r="D3394" t="s">
        <v>2530</v>
      </c>
      <c r="E3394" t="s">
        <v>1432</v>
      </c>
      <c r="F3394" s="2">
        <v>100</v>
      </c>
      <c r="G3394" s="2">
        <v>5</v>
      </c>
      <c r="H3394" t="s">
        <v>714</v>
      </c>
      <c r="I3394" t="s">
        <v>528</v>
      </c>
      <c r="J3394" s="11">
        <v>643.45267648618733</v>
      </c>
      <c r="K3394" t="str">
        <f t="shared" ref="K3394:K3457" si="116">I3394&amp;" "&amp;H3394</f>
        <v>Tim Showalter</v>
      </c>
    </row>
    <row r="3395" spans="1:11" hidden="1" x14ac:dyDescent="0.35">
      <c r="A3395">
        <f t="shared" si="115"/>
        <v>3394</v>
      </c>
      <c r="B3395">
        <v>2021</v>
      </c>
      <c r="C3395" t="s">
        <v>263</v>
      </c>
      <c r="D3395" t="s">
        <v>45</v>
      </c>
      <c r="E3395" t="s">
        <v>1429</v>
      </c>
      <c r="F3395" s="2">
        <v>3204</v>
      </c>
      <c r="G3395" s="2">
        <v>1</v>
      </c>
      <c r="H3395" t="s">
        <v>74</v>
      </c>
      <c r="I3395" t="s">
        <v>75</v>
      </c>
      <c r="J3395" s="11">
        <v>1944.4826721501686</v>
      </c>
      <c r="K3395" t="str">
        <f t="shared" si="116"/>
        <v>Sabyl Landrum</v>
      </c>
    </row>
    <row r="3396" spans="1:11" hidden="1" x14ac:dyDescent="0.35">
      <c r="A3396">
        <f t="shared" si="115"/>
        <v>3395</v>
      </c>
      <c r="B3396">
        <v>2021</v>
      </c>
      <c r="C3396" t="s">
        <v>263</v>
      </c>
      <c r="D3396" t="s">
        <v>45</v>
      </c>
      <c r="E3396" t="s">
        <v>1429</v>
      </c>
      <c r="F3396" s="2">
        <v>2341</v>
      </c>
      <c r="G3396" s="2">
        <v>2</v>
      </c>
      <c r="H3396" t="s">
        <v>323</v>
      </c>
      <c r="I3396" t="s">
        <v>324</v>
      </c>
      <c r="J3396" s="11">
        <v>1643.4526764861873</v>
      </c>
      <c r="K3396" t="str">
        <f t="shared" si="116"/>
        <v>Andrew Prock</v>
      </c>
    </row>
    <row r="3397" spans="1:11" hidden="1" x14ac:dyDescent="0.35">
      <c r="A3397">
        <f t="shared" si="115"/>
        <v>3396</v>
      </c>
      <c r="B3397">
        <v>2021</v>
      </c>
      <c r="C3397" t="s">
        <v>263</v>
      </c>
      <c r="D3397" t="s">
        <v>45</v>
      </c>
      <c r="E3397" t="s">
        <v>1429</v>
      </c>
      <c r="F3397" s="2">
        <v>1848</v>
      </c>
      <c r="G3397" s="2">
        <v>3</v>
      </c>
      <c r="H3397" t="s">
        <v>35</v>
      </c>
      <c r="I3397" t="s">
        <v>36</v>
      </c>
      <c r="J3397" s="11">
        <v>1467.3614174305062</v>
      </c>
      <c r="K3397" t="str">
        <f t="shared" si="116"/>
        <v>Nolan Dalla</v>
      </c>
    </row>
    <row r="3398" spans="1:11" hidden="1" x14ac:dyDescent="0.35">
      <c r="A3398">
        <f t="shared" si="115"/>
        <v>3397</v>
      </c>
      <c r="B3398">
        <v>2021</v>
      </c>
      <c r="C3398" t="s">
        <v>263</v>
      </c>
      <c r="D3398" t="s">
        <v>45</v>
      </c>
      <c r="E3398" t="s">
        <v>1429</v>
      </c>
      <c r="F3398" s="2">
        <v>1478</v>
      </c>
      <c r="G3398" s="2">
        <v>4</v>
      </c>
      <c r="H3398" t="s">
        <v>2434</v>
      </c>
      <c r="I3398" t="s">
        <v>2435</v>
      </c>
      <c r="J3398" s="11">
        <v>1342.4226808222061</v>
      </c>
      <c r="K3398" t="str">
        <f t="shared" si="116"/>
        <v>Jaydon Ogden</v>
      </c>
    </row>
    <row r="3399" spans="1:11" hidden="1" x14ac:dyDescent="0.35">
      <c r="A3399">
        <f t="shared" si="115"/>
        <v>3398</v>
      </c>
      <c r="B3399">
        <v>2021</v>
      </c>
      <c r="C3399" t="s">
        <v>263</v>
      </c>
      <c r="D3399" t="s">
        <v>45</v>
      </c>
      <c r="E3399" t="s">
        <v>1429</v>
      </c>
      <c r="F3399" s="2">
        <v>1109</v>
      </c>
      <c r="G3399" s="2">
        <v>5</v>
      </c>
      <c r="H3399" t="s">
        <v>99</v>
      </c>
      <c r="I3399" t="s">
        <v>2500</v>
      </c>
      <c r="J3399" s="11">
        <v>1245.5126678141498</v>
      </c>
      <c r="K3399" t="str">
        <f t="shared" si="116"/>
        <v>Bex Kerl</v>
      </c>
    </row>
    <row r="3400" spans="1:11" hidden="1" x14ac:dyDescent="0.35">
      <c r="A3400">
        <f t="shared" si="115"/>
        <v>3399</v>
      </c>
      <c r="B3400">
        <v>2021</v>
      </c>
      <c r="C3400" t="s">
        <v>263</v>
      </c>
      <c r="D3400" t="s">
        <v>45</v>
      </c>
      <c r="E3400" t="s">
        <v>1429</v>
      </c>
      <c r="F3400" s="2">
        <v>862</v>
      </c>
      <c r="G3400" s="2">
        <v>6</v>
      </c>
      <c r="H3400" t="s">
        <v>1504</v>
      </c>
      <c r="I3400" t="s">
        <v>85</v>
      </c>
      <c r="J3400" s="11">
        <v>1166.331421766525</v>
      </c>
      <c r="K3400" t="str">
        <f t="shared" si="116"/>
        <v>Patrick Milligan</v>
      </c>
    </row>
    <row r="3401" spans="1:11" hidden="1" x14ac:dyDescent="0.35">
      <c r="A3401">
        <f t="shared" si="115"/>
        <v>3400</v>
      </c>
      <c r="B3401">
        <v>2021</v>
      </c>
      <c r="C3401" t="s">
        <v>263</v>
      </c>
      <c r="D3401" t="s">
        <v>45</v>
      </c>
      <c r="E3401" t="s">
        <v>1429</v>
      </c>
      <c r="F3401" s="2">
        <v>616</v>
      </c>
      <c r="G3401" s="2">
        <v>7</v>
      </c>
      <c r="H3401" t="s">
        <v>396</v>
      </c>
      <c r="I3401" t="s">
        <v>397</v>
      </c>
      <c r="J3401" s="11">
        <v>1099.3846321359117</v>
      </c>
      <c r="K3401" t="str">
        <f t="shared" si="116"/>
        <v>Asya Kamsky</v>
      </c>
    </row>
    <row r="3402" spans="1:11" hidden="1" x14ac:dyDescent="0.35">
      <c r="A3402">
        <f t="shared" si="115"/>
        <v>3401</v>
      </c>
      <c r="B3402">
        <v>2021</v>
      </c>
      <c r="C3402" t="s">
        <v>263</v>
      </c>
      <c r="D3402" t="s">
        <v>45</v>
      </c>
      <c r="E3402" t="s">
        <v>1429</v>
      </c>
      <c r="F3402" s="2">
        <v>370</v>
      </c>
      <c r="G3402" s="2">
        <v>8</v>
      </c>
      <c r="H3402" t="s">
        <v>31</v>
      </c>
      <c r="I3402" t="s">
        <v>32</v>
      </c>
      <c r="J3402" s="11">
        <v>1041.392685158225</v>
      </c>
      <c r="K3402" t="str">
        <f t="shared" si="116"/>
        <v>Caryl Aronson</v>
      </c>
    </row>
    <row r="3403" spans="1:11" hidden="1" x14ac:dyDescent="0.35">
      <c r="A3403">
        <f t="shared" si="115"/>
        <v>3402</v>
      </c>
      <c r="B3403">
        <v>2021</v>
      </c>
      <c r="C3403" t="s">
        <v>263</v>
      </c>
      <c r="D3403" t="s">
        <v>45</v>
      </c>
      <c r="E3403" t="s">
        <v>1429</v>
      </c>
      <c r="F3403" s="2">
        <v>246</v>
      </c>
      <c r="G3403" s="2">
        <v>9</v>
      </c>
      <c r="H3403" t="s">
        <v>405</v>
      </c>
      <c r="I3403" t="s">
        <v>404</v>
      </c>
      <c r="J3403" s="11">
        <v>990.24016271084383</v>
      </c>
      <c r="K3403" t="str">
        <f t="shared" si="116"/>
        <v>George Wattman</v>
      </c>
    </row>
    <row r="3404" spans="1:11" hidden="1" x14ac:dyDescent="0.35">
      <c r="A3404">
        <f t="shared" si="115"/>
        <v>3403</v>
      </c>
      <c r="B3404">
        <v>2021</v>
      </c>
      <c r="C3404" t="s">
        <v>263</v>
      </c>
      <c r="D3404" t="s">
        <v>45</v>
      </c>
      <c r="E3404" t="s">
        <v>1429</v>
      </c>
      <c r="F3404" s="2">
        <v>246</v>
      </c>
      <c r="G3404" s="2">
        <v>10</v>
      </c>
      <c r="H3404" t="s">
        <v>329</v>
      </c>
      <c r="I3404" t="s">
        <v>330</v>
      </c>
      <c r="J3404" s="11">
        <v>944.4826721501687</v>
      </c>
      <c r="K3404" t="str">
        <f t="shared" si="116"/>
        <v>Sandra Terauds</v>
      </c>
    </row>
    <row r="3405" spans="1:11" hidden="1" x14ac:dyDescent="0.35">
      <c r="A3405">
        <f t="shared" si="115"/>
        <v>3404</v>
      </c>
      <c r="B3405">
        <v>2021</v>
      </c>
      <c r="C3405" t="s">
        <v>263</v>
      </c>
      <c r="D3405" t="s">
        <v>2527</v>
      </c>
      <c r="E3405" t="s">
        <v>1430</v>
      </c>
      <c r="F3405" s="2">
        <v>1042</v>
      </c>
      <c r="G3405" s="2">
        <v>1</v>
      </c>
      <c r="H3405" t="s">
        <v>107</v>
      </c>
      <c r="I3405" t="s">
        <v>108</v>
      </c>
      <c r="J3405" s="11">
        <v>1623.2492903979005</v>
      </c>
      <c r="K3405" t="str">
        <f t="shared" si="116"/>
        <v>Kyle Minnis</v>
      </c>
    </row>
    <row r="3406" spans="1:11" hidden="1" x14ac:dyDescent="0.35">
      <c r="A3406">
        <f t="shared" si="115"/>
        <v>3405</v>
      </c>
      <c r="B3406">
        <v>2021</v>
      </c>
      <c r="C3406" t="s">
        <v>263</v>
      </c>
      <c r="D3406" t="s">
        <v>2527</v>
      </c>
      <c r="E3406" t="s">
        <v>1430</v>
      </c>
      <c r="F3406" s="2">
        <v>739</v>
      </c>
      <c r="G3406" s="2">
        <v>2</v>
      </c>
      <c r="H3406" t="s">
        <v>316</v>
      </c>
      <c r="I3406" t="s">
        <v>269</v>
      </c>
      <c r="J3406" s="11">
        <v>1322.2192947339192</v>
      </c>
      <c r="K3406" t="str">
        <f t="shared" si="116"/>
        <v>Keith Troell</v>
      </c>
    </row>
    <row r="3407" spans="1:11" hidden="1" x14ac:dyDescent="0.35">
      <c r="A3407">
        <f t="shared" si="115"/>
        <v>3406</v>
      </c>
      <c r="B3407">
        <v>2021</v>
      </c>
      <c r="C3407" t="s">
        <v>263</v>
      </c>
      <c r="D3407" t="s">
        <v>2527</v>
      </c>
      <c r="E3407" t="s">
        <v>1430</v>
      </c>
      <c r="F3407" s="2">
        <v>571</v>
      </c>
      <c r="G3407" s="2">
        <v>3</v>
      </c>
      <c r="H3407" t="s">
        <v>2432</v>
      </c>
      <c r="I3407" t="s">
        <v>139</v>
      </c>
      <c r="J3407" s="11">
        <v>1146.1280356782381</v>
      </c>
      <c r="K3407" t="str">
        <f t="shared" si="116"/>
        <v>Mark Haroldson</v>
      </c>
    </row>
    <row r="3408" spans="1:11" hidden="1" x14ac:dyDescent="0.35">
      <c r="A3408">
        <f t="shared" si="115"/>
        <v>3407</v>
      </c>
      <c r="B3408">
        <v>2021</v>
      </c>
      <c r="C3408" t="s">
        <v>263</v>
      </c>
      <c r="D3408" t="s">
        <v>2527</v>
      </c>
      <c r="E3408" t="s">
        <v>1430</v>
      </c>
      <c r="F3408" s="2">
        <v>437</v>
      </c>
      <c r="G3408" s="2">
        <v>4</v>
      </c>
      <c r="H3408" t="s">
        <v>99</v>
      </c>
      <c r="I3408" t="s">
        <v>101</v>
      </c>
      <c r="J3408" s="11">
        <v>1021.1892990699382</v>
      </c>
      <c r="K3408" t="str">
        <f t="shared" si="116"/>
        <v>Dean Kerl</v>
      </c>
    </row>
    <row r="3409" spans="1:11" hidden="1" x14ac:dyDescent="0.35">
      <c r="A3409">
        <f t="shared" si="115"/>
        <v>3408</v>
      </c>
      <c r="B3409">
        <v>2021</v>
      </c>
      <c r="C3409" t="s">
        <v>263</v>
      </c>
      <c r="D3409" t="s">
        <v>2527</v>
      </c>
      <c r="E3409" t="s">
        <v>1430</v>
      </c>
      <c r="F3409" s="2">
        <v>336</v>
      </c>
      <c r="G3409" s="2">
        <v>5</v>
      </c>
      <c r="H3409" t="s">
        <v>64</v>
      </c>
      <c r="I3409" t="s">
        <v>65</v>
      </c>
      <c r="J3409" s="11">
        <v>924.27928606188175</v>
      </c>
      <c r="K3409" t="str">
        <f t="shared" si="116"/>
        <v>Steve Daniel</v>
      </c>
    </row>
    <row r="3410" spans="1:11" hidden="1" x14ac:dyDescent="0.35">
      <c r="A3410">
        <f t="shared" si="115"/>
        <v>3409</v>
      </c>
      <c r="B3410">
        <v>2021</v>
      </c>
      <c r="C3410" t="s">
        <v>263</v>
      </c>
      <c r="D3410" t="s">
        <v>2527</v>
      </c>
      <c r="E3410" t="s">
        <v>1430</v>
      </c>
      <c r="F3410" s="2">
        <v>235</v>
      </c>
      <c r="G3410" s="2">
        <v>6</v>
      </c>
      <c r="H3410" t="s">
        <v>1504</v>
      </c>
      <c r="I3410" t="s">
        <v>1050</v>
      </c>
      <c r="J3410" s="11">
        <v>845.09804001425687</v>
      </c>
      <c r="K3410" t="str">
        <f t="shared" si="116"/>
        <v>Eileen Milligan</v>
      </c>
    </row>
    <row r="3411" spans="1:11" hidden="1" x14ac:dyDescent="0.35">
      <c r="A3411">
        <f t="shared" si="115"/>
        <v>3410</v>
      </c>
      <c r="B3411">
        <v>2021</v>
      </c>
      <c r="C3411" t="s">
        <v>263</v>
      </c>
      <c r="D3411" t="s">
        <v>289</v>
      </c>
      <c r="E3411" t="s">
        <v>133</v>
      </c>
      <c r="F3411" s="2">
        <v>1400</v>
      </c>
      <c r="G3411" s="2">
        <v>1</v>
      </c>
      <c r="H3411" t="s">
        <v>323</v>
      </c>
      <c r="I3411" t="s">
        <v>324</v>
      </c>
      <c r="J3411" s="11">
        <v>1698.9700043360187</v>
      </c>
      <c r="K3411" t="str">
        <f t="shared" si="116"/>
        <v>Andrew Prock</v>
      </c>
    </row>
    <row r="3412" spans="1:11" hidden="1" x14ac:dyDescent="0.35">
      <c r="A3412">
        <f t="shared" si="115"/>
        <v>3411</v>
      </c>
      <c r="B3412">
        <v>2021</v>
      </c>
      <c r="C3412" t="s">
        <v>263</v>
      </c>
      <c r="D3412" t="s">
        <v>289</v>
      </c>
      <c r="E3412" t="s">
        <v>133</v>
      </c>
      <c r="F3412" s="2">
        <v>1050</v>
      </c>
      <c r="G3412" s="2">
        <v>2</v>
      </c>
      <c r="H3412" t="s">
        <v>21</v>
      </c>
      <c r="I3412" t="s">
        <v>463</v>
      </c>
      <c r="J3412" s="11">
        <v>1397.9400086720375</v>
      </c>
      <c r="K3412" t="str">
        <f t="shared" si="116"/>
        <v>Richard Bremer</v>
      </c>
    </row>
    <row r="3413" spans="1:11" hidden="1" x14ac:dyDescent="0.35">
      <c r="A3413">
        <f t="shared" si="115"/>
        <v>3412</v>
      </c>
      <c r="B3413">
        <v>2021</v>
      </c>
      <c r="C3413" t="s">
        <v>263</v>
      </c>
      <c r="D3413" t="s">
        <v>289</v>
      </c>
      <c r="E3413" t="s">
        <v>133</v>
      </c>
      <c r="F3413" s="2">
        <v>800</v>
      </c>
      <c r="G3413" s="2">
        <v>3</v>
      </c>
      <c r="H3413" t="s">
        <v>2432</v>
      </c>
      <c r="I3413" t="s">
        <v>139</v>
      </c>
      <c r="J3413" s="11">
        <v>1221.8487496163564</v>
      </c>
      <c r="K3413" t="str">
        <f t="shared" si="116"/>
        <v>Mark Haroldson</v>
      </c>
    </row>
    <row r="3414" spans="1:11" hidden="1" x14ac:dyDescent="0.35">
      <c r="A3414">
        <f t="shared" si="115"/>
        <v>3413</v>
      </c>
      <c r="B3414">
        <v>2021</v>
      </c>
      <c r="C3414" t="s">
        <v>263</v>
      </c>
      <c r="D3414" t="s">
        <v>289</v>
      </c>
      <c r="E3414" t="s">
        <v>133</v>
      </c>
      <c r="F3414" s="2">
        <v>650</v>
      </c>
      <c r="G3414" s="2">
        <v>4</v>
      </c>
      <c r="H3414" t="s">
        <v>72</v>
      </c>
      <c r="I3414" t="s">
        <v>73</v>
      </c>
      <c r="J3414" s="11">
        <v>1096.9100130080562</v>
      </c>
      <c r="K3414" t="str">
        <f t="shared" si="116"/>
        <v>Corey Imsdahl</v>
      </c>
    </row>
    <row r="3415" spans="1:11" hidden="1" x14ac:dyDescent="0.35">
      <c r="A3415">
        <f t="shared" si="115"/>
        <v>3414</v>
      </c>
      <c r="B3415">
        <v>2021</v>
      </c>
      <c r="C3415" t="s">
        <v>263</v>
      </c>
      <c r="D3415" t="s">
        <v>289</v>
      </c>
      <c r="E3415" t="s">
        <v>133</v>
      </c>
      <c r="F3415" s="2">
        <v>500</v>
      </c>
      <c r="G3415" s="2">
        <v>5</v>
      </c>
      <c r="H3415" t="s">
        <v>88</v>
      </c>
      <c r="I3415" t="s">
        <v>89</v>
      </c>
      <c r="J3415" s="11">
        <v>999.99999999999989</v>
      </c>
      <c r="K3415" t="str">
        <f t="shared" si="116"/>
        <v>Ken Kubey</v>
      </c>
    </row>
    <row r="3416" spans="1:11" hidden="1" x14ac:dyDescent="0.35">
      <c r="A3416">
        <f t="shared" si="115"/>
        <v>3415</v>
      </c>
      <c r="B3416">
        <v>2021</v>
      </c>
      <c r="C3416" t="s">
        <v>263</v>
      </c>
      <c r="D3416" t="s">
        <v>289</v>
      </c>
      <c r="E3416" t="s">
        <v>133</v>
      </c>
      <c r="F3416" s="2">
        <v>350</v>
      </c>
      <c r="G3416" s="2">
        <v>6</v>
      </c>
      <c r="H3416" t="s">
        <v>527</v>
      </c>
      <c r="I3416" t="s">
        <v>11</v>
      </c>
      <c r="J3416" s="11">
        <v>920.81875395237512</v>
      </c>
      <c r="K3416" t="str">
        <f t="shared" si="116"/>
        <v>Paul Stine</v>
      </c>
    </row>
    <row r="3417" spans="1:11" hidden="1" x14ac:dyDescent="0.35">
      <c r="A3417">
        <f t="shared" si="115"/>
        <v>3416</v>
      </c>
      <c r="B3417">
        <v>2021</v>
      </c>
      <c r="C3417" t="s">
        <v>263</v>
      </c>
      <c r="D3417" t="s">
        <v>289</v>
      </c>
      <c r="E3417" t="s">
        <v>133</v>
      </c>
      <c r="F3417" s="2">
        <v>250</v>
      </c>
      <c r="G3417" s="2">
        <v>7</v>
      </c>
      <c r="H3417" t="s">
        <v>72</v>
      </c>
      <c r="I3417" t="s">
        <v>717</v>
      </c>
      <c r="J3417" s="11">
        <v>853.87196432176188</v>
      </c>
      <c r="K3417" t="str">
        <f t="shared" si="116"/>
        <v>Ben Imsdahl</v>
      </c>
    </row>
    <row r="3418" spans="1:11" hidden="1" x14ac:dyDescent="0.35">
      <c r="A3418">
        <f t="shared" si="115"/>
        <v>3417</v>
      </c>
      <c r="B3418">
        <v>2021</v>
      </c>
      <c r="C3418" t="s">
        <v>263</v>
      </c>
      <c r="D3418" t="s">
        <v>2532</v>
      </c>
      <c r="E3418" t="s">
        <v>1430</v>
      </c>
      <c r="F3418" s="2">
        <v>728</v>
      </c>
      <c r="G3418" s="2">
        <v>1</v>
      </c>
      <c r="H3418" t="s">
        <v>245</v>
      </c>
      <c r="I3418" t="s">
        <v>2550</v>
      </c>
      <c r="J3418" s="11">
        <v>1431.3637641589874</v>
      </c>
      <c r="K3418" t="str">
        <f t="shared" si="116"/>
        <v>Cole Stewart</v>
      </c>
    </row>
    <row r="3419" spans="1:11" hidden="1" x14ac:dyDescent="0.35">
      <c r="A3419">
        <f t="shared" si="115"/>
        <v>3418</v>
      </c>
      <c r="B3419">
        <v>2021</v>
      </c>
      <c r="C3419" t="s">
        <v>263</v>
      </c>
      <c r="D3419" t="s">
        <v>2532</v>
      </c>
      <c r="E3419" t="s">
        <v>1430</v>
      </c>
      <c r="F3419" s="2">
        <v>488</v>
      </c>
      <c r="G3419" s="2">
        <v>2</v>
      </c>
      <c r="H3419" t="s">
        <v>2373</v>
      </c>
      <c r="I3419" t="s">
        <v>2374</v>
      </c>
      <c r="J3419" s="11">
        <v>1130.3337684950061</v>
      </c>
      <c r="K3419" t="str">
        <f t="shared" si="116"/>
        <v>Voltaire Ronquillo</v>
      </c>
    </row>
    <row r="3420" spans="1:11" hidden="1" x14ac:dyDescent="0.35">
      <c r="A3420">
        <f t="shared" si="115"/>
        <v>3419</v>
      </c>
      <c r="B3420">
        <v>2021</v>
      </c>
      <c r="C3420" t="s">
        <v>263</v>
      </c>
      <c r="D3420" t="s">
        <v>2532</v>
      </c>
      <c r="E3420" t="s">
        <v>1430</v>
      </c>
      <c r="F3420" s="2">
        <v>347</v>
      </c>
      <c r="G3420" s="2">
        <v>3</v>
      </c>
      <c r="H3420" t="s">
        <v>95</v>
      </c>
      <c r="I3420" t="s">
        <v>71</v>
      </c>
      <c r="J3420" s="11">
        <v>954.24250943932498</v>
      </c>
      <c r="K3420" t="str">
        <f t="shared" si="116"/>
        <v>Scott Samarel</v>
      </c>
    </row>
    <row r="3421" spans="1:11" hidden="1" x14ac:dyDescent="0.35">
      <c r="A3421">
        <f t="shared" si="115"/>
        <v>3420</v>
      </c>
      <c r="B3421">
        <v>2021</v>
      </c>
      <c r="C3421" t="s">
        <v>263</v>
      </c>
      <c r="D3421" t="s">
        <v>2532</v>
      </c>
      <c r="E3421" t="s">
        <v>1430</v>
      </c>
      <c r="F3421" s="2">
        <v>281</v>
      </c>
      <c r="G3421" s="2">
        <v>4</v>
      </c>
      <c r="H3421" t="s">
        <v>135</v>
      </c>
      <c r="I3421" t="s">
        <v>136</v>
      </c>
      <c r="J3421" s="11">
        <v>829.30377283102496</v>
      </c>
      <c r="K3421" t="str">
        <f t="shared" si="116"/>
        <v>John Scheinberg</v>
      </c>
    </row>
    <row r="3422" spans="1:11" hidden="1" x14ac:dyDescent="0.35">
      <c r="A3422">
        <f t="shared" ref="A3422:A3485" si="117">A3421+1</f>
        <v>3421</v>
      </c>
      <c r="B3422">
        <v>2021</v>
      </c>
      <c r="C3422" t="s">
        <v>263</v>
      </c>
      <c r="D3422" t="s">
        <v>2532</v>
      </c>
      <c r="E3422" t="s">
        <v>1430</v>
      </c>
      <c r="F3422" s="2">
        <v>216</v>
      </c>
      <c r="G3422" s="2">
        <v>5</v>
      </c>
      <c r="H3422" t="s">
        <v>16</v>
      </c>
      <c r="I3422" t="s">
        <v>59</v>
      </c>
      <c r="J3422" s="11">
        <v>732.39375982296849</v>
      </c>
      <c r="K3422" t="str">
        <f t="shared" si="116"/>
        <v>Jeanne David</v>
      </c>
    </row>
    <row r="3423" spans="1:11" hidden="1" x14ac:dyDescent="0.35">
      <c r="A3423">
        <f t="shared" si="117"/>
        <v>3422</v>
      </c>
      <c r="B3423">
        <v>2021</v>
      </c>
      <c r="C3423" t="s">
        <v>263</v>
      </c>
      <c r="D3423" t="s">
        <v>2532</v>
      </c>
      <c r="E3423" t="s">
        <v>1430</v>
      </c>
      <c r="F3423" s="2">
        <v>100</v>
      </c>
      <c r="G3423" s="2">
        <v>6</v>
      </c>
      <c r="H3423" t="s">
        <v>2553</v>
      </c>
      <c r="I3423" t="s">
        <v>415</v>
      </c>
      <c r="J3423" s="11">
        <v>653.21251377534372</v>
      </c>
      <c r="K3423" t="str">
        <f t="shared" si="116"/>
        <v>Pete Primiano</v>
      </c>
    </row>
    <row r="3424" spans="1:11" hidden="1" x14ac:dyDescent="0.35">
      <c r="A3424">
        <f t="shared" si="117"/>
        <v>3423</v>
      </c>
      <c r="B3424">
        <v>2021</v>
      </c>
      <c r="C3424" t="s">
        <v>263</v>
      </c>
      <c r="D3424" t="s">
        <v>770</v>
      </c>
      <c r="E3424" t="s">
        <v>1430</v>
      </c>
      <c r="F3424" s="2">
        <v>1586</v>
      </c>
      <c r="G3424" s="2">
        <v>1</v>
      </c>
      <c r="H3424" t="s">
        <v>880</v>
      </c>
      <c r="I3424" t="s">
        <v>252</v>
      </c>
      <c r="J3424" s="11">
        <v>1924.2792860618815</v>
      </c>
      <c r="K3424" t="str">
        <f t="shared" si="116"/>
        <v>Linda Johnson</v>
      </c>
    </row>
    <row r="3425" spans="1:11" hidden="1" x14ac:dyDescent="0.35">
      <c r="A3425">
        <f t="shared" si="117"/>
        <v>3424</v>
      </c>
      <c r="B3425">
        <v>2021</v>
      </c>
      <c r="C3425" t="s">
        <v>263</v>
      </c>
      <c r="D3425" t="s">
        <v>770</v>
      </c>
      <c r="E3425" t="s">
        <v>1430</v>
      </c>
      <c r="F3425" s="2">
        <v>1531</v>
      </c>
      <c r="G3425" s="2">
        <v>2</v>
      </c>
      <c r="H3425" t="s">
        <v>537</v>
      </c>
      <c r="I3425" t="s">
        <v>538</v>
      </c>
      <c r="J3425" s="11">
        <v>1623.2492903979003</v>
      </c>
      <c r="K3425" t="str">
        <f t="shared" si="116"/>
        <v>Cliff Matthews</v>
      </c>
    </row>
    <row r="3426" spans="1:11" hidden="1" x14ac:dyDescent="0.35">
      <c r="A3426">
        <f t="shared" si="117"/>
        <v>3425</v>
      </c>
      <c r="B3426">
        <v>2021</v>
      </c>
      <c r="C3426" t="s">
        <v>263</v>
      </c>
      <c r="D3426" t="s">
        <v>770</v>
      </c>
      <c r="E3426" t="s">
        <v>1430</v>
      </c>
      <c r="F3426" s="2">
        <v>1527</v>
      </c>
      <c r="G3426" s="2">
        <v>3</v>
      </c>
      <c r="H3426" t="s">
        <v>299</v>
      </c>
      <c r="I3426" t="s">
        <v>300</v>
      </c>
      <c r="J3426" s="11">
        <v>1447.1580313422191</v>
      </c>
      <c r="K3426" t="str">
        <f t="shared" si="116"/>
        <v>Gillian Groves</v>
      </c>
    </row>
    <row r="3427" spans="1:11" hidden="1" x14ac:dyDescent="0.35">
      <c r="A3427">
        <f t="shared" si="117"/>
        <v>3426</v>
      </c>
      <c r="B3427">
        <v>2021</v>
      </c>
      <c r="C3427" t="s">
        <v>263</v>
      </c>
      <c r="D3427" t="s">
        <v>770</v>
      </c>
      <c r="E3427" t="s">
        <v>1430</v>
      </c>
      <c r="F3427" s="2">
        <v>1440</v>
      </c>
      <c r="G3427" s="2">
        <v>4</v>
      </c>
      <c r="H3427" t="s">
        <v>1105</v>
      </c>
      <c r="I3427" t="s">
        <v>1106</v>
      </c>
      <c r="J3427" s="11">
        <v>1322.219294733919</v>
      </c>
      <c r="K3427" t="str">
        <f t="shared" si="116"/>
        <v>Ellis Starks</v>
      </c>
    </row>
    <row r="3428" spans="1:11" hidden="1" x14ac:dyDescent="0.35">
      <c r="A3428">
        <f t="shared" si="117"/>
        <v>3427</v>
      </c>
      <c r="B3428">
        <v>2021</v>
      </c>
      <c r="C3428" t="s">
        <v>263</v>
      </c>
      <c r="D3428" t="s">
        <v>770</v>
      </c>
      <c r="E3428" t="s">
        <v>1430</v>
      </c>
      <c r="F3428" s="2">
        <v>1101</v>
      </c>
      <c r="G3428" s="2">
        <v>5</v>
      </c>
      <c r="H3428" t="s">
        <v>2555</v>
      </c>
      <c r="I3428" t="s">
        <v>44</v>
      </c>
      <c r="J3428" s="11">
        <v>1225.3092817258628</v>
      </c>
      <c r="K3428" t="str">
        <f t="shared" si="116"/>
        <v>Mike Puskarich</v>
      </c>
    </row>
    <row r="3429" spans="1:11" hidden="1" x14ac:dyDescent="0.35">
      <c r="A3429">
        <f t="shared" si="117"/>
        <v>3428</v>
      </c>
      <c r="B3429">
        <v>2021</v>
      </c>
      <c r="C3429" t="s">
        <v>263</v>
      </c>
      <c r="D3429" t="s">
        <v>770</v>
      </c>
      <c r="E3429" t="s">
        <v>1430</v>
      </c>
      <c r="F3429" s="2">
        <v>210</v>
      </c>
      <c r="G3429" s="2">
        <v>6</v>
      </c>
      <c r="H3429" t="s">
        <v>204</v>
      </c>
      <c r="I3429" t="s">
        <v>205</v>
      </c>
      <c r="J3429" s="11">
        <v>1146.1280356782379</v>
      </c>
      <c r="K3429" t="str">
        <f t="shared" si="116"/>
        <v>Ron Grossberg</v>
      </c>
    </row>
    <row r="3430" spans="1:11" hidden="1" x14ac:dyDescent="0.35">
      <c r="A3430">
        <f t="shared" si="117"/>
        <v>3429</v>
      </c>
      <c r="B3430">
        <v>2021</v>
      </c>
      <c r="C3430" t="s">
        <v>263</v>
      </c>
      <c r="D3430" t="s">
        <v>770</v>
      </c>
      <c r="E3430" t="s">
        <v>1430</v>
      </c>
      <c r="F3430" s="2">
        <v>210</v>
      </c>
      <c r="G3430" s="2">
        <v>6</v>
      </c>
      <c r="H3430" t="s">
        <v>2432</v>
      </c>
      <c r="I3430" t="s">
        <v>139</v>
      </c>
      <c r="J3430" s="11">
        <v>1146.1280356782379</v>
      </c>
      <c r="K3430" t="str">
        <f t="shared" si="116"/>
        <v>Mark Haroldson</v>
      </c>
    </row>
    <row r="3431" spans="1:11" hidden="1" x14ac:dyDescent="0.35">
      <c r="A3431">
        <f t="shared" si="117"/>
        <v>3430</v>
      </c>
      <c r="B3431">
        <v>2021</v>
      </c>
      <c r="C3431" t="s">
        <v>263</v>
      </c>
      <c r="D3431" t="s">
        <v>770</v>
      </c>
      <c r="E3431" t="s">
        <v>1430</v>
      </c>
      <c r="F3431" s="2">
        <v>989</v>
      </c>
      <c r="G3431" s="2">
        <v>6</v>
      </c>
      <c r="H3431" t="s">
        <v>277</v>
      </c>
      <c r="I3431" t="s">
        <v>16</v>
      </c>
      <c r="J3431" s="11">
        <v>1146.1280356782379</v>
      </c>
      <c r="K3431" t="str">
        <f t="shared" si="116"/>
        <v>David Lawful</v>
      </c>
    </row>
    <row r="3432" spans="1:11" hidden="1" x14ac:dyDescent="0.35">
      <c r="A3432">
        <f t="shared" si="117"/>
        <v>3431</v>
      </c>
      <c r="B3432">
        <v>2021</v>
      </c>
      <c r="C3432" t="s">
        <v>263</v>
      </c>
      <c r="D3432" t="s">
        <v>770</v>
      </c>
      <c r="E3432" t="s">
        <v>1430</v>
      </c>
      <c r="F3432" s="2">
        <v>859</v>
      </c>
      <c r="G3432" s="2">
        <v>6</v>
      </c>
      <c r="H3432" t="s">
        <v>2553</v>
      </c>
      <c r="I3432" t="s">
        <v>2559</v>
      </c>
      <c r="J3432" s="11">
        <v>1146.1280356782379</v>
      </c>
      <c r="K3432" t="str">
        <f t="shared" si="116"/>
        <v>Ruthie Primiano</v>
      </c>
    </row>
    <row r="3433" spans="1:11" hidden="1" x14ac:dyDescent="0.35">
      <c r="A3433">
        <f t="shared" si="117"/>
        <v>3432</v>
      </c>
      <c r="B3433">
        <v>2021</v>
      </c>
      <c r="C3433" t="s">
        <v>263</v>
      </c>
      <c r="D3433" t="s">
        <v>770</v>
      </c>
      <c r="E3433" t="s">
        <v>1430</v>
      </c>
      <c r="F3433" s="2">
        <v>1047</v>
      </c>
      <c r="G3433" s="2">
        <v>6</v>
      </c>
      <c r="H3433" t="s">
        <v>2557</v>
      </c>
      <c r="I3433" t="s">
        <v>324</v>
      </c>
      <c r="J3433" s="11">
        <v>1146.1280356782379</v>
      </c>
      <c r="K3433" t="str">
        <f t="shared" si="116"/>
        <v>Andrew Studley</v>
      </c>
    </row>
    <row r="3434" spans="1:11" hidden="1" x14ac:dyDescent="0.35">
      <c r="A3434">
        <f t="shared" si="117"/>
        <v>3433</v>
      </c>
      <c r="B3434">
        <v>2021</v>
      </c>
      <c r="C3434" t="s">
        <v>68</v>
      </c>
      <c r="D3434" t="s">
        <v>1207</v>
      </c>
      <c r="E3434" t="s">
        <v>509</v>
      </c>
      <c r="F3434" s="2">
        <v>1728</v>
      </c>
      <c r="G3434" s="2">
        <v>1</v>
      </c>
      <c r="H3434" t="s">
        <v>95</v>
      </c>
      <c r="I3434" t="s">
        <v>71</v>
      </c>
      <c r="J3434" s="11">
        <v>1806.1799739838871</v>
      </c>
      <c r="K3434" t="str">
        <f t="shared" si="116"/>
        <v>Scott Samarel</v>
      </c>
    </row>
    <row r="3435" spans="1:11" hidden="1" x14ac:dyDescent="0.35">
      <c r="A3435">
        <f t="shared" si="117"/>
        <v>3434</v>
      </c>
      <c r="B3435">
        <v>2021</v>
      </c>
      <c r="C3435" t="s">
        <v>68</v>
      </c>
      <c r="D3435" t="s">
        <v>1207</v>
      </c>
      <c r="E3435" t="s">
        <v>509</v>
      </c>
      <c r="F3435" s="2">
        <v>1280</v>
      </c>
      <c r="G3435" s="2">
        <v>2</v>
      </c>
      <c r="H3435" t="s">
        <v>396</v>
      </c>
      <c r="I3435" t="s">
        <v>397</v>
      </c>
      <c r="J3435" s="11">
        <v>1505.1499783199058</v>
      </c>
      <c r="K3435" t="str">
        <f t="shared" si="116"/>
        <v>Asya Kamsky</v>
      </c>
    </row>
    <row r="3436" spans="1:11" hidden="1" x14ac:dyDescent="0.35">
      <c r="A3436">
        <f t="shared" si="117"/>
        <v>3435</v>
      </c>
      <c r="B3436">
        <v>2021</v>
      </c>
      <c r="C3436" t="s">
        <v>68</v>
      </c>
      <c r="D3436" t="s">
        <v>1207</v>
      </c>
      <c r="E3436" t="s">
        <v>509</v>
      </c>
      <c r="F3436" s="2">
        <v>960</v>
      </c>
      <c r="G3436" s="2">
        <v>3</v>
      </c>
      <c r="H3436" t="s">
        <v>266</v>
      </c>
      <c r="I3436" t="s">
        <v>28</v>
      </c>
      <c r="J3436" s="11">
        <v>1329.0587192642247</v>
      </c>
      <c r="K3436" t="str">
        <f t="shared" si="116"/>
        <v>Chris Mecklin</v>
      </c>
    </row>
    <row r="3437" spans="1:11" hidden="1" x14ac:dyDescent="0.35">
      <c r="A3437">
        <f t="shared" si="117"/>
        <v>3436</v>
      </c>
      <c r="B3437">
        <v>2021</v>
      </c>
      <c r="C3437" t="s">
        <v>68</v>
      </c>
      <c r="D3437" t="s">
        <v>1207</v>
      </c>
      <c r="E3437" t="s">
        <v>509</v>
      </c>
      <c r="F3437" s="2">
        <v>768</v>
      </c>
      <c r="G3437" s="2">
        <v>4</v>
      </c>
      <c r="H3437" t="s">
        <v>316</v>
      </c>
      <c r="I3437" t="s">
        <v>269</v>
      </c>
      <c r="J3437" s="11">
        <v>1204.1199826559246</v>
      </c>
      <c r="K3437" t="str">
        <f t="shared" si="116"/>
        <v>Keith Troell</v>
      </c>
    </row>
    <row r="3438" spans="1:11" hidden="1" x14ac:dyDescent="0.35">
      <c r="A3438">
        <f t="shared" si="117"/>
        <v>3437</v>
      </c>
      <c r="B3438">
        <v>2021</v>
      </c>
      <c r="C3438" t="s">
        <v>68</v>
      </c>
      <c r="D3438" t="s">
        <v>1207</v>
      </c>
      <c r="E3438" t="s">
        <v>509</v>
      </c>
      <c r="F3438" s="2">
        <v>640</v>
      </c>
      <c r="G3438" s="2">
        <v>5</v>
      </c>
      <c r="H3438" t="s">
        <v>1460</v>
      </c>
      <c r="I3438" t="s">
        <v>1461</v>
      </c>
      <c r="J3438" s="11">
        <v>1107.2099696478683</v>
      </c>
      <c r="K3438" t="str">
        <f t="shared" si="116"/>
        <v>Andreas Wolfram</v>
      </c>
    </row>
    <row r="3439" spans="1:11" hidden="1" x14ac:dyDescent="0.35">
      <c r="A3439">
        <f t="shared" si="117"/>
        <v>3438</v>
      </c>
      <c r="B3439">
        <v>2021</v>
      </c>
      <c r="C3439" t="s">
        <v>68</v>
      </c>
      <c r="D3439" t="s">
        <v>1207</v>
      </c>
      <c r="E3439" t="s">
        <v>509</v>
      </c>
      <c r="F3439" s="2">
        <v>448</v>
      </c>
      <c r="G3439" s="2">
        <v>6</v>
      </c>
      <c r="H3439" t="s">
        <v>477</v>
      </c>
      <c r="I3439" t="s">
        <v>136</v>
      </c>
      <c r="J3439" s="11">
        <v>1028.0287236002434</v>
      </c>
      <c r="K3439" t="str">
        <f t="shared" si="116"/>
        <v>John Lloyd</v>
      </c>
    </row>
    <row r="3440" spans="1:11" hidden="1" x14ac:dyDescent="0.35">
      <c r="A3440">
        <f t="shared" si="117"/>
        <v>3439</v>
      </c>
      <c r="B3440">
        <v>2021</v>
      </c>
      <c r="C3440" t="s">
        <v>68</v>
      </c>
      <c r="D3440" t="s">
        <v>1207</v>
      </c>
      <c r="E3440" t="s">
        <v>509</v>
      </c>
      <c r="F3440" s="2">
        <v>320</v>
      </c>
      <c r="G3440" s="2">
        <v>7</v>
      </c>
      <c r="H3440" t="s">
        <v>2401</v>
      </c>
      <c r="I3440" t="s">
        <v>2017</v>
      </c>
      <c r="J3440" s="11">
        <v>961.08193396963031</v>
      </c>
      <c r="K3440" t="str">
        <f t="shared" si="116"/>
        <v>Kathy Chang</v>
      </c>
    </row>
    <row r="3441" spans="1:11" hidden="1" x14ac:dyDescent="0.35">
      <c r="A3441">
        <f t="shared" si="117"/>
        <v>3440</v>
      </c>
      <c r="B3441">
        <v>2021</v>
      </c>
      <c r="C3441" t="s">
        <v>68</v>
      </c>
      <c r="D3441" t="s">
        <v>1207</v>
      </c>
      <c r="E3441" t="s">
        <v>509</v>
      </c>
      <c r="F3441" s="2">
        <v>256</v>
      </c>
      <c r="G3441" s="2">
        <v>8</v>
      </c>
      <c r="H3441" t="s">
        <v>48</v>
      </c>
      <c r="I3441" t="s">
        <v>49</v>
      </c>
      <c r="J3441" s="11">
        <v>903.08998699194353</v>
      </c>
      <c r="K3441" t="str">
        <f t="shared" si="116"/>
        <v>Regis Donovan</v>
      </c>
    </row>
    <row r="3442" spans="1:11" hidden="1" x14ac:dyDescent="0.35">
      <c r="A3442">
        <f t="shared" si="117"/>
        <v>3441</v>
      </c>
      <c r="B3442">
        <v>2021</v>
      </c>
      <c r="C3442" t="s">
        <v>68</v>
      </c>
      <c r="D3442" t="s">
        <v>2522</v>
      </c>
      <c r="E3442" t="s">
        <v>509</v>
      </c>
      <c r="F3442" s="2">
        <v>1850</v>
      </c>
      <c r="G3442" s="2">
        <v>1</v>
      </c>
      <c r="H3442" t="s">
        <v>1105</v>
      </c>
      <c r="I3442" t="s">
        <v>1106</v>
      </c>
      <c r="J3442" s="11">
        <v>1869.2317197309762</v>
      </c>
      <c r="K3442" t="str">
        <f t="shared" si="116"/>
        <v>Ellis Starks</v>
      </c>
    </row>
    <row r="3443" spans="1:11" hidden="1" x14ac:dyDescent="0.35">
      <c r="A3443">
        <f t="shared" si="117"/>
        <v>3442</v>
      </c>
      <c r="B3443">
        <v>2021</v>
      </c>
      <c r="C3443" t="s">
        <v>68</v>
      </c>
      <c r="D3443" t="s">
        <v>2522</v>
      </c>
      <c r="E3443" t="s">
        <v>509</v>
      </c>
      <c r="F3443" s="2">
        <v>1406</v>
      </c>
      <c r="G3443" s="2">
        <v>2</v>
      </c>
      <c r="H3443" t="s">
        <v>99</v>
      </c>
      <c r="I3443" t="s">
        <v>101</v>
      </c>
      <c r="J3443" s="11">
        <v>1568.201724066995</v>
      </c>
      <c r="K3443" t="str">
        <f t="shared" si="116"/>
        <v>Dean Kerl</v>
      </c>
    </row>
    <row r="3444" spans="1:11" hidden="1" x14ac:dyDescent="0.35">
      <c r="A3444">
        <f t="shared" si="117"/>
        <v>3443</v>
      </c>
      <c r="B3444">
        <v>2021</v>
      </c>
      <c r="C3444" t="s">
        <v>68</v>
      </c>
      <c r="D3444" t="s">
        <v>2522</v>
      </c>
      <c r="E3444" t="s">
        <v>509</v>
      </c>
      <c r="F3444" s="2">
        <v>1036</v>
      </c>
      <c r="G3444" s="2">
        <v>3</v>
      </c>
      <c r="H3444" t="s">
        <v>2363</v>
      </c>
      <c r="I3444" t="s">
        <v>2364</v>
      </c>
      <c r="J3444" s="11">
        <v>1392.1104650113139</v>
      </c>
      <c r="K3444" t="str">
        <f t="shared" si="116"/>
        <v>Shari Silk</v>
      </c>
    </row>
    <row r="3445" spans="1:11" hidden="1" x14ac:dyDescent="0.35">
      <c r="A3445">
        <f t="shared" si="117"/>
        <v>3444</v>
      </c>
      <c r="B3445">
        <v>2021</v>
      </c>
      <c r="C3445" t="s">
        <v>68</v>
      </c>
      <c r="D3445" t="s">
        <v>2522</v>
      </c>
      <c r="E3445" t="s">
        <v>509</v>
      </c>
      <c r="F3445" s="2">
        <v>740</v>
      </c>
      <c r="G3445" s="2">
        <v>4</v>
      </c>
      <c r="H3445" t="s">
        <v>86</v>
      </c>
      <c r="I3445" t="s">
        <v>271</v>
      </c>
      <c r="J3445" s="11">
        <v>1267.1717284030137</v>
      </c>
      <c r="K3445" t="str">
        <f t="shared" si="116"/>
        <v>Dan Goldman</v>
      </c>
    </row>
    <row r="3446" spans="1:11" hidden="1" x14ac:dyDescent="0.35">
      <c r="A3446">
        <f t="shared" si="117"/>
        <v>3445</v>
      </c>
      <c r="B3446">
        <v>2021</v>
      </c>
      <c r="C3446" t="s">
        <v>68</v>
      </c>
      <c r="D3446" t="s">
        <v>2522</v>
      </c>
      <c r="E3446" t="s">
        <v>509</v>
      </c>
      <c r="F3446" s="2">
        <v>592</v>
      </c>
      <c r="G3446" s="2">
        <v>5</v>
      </c>
      <c r="H3446" t="s">
        <v>1460</v>
      </c>
      <c r="I3446" t="s">
        <v>1461</v>
      </c>
      <c r="J3446" s="11">
        <v>1170.2617153949575</v>
      </c>
      <c r="K3446" t="str">
        <f t="shared" si="116"/>
        <v>Andreas Wolfram</v>
      </c>
    </row>
    <row r="3447" spans="1:11" hidden="1" x14ac:dyDescent="0.35">
      <c r="A3447">
        <f t="shared" si="117"/>
        <v>3446</v>
      </c>
      <c r="B3447">
        <v>2021</v>
      </c>
      <c r="C3447" t="s">
        <v>68</v>
      </c>
      <c r="D3447" t="s">
        <v>2522</v>
      </c>
      <c r="E3447" t="s">
        <v>509</v>
      </c>
      <c r="F3447" s="2">
        <v>444</v>
      </c>
      <c r="G3447" s="2">
        <v>6</v>
      </c>
      <c r="H3447" t="s">
        <v>226</v>
      </c>
      <c r="I3447" t="s">
        <v>227</v>
      </c>
      <c r="J3447" s="11">
        <v>1091.0804693473326</v>
      </c>
      <c r="K3447" t="str">
        <f t="shared" si="116"/>
        <v>Patti Beadles</v>
      </c>
    </row>
    <row r="3448" spans="1:11" hidden="1" x14ac:dyDescent="0.35">
      <c r="A3448">
        <f t="shared" si="117"/>
        <v>3447</v>
      </c>
      <c r="B3448">
        <v>2021</v>
      </c>
      <c r="C3448" t="s">
        <v>68</v>
      </c>
      <c r="D3448" t="s">
        <v>2522</v>
      </c>
      <c r="E3448" t="s">
        <v>509</v>
      </c>
      <c r="F3448" s="2">
        <v>222</v>
      </c>
      <c r="G3448" s="2">
        <v>7</v>
      </c>
      <c r="H3448" t="s">
        <v>37</v>
      </c>
      <c r="I3448" t="s">
        <v>38</v>
      </c>
      <c r="J3448" s="11">
        <v>1024.1336797167194</v>
      </c>
      <c r="K3448" t="str">
        <f t="shared" si="116"/>
        <v>Doug Grismore</v>
      </c>
    </row>
    <row r="3449" spans="1:11" hidden="1" x14ac:dyDescent="0.35">
      <c r="A3449">
        <f t="shared" si="117"/>
        <v>3448</v>
      </c>
      <c r="B3449">
        <v>2021</v>
      </c>
      <c r="C3449" t="s">
        <v>68</v>
      </c>
      <c r="D3449" t="s">
        <v>2522</v>
      </c>
      <c r="E3449" t="s">
        <v>509</v>
      </c>
      <c r="F3449" s="2">
        <v>222</v>
      </c>
      <c r="G3449" s="2">
        <v>8</v>
      </c>
      <c r="H3449" t="s">
        <v>285</v>
      </c>
      <c r="I3449" t="s">
        <v>119</v>
      </c>
      <c r="J3449" s="11">
        <v>966.1417327390327</v>
      </c>
      <c r="K3449" t="str">
        <f t="shared" si="116"/>
        <v>Peter Secor</v>
      </c>
    </row>
    <row r="3450" spans="1:11" hidden="1" x14ac:dyDescent="0.35">
      <c r="A3450">
        <f t="shared" si="117"/>
        <v>3449</v>
      </c>
      <c r="B3450">
        <v>2021</v>
      </c>
      <c r="C3450" t="s">
        <v>68</v>
      </c>
      <c r="D3450" t="s">
        <v>2522</v>
      </c>
      <c r="E3450" t="s">
        <v>509</v>
      </c>
      <c r="F3450" s="2">
        <v>222</v>
      </c>
      <c r="G3450" s="2">
        <v>9</v>
      </c>
      <c r="H3450" t="s">
        <v>2541</v>
      </c>
      <c r="I3450" t="s">
        <v>384</v>
      </c>
      <c r="J3450" s="11">
        <v>914.98921029165137</v>
      </c>
      <c r="K3450" t="str">
        <f t="shared" si="116"/>
        <v>Jeff Roberts</v>
      </c>
    </row>
    <row r="3451" spans="1:11" hidden="1" x14ac:dyDescent="0.35">
      <c r="A3451">
        <f t="shared" si="117"/>
        <v>3450</v>
      </c>
      <c r="B3451">
        <v>2021</v>
      </c>
      <c r="C3451" t="s">
        <v>68</v>
      </c>
      <c r="D3451" t="s">
        <v>2522</v>
      </c>
      <c r="E3451" t="s">
        <v>509</v>
      </c>
      <c r="F3451" s="2">
        <v>222</v>
      </c>
      <c r="G3451" s="2">
        <v>10</v>
      </c>
      <c r="H3451" t="s">
        <v>1504</v>
      </c>
      <c r="I3451" t="s">
        <v>1050</v>
      </c>
      <c r="J3451" s="11">
        <v>869.23171973097624</v>
      </c>
      <c r="K3451" t="str">
        <f t="shared" si="116"/>
        <v>Eileen Milligan</v>
      </c>
    </row>
    <row r="3452" spans="1:11" hidden="1" x14ac:dyDescent="0.35">
      <c r="A3452">
        <f t="shared" si="117"/>
        <v>3451</v>
      </c>
      <c r="B3452">
        <v>2021</v>
      </c>
      <c r="C3452" t="s">
        <v>68</v>
      </c>
      <c r="D3452" t="s">
        <v>2522</v>
      </c>
      <c r="E3452" t="s">
        <v>509</v>
      </c>
      <c r="F3452" s="2">
        <v>222</v>
      </c>
      <c r="G3452" s="2">
        <v>11</v>
      </c>
      <c r="H3452" t="s">
        <v>64</v>
      </c>
      <c r="I3452" t="s">
        <v>65</v>
      </c>
      <c r="J3452" s="11">
        <v>827.83903457275107</v>
      </c>
      <c r="K3452" t="str">
        <f t="shared" si="116"/>
        <v>Steve Daniel</v>
      </c>
    </row>
    <row r="3453" spans="1:11" hidden="1" x14ac:dyDescent="0.35">
      <c r="A3453">
        <f t="shared" si="117"/>
        <v>3452</v>
      </c>
      <c r="B3453">
        <v>2021</v>
      </c>
      <c r="C3453" t="s">
        <v>68</v>
      </c>
      <c r="D3453" t="s">
        <v>2522</v>
      </c>
      <c r="E3453" t="s">
        <v>509</v>
      </c>
      <c r="F3453" s="2">
        <v>222</v>
      </c>
      <c r="G3453" s="2">
        <v>12</v>
      </c>
      <c r="H3453" t="s">
        <v>50</v>
      </c>
      <c r="I3453" t="s">
        <v>25</v>
      </c>
      <c r="J3453" s="11">
        <v>790.05047368335136</v>
      </c>
      <c r="K3453" t="str">
        <f t="shared" si="116"/>
        <v>Russell Fox</v>
      </c>
    </row>
    <row r="3454" spans="1:11" hidden="1" x14ac:dyDescent="0.35">
      <c r="A3454">
        <f t="shared" si="117"/>
        <v>3453</v>
      </c>
      <c r="B3454">
        <v>2021</v>
      </c>
      <c r="C3454" t="s">
        <v>68</v>
      </c>
      <c r="D3454" t="s">
        <v>2525</v>
      </c>
      <c r="E3454" t="s">
        <v>1430</v>
      </c>
      <c r="F3454" s="2">
        <v>941</v>
      </c>
      <c r="G3454" s="2">
        <v>1</v>
      </c>
      <c r="H3454" t="s">
        <v>526</v>
      </c>
      <c r="I3454" t="s">
        <v>136</v>
      </c>
      <c r="J3454" s="11">
        <v>1748.1880270062004</v>
      </c>
      <c r="K3454" t="str">
        <f t="shared" si="116"/>
        <v>John Reed</v>
      </c>
    </row>
    <row r="3455" spans="1:11" hidden="1" x14ac:dyDescent="0.35">
      <c r="A3455">
        <f t="shared" si="117"/>
        <v>3454</v>
      </c>
      <c r="B3455">
        <v>2021</v>
      </c>
      <c r="C3455" t="s">
        <v>68</v>
      </c>
      <c r="D3455" t="s">
        <v>2525</v>
      </c>
      <c r="E3455" t="s">
        <v>1430</v>
      </c>
      <c r="F3455" s="2">
        <v>706</v>
      </c>
      <c r="G3455" s="2">
        <v>2</v>
      </c>
      <c r="H3455" t="s">
        <v>2476</v>
      </c>
      <c r="I3455" t="s">
        <v>77</v>
      </c>
      <c r="J3455" s="11">
        <v>1447.1580313422191</v>
      </c>
      <c r="K3455" t="str">
        <f t="shared" si="116"/>
        <v>Eric Schneller</v>
      </c>
    </row>
    <row r="3456" spans="1:11" hidden="1" x14ac:dyDescent="0.35">
      <c r="A3456">
        <f t="shared" si="117"/>
        <v>3455</v>
      </c>
      <c r="B3456">
        <v>2021</v>
      </c>
      <c r="C3456" t="s">
        <v>68</v>
      </c>
      <c r="D3456" t="s">
        <v>2525</v>
      </c>
      <c r="E3456" t="s">
        <v>1430</v>
      </c>
      <c r="F3456" s="2">
        <v>537</v>
      </c>
      <c r="G3456" s="2">
        <v>3</v>
      </c>
      <c r="H3456" t="s">
        <v>1111</v>
      </c>
      <c r="I3456" t="s">
        <v>1112</v>
      </c>
      <c r="J3456" s="11">
        <v>1271.066772286538</v>
      </c>
      <c r="K3456" t="str">
        <f t="shared" si="116"/>
        <v>Oliver Juang</v>
      </c>
    </row>
    <row r="3457" spans="1:11" hidden="1" x14ac:dyDescent="0.35">
      <c r="A3457">
        <f t="shared" si="117"/>
        <v>3456</v>
      </c>
      <c r="B3457">
        <v>2021</v>
      </c>
      <c r="C3457" t="s">
        <v>68</v>
      </c>
      <c r="D3457" t="s">
        <v>2525</v>
      </c>
      <c r="E3457" t="s">
        <v>1430</v>
      </c>
      <c r="F3457" s="2">
        <v>437</v>
      </c>
      <c r="G3457" s="2">
        <v>4</v>
      </c>
      <c r="H3457" t="s">
        <v>21</v>
      </c>
      <c r="I3457" t="s">
        <v>463</v>
      </c>
      <c r="J3457" s="11">
        <v>1146.1280356782381</v>
      </c>
      <c r="K3457" t="str">
        <f t="shared" si="116"/>
        <v>Richard Bremer</v>
      </c>
    </row>
    <row r="3458" spans="1:11" hidden="1" x14ac:dyDescent="0.35">
      <c r="A3458">
        <f t="shared" si="117"/>
        <v>3457</v>
      </c>
      <c r="B3458">
        <v>2021</v>
      </c>
      <c r="C3458" t="s">
        <v>68</v>
      </c>
      <c r="D3458" t="s">
        <v>2525</v>
      </c>
      <c r="E3458" t="s">
        <v>1430</v>
      </c>
      <c r="F3458" s="2">
        <v>336</v>
      </c>
      <c r="G3458" s="2">
        <v>5</v>
      </c>
      <c r="H3458" t="s">
        <v>2536</v>
      </c>
      <c r="I3458" t="s">
        <v>22</v>
      </c>
      <c r="J3458" s="11">
        <v>1049.2180226701814</v>
      </c>
      <c r="K3458" t="str">
        <f t="shared" ref="K3458:K3521" si="118">I3458&amp;" "&amp;H3458</f>
        <v>Rich Vehlow</v>
      </c>
    </row>
    <row r="3459" spans="1:11" hidden="1" x14ac:dyDescent="0.35">
      <c r="A3459">
        <f t="shared" si="117"/>
        <v>3458</v>
      </c>
      <c r="B3459">
        <v>2021</v>
      </c>
      <c r="C3459" t="s">
        <v>68</v>
      </c>
      <c r="D3459" t="s">
        <v>2525</v>
      </c>
      <c r="E3459" t="s">
        <v>1430</v>
      </c>
      <c r="F3459" s="2">
        <v>235</v>
      </c>
      <c r="G3459" s="2">
        <v>6</v>
      </c>
      <c r="H3459" t="s">
        <v>217</v>
      </c>
      <c r="I3459" t="s">
        <v>218</v>
      </c>
      <c r="J3459" s="11">
        <v>970.03677662255677</v>
      </c>
      <c r="K3459" t="str">
        <f t="shared" si="118"/>
        <v>Michael Patterson</v>
      </c>
    </row>
    <row r="3460" spans="1:11" hidden="1" x14ac:dyDescent="0.35">
      <c r="A3460">
        <f t="shared" si="117"/>
        <v>3459</v>
      </c>
      <c r="B3460">
        <v>2021</v>
      </c>
      <c r="C3460" t="s">
        <v>68</v>
      </c>
      <c r="D3460" t="s">
        <v>2525</v>
      </c>
      <c r="E3460" t="s">
        <v>1430</v>
      </c>
      <c r="F3460" s="2">
        <v>168</v>
      </c>
      <c r="G3460" s="2">
        <v>7</v>
      </c>
      <c r="H3460" t="s">
        <v>74</v>
      </c>
      <c r="I3460" t="s">
        <v>75</v>
      </c>
      <c r="J3460" s="11">
        <v>903.08998699194365</v>
      </c>
      <c r="K3460" t="str">
        <f t="shared" si="118"/>
        <v>Sabyl Landrum</v>
      </c>
    </row>
    <row r="3461" spans="1:11" hidden="1" x14ac:dyDescent="0.35">
      <c r="A3461">
        <f t="shared" si="117"/>
        <v>3460</v>
      </c>
      <c r="B3461">
        <v>2021</v>
      </c>
      <c r="C3461" t="s">
        <v>68</v>
      </c>
      <c r="D3461" t="s">
        <v>2523</v>
      </c>
      <c r="E3461" t="s">
        <v>1430</v>
      </c>
      <c r="F3461" s="2">
        <v>1053</v>
      </c>
      <c r="G3461" s="2">
        <v>1</v>
      </c>
      <c r="H3461" t="s">
        <v>211</v>
      </c>
      <c r="I3461" t="s">
        <v>187</v>
      </c>
      <c r="J3461" s="11">
        <v>1812.9133566428554</v>
      </c>
      <c r="K3461" t="str">
        <f t="shared" si="118"/>
        <v>Joe Long</v>
      </c>
    </row>
    <row r="3462" spans="1:11" hidden="1" x14ac:dyDescent="0.35">
      <c r="A3462">
        <f t="shared" si="117"/>
        <v>3461</v>
      </c>
      <c r="B3462">
        <v>2021</v>
      </c>
      <c r="C3462" t="s">
        <v>68</v>
      </c>
      <c r="D3462" t="s">
        <v>2523</v>
      </c>
      <c r="E3462" t="s">
        <v>1430</v>
      </c>
      <c r="F3462" s="2">
        <v>780</v>
      </c>
      <c r="G3462" s="2">
        <v>2</v>
      </c>
      <c r="H3462" t="s">
        <v>88</v>
      </c>
      <c r="I3462" t="s">
        <v>89</v>
      </c>
      <c r="J3462" s="11">
        <v>1511.8833609788742</v>
      </c>
      <c r="K3462" t="str">
        <f t="shared" si="118"/>
        <v>Ken Kubey</v>
      </c>
    </row>
    <row r="3463" spans="1:11" hidden="1" x14ac:dyDescent="0.35">
      <c r="A3463">
        <f t="shared" si="117"/>
        <v>3462</v>
      </c>
      <c r="B3463">
        <v>2021</v>
      </c>
      <c r="C3463" t="s">
        <v>68</v>
      </c>
      <c r="D3463" t="s">
        <v>2523</v>
      </c>
      <c r="E3463" t="s">
        <v>1430</v>
      </c>
      <c r="F3463" s="2">
        <v>585</v>
      </c>
      <c r="G3463" s="2">
        <v>3</v>
      </c>
      <c r="H3463" t="s">
        <v>1719</v>
      </c>
      <c r="I3463" t="s">
        <v>524</v>
      </c>
      <c r="J3463" s="11">
        <v>1335.7921019231931</v>
      </c>
      <c r="K3463" t="str">
        <f t="shared" si="118"/>
        <v>Guy Berentsen</v>
      </c>
    </row>
    <row r="3464" spans="1:11" hidden="1" x14ac:dyDescent="0.35">
      <c r="A3464">
        <f t="shared" si="117"/>
        <v>3463</v>
      </c>
      <c r="B3464">
        <v>2021</v>
      </c>
      <c r="C3464" t="s">
        <v>68</v>
      </c>
      <c r="D3464" t="s">
        <v>2523</v>
      </c>
      <c r="E3464" t="s">
        <v>1430</v>
      </c>
      <c r="F3464" s="2">
        <v>468</v>
      </c>
      <c r="G3464" s="2">
        <v>4</v>
      </c>
      <c r="H3464" t="s">
        <v>1460</v>
      </c>
      <c r="I3464" t="s">
        <v>1461</v>
      </c>
      <c r="J3464" s="11">
        <v>1210.8533653148932</v>
      </c>
      <c r="K3464" t="str">
        <f t="shared" si="118"/>
        <v>Andreas Wolfram</v>
      </c>
    </row>
    <row r="3465" spans="1:11" hidden="1" x14ac:dyDescent="0.35">
      <c r="A3465">
        <f t="shared" si="117"/>
        <v>3464</v>
      </c>
      <c r="B3465">
        <v>2021</v>
      </c>
      <c r="C3465" t="s">
        <v>68</v>
      </c>
      <c r="D3465" t="s">
        <v>2523</v>
      </c>
      <c r="E3465" t="s">
        <v>1430</v>
      </c>
      <c r="F3465" s="2">
        <v>390</v>
      </c>
      <c r="G3465" s="2">
        <v>5</v>
      </c>
      <c r="H3465" t="s">
        <v>883</v>
      </c>
      <c r="I3465" t="s">
        <v>884</v>
      </c>
      <c r="J3465" s="11">
        <v>1113.9433523068365</v>
      </c>
      <c r="K3465" t="str">
        <f t="shared" si="118"/>
        <v>Salim Valimahomed</v>
      </c>
    </row>
    <row r="3466" spans="1:11" hidden="1" x14ac:dyDescent="0.35">
      <c r="A3466">
        <f t="shared" si="117"/>
        <v>3465</v>
      </c>
      <c r="B3466">
        <v>2021</v>
      </c>
      <c r="C3466" t="s">
        <v>68</v>
      </c>
      <c r="D3466" t="s">
        <v>2523</v>
      </c>
      <c r="E3466" t="s">
        <v>1430</v>
      </c>
      <c r="F3466" s="2">
        <v>273</v>
      </c>
      <c r="G3466" s="2">
        <v>6</v>
      </c>
      <c r="H3466" t="s">
        <v>70</v>
      </c>
      <c r="I3466" t="s">
        <v>71</v>
      </c>
      <c r="J3466" s="11">
        <v>1034.7621062592118</v>
      </c>
      <c r="K3466" t="str">
        <f t="shared" si="118"/>
        <v>Scott Byron</v>
      </c>
    </row>
    <row r="3467" spans="1:11" hidden="1" x14ac:dyDescent="0.35">
      <c r="A3467">
        <f t="shared" si="117"/>
        <v>3466</v>
      </c>
      <c r="B3467">
        <v>2021</v>
      </c>
      <c r="C3467" t="s">
        <v>68</v>
      </c>
      <c r="D3467" t="s">
        <v>2523</v>
      </c>
      <c r="E3467" t="s">
        <v>1430</v>
      </c>
      <c r="F3467" s="2">
        <v>195</v>
      </c>
      <c r="G3467" s="2">
        <v>7</v>
      </c>
      <c r="H3467" t="s">
        <v>903</v>
      </c>
      <c r="I3467" t="s">
        <v>71</v>
      </c>
      <c r="J3467" s="11">
        <v>967.81531662859868</v>
      </c>
      <c r="K3467" t="str">
        <f t="shared" si="118"/>
        <v>Scott Harker</v>
      </c>
    </row>
    <row r="3468" spans="1:11" hidden="1" x14ac:dyDescent="0.35">
      <c r="A3468">
        <f t="shared" si="117"/>
        <v>3467</v>
      </c>
      <c r="B3468">
        <v>2021</v>
      </c>
      <c r="C3468" t="s">
        <v>68</v>
      </c>
      <c r="D3468" t="s">
        <v>2523</v>
      </c>
      <c r="E3468" t="s">
        <v>1430</v>
      </c>
      <c r="F3468" s="2">
        <v>156</v>
      </c>
      <c r="G3468" s="2">
        <v>8</v>
      </c>
      <c r="H3468" t="s">
        <v>90</v>
      </c>
      <c r="I3468" t="s">
        <v>22</v>
      </c>
      <c r="J3468" s="11">
        <v>909.8233696509119</v>
      </c>
      <c r="K3468" t="str">
        <f t="shared" si="118"/>
        <v>Rich Strauss</v>
      </c>
    </row>
    <row r="3469" spans="1:11" hidden="1" x14ac:dyDescent="0.35">
      <c r="A3469">
        <f t="shared" si="117"/>
        <v>3468</v>
      </c>
      <c r="B3469">
        <v>2021</v>
      </c>
      <c r="C3469" t="s">
        <v>68</v>
      </c>
      <c r="D3469" t="s">
        <v>2524</v>
      </c>
      <c r="E3469" t="s">
        <v>1429</v>
      </c>
      <c r="F3469" s="2">
        <v>2430</v>
      </c>
      <c r="G3469" s="2">
        <v>1</v>
      </c>
      <c r="H3469" t="s">
        <v>251</v>
      </c>
      <c r="I3469" t="s">
        <v>71</v>
      </c>
      <c r="J3469" s="11">
        <v>1875.0612633917001</v>
      </c>
      <c r="K3469" t="str">
        <f t="shared" si="118"/>
        <v>Scott Lewis</v>
      </c>
    </row>
    <row r="3470" spans="1:11" hidden="1" x14ac:dyDescent="0.35">
      <c r="A3470">
        <f t="shared" si="117"/>
        <v>3469</v>
      </c>
      <c r="B3470">
        <v>2021</v>
      </c>
      <c r="C3470" t="s">
        <v>68</v>
      </c>
      <c r="D3470" t="s">
        <v>2524</v>
      </c>
      <c r="E3470" t="s">
        <v>1429</v>
      </c>
      <c r="F3470" s="2">
        <v>1800</v>
      </c>
      <c r="G3470" s="2">
        <v>2</v>
      </c>
      <c r="H3470" t="s">
        <v>204</v>
      </c>
      <c r="I3470" t="s">
        <v>205</v>
      </c>
      <c r="J3470" s="11">
        <v>1574.0312677277188</v>
      </c>
      <c r="K3470" t="str">
        <f t="shared" si="118"/>
        <v>Ron Grossberg</v>
      </c>
    </row>
    <row r="3471" spans="1:11" hidden="1" x14ac:dyDescent="0.35">
      <c r="A3471">
        <f t="shared" si="117"/>
        <v>3470</v>
      </c>
      <c r="B3471">
        <v>2021</v>
      </c>
      <c r="C3471" t="s">
        <v>68</v>
      </c>
      <c r="D3471" t="s">
        <v>2524</v>
      </c>
      <c r="E3471" t="s">
        <v>1429</v>
      </c>
      <c r="F3471" s="2">
        <v>1350</v>
      </c>
      <c r="G3471" s="2">
        <v>3</v>
      </c>
      <c r="H3471" t="s">
        <v>294</v>
      </c>
      <c r="I3471" t="s">
        <v>16</v>
      </c>
      <c r="J3471" s="11">
        <v>1397.9400086720377</v>
      </c>
      <c r="K3471" t="str">
        <f t="shared" si="118"/>
        <v>David Low</v>
      </c>
    </row>
    <row r="3472" spans="1:11" hidden="1" x14ac:dyDescent="0.35">
      <c r="A3472">
        <f t="shared" si="117"/>
        <v>3471</v>
      </c>
      <c r="B3472">
        <v>2021</v>
      </c>
      <c r="C3472" t="s">
        <v>68</v>
      </c>
      <c r="D3472" t="s">
        <v>2524</v>
      </c>
      <c r="E3472" t="s">
        <v>1429</v>
      </c>
      <c r="F3472" s="2">
        <v>1080</v>
      </c>
      <c r="G3472" s="2">
        <v>4</v>
      </c>
      <c r="H3472" t="s">
        <v>48</v>
      </c>
      <c r="I3472" t="s">
        <v>49</v>
      </c>
      <c r="J3472" s="11">
        <v>1273.0012720637376</v>
      </c>
      <c r="K3472" t="str">
        <f t="shared" si="118"/>
        <v>Regis Donovan</v>
      </c>
    </row>
    <row r="3473" spans="1:11" hidden="1" x14ac:dyDescent="0.35">
      <c r="A3473">
        <f t="shared" si="117"/>
        <v>3472</v>
      </c>
      <c r="B3473">
        <v>2021</v>
      </c>
      <c r="C3473" t="s">
        <v>68</v>
      </c>
      <c r="D3473" t="s">
        <v>2524</v>
      </c>
      <c r="E3473" t="s">
        <v>1429</v>
      </c>
      <c r="F3473" s="2">
        <v>900</v>
      </c>
      <c r="G3473" s="2">
        <v>5</v>
      </c>
      <c r="H3473" t="s">
        <v>211</v>
      </c>
      <c r="I3473" t="s">
        <v>187</v>
      </c>
      <c r="J3473" s="11">
        <v>1176.0912590556813</v>
      </c>
      <c r="K3473" t="str">
        <f t="shared" si="118"/>
        <v>Joe Long</v>
      </c>
    </row>
    <row r="3474" spans="1:11" hidden="1" x14ac:dyDescent="0.35">
      <c r="A3474">
        <f t="shared" si="117"/>
        <v>3473</v>
      </c>
      <c r="B3474">
        <v>2021</v>
      </c>
      <c r="C3474" t="s">
        <v>68</v>
      </c>
      <c r="D3474" t="s">
        <v>2524</v>
      </c>
      <c r="E3474" t="s">
        <v>1429</v>
      </c>
      <c r="F3474" s="2">
        <v>630</v>
      </c>
      <c r="G3474" s="2">
        <v>6</v>
      </c>
      <c r="H3474" t="s">
        <v>526</v>
      </c>
      <c r="I3474" t="s">
        <v>136</v>
      </c>
      <c r="J3474" s="11">
        <v>1096.9100130080565</v>
      </c>
      <c r="K3474" t="str">
        <f t="shared" si="118"/>
        <v>John Reed</v>
      </c>
    </row>
    <row r="3475" spans="1:11" hidden="1" x14ac:dyDescent="0.35">
      <c r="A3475">
        <f t="shared" si="117"/>
        <v>3474</v>
      </c>
      <c r="B3475">
        <v>2021</v>
      </c>
      <c r="C3475" t="s">
        <v>68</v>
      </c>
      <c r="D3475" t="s">
        <v>2524</v>
      </c>
      <c r="E3475" t="s">
        <v>1429</v>
      </c>
      <c r="F3475" s="2">
        <v>450</v>
      </c>
      <c r="G3475" s="2">
        <v>7</v>
      </c>
      <c r="H3475" t="s">
        <v>64</v>
      </c>
      <c r="I3475" t="s">
        <v>65</v>
      </c>
      <c r="J3475" s="11">
        <v>1029.9632233774432</v>
      </c>
      <c r="K3475" t="str">
        <f t="shared" si="118"/>
        <v>Steve Daniel</v>
      </c>
    </row>
    <row r="3476" spans="1:11" hidden="1" x14ac:dyDescent="0.35">
      <c r="A3476">
        <f t="shared" si="117"/>
        <v>3475</v>
      </c>
      <c r="B3476">
        <v>2021</v>
      </c>
      <c r="C3476" t="s">
        <v>68</v>
      </c>
      <c r="D3476" t="s">
        <v>2524</v>
      </c>
      <c r="E3476" t="s">
        <v>1429</v>
      </c>
      <c r="F3476" s="2">
        <v>360</v>
      </c>
      <c r="G3476" s="2">
        <v>8</v>
      </c>
      <c r="H3476" t="s">
        <v>1719</v>
      </c>
      <c r="I3476" t="s">
        <v>524</v>
      </c>
      <c r="J3476" s="11">
        <v>971.97127639975656</v>
      </c>
      <c r="K3476" t="str">
        <f t="shared" si="118"/>
        <v>Guy Berentsen</v>
      </c>
    </row>
    <row r="3477" spans="1:11" hidden="1" x14ac:dyDescent="0.35">
      <c r="A3477">
        <f t="shared" si="117"/>
        <v>3476</v>
      </c>
      <c r="B3477">
        <v>2021</v>
      </c>
      <c r="C3477" t="s">
        <v>8</v>
      </c>
      <c r="D3477" t="s">
        <v>9</v>
      </c>
      <c r="E3477" t="s">
        <v>1429</v>
      </c>
      <c r="F3477" s="2">
        <v>1200</v>
      </c>
      <c r="G3477" s="2">
        <v>1</v>
      </c>
      <c r="H3477" t="s">
        <v>31</v>
      </c>
      <c r="I3477" t="s">
        <v>16</v>
      </c>
      <c r="J3477" s="11">
        <v>845.09804001425687</v>
      </c>
      <c r="K3477" t="str">
        <f t="shared" si="118"/>
        <v>David Aronson</v>
      </c>
    </row>
    <row r="3478" spans="1:11" hidden="1" x14ac:dyDescent="0.35">
      <c r="A3478">
        <f t="shared" si="117"/>
        <v>3477</v>
      </c>
      <c r="B3478">
        <v>2021</v>
      </c>
      <c r="C3478" t="s">
        <v>8</v>
      </c>
      <c r="D3478" t="s">
        <v>9</v>
      </c>
      <c r="E3478" t="s">
        <v>1429</v>
      </c>
      <c r="F3478" s="2">
        <v>900</v>
      </c>
      <c r="G3478" s="2">
        <v>2</v>
      </c>
      <c r="H3478" t="s">
        <v>19</v>
      </c>
      <c r="I3478" t="s">
        <v>20</v>
      </c>
      <c r="J3478" s="11">
        <v>694.58304218226624</v>
      </c>
      <c r="K3478" t="str">
        <f t="shared" si="118"/>
        <v>Barry Kornspan</v>
      </c>
    </row>
    <row r="3479" spans="1:11" hidden="1" x14ac:dyDescent="0.35">
      <c r="A3479">
        <f t="shared" si="117"/>
        <v>3478</v>
      </c>
      <c r="B3479">
        <v>2021</v>
      </c>
      <c r="C3479" t="s">
        <v>8</v>
      </c>
      <c r="D3479" t="s">
        <v>9</v>
      </c>
      <c r="E3479" t="s">
        <v>1429</v>
      </c>
      <c r="F3479" s="2">
        <v>600</v>
      </c>
      <c r="G3479" s="2">
        <v>3</v>
      </c>
      <c r="H3479" t="s">
        <v>99</v>
      </c>
      <c r="I3479" t="s">
        <v>2500</v>
      </c>
      <c r="J3479" s="11">
        <v>606.53741265442568</v>
      </c>
      <c r="K3479" t="str">
        <f t="shared" si="118"/>
        <v>Bex Kerl</v>
      </c>
    </row>
    <row r="3480" spans="1:11" hidden="1" x14ac:dyDescent="0.35">
      <c r="A3480">
        <f t="shared" si="117"/>
        <v>3479</v>
      </c>
      <c r="B3480">
        <v>2021</v>
      </c>
      <c r="C3480" t="s">
        <v>8</v>
      </c>
      <c r="D3480" t="s">
        <v>9</v>
      </c>
      <c r="E3480" t="s">
        <v>1429</v>
      </c>
      <c r="F3480" s="2">
        <v>500</v>
      </c>
      <c r="G3480" s="2">
        <v>4</v>
      </c>
      <c r="H3480" t="s">
        <v>316</v>
      </c>
      <c r="I3480" t="s">
        <v>269</v>
      </c>
      <c r="J3480" s="11">
        <v>544.06804435027561</v>
      </c>
      <c r="K3480" t="str">
        <f t="shared" si="118"/>
        <v>Keith Troell</v>
      </c>
    </row>
    <row r="3481" spans="1:11" hidden="1" x14ac:dyDescent="0.35">
      <c r="A3481">
        <f t="shared" si="117"/>
        <v>3480</v>
      </c>
      <c r="B3481">
        <v>2021</v>
      </c>
      <c r="C3481" t="s">
        <v>8</v>
      </c>
      <c r="D3481" t="s">
        <v>9</v>
      </c>
      <c r="E3481" t="s">
        <v>1429</v>
      </c>
      <c r="F3481" s="2">
        <v>400</v>
      </c>
      <c r="G3481" s="2">
        <v>5</v>
      </c>
      <c r="H3481" t="s">
        <v>388</v>
      </c>
      <c r="I3481" t="s">
        <v>200</v>
      </c>
      <c r="J3481" s="11">
        <v>495.61303784624738</v>
      </c>
      <c r="K3481" t="str">
        <f t="shared" si="118"/>
        <v>Rick Charles</v>
      </c>
    </row>
    <row r="3482" spans="1:11" hidden="1" x14ac:dyDescent="0.35">
      <c r="A3482">
        <f t="shared" si="117"/>
        <v>3481</v>
      </c>
      <c r="B3482">
        <v>2021</v>
      </c>
      <c r="C3482" t="s">
        <v>8</v>
      </c>
      <c r="D3482" t="s">
        <v>9</v>
      </c>
      <c r="E3482" t="s">
        <v>1429</v>
      </c>
      <c r="F3482" s="2">
        <v>400</v>
      </c>
      <c r="G3482" s="2">
        <v>5</v>
      </c>
      <c r="H3482" t="s">
        <v>294</v>
      </c>
      <c r="I3482" t="s">
        <v>16</v>
      </c>
      <c r="J3482" s="11">
        <v>495.61303784624738</v>
      </c>
      <c r="K3482" t="str">
        <f t="shared" si="118"/>
        <v>David Low</v>
      </c>
    </row>
    <row r="3483" spans="1:11" hidden="1" x14ac:dyDescent="0.35">
      <c r="A3483">
        <f t="shared" si="117"/>
        <v>3482</v>
      </c>
      <c r="B3483">
        <v>2021</v>
      </c>
      <c r="C3483" t="s">
        <v>8</v>
      </c>
      <c r="D3483" t="s">
        <v>9</v>
      </c>
      <c r="E3483" t="s">
        <v>1429</v>
      </c>
      <c r="F3483" s="2">
        <v>400</v>
      </c>
      <c r="G3483" s="2">
        <v>5</v>
      </c>
      <c r="H3483" t="s">
        <v>202</v>
      </c>
      <c r="I3483" t="s">
        <v>205</v>
      </c>
      <c r="J3483" s="11">
        <v>495.61303784624738</v>
      </c>
      <c r="K3483" t="str">
        <f t="shared" si="118"/>
        <v>Ron Lyons</v>
      </c>
    </row>
    <row r="3484" spans="1:11" hidden="1" x14ac:dyDescent="0.35">
      <c r="A3484">
        <f t="shared" si="117"/>
        <v>3483</v>
      </c>
      <c r="B3484">
        <v>2021</v>
      </c>
      <c r="C3484" t="s">
        <v>8</v>
      </c>
      <c r="D3484" t="s">
        <v>9</v>
      </c>
      <c r="E3484" t="s">
        <v>1429</v>
      </c>
      <c r="F3484" s="2">
        <v>400</v>
      </c>
      <c r="G3484" s="2">
        <v>5</v>
      </c>
      <c r="H3484" t="s">
        <v>526</v>
      </c>
      <c r="I3484" t="s">
        <v>136</v>
      </c>
      <c r="J3484" s="11">
        <v>495.61303784624738</v>
      </c>
      <c r="K3484" t="str">
        <f t="shared" si="118"/>
        <v>John Reed</v>
      </c>
    </row>
    <row r="3485" spans="1:11" hidden="1" x14ac:dyDescent="0.35">
      <c r="A3485">
        <f t="shared" si="117"/>
        <v>3484</v>
      </c>
      <c r="B3485">
        <v>2021</v>
      </c>
      <c r="C3485" t="s">
        <v>8</v>
      </c>
      <c r="D3485" t="s">
        <v>2521</v>
      </c>
      <c r="E3485" t="s">
        <v>1430</v>
      </c>
      <c r="F3485" s="2">
        <v>1809</v>
      </c>
      <c r="G3485" s="2">
        <v>1</v>
      </c>
      <c r="H3485" t="s">
        <v>1719</v>
      </c>
      <c r="I3485" t="s">
        <v>524</v>
      </c>
      <c r="J3485" s="11">
        <v>1819.5439355418687</v>
      </c>
      <c r="K3485" t="str">
        <f t="shared" si="118"/>
        <v>Guy Berentsen</v>
      </c>
    </row>
    <row r="3486" spans="1:11" hidden="1" x14ac:dyDescent="0.35">
      <c r="A3486">
        <f t="shared" ref="A3486:A3549" si="119">A3485+1</f>
        <v>3485</v>
      </c>
      <c r="B3486">
        <v>2021</v>
      </c>
      <c r="C3486" t="s">
        <v>8</v>
      </c>
      <c r="D3486" t="s">
        <v>2521</v>
      </c>
      <c r="E3486" t="s">
        <v>1430</v>
      </c>
      <c r="F3486" s="2">
        <v>1340</v>
      </c>
      <c r="G3486" s="2">
        <v>2</v>
      </c>
      <c r="H3486" t="s">
        <v>251</v>
      </c>
      <c r="I3486" t="s">
        <v>71</v>
      </c>
      <c r="J3486" s="11">
        <v>1518.5139398778874</v>
      </c>
      <c r="K3486" t="str">
        <f t="shared" si="118"/>
        <v>Scott Lewis</v>
      </c>
    </row>
    <row r="3487" spans="1:11" hidden="1" x14ac:dyDescent="0.35">
      <c r="A3487">
        <f t="shared" si="119"/>
        <v>3486</v>
      </c>
      <c r="B3487">
        <v>2021</v>
      </c>
      <c r="C3487" t="s">
        <v>8</v>
      </c>
      <c r="D3487" t="s">
        <v>2521</v>
      </c>
      <c r="E3487" t="s">
        <v>1430</v>
      </c>
      <c r="F3487" s="2">
        <v>1005</v>
      </c>
      <c r="G3487" s="2">
        <v>3</v>
      </c>
      <c r="H3487" t="s">
        <v>251</v>
      </c>
      <c r="I3487" t="s">
        <v>252</v>
      </c>
      <c r="J3487" s="11">
        <v>1342.4226808222063</v>
      </c>
      <c r="K3487" t="str">
        <f t="shared" si="118"/>
        <v>Linda Lewis</v>
      </c>
    </row>
    <row r="3488" spans="1:11" hidden="1" x14ac:dyDescent="0.35">
      <c r="A3488">
        <f t="shared" si="119"/>
        <v>3487</v>
      </c>
      <c r="B3488">
        <v>2021</v>
      </c>
      <c r="C3488" t="s">
        <v>8</v>
      </c>
      <c r="D3488" t="s">
        <v>2521</v>
      </c>
      <c r="E3488" t="s">
        <v>1430</v>
      </c>
      <c r="F3488" s="2">
        <v>804</v>
      </c>
      <c r="G3488" s="2">
        <v>4</v>
      </c>
      <c r="H3488" t="s">
        <v>204</v>
      </c>
      <c r="I3488" t="s">
        <v>205</v>
      </c>
      <c r="J3488" s="11">
        <v>1217.4839442139062</v>
      </c>
      <c r="K3488" t="str">
        <f t="shared" si="118"/>
        <v>Ron Grossberg</v>
      </c>
    </row>
    <row r="3489" spans="1:11" hidden="1" x14ac:dyDescent="0.35">
      <c r="A3489">
        <f t="shared" si="119"/>
        <v>3488</v>
      </c>
      <c r="B3489">
        <v>2021</v>
      </c>
      <c r="C3489" t="s">
        <v>8</v>
      </c>
      <c r="D3489" t="s">
        <v>2521</v>
      </c>
      <c r="E3489" t="s">
        <v>1430</v>
      </c>
      <c r="F3489" s="2">
        <v>670</v>
      </c>
      <c r="G3489" s="2">
        <v>5</v>
      </c>
      <c r="H3489" t="s">
        <v>88</v>
      </c>
      <c r="I3489" t="s">
        <v>89</v>
      </c>
      <c r="J3489" s="11">
        <v>1120.5739312058499</v>
      </c>
      <c r="K3489" t="str">
        <f t="shared" si="118"/>
        <v>Ken Kubey</v>
      </c>
    </row>
    <row r="3490" spans="1:11" hidden="1" x14ac:dyDescent="0.35">
      <c r="A3490">
        <f t="shared" si="119"/>
        <v>3489</v>
      </c>
      <c r="B3490">
        <v>2021</v>
      </c>
      <c r="C3490" t="s">
        <v>8</v>
      </c>
      <c r="D3490" t="s">
        <v>2521</v>
      </c>
      <c r="E3490" t="s">
        <v>1430</v>
      </c>
      <c r="F3490" s="2">
        <v>469</v>
      </c>
      <c r="G3490" s="2">
        <v>6</v>
      </c>
      <c r="H3490" t="s">
        <v>238</v>
      </c>
      <c r="I3490" t="s">
        <v>16</v>
      </c>
      <c r="J3490" s="11">
        <v>1041.392685158225</v>
      </c>
      <c r="K3490" t="str">
        <f t="shared" si="118"/>
        <v>David Kuznick</v>
      </c>
    </row>
    <row r="3491" spans="1:11" hidden="1" x14ac:dyDescent="0.35">
      <c r="A3491">
        <f t="shared" si="119"/>
        <v>3490</v>
      </c>
      <c r="B3491">
        <v>2021</v>
      </c>
      <c r="C3491" t="s">
        <v>8</v>
      </c>
      <c r="D3491" t="s">
        <v>2521</v>
      </c>
      <c r="E3491" t="s">
        <v>1430</v>
      </c>
      <c r="F3491" s="2">
        <v>335</v>
      </c>
      <c r="G3491" s="2">
        <v>7</v>
      </c>
      <c r="H3491" t="s">
        <v>2539</v>
      </c>
      <c r="I3491" t="s">
        <v>28</v>
      </c>
      <c r="J3491" s="11">
        <v>974.44589552761192</v>
      </c>
      <c r="K3491" t="str">
        <f t="shared" si="118"/>
        <v>Chris O’Connor</v>
      </c>
    </row>
    <row r="3492" spans="1:11" hidden="1" x14ac:dyDescent="0.35">
      <c r="A3492">
        <f t="shared" si="119"/>
        <v>3491</v>
      </c>
      <c r="B3492">
        <v>2021</v>
      </c>
      <c r="C3492" t="s">
        <v>8</v>
      </c>
      <c r="D3492" t="s">
        <v>2521</v>
      </c>
      <c r="E3492" t="s">
        <v>1430</v>
      </c>
      <c r="F3492" s="2">
        <v>268</v>
      </c>
      <c r="G3492" s="2">
        <v>8</v>
      </c>
      <c r="H3492" t="s">
        <v>31</v>
      </c>
      <c r="I3492" t="s">
        <v>16</v>
      </c>
      <c r="J3492" s="11">
        <v>916.45394854992526</v>
      </c>
      <c r="K3492" t="str">
        <f t="shared" si="118"/>
        <v>David Aronson</v>
      </c>
    </row>
    <row r="3493" spans="1:11" hidden="1" x14ac:dyDescent="0.35">
      <c r="A3493">
        <f t="shared" si="119"/>
        <v>3492</v>
      </c>
      <c r="B3493">
        <v>2021</v>
      </c>
      <c r="C3493" t="s">
        <v>8</v>
      </c>
      <c r="D3493" t="s">
        <v>1429</v>
      </c>
      <c r="E3493" t="s">
        <v>1429</v>
      </c>
      <c r="F3493" s="2">
        <v>1836</v>
      </c>
      <c r="G3493" s="2">
        <v>1</v>
      </c>
      <c r="H3493" t="s">
        <v>99</v>
      </c>
      <c r="I3493" t="s">
        <v>101</v>
      </c>
      <c r="J3493" s="11">
        <v>1832.5089127062363</v>
      </c>
      <c r="K3493" t="str">
        <f t="shared" si="118"/>
        <v>Dean Kerl</v>
      </c>
    </row>
    <row r="3494" spans="1:11" hidden="1" x14ac:dyDescent="0.35">
      <c r="A3494">
        <f t="shared" si="119"/>
        <v>3493</v>
      </c>
      <c r="B3494">
        <v>2021</v>
      </c>
      <c r="C3494" t="s">
        <v>8</v>
      </c>
      <c r="D3494" t="s">
        <v>1429</v>
      </c>
      <c r="E3494" t="s">
        <v>1429</v>
      </c>
      <c r="F3494" s="2">
        <v>1360</v>
      </c>
      <c r="G3494" s="2">
        <v>2</v>
      </c>
      <c r="H3494" t="s">
        <v>1076</v>
      </c>
      <c r="I3494" t="s">
        <v>139</v>
      </c>
      <c r="J3494" s="11">
        <v>1531.478917042255</v>
      </c>
      <c r="K3494" t="str">
        <f t="shared" si="118"/>
        <v>Mark Oldenburg</v>
      </c>
    </row>
    <row r="3495" spans="1:11" hidden="1" x14ac:dyDescent="0.35">
      <c r="A3495">
        <f t="shared" si="119"/>
        <v>3494</v>
      </c>
      <c r="B3495">
        <v>2021</v>
      </c>
      <c r="C3495" t="s">
        <v>8</v>
      </c>
      <c r="D3495" t="s">
        <v>1429</v>
      </c>
      <c r="E3495" t="s">
        <v>1429</v>
      </c>
      <c r="F3495" s="2">
        <v>1020</v>
      </c>
      <c r="G3495" s="2">
        <v>3</v>
      </c>
      <c r="H3495" t="s">
        <v>19</v>
      </c>
      <c r="I3495" t="s">
        <v>20</v>
      </c>
      <c r="J3495" s="11">
        <v>1355.3876579865739</v>
      </c>
      <c r="K3495" t="str">
        <f t="shared" si="118"/>
        <v>Barry Kornspan</v>
      </c>
    </row>
    <row r="3496" spans="1:11" hidden="1" x14ac:dyDescent="0.35">
      <c r="A3496">
        <f t="shared" si="119"/>
        <v>3495</v>
      </c>
      <c r="B3496">
        <v>2021</v>
      </c>
      <c r="C3496" t="s">
        <v>8</v>
      </c>
      <c r="D3496" t="s">
        <v>1429</v>
      </c>
      <c r="E3496" t="s">
        <v>1429</v>
      </c>
      <c r="F3496" s="2">
        <v>816</v>
      </c>
      <c r="G3496" s="2">
        <v>4</v>
      </c>
      <c r="H3496" t="s">
        <v>64</v>
      </c>
      <c r="I3496" t="s">
        <v>65</v>
      </c>
      <c r="J3496" s="11">
        <v>1230.448921378274</v>
      </c>
      <c r="K3496" t="str">
        <f t="shared" si="118"/>
        <v>Steve Daniel</v>
      </c>
    </row>
    <row r="3497" spans="1:11" hidden="1" x14ac:dyDescent="0.35">
      <c r="A3497">
        <f t="shared" si="119"/>
        <v>3496</v>
      </c>
      <c r="B3497">
        <v>2021</v>
      </c>
      <c r="C3497" t="s">
        <v>8</v>
      </c>
      <c r="D3497" t="s">
        <v>1429</v>
      </c>
      <c r="E3497" t="s">
        <v>1429</v>
      </c>
      <c r="F3497" s="2">
        <v>680</v>
      </c>
      <c r="G3497" s="2">
        <v>5</v>
      </c>
      <c r="H3497" t="s">
        <v>2534</v>
      </c>
      <c r="I3497" t="s">
        <v>495</v>
      </c>
      <c r="J3497" s="11">
        <v>1133.5389083702173</v>
      </c>
      <c r="K3497" t="str">
        <f t="shared" si="118"/>
        <v>Travis Redman</v>
      </c>
    </row>
    <row r="3498" spans="1:11" hidden="1" x14ac:dyDescent="0.35">
      <c r="A3498">
        <f t="shared" si="119"/>
        <v>3497</v>
      </c>
      <c r="B3498">
        <v>2021</v>
      </c>
      <c r="C3498" t="s">
        <v>8</v>
      </c>
      <c r="D3498" t="s">
        <v>1429</v>
      </c>
      <c r="E3498" t="s">
        <v>1429</v>
      </c>
      <c r="F3498" s="2">
        <v>476</v>
      </c>
      <c r="G3498" s="2">
        <v>6</v>
      </c>
      <c r="H3498" t="s">
        <v>316</v>
      </c>
      <c r="I3498" t="s">
        <v>269</v>
      </c>
      <c r="J3498" s="11">
        <v>1054.3576623225927</v>
      </c>
      <c r="K3498" t="str">
        <f t="shared" si="118"/>
        <v>Keith Troell</v>
      </c>
    </row>
    <row r="3499" spans="1:11" hidden="1" x14ac:dyDescent="0.35">
      <c r="A3499">
        <f t="shared" si="119"/>
        <v>3498</v>
      </c>
      <c r="B3499">
        <v>2021</v>
      </c>
      <c r="C3499" t="s">
        <v>8</v>
      </c>
      <c r="D3499" t="s">
        <v>1429</v>
      </c>
      <c r="E3499" t="s">
        <v>1429</v>
      </c>
      <c r="F3499" s="2">
        <v>340</v>
      </c>
      <c r="G3499" s="2">
        <v>7</v>
      </c>
      <c r="H3499" t="s">
        <v>161</v>
      </c>
      <c r="I3499" t="s">
        <v>200</v>
      </c>
      <c r="J3499" s="11">
        <v>987.41087269197953</v>
      </c>
      <c r="K3499" t="str">
        <f t="shared" si="118"/>
        <v>Rick Becker</v>
      </c>
    </row>
    <row r="3500" spans="1:11" hidden="1" x14ac:dyDescent="0.35">
      <c r="A3500">
        <f t="shared" si="119"/>
        <v>3499</v>
      </c>
      <c r="B3500">
        <v>2021</v>
      </c>
      <c r="C3500" t="s">
        <v>8</v>
      </c>
      <c r="D3500" t="s">
        <v>1429</v>
      </c>
      <c r="E3500" t="s">
        <v>1429</v>
      </c>
      <c r="F3500" s="2">
        <v>272</v>
      </c>
      <c r="G3500" s="2">
        <v>8</v>
      </c>
      <c r="H3500" t="s">
        <v>2536</v>
      </c>
      <c r="I3500" t="s">
        <v>22</v>
      </c>
      <c r="J3500" s="11">
        <v>929.41892571429287</v>
      </c>
      <c r="K3500" t="str">
        <f t="shared" si="118"/>
        <v>Rich Vehlow</v>
      </c>
    </row>
    <row r="3501" spans="1:11" hidden="1" x14ac:dyDescent="0.35">
      <c r="A3501">
        <f t="shared" si="119"/>
        <v>3500</v>
      </c>
      <c r="B3501">
        <v>2021</v>
      </c>
      <c r="C3501" t="s">
        <v>8</v>
      </c>
      <c r="D3501" t="s">
        <v>24</v>
      </c>
      <c r="E3501" t="s">
        <v>1430</v>
      </c>
      <c r="F3501" s="2">
        <v>900</v>
      </c>
      <c r="G3501" s="2">
        <v>1</v>
      </c>
      <c r="H3501" t="s">
        <v>414</v>
      </c>
      <c r="I3501" t="s">
        <v>413</v>
      </c>
      <c r="J3501" s="11">
        <v>698.97000433601886</v>
      </c>
      <c r="K3501" t="str">
        <f t="shared" si="118"/>
        <v>Bruce Kramer</v>
      </c>
    </row>
    <row r="3502" spans="1:11" hidden="1" x14ac:dyDescent="0.35">
      <c r="A3502">
        <f t="shared" si="119"/>
        <v>3501</v>
      </c>
      <c r="B3502">
        <v>2021</v>
      </c>
      <c r="C3502" t="s">
        <v>8</v>
      </c>
      <c r="D3502" t="s">
        <v>24</v>
      </c>
      <c r="E3502" t="s">
        <v>1430</v>
      </c>
      <c r="F3502" s="2">
        <v>900</v>
      </c>
      <c r="G3502" s="2">
        <v>1</v>
      </c>
      <c r="H3502" t="s">
        <v>88</v>
      </c>
      <c r="I3502" t="s">
        <v>89</v>
      </c>
      <c r="J3502" s="11">
        <v>698.97000433601886</v>
      </c>
      <c r="K3502" t="str">
        <f t="shared" si="118"/>
        <v>Ken Kubey</v>
      </c>
    </row>
    <row r="3503" spans="1:11" hidden="1" x14ac:dyDescent="0.35">
      <c r="A3503">
        <f t="shared" si="119"/>
        <v>3502</v>
      </c>
      <c r="B3503">
        <v>2021</v>
      </c>
      <c r="C3503" t="s">
        <v>8</v>
      </c>
      <c r="D3503" t="s">
        <v>24</v>
      </c>
      <c r="E3503" t="s">
        <v>1430</v>
      </c>
      <c r="F3503" s="2">
        <v>600</v>
      </c>
      <c r="G3503" s="2">
        <v>2</v>
      </c>
      <c r="H3503" t="s">
        <v>86</v>
      </c>
      <c r="I3503" t="s">
        <v>87</v>
      </c>
      <c r="J3503" s="11">
        <v>548.45500650402823</v>
      </c>
      <c r="K3503" t="str">
        <f t="shared" si="118"/>
        <v>Stevan Goldman</v>
      </c>
    </row>
    <row r="3504" spans="1:11" hidden="1" x14ac:dyDescent="0.35">
      <c r="A3504">
        <f t="shared" si="119"/>
        <v>3503</v>
      </c>
      <c r="B3504">
        <v>2021</v>
      </c>
      <c r="C3504" t="s">
        <v>8</v>
      </c>
      <c r="D3504" t="s">
        <v>24</v>
      </c>
      <c r="E3504" t="s">
        <v>1430</v>
      </c>
      <c r="F3504" s="2">
        <v>600</v>
      </c>
      <c r="G3504" s="2">
        <v>2</v>
      </c>
      <c r="H3504" t="s">
        <v>320</v>
      </c>
      <c r="I3504" t="s">
        <v>321</v>
      </c>
      <c r="J3504" s="11">
        <v>548.45500650402823</v>
      </c>
      <c r="K3504" t="str">
        <f t="shared" si="118"/>
        <v>Tina Gonzalez</v>
      </c>
    </row>
    <row r="3505" spans="1:11" hidden="1" x14ac:dyDescent="0.35">
      <c r="A3505">
        <f t="shared" si="119"/>
        <v>3504</v>
      </c>
      <c r="B3505">
        <v>2021</v>
      </c>
      <c r="C3505" t="s">
        <v>8</v>
      </c>
      <c r="D3505" t="s">
        <v>24</v>
      </c>
      <c r="E3505" t="s">
        <v>1430</v>
      </c>
      <c r="F3505" s="2">
        <v>425</v>
      </c>
      <c r="G3505" s="2">
        <v>3</v>
      </c>
      <c r="H3505" t="s">
        <v>43</v>
      </c>
      <c r="I3505" t="s">
        <v>218</v>
      </c>
      <c r="J3505" s="11">
        <v>460.40937697618767</v>
      </c>
      <c r="K3505" t="str">
        <f t="shared" si="118"/>
        <v>Michael Klein</v>
      </c>
    </row>
    <row r="3506" spans="1:11" hidden="1" x14ac:dyDescent="0.35">
      <c r="A3506">
        <f t="shared" si="119"/>
        <v>3505</v>
      </c>
      <c r="B3506">
        <v>2021</v>
      </c>
      <c r="C3506" t="s">
        <v>8</v>
      </c>
      <c r="D3506" t="s">
        <v>24</v>
      </c>
      <c r="E3506" t="s">
        <v>1430</v>
      </c>
      <c r="F3506" s="2">
        <v>425</v>
      </c>
      <c r="G3506" s="2">
        <v>3</v>
      </c>
      <c r="H3506" t="s">
        <v>130</v>
      </c>
      <c r="I3506" t="s">
        <v>131</v>
      </c>
      <c r="J3506" s="11">
        <v>460.40937697618767</v>
      </c>
      <c r="K3506" t="str">
        <f t="shared" si="118"/>
        <v>Alan Stuart</v>
      </c>
    </row>
    <row r="3507" spans="1:11" hidden="1" x14ac:dyDescent="0.35">
      <c r="A3507">
        <f t="shared" si="119"/>
        <v>3506</v>
      </c>
      <c r="B3507">
        <v>2021</v>
      </c>
      <c r="C3507" t="s">
        <v>8</v>
      </c>
      <c r="D3507" t="s">
        <v>24</v>
      </c>
      <c r="E3507" t="s">
        <v>1430</v>
      </c>
      <c r="F3507" s="2">
        <v>325</v>
      </c>
      <c r="G3507" s="2">
        <v>4</v>
      </c>
      <c r="H3507" t="s">
        <v>903</v>
      </c>
      <c r="I3507" t="s">
        <v>71</v>
      </c>
      <c r="J3507" s="11">
        <v>397.94000867203766</v>
      </c>
      <c r="K3507" t="str">
        <f t="shared" si="118"/>
        <v>Scott Harker</v>
      </c>
    </row>
    <row r="3508" spans="1:11" hidden="1" x14ac:dyDescent="0.35">
      <c r="A3508">
        <f t="shared" si="119"/>
        <v>3507</v>
      </c>
      <c r="B3508">
        <v>2021</v>
      </c>
      <c r="C3508" t="s">
        <v>8</v>
      </c>
      <c r="D3508" t="s">
        <v>24</v>
      </c>
      <c r="E3508" t="s">
        <v>1430</v>
      </c>
      <c r="F3508" s="2">
        <v>325</v>
      </c>
      <c r="G3508" s="2">
        <v>4</v>
      </c>
      <c r="H3508" t="s">
        <v>99</v>
      </c>
      <c r="I3508" t="s">
        <v>101</v>
      </c>
      <c r="J3508" s="11">
        <v>397.94000867203766</v>
      </c>
      <c r="K3508" t="str">
        <f t="shared" si="118"/>
        <v>Dean Kerl</v>
      </c>
    </row>
    <row r="3509" spans="1:11" hidden="1" x14ac:dyDescent="0.35">
      <c r="A3509">
        <f t="shared" si="119"/>
        <v>3508</v>
      </c>
      <c r="B3509">
        <v>2021</v>
      </c>
      <c r="C3509" t="s">
        <v>8</v>
      </c>
      <c r="D3509" t="s">
        <v>24</v>
      </c>
      <c r="E3509" t="s">
        <v>1430</v>
      </c>
      <c r="F3509" s="2">
        <v>250</v>
      </c>
      <c r="G3509" s="2">
        <v>5</v>
      </c>
      <c r="H3509" t="s">
        <v>70</v>
      </c>
      <c r="I3509" t="s">
        <v>71</v>
      </c>
      <c r="J3509" s="11">
        <v>349.48500216800943</v>
      </c>
      <c r="K3509" t="str">
        <f t="shared" si="118"/>
        <v>Scott Byron</v>
      </c>
    </row>
    <row r="3510" spans="1:11" hidden="1" x14ac:dyDescent="0.35">
      <c r="A3510">
        <f t="shared" si="119"/>
        <v>3509</v>
      </c>
      <c r="B3510">
        <v>2021</v>
      </c>
      <c r="C3510" t="s">
        <v>8</v>
      </c>
      <c r="D3510" t="s">
        <v>24</v>
      </c>
      <c r="E3510" t="s">
        <v>1430</v>
      </c>
      <c r="F3510" s="2">
        <v>250</v>
      </c>
      <c r="G3510" s="2">
        <v>5</v>
      </c>
      <c r="H3510" t="s">
        <v>1075</v>
      </c>
      <c r="I3510" t="s">
        <v>942</v>
      </c>
      <c r="J3510" s="11">
        <v>349.48500216800943</v>
      </c>
      <c r="K3510" t="str">
        <f t="shared" si="118"/>
        <v>Jodi Shapiro</v>
      </c>
    </row>
    <row r="3511" spans="1:11" hidden="1" x14ac:dyDescent="0.35">
      <c r="A3511">
        <f t="shared" si="119"/>
        <v>3510</v>
      </c>
      <c r="B3511">
        <v>2022</v>
      </c>
      <c r="C3511" t="s">
        <v>2410</v>
      </c>
      <c r="D3511" t="s">
        <v>557</v>
      </c>
      <c r="E3511" t="s">
        <v>1430</v>
      </c>
      <c r="F3511" s="2">
        <v>1248</v>
      </c>
      <c r="G3511" s="2">
        <v>1</v>
      </c>
      <c r="H3511" t="s">
        <v>50</v>
      </c>
      <c r="I3511" t="s">
        <v>64</v>
      </c>
      <c r="J3511" s="11">
        <v>1505.149978319906</v>
      </c>
      <c r="K3511" t="str">
        <f t="shared" si="118"/>
        <v>Daniel Fox</v>
      </c>
    </row>
    <row r="3512" spans="1:11" hidden="1" x14ac:dyDescent="0.35">
      <c r="A3512">
        <f t="shared" si="119"/>
        <v>3511</v>
      </c>
      <c r="B3512">
        <v>2022</v>
      </c>
      <c r="C3512" t="s">
        <v>2410</v>
      </c>
      <c r="D3512" t="s">
        <v>557</v>
      </c>
      <c r="E3512" t="s">
        <v>1430</v>
      </c>
      <c r="F3512" s="2">
        <v>1000</v>
      </c>
      <c r="G3512" s="2">
        <v>2</v>
      </c>
      <c r="H3512" t="s">
        <v>121</v>
      </c>
      <c r="I3512" t="s">
        <v>122</v>
      </c>
      <c r="J3512" s="11">
        <v>1204.1199826559248</v>
      </c>
      <c r="K3512" t="str">
        <f t="shared" si="118"/>
        <v>Andy Bartalone</v>
      </c>
    </row>
    <row r="3513" spans="1:11" hidden="1" x14ac:dyDescent="0.35">
      <c r="A3513">
        <f t="shared" si="119"/>
        <v>3512</v>
      </c>
      <c r="B3513">
        <v>2022</v>
      </c>
      <c r="C3513" t="s">
        <v>2410</v>
      </c>
      <c r="D3513" t="s">
        <v>557</v>
      </c>
      <c r="E3513" t="s">
        <v>1430</v>
      </c>
      <c r="F3513" s="2">
        <v>1000</v>
      </c>
      <c r="G3513" s="2">
        <v>3</v>
      </c>
      <c r="H3513" t="s">
        <v>2578</v>
      </c>
      <c r="I3513" t="s">
        <v>28</v>
      </c>
      <c r="J3513" s="11">
        <v>1028.0287236002437</v>
      </c>
      <c r="K3513" t="str">
        <f t="shared" si="118"/>
        <v>Chris Kojak</v>
      </c>
    </row>
    <row r="3514" spans="1:11" hidden="1" x14ac:dyDescent="0.35">
      <c r="A3514">
        <f t="shared" si="119"/>
        <v>3513</v>
      </c>
      <c r="B3514">
        <v>2022</v>
      </c>
      <c r="C3514" t="s">
        <v>2410</v>
      </c>
      <c r="D3514" t="s">
        <v>557</v>
      </c>
      <c r="E3514" t="s">
        <v>1430</v>
      </c>
      <c r="F3514" s="2">
        <v>1000</v>
      </c>
      <c r="G3514" s="2">
        <v>4</v>
      </c>
      <c r="H3514" t="s">
        <v>2418</v>
      </c>
      <c r="I3514" t="s">
        <v>782</v>
      </c>
      <c r="J3514" s="11">
        <v>903.08998699194365</v>
      </c>
      <c r="K3514" t="str">
        <f t="shared" si="118"/>
        <v>Dennis McGlynn</v>
      </c>
    </row>
    <row r="3515" spans="1:11" hidden="1" x14ac:dyDescent="0.35">
      <c r="A3515">
        <f t="shared" si="119"/>
        <v>3514</v>
      </c>
      <c r="B3515">
        <v>2022</v>
      </c>
      <c r="C3515" t="s">
        <v>2410</v>
      </c>
      <c r="D3515" t="s">
        <v>557</v>
      </c>
      <c r="E3515" t="s">
        <v>1430</v>
      </c>
      <c r="F3515" s="2">
        <v>1000</v>
      </c>
      <c r="G3515" s="2">
        <v>5</v>
      </c>
      <c r="H3515" t="s">
        <v>773</v>
      </c>
      <c r="I3515" t="s">
        <v>413</v>
      </c>
      <c r="J3515" s="11">
        <v>806.17997398388718</v>
      </c>
      <c r="K3515" t="str">
        <f t="shared" si="118"/>
        <v>Bruce Altner</v>
      </c>
    </row>
    <row r="3516" spans="1:11" hidden="1" x14ac:dyDescent="0.35">
      <c r="A3516">
        <f t="shared" si="119"/>
        <v>3515</v>
      </c>
      <c r="B3516">
        <v>2022</v>
      </c>
      <c r="C3516" t="s">
        <v>2410</v>
      </c>
      <c r="D3516" t="s">
        <v>45</v>
      </c>
      <c r="E3516" t="s">
        <v>1429</v>
      </c>
      <c r="F3516" s="2">
        <v>2254</v>
      </c>
      <c r="G3516" s="2">
        <v>1</v>
      </c>
      <c r="H3516" t="s">
        <v>237</v>
      </c>
      <c r="I3516" t="s">
        <v>13</v>
      </c>
      <c r="J3516" s="11">
        <v>1579.7835966168102</v>
      </c>
      <c r="K3516" t="str">
        <f t="shared" si="118"/>
        <v>Tom Goodwin</v>
      </c>
    </row>
    <row r="3517" spans="1:11" hidden="1" x14ac:dyDescent="0.35">
      <c r="A3517">
        <f t="shared" si="119"/>
        <v>3516</v>
      </c>
      <c r="B3517">
        <v>2022</v>
      </c>
      <c r="C3517" t="s">
        <v>2410</v>
      </c>
      <c r="D3517" t="s">
        <v>45</v>
      </c>
      <c r="E3517" t="s">
        <v>1429</v>
      </c>
      <c r="F3517" s="2">
        <v>1358</v>
      </c>
      <c r="G3517" s="2">
        <v>2</v>
      </c>
      <c r="H3517" t="s">
        <v>773</v>
      </c>
      <c r="I3517" t="s">
        <v>665</v>
      </c>
      <c r="J3517" s="11">
        <v>1278.7536009528289</v>
      </c>
      <c r="K3517" t="str">
        <f t="shared" si="118"/>
        <v>Robert Altner</v>
      </c>
    </row>
    <row r="3518" spans="1:11" hidden="1" x14ac:dyDescent="0.35">
      <c r="A3518">
        <f t="shared" si="119"/>
        <v>3517</v>
      </c>
      <c r="B3518">
        <v>2022</v>
      </c>
      <c r="C3518" t="s">
        <v>2410</v>
      </c>
      <c r="D3518" t="s">
        <v>45</v>
      </c>
      <c r="E3518" t="s">
        <v>1429</v>
      </c>
      <c r="F3518" s="2">
        <v>835</v>
      </c>
      <c r="G3518" s="2">
        <v>3</v>
      </c>
      <c r="H3518" t="s">
        <v>118</v>
      </c>
      <c r="I3518" t="s">
        <v>415</v>
      </c>
      <c r="J3518" s="11">
        <v>1102.6623418971478</v>
      </c>
      <c r="K3518" t="str">
        <f t="shared" si="118"/>
        <v>Pete Segal</v>
      </c>
    </row>
    <row r="3519" spans="1:11" hidden="1" x14ac:dyDescent="0.35">
      <c r="A3519">
        <f t="shared" si="119"/>
        <v>3518</v>
      </c>
      <c r="B3519">
        <v>2022</v>
      </c>
      <c r="C3519" t="s">
        <v>2410</v>
      </c>
      <c r="D3519" t="s">
        <v>45</v>
      </c>
      <c r="E3519" t="s">
        <v>1429</v>
      </c>
      <c r="F3519" s="2">
        <v>686</v>
      </c>
      <c r="G3519" s="2">
        <v>4</v>
      </c>
      <c r="H3519" t="s">
        <v>775</v>
      </c>
      <c r="I3519" t="s">
        <v>139</v>
      </c>
      <c r="J3519" s="11">
        <v>977.72360528884769</v>
      </c>
      <c r="K3519" t="str">
        <f t="shared" si="118"/>
        <v>Mark Richardson</v>
      </c>
    </row>
    <row r="3520" spans="1:11" hidden="1" x14ac:dyDescent="0.35">
      <c r="A3520">
        <f t="shared" si="119"/>
        <v>3519</v>
      </c>
      <c r="B3520">
        <v>2022</v>
      </c>
      <c r="C3520" t="s">
        <v>2410</v>
      </c>
      <c r="D3520" t="s">
        <v>45</v>
      </c>
      <c r="E3520" t="s">
        <v>1429</v>
      </c>
      <c r="F3520" s="2">
        <v>499</v>
      </c>
      <c r="G3520" s="2">
        <v>5</v>
      </c>
      <c r="H3520" t="s">
        <v>2581</v>
      </c>
      <c r="I3520" t="s">
        <v>768</v>
      </c>
      <c r="J3520" s="11">
        <v>880.81359228079123</v>
      </c>
      <c r="K3520" t="str">
        <f t="shared" si="118"/>
        <v>Matthew Portnoy</v>
      </c>
    </row>
    <row r="3521" spans="1:11" hidden="1" x14ac:dyDescent="0.35">
      <c r="A3521">
        <f t="shared" si="119"/>
        <v>3520</v>
      </c>
      <c r="B3521">
        <v>2022</v>
      </c>
      <c r="C3521" t="s">
        <v>2410</v>
      </c>
      <c r="D3521" t="s">
        <v>45</v>
      </c>
      <c r="E3521" t="s">
        <v>1429</v>
      </c>
      <c r="F3521" s="2">
        <v>200</v>
      </c>
      <c r="G3521" s="2">
        <v>6</v>
      </c>
      <c r="H3521" t="s">
        <v>1222</v>
      </c>
      <c r="I3521" t="s">
        <v>136</v>
      </c>
      <c r="J3521" s="11">
        <v>801.63234623316646</v>
      </c>
      <c r="K3521" t="str">
        <f t="shared" si="118"/>
        <v>John Fontinelli</v>
      </c>
    </row>
    <row r="3522" spans="1:11" hidden="1" x14ac:dyDescent="0.35">
      <c r="A3522">
        <f t="shared" si="119"/>
        <v>3521</v>
      </c>
      <c r="B3522">
        <v>2022</v>
      </c>
      <c r="C3522" t="s">
        <v>2410</v>
      </c>
      <c r="D3522" t="s">
        <v>45</v>
      </c>
      <c r="E3522" t="s">
        <v>1429</v>
      </c>
      <c r="F3522" s="2">
        <v>200</v>
      </c>
      <c r="G3522" s="2">
        <v>7</v>
      </c>
      <c r="H3522" t="s">
        <v>19</v>
      </c>
      <c r="I3522" t="s">
        <v>20</v>
      </c>
      <c r="J3522" s="11">
        <v>734.68555660255333</v>
      </c>
      <c r="K3522" t="str">
        <f t="shared" ref="K3522:K3585" si="120">I3522&amp;" "&amp;H3522</f>
        <v>Barry Kornspan</v>
      </c>
    </row>
    <row r="3523" spans="1:11" hidden="1" x14ac:dyDescent="0.35">
      <c r="A3523">
        <f t="shared" si="119"/>
        <v>3522</v>
      </c>
      <c r="B3523">
        <v>2022</v>
      </c>
      <c r="C3523" t="s">
        <v>2410</v>
      </c>
      <c r="D3523" t="s">
        <v>45</v>
      </c>
      <c r="E3523" t="s">
        <v>1429</v>
      </c>
      <c r="F3523" s="2">
        <v>200</v>
      </c>
      <c r="G3523" s="2">
        <v>8</v>
      </c>
      <c r="H3523" t="s">
        <v>656</v>
      </c>
      <c r="I3523" t="s">
        <v>16</v>
      </c>
      <c r="J3523" s="11">
        <v>676.69360962486655</v>
      </c>
      <c r="K3523" t="str">
        <f t="shared" si="120"/>
        <v>David Taylor</v>
      </c>
    </row>
    <row r="3524" spans="1:11" hidden="1" x14ac:dyDescent="0.35">
      <c r="A3524">
        <f t="shared" si="119"/>
        <v>3523</v>
      </c>
      <c r="B3524">
        <v>2022</v>
      </c>
      <c r="C3524" t="s">
        <v>2410</v>
      </c>
      <c r="D3524" t="s">
        <v>2469</v>
      </c>
      <c r="E3524" t="s">
        <v>133</v>
      </c>
      <c r="F3524" s="2">
        <v>1919</v>
      </c>
      <c r="G3524" s="2">
        <v>1</v>
      </c>
      <c r="H3524" t="s">
        <v>461</v>
      </c>
      <c r="I3524" t="s">
        <v>1448</v>
      </c>
      <c r="J3524" s="11">
        <v>1447.1580313422191</v>
      </c>
      <c r="K3524" t="str">
        <f t="shared" si="120"/>
        <v>Christian Jones</v>
      </c>
    </row>
    <row r="3525" spans="1:11" hidden="1" x14ac:dyDescent="0.35">
      <c r="A3525">
        <f t="shared" si="119"/>
        <v>3524</v>
      </c>
      <c r="B3525">
        <v>2022</v>
      </c>
      <c r="C3525" t="s">
        <v>2410</v>
      </c>
      <c r="D3525" t="s">
        <v>2469</v>
      </c>
      <c r="E3525" t="s">
        <v>133</v>
      </c>
      <c r="F3525" s="2">
        <v>1151</v>
      </c>
      <c r="G3525" s="2">
        <v>2</v>
      </c>
      <c r="H3525" t="s">
        <v>773</v>
      </c>
      <c r="I3525" t="s">
        <v>665</v>
      </c>
      <c r="J3525" s="11">
        <v>1146.1280356782379</v>
      </c>
      <c r="K3525" t="str">
        <f t="shared" si="120"/>
        <v>Robert Altner</v>
      </c>
    </row>
    <row r="3526" spans="1:11" hidden="1" x14ac:dyDescent="0.35">
      <c r="A3526">
        <f t="shared" si="119"/>
        <v>3525</v>
      </c>
      <c r="B3526">
        <v>2022</v>
      </c>
      <c r="C3526" t="s">
        <v>2410</v>
      </c>
      <c r="D3526" t="s">
        <v>2469</v>
      </c>
      <c r="E3526" t="s">
        <v>133</v>
      </c>
      <c r="F3526" s="2">
        <v>725</v>
      </c>
      <c r="G3526" s="2">
        <v>3</v>
      </c>
      <c r="H3526" t="s">
        <v>2583</v>
      </c>
      <c r="I3526" t="s">
        <v>2584</v>
      </c>
      <c r="J3526" s="11">
        <v>970.03677662255677</v>
      </c>
      <c r="K3526" t="str">
        <f t="shared" si="120"/>
        <v>Edwards Holliday</v>
      </c>
    </row>
    <row r="3527" spans="1:11" hidden="1" x14ac:dyDescent="0.35">
      <c r="A3527">
        <f t="shared" si="119"/>
        <v>3526</v>
      </c>
      <c r="B3527">
        <v>2022</v>
      </c>
      <c r="C3527" t="s">
        <v>2410</v>
      </c>
      <c r="D3527" t="s">
        <v>2469</v>
      </c>
      <c r="E3527" t="s">
        <v>133</v>
      </c>
      <c r="F3527" s="2">
        <v>469</v>
      </c>
      <c r="G3527" s="2">
        <v>4</v>
      </c>
      <c r="H3527" t="s">
        <v>656</v>
      </c>
      <c r="I3527" t="s">
        <v>16</v>
      </c>
      <c r="J3527" s="11">
        <v>845.09804001425687</v>
      </c>
      <c r="K3527" t="str">
        <f t="shared" si="120"/>
        <v>David Taylor</v>
      </c>
    </row>
    <row r="3528" spans="1:11" hidden="1" x14ac:dyDescent="0.35">
      <c r="A3528">
        <f t="shared" si="119"/>
        <v>3527</v>
      </c>
      <c r="B3528">
        <v>2022</v>
      </c>
      <c r="C3528" t="s">
        <v>2410</v>
      </c>
      <c r="D3528" t="s">
        <v>2469</v>
      </c>
      <c r="E3528" t="s">
        <v>133</v>
      </c>
      <c r="F3528" s="2">
        <v>250</v>
      </c>
      <c r="G3528" s="2">
        <v>5</v>
      </c>
      <c r="H3528" t="s">
        <v>121</v>
      </c>
      <c r="I3528" t="s">
        <v>122</v>
      </c>
      <c r="J3528" s="11">
        <v>748.1880270062004</v>
      </c>
      <c r="K3528" t="str">
        <f t="shared" si="120"/>
        <v>Andy Bartalone</v>
      </c>
    </row>
    <row r="3529" spans="1:11" hidden="1" x14ac:dyDescent="0.35">
      <c r="A3529">
        <f t="shared" si="119"/>
        <v>3528</v>
      </c>
      <c r="B3529">
        <v>2022</v>
      </c>
      <c r="C3529" t="s">
        <v>263</v>
      </c>
      <c r="D3529" t="s">
        <v>2592</v>
      </c>
      <c r="E3529" t="s">
        <v>1432</v>
      </c>
      <c r="F3529" s="2">
        <v>638</v>
      </c>
      <c r="G3529" s="2">
        <v>1</v>
      </c>
      <c r="H3529" t="s">
        <v>99</v>
      </c>
      <c r="I3529" t="s">
        <v>101</v>
      </c>
      <c r="J3529" s="11">
        <v>1278.7536009528289</v>
      </c>
      <c r="K3529" t="str">
        <f t="shared" si="120"/>
        <v>Dean Kerl</v>
      </c>
    </row>
    <row r="3530" spans="1:11" hidden="1" x14ac:dyDescent="0.35">
      <c r="A3530">
        <f t="shared" si="119"/>
        <v>3529</v>
      </c>
      <c r="B3530">
        <v>2022</v>
      </c>
      <c r="C3530" t="s">
        <v>263</v>
      </c>
      <c r="D3530" t="s">
        <v>2592</v>
      </c>
      <c r="E3530" t="s">
        <v>1432</v>
      </c>
      <c r="F3530" s="2">
        <v>395</v>
      </c>
      <c r="G3530" s="2">
        <v>2</v>
      </c>
      <c r="H3530" t="s">
        <v>50</v>
      </c>
      <c r="I3530" t="s">
        <v>25</v>
      </c>
      <c r="J3530" s="11">
        <v>977.72360528884758</v>
      </c>
      <c r="K3530" t="str">
        <f t="shared" si="120"/>
        <v>Russell Fox</v>
      </c>
    </row>
    <row r="3531" spans="1:11" hidden="1" x14ac:dyDescent="0.35">
      <c r="A3531">
        <f t="shared" si="119"/>
        <v>3530</v>
      </c>
      <c r="B3531">
        <v>2022</v>
      </c>
      <c r="C3531" t="s">
        <v>263</v>
      </c>
      <c r="D3531" t="s">
        <v>2592</v>
      </c>
      <c r="E3531" t="s">
        <v>1432</v>
      </c>
      <c r="F3531" s="2">
        <v>274</v>
      </c>
      <c r="G3531" s="2">
        <v>3</v>
      </c>
      <c r="H3531" t="s">
        <v>903</v>
      </c>
      <c r="I3531" t="s">
        <v>71</v>
      </c>
      <c r="J3531" s="11">
        <v>801.63234623316646</v>
      </c>
      <c r="K3531" t="str">
        <f t="shared" si="120"/>
        <v>Scott Harker</v>
      </c>
    </row>
    <row r="3532" spans="1:11" hidden="1" x14ac:dyDescent="0.35">
      <c r="A3532">
        <f t="shared" si="119"/>
        <v>3531</v>
      </c>
      <c r="B3532">
        <v>2022</v>
      </c>
      <c r="C3532" t="s">
        <v>263</v>
      </c>
      <c r="D3532" t="s">
        <v>2592</v>
      </c>
      <c r="E3532" t="s">
        <v>1432</v>
      </c>
      <c r="F3532" s="2">
        <v>213</v>
      </c>
      <c r="G3532" s="2">
        <v>4</v>
      </c>
      <c r="H3532" t="s">
        <v>99</v>
      </c>
      <c r="I3532" t="s">
        <v>2500</v>
      </c>
      <c r="J3532" s="11">
        <v>676.69360962486644</v>
      </c>
      <c r="K3532" t="str">
        <f t="shared" si="120"/>
        <v>Bex Kerl</v>
      </c>
    </row>
    <row r="3533" spans="1:11" hidden="1" x14ac:dyDescent="0.35">
      <c r="A3533">
        <f t="shared" si="119"/>
        <v>3532</v>
      </c>
      <c r="B3533">
        <v>2022</v>
      </c>
      <c r="C3533" t="s">
        <v>263</v>
      </c>
      <c r="D3533" t="s">
        <v>2354</v>
      </c>
      <c r="E3533" t="s">
        <v>1430</v>
      </c>
      <c r="F3533" s="2">
        <v>1211</v>
      </c>
      <c r="G3533" s="2">
        <v>1</v>
      </c>
      <c r="H3533" t="s">
        <v>299</v>
      </c>
      <c r="I3533" t="s">
        <v>300</v>
      </c>
      <c r="J3533" s="11">
        <v>1612.7838567197355</v>
      </c>
      <c r="K3533" t="str">
        <f t="shared" si="120"/>
        <v>Gillian Groves</v>
      </c>
    </row>
    <row r="3534" spans="1:11" hidden="1" x14ac:dyDescent="0.35">
      <c r="A3534">
        <f t="shared" si="119"/>
        <v>3533</v>
      </c>
      <c r="B3534">
        <v>2022</v>
      </c>
      <c r="C3534" t="s">
        <v>263</v>
      </c>
      <c r="D3534" t="s">
        <v>2354</v>
      </c>
      <c r="E3534" t="s">
        <v>1430</v>
      </c>
      <c r="F3534" s="2">
        <v>862</v>
      </c>
      <c r="G3534" s="2">
        <v>2</v>
      </c>
      <c r="H3534" t="s">
        <v>21</v>
      </c>
      <c r="I3534" t="s">
        <v>463</v>
      </c>
      <c r="J3534" s="11">
        <v>1311.7538610557542</v>
      </c>
      <c r="K3534" t="str">
        <f t="shared" si="120"/>
        <v>Richard Bremer</v>
      </c>
    </row>
    <row r="3535" spans="1:11" hidden="1" x14ac:dyDescent="0.35">
      <c r="A3535">
        <f t="shared" si="119"/>
        <v>3534</v>
      </c>
      <c r="B3535">
        <v>2022</v>
      </c>
      <c r="C3535" t="s">
        <v>263</v>
      </c>
      <c r="D3535" t="s">
        <v>2354</v>
      </c>
      <c r="E3535" t="s">
        <v>1430</v>
      </c>
      <c r="F3535" s="2">
        <v>667</v>
      </c>
      <c r="G3535" s="2">
        <v>3</v>
      </c>
      <c r="H3535" t="s">
        <v>16</v>
      </c>
      <c r="I3535" t="s">
        <v>59</v>
      </c>
      <c r="J3535" s="11">
        <v>1135.6626020000731</v>
      </c>
      <c r="K3535" t="str">
        <f t="shared" si="120"/>
        <v>Jeanne David</v>
      </c>
    </row>
    <row r="3536" spans="1:11" hidden="1" x14ac:dyDescent="0.35">
      <c r="A3536">
        <f t="shared" si="119"/>
        <v>3535</v>
      </c>
      <c r="B3536">
        <v>2022</v>
      </c>
      <c r="C3536" t="s">
        <v>263</v>
      </c>
      <c r="D3536" t="s">
        <v>2354</v>
      </c>
      <c r="E3536" t="s">
        <v>1430</v>
      </c>
      <c r="F3536" s="2">
        <v>553</v>
      </c>
      <c r="G3536" s="2">
        <v>4</v>
      </c>
      <c r="H3536" t="s">
        <v>100</v>
      </c>
      <c r="I3536" t="s">
        <v>52</v>
      </c>
      <c r="J3536" s="11">
        <v>1010.723865391773</v>
      </c>
      <c r="K3536" t="str">
        <f t="shared" si="120"/>
        <v>Steven Eisenstein</v>
      </c>
    </row>
    <row r="3537" spans="1:11" hidden="1" x14ac:dyDescent="0.35">
      <c r="A3537">
        <f t="shared" si="119"/>
        <v>3536</v>
      </c>
      <c r="B3537">
        <v>2022</v>
      </c>
      <c r="C3537" t="s">
        <v>263</v>
      </c>
      <c r="D3537" t="s">
        <v>2354</v>
      </c>
      <c r="E3537" t="s">
        <v>1430</v>
      </c>
      <c r="F3537" s="2">
        <v>410</v>
      </c>
      <c r="G3537" s="2">
        <v>5</v>
      </c>
      <c r="H3537" t="s">
        <v>107</v>
      </c>
      <c r="I3537" t="s">
        <v>108</v>
      </c>
      <c r="J3537" s="11">
        <v>913.81385238371661</v>
      </c>
      <c r="K3537" t="str">
        <f t="shared" si="120"/>
        <v>Kyle Minnis</v>
      </c>
    </row>
    <row r="3538" spans="1:11" hidden="1" x14ac:dyDescent="0.35">
      <c r="A3538">
        <f t="shared" si="119"/>
        <v>3537</v>
      </c>
      <c r="B3538">
        <v>2022</v>
      </c>
      <c r="C3538" t="s">
        <v>263</v>
      </c>
      <c r="D3538" t="s">
        <v>2354</v>
      </c>
      <c r="E3538" t="s">
        <v>1430</v>
      </c>
      <c r="F3538" s="2">
        <v>287</v>
      </c>
      <c r="G3538" s="2">
        <v>6</v>
      </c>
      <c r="H3538" t="s">
        <v>226</v>
      </c>
      <c r="I3538" t="s">
        <v>227</v>
      </c>
      <c r="J3538" s="11">
        <v>834.63260633609184</v>
      </c>
      <c r="K3538" t="str">
        <f t="shared" si="120"/>
        <v>Patti Beadles</v>
      </c>
    </row>
    <row r="3539" spans="1:11" hidden="1" x14ac:dyDescent="0.35">
      <c r="A3539">
        <f t="shared" si="119"/>
        <v>3538</v>
      </c>
      <c r="B3539">
        <v>2022</v>
      </c>
      <c r="C3539" t="s">
        <v>263</v>
      </c>
      <c r="D3539" t="s">
        <v>2354</v>
      </c>
      <c r="E3539" t="s">
        <v>1430</v>
      </c>
      <c r="F3539" s="2">
        <v>130</v>
      </c>
      <c r="G3539" s="2">
        <v>7</v>
      </c>
      <c r="H3539" t="s">
        <v>461</v>
      </c>
      <c r="I3539" t="s">
        <v>1448</v>
      </c>
      <c r="J3539" s="11">
        <v>767.6858167054786</v>
      </c>
      <c r="K3539" t="str">
        <f t="shared" si="120"/>
        <v>Christian Jones</v>
      </c>
    </row>
    <row r="3540" spans="1:11" hidden="1" x14ac:dyDescent="0.35">
      <c r="A3540">
        <f t="shared" si="119"/>
        <v>3539</v>
      </c>
      <c r="B3540">
        <v>2022</v>
      </c>
      <c r="C3540" t="s">
        <v>263</v>
      </c>
      <c r="D3540" t="s">
        <v>2568</v>
      </c>
      <c r="E3540" t="s">
        <v>1432</v>
      </c>
      <c r="F3540" s="2">
        <v>883</v>
      </c>
      <c r="G3540" s="2">
        <v>1</v>
      </c>
      <c r="H3540" t="s">
        <v>72</v>
      </c>
      <c r="I3540" t="s">
        <v>73</v>
      </c>
      <c r="J3540" s="11">
        <v>1380.2112417116059</v>
      </c>
      <c r="K3540" t="str">
        <f t="shared" si="120"/>
        <v>Corey Imsdahl</v>
      </c>
    </row>
    <row r="3541" spans="1:11" hidden="1" x14ac:dyDescent="0.35">
      <c r="A3541">
        <f t="shared" si="119"/>
        <v>3540</v>
      </c>
      <c r="B3541">
        <v>2022</v>
      </c>
      <c r="C3541" t="s">
        <v>263</v>
      </c>
      <c r="D3541" t="s">
        <v>2568</v>
      </c>
      <c r="E3541" t="s">
        <v>1432</v>
      </c>
      <c r="F3541" s="2">
        <v>538</v>
      </c>
      <c r="G3541" s="2">
        <v>2</v>
      </c>
      <c r="H3541" t="s">
        <v>714</v>
      </c>
      <c r="I3541" t="s">
        <v>528</v>
      </c>
      <c r="J3541" s="11">
        <v>1079.1812460476247</v>
      </c>
      <c r="K3541" t="str">
        <f t="shared" si="120"/>
        <v>Tim Showalter</v>
      </c>
    </row>
    <row r="3542" spans="1:11" hidden="1" x14ac:dyDescent="0.35">
      <c r="A3542">
        <f t="shared" si="119"/>
        <v>3541</v>
      </c>
      <c r="B3542">
        <v>2022</v>
      </c>
      <c r="C3542" t="s">
        <v>263</v>
      </c>
      <c r="D3542" t="s">
        <v>2568</v>
      </c>
      <c r="E3542" t="s">
        <v>1432</v>
      </c>
      <c r="F3542" s="2">
        <v>365</v>
      </c>
      <c r="G3542" s="2">
        <v>3</v>
      </c>
      <c r="H3542" t="s">
        <v>2173</v>
      </c>
      <c r="I3542" t="s">
        <v>1112</v>
      </c>
      <c r="J3542" s="11">
        <v>903.08998699194353</v>
      </c>
      <c r="K3542" t="str">
        <f t="shared" si="120"/>
        <v>Oliver Allen</v>
      </c>
    </row>
    <row r="3543" spans="1:11" hidden="1" x14ac:dyDescent="0.35">
      <c r="A3543">
        <f t="shared" si="119"/>
        <v>3542</v>
      </c>
      <c r="B3543">
        <v>2022</v>
      </c>
      <c r="C3543" t="s">
        <v>263</v>
      </c>
      <c r="D3543" t="s">
        <v>2568</v>
      </c>
      <c r="E3543" t="s">
        <v>1432</v>
      </c>
      <c r="F3543" s="2">
        <v>134</v>
      </c>
      <c r="G3543" s="2">
        <v>4</v>
      </c>
      <c r="H3543" t="s">
        <v>277</v>
      </c>
      <c r="I3543" t="s">
        <v>16</v>
      </c>
      <c r="J3543" s="11">
        <v>778.15125038364351</v>
      </c>
      <c r="K3543" t="str">
        <f t="shared" si="120"/>
        <v>David Lawful</v>
      </c>
    </row>
    <row r="3544" spans="1:11" hidden="1" x14ac:dyDescent="0.35">
      <c r="A3544">
        <f t="shared" si="119"/>
        <v>3543</v>
      </c>
      <c r="B3544">
        <v>2022</v>
      </c>
      <c r="C3544" t="s">
        <v>263</v>
      </c>
      <c r="D3544" t="s">
        <v>2564</v>
      </c>
      <c r="E3544" t="s">
        <v>1429</v>
      </c>
      <c r="F3544" s="2">
        <v>1079</v>
      </c>
      <c r="G3544" s="2">
        <v>1</v>
      </c>
      <c r="H3544" t="s">
        <v>50</v>
      </c>
      <c r="I3544" t="s">
        <v>25</v>
      </c>
      <c r="J3544" s="11">
        <v>1477.1212547196624</v>
      </c>
      <c r="K3544" t="str">
        <f t="shared" si="120"/>
        <v>Russell Fox</v>
      </c>
    </row>
    <row r="3545" spans="1:11" hidden="1" x14ac:dyDescent="0.35">
      <c r="A3545">
        <f t="shared" si="119"/>
        <v>3544</v>
      </c>
      <c r="B3545">
        <v>2022</v>
      </c>
      <c r="C3545" t="s">
        <v>263</v>
      </c>
      <c r="D3545" t="s">
        <v>2564</v>
      </c>
      <c r="E3545" t="s">
        <v>1429</v>
      </c>
      <c r="F3545" s="2">
        <v>721</v>
      </c>
      <c r="G3545" s="2">
        <v>2</v>
      </c>
      <c r="H3545" t="s">
        <v>99</v>
      </c>
      <c r="I3545" t="s">
        <v>101</v>
      </c>
      <c r="J3545" s="11">
        <v>1176.0912590556811</v>
      </c>
      <c r="K3545" t="str">
        <f t="shared" si="120"/>
        <v>Dean Kerl</v>
      </c>
    </row>
    <row r="3546" spans="1:11" hidden="1" x14ac:dyDescent="0.35">
      <c r="A3546">
        <f t="shared" si="119"/>
        <v>3545</v>
      </c>
      <c r="B3546">
        <v>2022</v>
      </c>
      <c r="C3546" t="s">
        <v>263</v>
      </c>
      <c r="D3546" t="s">
        <v>2564</v>
      </c>
      <c r="E3546" t="s">
        <v>1429</v>
      </c>
      <c r="F3546" s="2">
        <v>210</v>
      </c>
      <c r="G3546" s="2">
        <v>3</v>
      </c>
      <c r="H3546" t="s">
        <v>64</v>
      </c>
      <c r="I3546" t="s">
        <v>65</v>
      </c>
      <c r="J3546" s="11">
        <v>1000</v>
      </c>
      <c r="K3546" t="str">
        <f t="shared" si="120"/>
        <v>Steve Daniel</v>
      </c>
    </row>
    <row r="3547" spans="1:11" hidden="1" x14ac:dyDescent="0.35">
      <c r="A3547">
        <f t="shared" si="119"/>
        <v>3546</v>
      </c>
      <c r="B3547">
        <v>2022</v>
      </c>
      <c r="C3547" t="s">
        <v>263</v>
      </c>
      <c r="D3547" t="s">
        <v>2564</v>
      </c>
      <c r="E3547" t="s">
        <v>1429</v>
      </c>
      <c r="F3547" s="2">
        <v>390</v>
      </c>
      <c r="G3547" s="2">
        <v>4</v>
      </c>
      <c r="H3547" t="s">
        <v>2586</v>
      </c>
      <c r="I3547" t="s">
        <v>1073</v>
      </c>
      <c r="J3547" s="11">
        <v>875.06126339169998</v>
      </c>
      <c r="K3547" t="str">
        <f t="shared" si="120"/>
        <v>Sam Chung</v>
      </c>
    </row>
    <row r="3548" spans="1:11" hidden="1" x14ac:dyDescent="0.35">
      <c r="A3548">
        <f t="shared" si="119"/>
        <v>3547</v>
      </c>
      <c r="B3548">
        <v>2022</v>
      </c>
      <c r="C3548" t="s">
        <v>263</v>
      </c>
      <c r="D3548" t="s">
        <v>2564</v>
      </c>
      <c r="E3548" t="s">
        <v>1429</v>
      </c>
      <c r="F3548" s="2">
        <v>300</v>
      </c>
      <c r="G3548" s="2">
        <v>5</v>
      </c>
      <c r="H3548" t="s">
        <v>2588</v>
      </c>
      <c r="I3548" t="s">
        <v>2589</v>
      </c>
      <c r="J3548" s="11">
        <v>778.15125038364351</v>
      </c>
      <c r="K3548" t="str">
        <f t="shared" si="120"/>
        <v>Cory Cunningham</v>
      </c>
    </row>
    <row r="3549" spans="1:11" hidden="1" x14ac:dyDescent="0.35">
      <c r="A3549">
        <f t="shared" si="119"/>
        <v>3548</v>
      </c>
      <c r="B3549">
        <v>2022</v>
      </c>
      <c r="C3549" t="s">
        <v>263</v>
      </c>
      <c r="D3549" t="s">
        <v>2566</v>
      </c>
      <c r="E3549" t="s">
        <v>1429</v>
      </c>
      <c r="F3549" s="2">
        <v>1555</v>
      </c>
      <c r="G3549" s="2">
        <v>1</v>
      </c>
      <c r="H3549" t="s">
        <v>692</v>
      </c>
      <c r="I3549" t="s">
        <v>200</v>
      </c>
      <c r="J3549" s="11">
        <v>1531.478917042255</v>
      </c>
      <c r="K3549" t="str">
        <f t="shared" si="120"/>
        <v>Rick Monbourquette</v>
      </c>
    </row>
    <row r="3550" spans="1:11" hidden="1" x14ac:dyDescent="0.35">
      <c r="A3550">
        <f t="shared" ref="A3550:A3613" si="121">A3549+1</f>
        <v>3549</v>
      </c>
      <c r="B3550">
        <v>2022</v>
      </c>
      <c r="C3550" t="s">
        <v>263</v>
      </c>
      <c r="D3550" t="s">
        <v>2566</v>
      </c>
      <c r="E3550" t="s">
        <v>1429</v>
      </c>
      <c r="F3550" s="2">
        <v>403</v>
      </c>
      <c r="G3550" s="2">
        <v>2</v>
      </c>
      <c r="H3550" t="s">
        <v>277</v>
      </c>
      <c r="I3550" t="s">
        <v>16</v>
      </c>
      <c r="J3550" s="11">
        <v>1230.4489213782738</v>
      </c>
      <c r="K3550" t="str">
        <f t="shared" si="120"/>
        <v>David Lawful</v>
      </c>
    </row>
    <row r="3551" spans="1:11" hidden="1" x14ac:dyDescent="0.35">
      <c r="A3551">
        <f t="shared" si="121"/>
        <v>3550</v>
      </c>
      <c r="B3551">
        <v>2022</v>
      </c>
      <c r="C3551" t="s">
        <v>263</v>
      </c>
      <c r="D3551" t="s">
        <v>2566</v>
      </c>
      <c r="E3551" t="s">
        <v>1429</v>
      </c>
      <c r="F3551" s="2">
        <v>350</v>
      </c>
      <c r="G3551" s="2">
        <v>3</v>
      </c>
      <c r="H3551" t="s">
        <v>86</v>
      </c>
      <c r="I3551" t="s">
        <v>271</v>
      </c>
      <c r="J3551" s="11">
        <v>1054.3576623225927</v>
      </c>
      <c r="K3551" t="str">
        <f t="shared" si="120"/>
        <v>Dan Goldman</v>
      </c>
    </row>
    <row r="3552" spans="1:11" hidden="1" x14ac:dyDescent="0.35">
      <c r="A3552">
        <f t="shared" si="121"/>
        <v>3551</v>
      </c>
      <c r="B3552">
        <v>2022</v>
      </c>
      <c r="C3552" t="s">
        <v>263</v>
      </c>
      <c r="D3552" t="s">
        <v>2566</v>
      </c>
      <c r="E3552" t="s">
        <v>1429</v>
      </c>
      <c r="F3552" s="2">
        <v>218</v>
      </c>
      <c r="G3552" s="2">
        <v>4</v>
      </c>
      <c r="H3552" t="s">
        <v>1719</v>
      </c>
      <c r="I3552" t="s">
        <v>524</v>
      </c>
      <c r="J3552" s="11">
        <v>929.41892571429275</v>
      </c>
      <c r="K3552" t="str">
        <f t="shared" si="120"/>
        <v>Guy Berentsen</v>
      </c>
    </row>
    <row r="3553" spans="1:11" hidden="1" x14ac:dyDescent="0.35">
      <c r="A3553">
        <f t="shared" si="121"/>
        <v>3552</v>
      </c>
      <c r="B3553">
        <v>2022</v>
      </c>
      <c r="C3553" t="s">
        <v>263</v>
      </c>
      <c r="D3553" t="s">
        <v>2566</v>
      </c>
      <c r="E3553" t="s">
        <v>1429</v>
      </c>
      <c r="F3553" s="2">
        <v>268</v>
      </c>
      <c r="G3553" s="2">
        <v>5</v>
      </c>
      <c r="H3553" t="s">
        <v>21</v>
      </c>
      <c r="I3553" t="s">
        <v>463</v>
      </c>
      <c r="J3553" s="11">
        <v>832.50891270623629</v>
      </c>
      <c r="K3553" t="str">
        <f t="shared" si="120"/>
        <v>Richard Bremer</v>
      </c>
    </row>
    <row r="3554" spans="1:11" hidden="1" x14ac:dyDescent="0.35">
      <c r="A3554">
        <f t="shared" si="121"/>
        <v>3553</v>
      </c>
      <c r="B3554">
        <v>2022</v>
      </c>
      <c r="C3554" t="s">
        <v>263</v>
      </c>
      <c r="D3554" t="s">
        <v>1429</v>
      </c>
      <c r="E3554" t="s">
        <v>1429</v>
      </c>
      <c r="F3554" s="2">
        <v>3002</v>
      </c>
      <c r="G3554" s="2">
        <v>1</v>
      </c>
      <c r="H3554" t="s">
        <v>2365</v>
      </c>
      <c r="I3554" t="s">
        <v>2366</v>
      </c>
      <c r="J3554" s="11">
        <v>1919.078092376074</v>
      </c>
      <c r="K3554" t="str">
        <f t="shared" si="120"/>
        <v>Jesse Capps</v>
      </c>
    </row>
    <row r="3555" spans="1:11" x14ac:dyDescent="0.35">
      <c r="A3555">
        <f t="shared" si="121"/>
        <v>3554</v>
      </c>
      <c r="B3555">
        <v>2022</v>
      </c>
      <c r="C3555" t="s">
        <v>263</v>
      </c>
      <c r="D3555" t="s">
        <v>1429</v>
      </c>
      <c r="E3555" t="s">
        <v>1429</v>
      </c>
      <c r="F3555" s="2">
        <v>2188</v>
      </c>
      <c r="G3555" s="2">
        <v>2</v>
      </c>
      <c r="H3555" t="s">
        <v>313</v>
      </c>
      <c r="I3555" t="s">
        <v>314</v>
      </c>
      <c r="J3555" s="11">
        <v>1618.0480967120927</v>
      </c>
      <c r="K3555" t="str">
        <f t="shared" si="120"/>
        <v>Gerald Petersen</v>
      </c>
    </row>
    <row r="3556" spans="1:11" hidden="1" x14ac:dyDescent="0.35">
      <c r="A3556">
        <f t="shared" si="121"/>
        <v>3555</v>
      </c>
      <c r="B3556">
        <v>2022</v>
      </c>
      <c r="C3556" t="s">
        <v>263</v>
      </c>
      <c r="D3556" t="s">
        <v>1429</v>
      </c>
      <c r="E3556" t="s">
        <v>1429</v>
      </c>
      <c r="F3556" s="2">
        <v>1723</v>
      </c>
      <c r="G3556" s="2">
        <v>3</v>
      </c>
      <c r="H3556" t="s">
        <v>19</v>
      </c>
      <c r="I3556" t="s">
        <v>20</v>
      </c>
      <c r="J3556" s="11">
        <v>1441.9568376564116</v>
      </c>
      <c r="K3556" t="str">
        <f t="shared" si="120"/>
        <v>Barry Kornspan</v>
      </c>
    </row>
    <row r="3557" spans="1:11" hidden="1" x14ac:dyDescent="0.35">
      <c r="A3557">
        <f t="shared" si="121"/>
        <v>3556</v>
      </c>
      <c r="B3557">
        <v>2022</v>
      </c>
      <c r="C3557" t="s">
        <v>263</v>
      </c>
      <c r="D3557" t="s">
        <v>1429</v>
      </c>
      <c r="E3557" t="s">
        <v>1429</v>
      </c>
      <c r="F3557" s="2">
        <v>1374</v>
      </c>
      <c r="G3557" s="2">
        <v>4</v>
      </c>
      <c r="H3557" t="s">
        <v>99</v>
      </c>
      <c r="I3557" t="s">
        <v>101</v>
      </c>
      <c r="J3557" s="11">
        <v>1317.0181010481117</v>
      </c>
      <c r="K3557" t="str">
        <f t="shared" si="120"/>
        <v>Dean Kerl</v>
      </c>
    </row>
    <row r="3558" spans="1:11" hidden="1" x14ac:dyDescent="0.35">
      <c r="A3558">
        <f t="shared" si="121"/>
        <v>3557</v>
      </c>
      <c r="B3558">
        <v>2022</v>
      </c>
      <c r="C3558" t="s">
        <v>263</v>
      </c>
      <c r="D3558" t="s">
        <v>1429</v>
      </c>
      <c r="E3558" t="s">
        <v>1429</v>
      </c>
      <c r="F3558" s="2">
        <v>1026</v>
      </c>
      <c r="G3558" s="2">
        <v>5</v>
      </c>
      <c r="H3558" t="s">
        <v>2398</v>
      </c>
      <c r="I3558" t="s">
        <v>1955</v>
      </c>
      <c r="J3558" s="11">
        <v>1220.108088040055</v>
      </c>
      <c r="K3558" t="str">
        <f t="shared" si="120"/>
        <v>Nancy Robertson</v>
      </c>
    </row>
    <row r="3559" spans="1:11" hidden="1" x14ac:dyDescent="0.35">
      <c r="A3559">
        <f t="shared" si="121"/>
        <v>3558</v>
      </c>
      <c r="B3559">
        <v>2022</v>
      </c>
      <c r="C3559" t="s">
        <v>263</v>
      </c>
      <c r="D3559" t="s">
        <v>1429</v>
      </c>
      <c r="E3559" t="s">
        <v>1429</v>
      </c>
      <c r="F3559" s="2">
        <v>763</v>
      </c>
      <c r="G3559" s="2">
        <v>6</v>
      </c>
      <c r="H3559" t="s">
        <v>50</v>
      </c>
      <c r="I3559" t="s">
        <v>25</v>
      </c>
      <c r="J3559" s="11">
        <v>1140.9268419924304</v>
      </c>
      <c r="K3559" t="str">
        <f t="shared" si="120"/>
        <v>Russell Fox</v>
      </c>
    </row>
    <row r="3560" spans="1:11" hidden="1" x14ac:dyDescent="0.35">
      <c r="A3560">
        <f t="shared" si="121"/>
        <v>3559</v>
      </c>
      <c r="B3560">
        <v>2022</v>
      </c>
      <c r="C3560" t="s">
        <v>263</v>
      </c>
      <c r="D3560" t="s">
        <v>1429</v>
      </c>
      <c r="E3560" t="s">
        <v>1429</v>
      </c>
      <c r="F3560" s="2">
        <v>561</v>
      </c>
      <c r="G3560" s="2">
        <v>7</v>
      </c>
      <c r="H3560" t="s">
        <v>86</v>
      </c>
      <c r="I3560" t="s">
        <v>271</v>
      </c>
      <c r="J3560" s="11">
        <v>1073.9800523618173</v>
      </c>
      <c r="K3560" t="str">
        <f t="shared" si="120"/>
        <v>Dan Goldman</v>
      </c>
    </row>
    <row r="3561" spans="1:11" hidden="1" x14ac:dyDescent="0.35">
      <c r="A3561">
        <f t="shared" si="121"/>
        <v>3560</v>
      </c>
      <c r="B3561">
        <v>2022</v>
      </c>
      <c r="C3561" t="s">
        <v>263</v>
      </c>
      <c r="D3561" t="s">
        <v>1429</v>
      </c>
      <c r="E3561" t="s">
        <v>1429</v>
      </c>
      <c r="F3561" s="2">
        <v>329</v>
      </c>
      <c r="G3561" s="2">
        <v>8</v>
      </c>
      <c r="H3561" t="s">
        <v>1445</v>
      </c>
      <c r="I3561" t="s">
        <v>1746</v>
      </c>
      <c r="J3561" s="11">
        <v>1015.9881053841304</v>
      </c>
      <c r="K3561" t="str">
        <f t="shared" si="120"/>
        <v>Kevan Garrett</v>
      </c>
    </row>
    <row r="3562" spans="1:11" hidden="1" x14ac:dyDescent="0.35">
      <c r="A3562">
        <f t="shared" si="121"/>
        <v>3561</v>
      </c>
      <c r="B3562">
        <v>2022</v>
      </c>
      <c r="C3562" t="s">
        <v>263</v>
      </c>
      <c r="D3562" t="s">
        <v>1429</v>
      </c>
      <c r="E3562" t="s">
        <v>1429</v>
      </c>
      <c r="F3562" s="2">
        <v>212</v>
      </c>
      <c r="G3562" s="2">
        <v>9</v>
      </c>
      <c r="H3562" t="s">
        <v>90</v>
      </c>
      <c r="I3562" t="s">
        <v>22</v>
      </c>
      <c r="J3562" s="11">
        <v>964.83558293674912</v>
      </c>
      <c r="K3562" t="str">
        <f t="shared" si="120"/>
        <v>Rich Strauss</v>
      </c>
    </row>
    <row r="3563" spans="1:11" hidden="1" x14ac:dyDescent="0.35">
      <c r="A3563">
        <f t="shared" si="121"/>
        <v>3562</v>
      </c>
      <c r="B3563">
        <v>2022</v>
      </c>
      <c r="C3563" t="s">
        <v>263</v>
      </c>
      <c r="D3563" t="s">
        <v>1429</v>
      </c>
      <c r="E3563" t="s">
        <v>1429</v>
      </c>
      <c r="F3563" s="2">
        <v>212</v>
      </c>
      <c r="G3563" s="2">
        <v>10</v>
      </c>
      <c r="H3563" t="s">
        <v>105</v>
      </c>
      <c r="I3563" t="s">
        <v>106</v>
      </c>
      <c r="J3563" s="11">
        <v>919.07809237607398</v>
      </c>
      <c r="K3563" t="str">
        <f t="shared" si="120"/>
        <v>Kenny Shei</v>
      </c>
    </row>
    <row r="3564" spans="1:11" hidden="1" x14ac:dyDescent="0.35">
      <c r="A3564">
        <f t="shared" si="121"/>
        <v>3563</v>
      </c>
      <c r="B3564">
        <v>2022</v>
      </c>
      <c r="C3564" t="s">
        <v>263</v>
      </c>
      <c r="D3564" t="s">
        <v>1429</v>
      </c>
      <c r="E3564" t="s">
        <v>1429</v>
      </c>
      <c r="F3564" s="2">
        <v>200</v>
      </c>
      <c r="G3564" s="2">
        <v>11</v>
      </c>
      <c r="H3564" t="s">
        <v>366</v>
      </c>
      <c r="I3564" t="s">
        <v>61</v>
      </c>
      <c r="J3564" s="11">
        <v>877.68540721784882</v>
      </c>
      <c r="K3564" t="str">
        <f t="shared" si="120"/>
        <v>Len Greenberg</v>
      </c>
    </row>
    <row r="3565" spans="1:11" hidden="1" x14ac:dyDescent="0.35">
      <c r="A3565">
        <f t="shared" si="121"/>
        <v>3564</v>
      </c>
      <c r="B3565">
        <v>2022</v>
      </c>
      <c r="C3565" t="s">
        <v>263</v>
      </c>
      <c r="D3565" t="s">
        <v>468</v>
      </c>
      <c r="E3565" t="s">
        <v>133</v>
      </c>
      <c r="F3565" s="2">
        <v>972</v>
      </c>
      <c r="G3565" s="2">
        <v>1</v>
      </c>
      <c r="H3565" t="s">
        <v>70</v>
      </c>
      <c r="I3565" t="s">
        <v>71</v>
      </c>
      <c r="J3565" s="11">
        <v>1431.3637641589874</v>
      </c>
      <c r="K3565" t="str">
        <f t="shared" si="120"/>
        <v>Scott Byron</v>
      </c>
    </row>
    <row r="3566" spans="1:11" x14ac:dyDescent="0.35">
      <c r="A3566">
        <f t="shared" si="121"/>
        <v>3565</v>
      </c>
      <c r="B3566">
        <v>2022</v>
      </c>
      <c r="C3566" t="s">
        <v>263</v>
      </c>
      <c r="D3566" t="s">
        <v>468</v>
      </c>
      <c r="E3566" t="s">
        <v>133</v>
      </c>
      <c r="F3566" s="2">
        <v>658</v>
      </c>
      <c r="G3566" s="2">
        <v>2</v>
      </c>
      <c r="H3566" t="s">
        <v>313</v>
      </c>
      <c r="I3566" t="s">
        <v>314</v>
      </c>
      <c r="J3566" s="11">
        <v>1130.3337684950061</v>
      </c>
      <c r="K3566" t="str">
        <f t="shared" si="120"/>
        <v>Gerald Petersen</v>
      </c>
    </row>
    <row r="3567" spans="1:11" hidden="1" x14ac:dyDescent="0.35">
      <c r="A3567">
        <f t="shared" si="121"/>
        <v>3566</v>
      </c>
      <c r="B3567">
        <v>2022</v>
      </c>
      <c r="C3567" t="s">
        <v>263</v>
      </c>
      <c r="D3567" t="s">
        <v>468</v>
      </c>
      <c r="E3567" t="s">
        <v>133</v>
      </c>
      <c r="F3567" s="2">
        <v>459</v>
      </c>
      <c r="G3567" s="2">
        <v>3</v>
      </c>
      <c r="H3567" t="s">
        <v>64</v>
      </c>
      <c r="I3567" t="s">
        <v>65</v>
      </c>
      <c r="J3567" s="11">
        <v>954.24250943932498</v>
      </c>
      <c r="K3567" t="str">
        <f t="shared" si="120"/>
        <v>Steve Daniel</v>
      </c>
    </row>
    <row r="3568" spans="1:11" hidden="1" x14ac:dyDescent="0.35">
      <c r="A3568">
        <f t="shared" si="121"/>
        <v>3567</v>
      </c>
      <c r="B3568">
        <v>2022</v>
      </c>
      <c r="C3568" t="s">
        <v>263</v>
      </c>
      <c r="D3568" t="s">
        <v>468</v>
      </c>
      <c r="E3568" t="s">
        <v>133</v>
      </c>
      <c r="F3568" s="2">
        <v>351</v>
      </c>
      <c r="G3568" s="2">
        <v>4</v>
      </c>
      <c r="H3568" t="s">
        <v>692</v>
      </c>
      <c r="I3568" t="s">
        <v>200</v>
      </c>
      <c r="J3568" s="11">
        <v>829.30377283102496</v>
      </c>
      <c r="K3568" t="str">
        <f t="shared" si="120"/>
        <v>Rick Monbourquette</v>
      </c>
    </row>
    <row r="3569" spans="1:11" hidden="1" x14ac:dyDescent="0.35">
      <c r="A3569">
        <f t="shared" si="121"/>
        <v>3568</v>
      </c>
      <c r="B3569">
        <v>2022</v>
      </c>
      <c r="C3569" t="s">
        <v>263</v>
      </c>
      <c r="D3569" t="s">
        <v>468</v>
      </c>
      <c r="E3569" t="s">
        <v>133</v>
      </c>
      <c r="F3569" s="2">
        <v>270</v>
      </c>
      <c r="G3569" s="2">
        <v>5</v>
      </c>
      <c r="H3569" t="s">
        <v>37</v>
      </c>
      <c r="I3569" t="s">
        <v>38</v>
      </c>
      <c r="J3569" s="11">
        <v>732.39375982296849</v>
      </c>
      <c r="K3569" t="str">
        <f t="shared" si="120"/>
        <v>Doug Grismore</v>
      </c>
    </row>
    <row r="3570" spans="1:11" hidden="1" x14ac:dyDescent="0.35">
      <c r="A3570">
        <f t="shared" si="121"/>
        <v>3569</v>
      </c>
      <c r="B3570">
        <v>2022</v>
      </c>
      <c r="C3570" t="s">
        <v>263</v>
      </c>
      <c r="D3570" t="s">
        <v>2567</v>
      </c>
      <c r="E3570" t="s">
        <v>133</v>
      </c>
      <c r="F3570" s="2">
        <v>891</v>
      </c>
      <c r="G3570" s="2">
        <v>1</v>
      </c>
      <c r="H3570" t="s">
        <v>1719</v>
      </c>
      <c r="I3570" t="s">
        <v>524</v>
      </c>
      <c r="J3570" s="11">
        <v>1361.7278360175928</v>
      </c>
      <c r="K3570" t="str">
        <f t="shared" si="120"/>
        <v>Guy Berentsen</v>
      </c>
    </row>
    <row r="3571" spans="1:11" hidden="1" x14ac:dyDescent="0.35">
      <c r="A3571">
        <f t="shared" si="121"/>
        <v>3570</v>
      </c>
      <c r="B3571">
        <v>2022</v>
      </c>
      <c r="C3571" t="s">
        <v>263</v>
      </c>
      <c r="D3571" t="s">
        <v>2567</v>
      </c>
      <c r="E3571" t="s">
        <v>133</v>
      </c>
      <c r="F3571" s="2">
        <v>548</v>
      </c>
      <c r="G3571" s="2">
        <v>2</v>
      </c>
      <c r="H3571" t="s">
        <v>99</v>
      </c>
      <c r="I3571" t="s">
        <v>101</v>
      </c>
      <c r="J3571" s="11">
        <v>1060.6978403536116</v>
      </c>
      <c r="K3571" t="str">
        <f t="shared" si="120"/>
        <v>Dean Kerl</v>
      </c>
    </row>
    <row r="3572" spans="1:11" hidden="1" x14ac:dyDescent="0.35">
      <c r="A3572">
        <f t="shared" si="121"/>
        <v>3571</v>
      </c>
      <c r="B3572">
        <v>2022</v>
      </c>
      <c r="C3572" t="s">
        <v>263</v>
      </c>
      <c r="D3572" t="s">
        <v>2567</v>
      </c>
      <c r="E3572" t="s">
        <v>133</v>
      </c>
      <c r="F3572" s="2">
        <v>399</v>
      </c>
      <c r="G3572" s="2">
        <v>3</v>
      </c>
      <c r="H3572" t="s">
        <v>88</v>
      </c>
      <c r="I3572" t="s">
        <v>89</v>
      </c>
      <c r="J3572" s="11">
        <v>884.60658129793046</v>
      </c>
      <c r="K3572" t="str">
        <f t="shared" si="120"/>
        <v>Ken Kubey</v>
      </c>
    </row>
    <row r="3573" spans="1:11" hidden="1" x14ac:dyDescent="0.35">
      <c r="A3573">
        <f t="shared" si="121"/>
        <v>3572</v>
      </c>
      <c r="B3573">
        <v>2022</v>
      </c>
      <c r="C3573" t="s">
        <v>263</v>
      </c>
      <c r="D3573" t="s">
        <v>2567</v>
      </c>
      <c r="E3573" t="s">
        <v>133</v>
      </c>
      <c r="F3573" s="2">
        <v>312</v>
      </c>
      <c r="G3573" s="2">
        <v>4</v>
      </c>
      <c r="H3573" t="s">
        <v>107</v>
      </c>
      <c r="I3573" t="s">
        <v>108</v>
      </c>
      <c r="J3573" s="11">
        <v>759.66784468963044</v>
      </c>
      <c r="K3573" t="str">
        <f t="shared" si="120"/>
        <v>Kyle Minnis</v>
      </c>
    </row>
    <row r="3574" spans="1:11" hidden="1" x14ac:dyDescent="0.35">
      <c r="A3574">
        <f t="shared" si="121"/>
        <v>3573</v>
      </c>
      <c r="B3574">
        <v>2022</v>
      </c>
      <c r="C3574" t="s">
        <v>263</v>
      </c>
      <c r="D3574" t="s">
        <v>2567</v>
      </c>
      <c r="E3574" t="s">
        <v>133</v>
      </c>
      <c r="F3574" s="2">
        <v>150</v>
      </c>
      <c r="G3574" s="2">
        <v>5</v>
      </c>
      <c r="H3574" t="s">
        <v>294</v>
      </c>
      <c r="I3574" t="s">
        <v>16</v>
      </c>
      <c r="J3574" s="11">
        <v>662.75783168157398</v>
      </c>
      <c r="K3574" t="str">
        <f t="shared" si="120"/>
        <v>David Low</v>
      </c>
    </row>
    <row r="3575" spans="1:11" hidden="1" x14ac:dyDescent="0.35">
      <c r="A3575">
        <f t="shared" si="121"/>
        <v>3574</v>
      </c>
      <c r="B3575">
        <v>2022</v>
      </c>
      <c r="C3575" t="s">
        <v>263</v>
      </c>
      <c r="D3575" t="s">
        <v>110</v>
      </c>
      <c r="E3575" t="s">
        <v>1430</v>
      </c>
      <c r="F3575" s="2">
        <v>1960</v>
      </c>
      <c r="G3575" s="2">
        <v>1</v>
      </c>
      <c r="H3575" t="s">
        <v>868</v>
      </c>
      <c r="I3575" t="s">
        <v>63</v>
      </c>
      <c r="J3575" s="11">
        <v>1748.1880270062004</v>
      </c>
      <c r="K3575" t="str">
        <f t="shared" si="120"/>
        <v>Claudia Mastroianni</v>
      </c>
    </row>
    <row r="3576" spans="1:11" hidden="1" x14ac:dyDescent="0.35">
      <c r="A3576">
        <f t="shared" si="121"/>
        <v>3575</v>
      </c>
      <c r="B3576">
        <v>2022</v>
      </c>
      <c r="C3576" t="s">
        <v>263</v>
      </c>
      <c r="D3576" t="s">
        <v>110</v>
      </c>
      <c r="E3576" t="s">
        <v>1430</v>
      </c>
      <c r="F3576" s="2">
        <v>1470</v>
      </c>
      <c r="G3576" s="2">
        <v>2</v>
      </c>
      <c r="H3576" t="s">
        <v>2573</v>
      </c>
      <c r="I3576" t="s">
        <v>187</v>
      </c>
      <c r="J3576" s="11">
        <v>1447.1580313422191</v>
      </c>
      <c r="K3576" t="str">
        <f t="shared" si="120"/>
        <v>Joe Santagata</v>
      </c>
    </row>
    <row r="3577" spans="1:11" hidden="1" x14ac:dyDescent="0.35">
      <c r="A3577">
        <f t="shared" si="121"/>
        <v>3576</v>
      </c>
      <c r="B3577">
        <v>2022</v>
      </c>
      <c r="C3577" t="s">
        <v>263</v>
      </c>
      <c r="D3577" t="s">
        <v>110</v>
      </c>
      <c r="E3577" t="s">
        <v>1430</v>
      </c>
      <c r="F3577" s="2">
        <v>1120</v>
      </c>
      <c r="G3577" s="2">
        <v>3</v>
      </c>
      <c r="H3577" t="s">
        <v>525</v>
      </c>
      <c r="I3577" t="s">
        <v>2320</v>
      </c>
      <c r="J3577" s="11">
        <v>1271.066772286538</v>
      </c>
      <c r="K3577" t="str">
        <f t="shared" si="120"/>
        <v>Jared Anderson</v>
      </c>
    </row>
    <row r="3578" spans="1:11" hidden="1" x14ac:dyDescent="0.35">
      <c r="A3578">
        <f t="shared" si="121"/>
        <v>3577</v>
      </c>
      <c r="B3578">
        <v>2022</v>
      </c>
      <c r="C3578" t="s">
        <v>263</v>
      </c>
      <c r="D3578" t="s">
        <v>110</v>
      </c>
      <c r="E3578" t="s">
        <v>1430</v>
      </c>
      <c r="F3578" s="2">
        <v>910</v>
      </c>
      <c r="G3578" s="2">
        <v>4</v>
      </c>
      <c r="H3578" t="s">
        <v>527</v>
      </c>
      <c r="I3578" t="s">
        <v>528</v>
      </c>
      <c r="J3578" s="11">
        <v>1146.1280356782381</v>
      </c>
      <c r="K3578" t="str">
        <f t="shared" si="120"/>
        <v>Tim Stine</v>
      </c>
    </row>
    <row r="3579" spans="1:11" hidden="1" x14ac:dyDescent="0.35">
      <c r="A3579">
        <f t="shared" si="121"/>
        <v>3578</v>
      </c>
      <c r="B3579">
        <v>2022</v>
      </c>
      <c r="C3579" t="s">
        <v>263</v>
      </c>
      <c r="D3579" t="s">
        <v>110</v>
      </c>
      <c r="E3579" t="s">
        <v>1430</v>
      </c>
      <c r="F3579" s="2">
        <v>700</v>
      </c>
      <c r="G3579" s="2">
        <v>5</v>
      </c>
      <c r="H3579" t="s">
        <v>31</v>
      </c>
      <c r="I3579" t="s">
        <v>16</v>
      </c>
      <c r="J3579" s="11">
        <v>1049.2180226701814</v>
      </c>
      <c r="K3579" t="str">
        <f t="shared" si="120"/>
        <v>David Aronson</v>
      </c>
    </row>
    <row r="3580" spans="1:11" hidden="1" x14ac:dyDescent="0.35">
      <c r="A3580">
        <f t="shared" si="121"/>
        <v>3579</v>
      </c>
      <c r="B3580">
        <v>2022</v>
      </c>
      <c r="C3580" t="s">
        <v>263</v>
      </c>
      <c r="D3580" t="s">
        <v>110</v>
      </c>
      <c r="E3580" t="s">
        <v>1430</v>
      </c>
      <c r="F3580" s="2">
        <v>490</v>
      </c>
      <c r="G3580" s="2">
        <v>6</v>
      </c>
      <c r="H3580" t="s">
        <v>2365</v>
      </c>
      <c r="I3580" t="s">
        <v>2366</v>
      </c>
      <c r="J3580" s="11">
        <v>970.03677662255677</v>
      </c>
      <c r="K3580" t="str">
        <f t="shared" si="120"/>
        <v>Jesse Capps</v>
      </c>
    </row>
    <row r="3581" spans="1:11" hidden="1" x14ac:dyDescent="0.35">
      <c r="A3581">
        <f t="shared" si="121"/>
        <v>3580</v>
      </c>
      <c r="B3581">
        <v>2022</v>
      </c>
      <c r="C3581" t="s">
        <v>263</v>
      </c>
      <c r="D3581" t="s">
        <v>110</v>
      </c>
      <c r="E3581" t="s">
        <v>1430</v>
      </c>
      <c r="F3581" s="2">
        <v>350</v>
      </c>
      <c r="G3581" s="2">
        <v>7</v>
      </c>
      <c r="H3581" t="s">
        <v>70</v>
      </c>
      <c r="I3581" t="s">
        <v>71</v>
      </c>
      <c r="J3581" s="11">
        <v>903.08998699194365</v>
      </c>
      <c r="K3581" t="str">
        <f t="shared" si="120"/>
        <v>Scott Byron</v>
      </c>
    </row>
    <row r="3582" spans="1:11" hidden="1" x14ac:dyDescent="0.35">
      <c r="A3582">
        <f t="shared" si="121"/>
        <v>3581</v>
      </c>
      <c r="B3582">
        <v>2022</v>
      </c>
      <c r="C3582" t="s">
        <v>263</v>
      </c>
      <c r="D3582" t="s">
        <v>2565</v>
      </c>
      <c r="E3582" t="s">
        <v>1430</v>
      </c>
      <c r="F3582" s="2">
        <v>765</v>
      </c>
      <c r="G3582" s="2">
        <v>1</v>
      </c>
      <c r="H3582" t="s">
        <v>2298</v>
      </c>
      <c r="I3582" t="s">
        <v>28</v>
      </c>
      <c r="J3582" s="11">
        <v>1505.149978319906</v>
      </c>
      <c r="K3582" t="str">
        <f t="shared" si="120"/>
        <v>Chris Quan</v>
      </c>
    </row>
    <row r="3583" spans="1:11" hidden="1" x14ac:dyDescent="0.35">
      <c r="A3583">
        <f t="shared" si="121"/>
        <v>3582</v>
      </c>
      <c r="B3583">
        <v>2022</v>
      </c>
      <c r="C3583" t="s">
        <v>263</v>
      </c>
      <c r="D3583" t="s">
        <v>2565</v>
      </c>
      <c r="E3583" t="s">
        <v>1430</v>
      </c>
      <c r="F3583" s="2">
        <v>765</v>
      </c>
      <c r="G3583" s="2">
        <v>2</v>
      </c>
      <c r="H3583" t="s">
        <v>277</v>
      </c>
      <c r="I3583" t="s">
        <v>16</v>
      </c>
      <c r="J3583" s="11">
        <v>1204.1199826559248</v>
      </c>
      <c r="K3583" t="str">
        <f t="shared" si="120"/>
        <v>David Lawful</v>
      </c>
    </row>
    <row r="3584" spans="1:11" hidden="1" x14ac:dyDescent="0.35">
      <c r="A3584">
        <f t="shared" si="121"/>
        <v>3583</v>
      </c>
      <c r="B3584">
        <v>2022</v>
      </c>
      <c r="C3584" t="s">
        <v>263</v>
      </c>
      <c r="D3584" t="s">
        <v>2565</v>
      </c>
      <c r="E3584" t="s">
        <v>1430</v>
      </c>
      <c r="F3584" s="2">
        <v>435</v>
      </c>
      <c r="G3584" s="2">
        <v>3</v>
      </c>
      <c r="H3584" t="s">
        <v>78</v>
      </c>
      <c r="I3584" t="s">
        <v>79</v>
      </c>
      <c r="J3584" s="11">
        <v>1028.0287236002437</v>
      </c>
      <c r="K3584" t="str">
        <f t="shared" si="120"/>
        <v>Kevin Knourek</v>
      </c>
    </row>
    <row r="3585" spans="1:11" hidden="1" x14ac:dyDescent="0.35">
      <c r="A3585">
        <f t="shared" si="121"/>
        <v>3584</v>
      </c>
      <c r="B3585">
        <v>2022</v>
      </c>
      <c r="C3585" t="s">
        <v>263</v>
      </c>
      <c r="D3585" t="s">
        <v>2565</v>
      </c>
      <c r="E3585" t="s">
        <v>1430</v>
      </c>
      <c r="F3585" s="2">
        <v>333</v>
      </c>
      <c r="G3585" s="2">
        <v>4</v>
      </c>
      <c r="H3585" t="s">
        <v>2401</v>
      </c>
      <c r="I3585" t="s">
        <v>2017</v>
      </c>
      <c r="J3585" s="11">
        <v>903.08998699194365</v>
      </c>
      <c r="K3585" t="str">
        <f t="shared" si="120"/>
        <v>Kathy Chang</v>
      </c>
    </row>
    <row r="3586" spans="1:11" hidden="1" x14ac:dyDescent="0.35">
      <c r="A3586">
        <f t="shared" si="121"/>
        <v>3585</v>
      </c>
      <c r="B3586">
        <v>2022</v>
      </c>
      <c r="C3586" t="s">
        <v>263</v>
      </c>
      <c r="D3586" t="s">
        <v>2565</v>
      </c>
      <c r="E3586" t="s">
        <v>1430</v>
      </c>
      <c r="F3586" s="2">
        <v>256</v>
      </c>
      <c r="G3586" s="2">
        <v>5</v>
      </c>
      <c r="H3586" t="s">
        <v>99</v>
      </c>
      <c r="I3586" t="s">
        <v>101</v>
      </c>
      <c r="J3586" s="11">
        <v>806.17997398388718</v>
      </c>
      <c r="K3586" t="str">
        <f t="shared" ref="K3586:K3649" si="122">I3586&amp;" "&amp;H3586</f>
        <v>Dean Kerl</v>
      </c>
    </row>
    <row r="3587" spans="1:11" hidden="1" x14ac:dyDescent="0.35">
      <c r="A3587">
        <f t="shared" si="121"/>
        <v>3586</v>
      </c>
      <c r="B3587">
        <v>2022</v>
      </c>
      <c r="C3587" t="s">
        <v>263</v>
      </c>
      <c r="D3587" t="s">
        <v>2565</v>
      </c>
      <c r="E3587" t="s">
        <v>1430</v>
      </c>
      <c r="F3587" s="2">
        <v>5</v>
      </c>
      <c r="G3587" s="2">
        <v>6</v>
      </c>
      <c r="H3587" t="s">
        <v>2428</v>
      </c>
      <c r="I3587" t="s">
        <v>2429</v>
      </c>
      <c r="J3587" s="11">
        <v>726.99872793626241</v>
      </c>
      <c r="K3587" t="str">
        <f t="shared" si="122"/>
        <v>Gail Sarett</v>
      </c>
    </row>
    <row r="3588" spans="1:11" hidden="1" x14ac:dyDescent="0.35">
      <c r="A3588">
        <f t="shared" si="121"/>
        <v>3587</v>
      </c>
      <c r="B3588">
        <v>2022</v>
      </c>
      <c r="C3588" t="s">
        <v>263</v>
      </c>
      <c r="D3588" t="s">
        <v>2565</v>
      </c>
      <c r="E3588" t="s">
        <v>1430</v>
      </c>
      <c r="F3588" s="2">
        <v>1</v>
      </c>
      <c r="G3588" s="2">
        <v>7</v>
      </c>
      <c r="H3588" t="s">
        <v>99</v>
      </c>
      <c r="I3588" t="s">
        <v>2500</v>
      </c>
      <c r="J3588" s="11">
        <v>660.05193830564929</v>
      </c>
      <c r="K3588" t="str">
        <f t="shared" si="122"/>
        <v>Bex Kerl</v>
      </c>
    </row>
    <row r="3589" spans="1:11" hidden="1" x14ac:dyDescent="0.35">
      <c r="A3589">
        <f t="shared" si="121"/>
        <v>3588</v>
      </c>
      <c r="B3589">
        <v>2022</v>
      </c>
      <c r="C3589" t="s">
        <v>68</v>
      </c>
      <c r="D3589" t="s">
        <v>1207</v>
      </c>
      <c r="E3589" t="s">
        <v>509</v>
      </c>
      <c r="F3589" s="2">
        <v>864</v>
      </c>
      <c r="G3589" s="2">
        <v>1</v>
      </c>
      <c r="H3589" t="s">
        <v>107</v>
      </c>
      <c r="I3589" t="s">
        <v>108</v>
      </c>
      <c r="J3589" s="11">
        <v>1380.2112417116059</v>
      </c>
      <c r="K3589" t="str">
        <f t="shared" si="122"/>
        <v>Kyle Minnis</v>
      </c>
    </row>
    <row r="3590" spans="1:11" hidden="1" x14ac:dyDescent="0.35">
      <c r="A3590">
        <f t="shared" si="121"/>
        <v>3589</v>
      </c>
      <c r="B3590">
        <v>2022</v>
      </c>
      <c r="C3590" t="s">
        <v>68</v>
      </c>
      <c r="D3590" t="s">
        <v>1207</v>
      </c>
      <c r="E3590" t="s">
        <v>509</v>
      </c>
      <c r="F3590" s="2">
        <v>550</v>
      </c>
      <c r="G3590" s="2">
        <v>2</v>
      </c>
      <c r="H3590" t="s">
        <v>78</v>
      </c>
      <c r="I3590" t="s">
        <v>79</v>
      </c>
      <c r="J3590" s="11">
        <v>1079.1812460476247</v>
      </c>
      <c r="K3590" t="str">
        <f t="shared" si="122"/>
        <v>Kevin Knourek</v>
      </c>
    </row>
    <row r="3591" spans="1:11" hidden="1" x14ac:dyDescent="0.35">
      <c r="A3591">
        <f t="shared" si="121"/>
        <v>3590</v>
      </c>
      <c r="B3591">
        <v>2022</v>
      </c>
      <c r="C3591" t="s">
        <v>68</v>
      </c>
      <c r="D3591" t="s">
        <v>1207</v>
      </c>
      <c r="E3591" t="s">
        <v>509</v>
      </c>
      <c r="F3591" s="2">
        <v>650</v>
      </c>
      <c r="G3591" s="2">
        <v>3</v>
      </c>
      <c r="H3591" t="s">
        <v>86</v>
      </c>
      <c r="I3591" t="s">
        <v>271</v>
      </c>
      <c r="J3591" s="11">
        <v>903.08998699194353</v>
      </c>
      <c r="K3591" t="str">
        <f t="shared" si="122"/>
        <v>Dan Goldman</v>
      </c>
    </row>
    <row r="3592" spans="1:11" hidden="1" x14ac:dyDescent="0.35">
      <c r="A3592">
        <f t="shared" si="121"/>
        <v>3591</v>
      </c>
      <c r="B3592">
        <v>2022</v>
      </c>
      <c r="C3592" t="s">
        <v>68</v>
      </c>
      <c r="D3592" t="s">
        <v>1207</v>
      </c>
      <c r="E3592" t="s">
        <v>509</v>
      </c>
      <c r="F3592" s="2">
        <v>336</v>
      </c>
      <c r="G3592" s="2">
        <v>4</v>
      </c>
      <c r="H3592" t="s">
        <v>2575</v>
      </c>
      <c r="I3592" t="s">
        <v>165</v>
      </c>
      <c r="J3592" s="11">
        <v>778.15125038364351</v>
      </c>
      <c r="K3592" t="str">
        <f t="shared" si="122"/>
        <v>Dominic Terreri</v>
      </c>
    </row>
    <row r="3593" spans="1:11" hidden="1" x14ac:dyDescent="0.35">
      <c r="A3593">
        <f t="shared" si="121"/>
        <v>3592</v>
      </c>
      <c r="B3593">
        <v>2022</v>
      </c>
      <c r="C3593" t="s">
        <v>68</v>
      </c>
      <c r="D3593" t="s">
        <v>45</v>
      </c>
      <c r="E3593" t="s">
        <v>1429</v>
      </c>
      <c r="F3593" s="2">
        <v>1675</v>
      </c>
      <c r="G3593" s="2">
        <v>1</v>
      </c>
      <c r="H3593" t="s">
        <v>64</v>
      </c>
      <c r="I3593" t="s">
        <v>65</v>
      </c>
      <c r="J3593" s="11">
        <v>1579.7835966168102</v>
      </c>
      <c r="K3593" t="str">
        <f t="shared" si="122"/>
        <v>Steve Daniel</v>
      </c>
    </row>
    <row r="3594" spans="1:11" hidden="1" x14ac:dyDescent="0.35">
      <c r="A3594">
        <f t="shared" si="121"/>
        <v>3593</v>
      </c>
      <c r="B3594">
        <v>2022</v>
      </c>
      <c r="C3594" t="s">
        <v>68</v>
      </c>
      <c r="D3594" t="s">
        <v>45</v>
      </c>
      <c r="E3594" t="s">
        <v>1429</v>
      </c>
      <c r="F3594" s="2">
        <v>1446</v>
      </c>
      <c r="G3594" s="2">
        <v>2</v>
      </c>
      <c r="H3594" t="s">
        <v>95</v>
      </c>
      <c r="I3594" t="s">
        <v>71</v>
      </c>
      <c r="J3594" s="11">
        <v>1278.7536009528289</v>
      </c>
      <c r="K3594" t="str">
        <f t="shared" si="122"/>
        <v>Scott Samarel</v>
      </c>
    </row>
    <row r="3595" spans="1:11" hidden="1" x14ac:dyDescent="0.35">
      <c r="A3595">
        <f t="shared" si="121"/>
        <v>3594</v>
      </c>
      <c r="B3595">
        <v>2022</v>
      </c>
      <c r="C3595" t="s">
        <v>68</v>
      </c>
      <c r="D3595" t="s">
        <v>45</v>
      </c>
      <c r="E3595" t="s">
        <v>1429</v>
      </c>
      <c r="F3595" s="2">
        <v>502</v>
      </c>
      <c r="G3595" s="2">
        <v>3</v>
      </c>
      <c r="H3595" t="s">
        <v>527</v>
      </c>
      <c r="I3595" t="s">
        <v>11</v>
      </c>
      <c r="J3595" s="11">
        <v>1102.6623418971478</v>
      </c>
      <c r="K3595" t="str">
        <f t="shared" si="122"/>
        <v>Paul Stine</v>
      </c>
    </row>
    <row r="3596" spans="1:11" hidden="1" x14ac:dyDescent="0.35">
      <c r="A3596">
        <f t="shared" si="121"/>
        <v>3595</v>
      </c>
      <c r="B3596">
        <v>2022</v>
      </c>
      <c r="C3596" t="s">
        <v>68</v>
      </c>
      <c r="D3596" t="s">
        <v>2562</v>
      </c>
      <c r="E3596" t="s">
        <v>133</v>
      </c>
      <c r="F3596" s="2">
        <v>816</v>
      </c>
      <c r="G3596" s="2">
        <v>1</v>
      </c>
      <c r="H3596" t="s">
        <v>204</v>
      </c>
      <c r="I3596" t="s">
        <v>205</v>
      </c>
      <c r="J3596" s="11">
        <v>1361.7278360175928</v>
      </c>
      <c r="K3596" t="str">
        <f t="shared" si="122"/>
        <v>Ron Grossberg</v>
      </c>
    </row>
    <row r="3597" spans="1:11" hidden="1" x14ac:dyDescent="0.35">
      <c r="A3597">
        <f t="shared" si="121"/>
        <v>3596</v>
      </c>
      <c r="B3597">
        <v>2022</v>
      </c>
      <c r="C3597" t="s">
        <v>68</v>
      </c>
      <c r="D3597" t="s">
        <v>2562</v>
      </c>
      <c r="E3597" t="s">
        <v>133</v>
      </c>
      <c r="F3597" s="2">
        <v>816</v>
      </c>
      <c r="G3597" s="2">
        <v>2</v>
      </c>
      <c r="H3597" t="s">
        <v>72</v>
      </c>
      <c r="I3597" t="s">
        <v>73</v>
      </c>
      <c r="J3597" s="11">
        <v>1060.6978403536116</v>
      </c>
      <c r="K3597" t="str">
        <f t="shared" si="122"/>
        <v>Corey Imsdahl</v>
      </c>
    </row>
    <row r="3598" spans="1:11" hidden="1" x14ac:dyDescent="0.35">
      <c r="A3598">
        <f t="shared" si="121"/>
        <v>3597</v>
      </c>
      <c r="B3598">
        <v>2022</v>
      </c>
      <c r="C3598" t="s">
        <v>68</v>
      </c>
      <c r="D3598" t="s">
        <v>2562</v>
      </c>
      <c r="E3598" t="s">
        <v>133</v>
      </c>
      <c r="F3598" s="2">
        <v>432</v>
      </c>
      <c r="G3598" s="2">
        <v>3</v>
      </c>
      <c r="H3598" t="s">
        <v>231</v>
      </c>
      <c r="I3598" t="s">
        <v>232</v>
      </c>
      <c r="J3598" s="11">
        <v>884.60658129793046</v>
      </c>
      <c r="K3598" t="str">
        <f t="shared" si="122"/>
        <v>Adam Bachrach</v>
      </c>
    </row>
    <row r="3599" spans="1:11" hidden="1" x14ac:dyDescent="0.35">
      <c r="A3599">
        <f t="shared" si="121"/>
        <v>3598</v>
      </c>
      <c r="B3599">
        <v>2022</v>
      </c>
      <c r="C3599" t="s">
        <v>68</v>
      </c>
      <c r="D3599" t="s">
        <v>2563</v>
      </c>
      <c r="E3599" t="s">
        <v>1430</v>
      </c>
      <c r="F3599" s="2">
        <v>1000</v>
      </c>
      <c r="G3599" s="2">
        <v>1</v>
      </c>
      <c r="H3599" t="s">
        <v>2575</v>
      </c>
      <c r="I3599" t="s">
        <v>165</v>
      </c>
      <c r="J3599" s="11">
        <v>1361.7278360175928</v>
      </c>
      <c r="K3599" t="str">
        <f t="shared" si="122"/>
        <v>Dominic Terreri</v>
      </c>
    </row>
    <row r="3600" spans="1:11" hidden="1" x14ac:dyDescent="0.35">
      <c r="A3600">
        <f t="shared" si="121"/>
        <v>3599</v>
      </c>
      <c r="B3600">
        <v>2022</v>
      </c>
      <c r="C3600" t="s">
        <v>68</v>
      </c>
      <c r="D3600" t="s">
        <v>2563</v>
      </c>
      <c r="E3600" t="s">
        <v>1430</v>
      </c>
      <c r="F3600" s="2">
        <v>624</v>
      </c>
      <c r="G3600" s="2">
        <v>2</v>
      </c>
      <c r="H3600" t="s">
        <v>461</v>
      </c>
      <c r="I3600" t="s">
        <v>1448</v>
      </c>
      <c r="J3600" s="11">
        <v>1060.6978403536116</v>
      </c>
      <c r="K3600" t="str">
        <f t="shared" si="122"/>
        <v>Christian Jones</v>
      </c>
    </row>
    <row r="3601" spans="1:11" hidden="1" x14ac:dyDescent="0.35">
      <c r="A3601">
        <f t="shared" si="121"/>
        <v>3600</v>
      </c>
      <c r="B3601">
        <v>2022</v>
      </c>
      <c r="C3601" t="s">
        <v>68</v>
      </c>
      <c r="D3601" t="s">
        <v>2563</v>
      </c>
      <c r="E3601" t="s">
        <v>1430</v>
      </c>
      <c r="F3601" s="2">
        <v>432</v>
      </c>
      <c r="G3601" s="2">
        <v>3</v>
      </c>
      <c r="H3601" t="s">
        <v>277</v>
      </c>
      <c r="I3601" t="s">
        <v>16</v>
      </c>
      <c r="J3601" s="11">
        <v>884.60658129793046</v>
      </c>
      <c r="K3601" t="str">
        <f t="shared" si="122"/>
        <v>David Lawful</v>
      </c>
    </row>
    <row r="3602" spans="1:11" hidden="1" x14ac:dyDescent="0.35">
      <c r="A3602">
        <f t="shared" si="121"/>
        <v>3601</v>
      </c>
      <c r="B3602">
        <v>2022</v>
      </c>
      <c r="C3602" t="s">
        <v>68</v>
      </c>
      <c r="D3602" t="s">
        <v>2563</v>
      </c>
      <c r="E3602" t="s">
        <v>1430</v>
      </c>
      <c r="F3602" s="2">
        <v>8</v>
      </c>
      <c r="G3602" s="2">
        <v>4</v>
      </c>
      <c r="H3602" t="s">
        <v>204</v>
      </c>
      <c r="I3602" t="s">
        <v>205</v>
      </c>
      <c r="J3602" s="11">
        <v>759.66784468963044</v>
      </c>
      <c r="K3602" t="str">
        <f t="shared" si="122"/>
        <v>Ron Grossberg</v>
      </c>
    </row>
    <row r="3603" spans="1:11" hidden="1" x14ac:dyDescent="0.35">
      <c r="A3603">
        <f t="shared" si="121"/>
        <v>3602</v>
      </c>
      <c r="B3603">
        <v>2022</v>
      </c>
      <c r="C3603" t="s">
        <v>68</v>
      </c>
      <c r="D3603" t="s">
        <v>2561</v>
      </c>
      <c r="E3603" t="s">
        <v>1432</v>
      </c>
      <c r="F3603" s="2">
        <v>770</v>
      </c>
      <c r="G3603" s="2">
        <v>1</v>
      </c>
      <c r="H3603" t="s">
        <v>35</v>
      </c>
      <c r="I3603" t="s">
        <v>36</v>
      </c>
      <c r="J3603" s="11">
        <v>1462.3979978989562</v>
      </c>
      <c r="K3603" t="str">
        <f t="shared" si="122"/>
        <v>Nolan Dalla</v>
      </c>
    </row>
    <row r="3604" spans="1:11" hidden="1" x14ac:dyDescent="0.35">
      <c r="A3604">
        <f t="shared" si="121"/>
        <v>3603</v>
      </c>
      <c r="B3604">
        <v>2022</v>
      </c>
      <c r="C3604" t="s">
        <v>68</v>
      </c>
      <c r="D3604" t="s">
        <v>2561</v>
      </c>
      <c r="E3604" t="s">
        <v>1432</v>
      </c>
      <c r="F3604" s="2">
        <v>770</v>
      </c>
      <c r="G3604" s="2">
        <v>2</v>
      </c>
      <c r="H3604" t="s">
        <v>86</v>
      </c>
      <c r="I3604" t="s">
        <v>271</v>
      </c>
      <c r="J3604" s="11">
        <v>1161.3680022349749</v>
      </c>
      <c r="K3604" t="str">
        <f t="shared" si="122"/>
        <v>Dan Goldman</v>
      </c>
    </row>
    <row r="3605" spans="1:11" hidden="1" x14ac:dyDescent="0.35">
      <c r="A3605">
        <f t="shared" si="121"/>
        <v>3604</v>
      </c>
      <c r="B3605">
        <v>2022</v>
      </c>
      <c r="C3605" t="s">
        <v>68</v>
      </c>
      <c r="D3605" t="s">
        <v>2561</v>
      </c>
      <c r="E3605" t="s">
        <v>1432</v>
      </c>
      <c r="F3605" s="2">
        <v>390</v>
      </c>
      <c r="G3605" s="2">
        <v>3</v>
      </c>
      <c r="H3605" t="s">
        <v>204</v>
      </c>
      <c r="I3605" t="s">
        <v>205</v>
      </c>
      <c r="J3605" s="11">
        <v>985.2767431792937</v>
      </c>
      <c r="K3605" t="str">
        <f t="shared" si="122"/>
        <v>Ron Grossberg</v>
      </c>
    </row>
    <row r="3606" spans="1:11" hidden="1" x14ac:dyDescent="0.35">
      <c r="A3606">
        <f t="shared" si="121"/>
        <v>3605</v>
      </c>
      <c r="B3606">
        <v>2022</v>
      </c>
      <c r="C3606" t="s">
        <v>68</v>
      </c>
      <c r="D3606" t="s">
        <v>2561</v>
      </c>
      <c r="E3606" t="s">
        <v>1432</v>
      </c>
      <c r="F3606" s="2">
        <v>300</v>
      </c>
      <c r="G3606" s="2">
        <v>4</v>
      </c>
      <c r="H3606" t="s">
        <v>2573</v>
      </c>
      <c r="I3606" t="s">
        <v>187</v>
      </c>
      <c r="J3606" s="11">
        <v>860.33800657099368</v>
      </c>
      <c r="K3606" t="str">
        <f t="shared" si="122"/>
        <v>Joe Santagata</v>
      </c>
    </row>
    <row r="3607" spans="1:11" hidden="1" x14ac:dyDescent="0.35">
      <c r="A3607">
        <f t="shared" si="121"/>
        <v>3606</v>
      </c>
      <c r="B3607">
        <v>2022</v>
      </c>
      <c r="C3607" t="s">
        <v>8</v>
      </c>
      <c r="D3607" t="s">
        <v>2273</v>
      </c>
      <c r="E3607" t="s">
        <v>1430</v>
      </c>
      <c r="F3607" s="2">
        <v>979</v>
      </c>
      <c r="G3607" s="2">
        <v>1</v>
      </c>
      <c r="H3607" t="s">
        <v>64</v>
      </c>
      <c r="I3607" t="s">
        <v>65</v>
      </c>
      <c r="J3607" s="11">
        <v>1322.2192947339192</v>
      </c>
      <c r="K3607" t="str">
        <f t="shared" si="122"/>
        <v>Steve Daniel</v>
      </c>
    </row>
    <row r="3608" spans="1:11" hidden="1" x14ac:dyDescent="0.35">
      <c r="A3608">
        <f t="shared" si="121"/>
        <v>3607</v>
      </c>
      <c r="B3608">
        <v>2022</v>
      </c>
      <c r="C3608" t="s">
        <v>8</v>
      </c>
      <c r="D3608" t="s">
        <v>2273</v>
      </c>
      <c r="E3608" t="s">
        <v>1430</v>
      </c>
      <c r="F3608" s="2">
        <v>571</v>
      </c>
      <c r="G3608" s="2">
        <v>2</v>
      </c>
      <c r="H3608" t="s">
        <v>1437</v>
      </c>
      <c r="I3608" t="s">
        <v>44</v>
      </c>
      <c r="J3608" s="11">
        <v>1021.1892990699381</v>
      </c>
      <c r="K3608" t="str">
        <f t="shared" si="122"/>
        <v>Mike Fujita</v>
      </c>
    </row>
    <row r="3609" spans="1:11" hidden="1" x14ac:dyDescent="0.35">
      <c r="A3609">
        <f t="shared" si="121"/>
        <v>3608</v>
      </c>
      <c r="B3609">
        <v>2022</v>
      </c>
      <c r="C3609" t="s">
        <v>8</v>
      </c>
      <c r="D3609" t="s">
        <v>2273</v>
      </c>
      <c r="E3609" t="s">
        <v>1430</v>
      </c>
      <c r="F3609" s="2">
        <v>367</v>
      </c>
      <c r="G3609" s="2">
        <v>3</v>
      </c>
      <c r="H3609" t="s">
        <v>27</v>
      </c>
      <c r="I3609" t="s">
        <v>28</v>
      </c>
      <c r="J3609" s="11">
        <v>845.09804001425687</v>
      </c>
      <c r="K3609" t="str">
        <f t="shared" si="122"/>
        <v>Chris Richards</v>
      </c>
    </row>
    <row r="3610" spans="1:11" hidden="1" x14ac:dyDescent="0.35">
      <c r="A3610">
        <f t="shared" si="121"/>
        <v>3609</v>
      </c>
      <c r="B3610">
        <v>2022</v>
      </c>
      <c r="C3610" t="s">
        <v>8</v>
      </c>
      <c r="D3610" t="s">
        <v>2273</v>
      </c>
      <c r="E3610" t="s">
        <v>1430</v>
      </c>
      <c r="F3610" s="2">
        <v>120</v>
      </c>
      <c r="G3610" s="2">
        <v>4</v>
      </c>
      <c r="H3610" t="s">
        <v>195</v>
      </c>
      <c r="I3610" t="s">
        <v>196</v>
      </c>
      <c r="J3610" s="11">
        <v>720.15930340595696</v>
      </c>
      <c r="K3610" t="str">
        <f t="shared" si="122"/>
        <v>Dave Tahajian</v>
      </c>
    </row>
    <row r="3611" spans="1:11" hidden="1" x14ac:dyDescent="0.35">
      <c r="A3611">
        <f t="shared" si="121"/>
        <v>3610</v>
      </c>
      <c r="B3611">
        <v>2022</v>
      </c>
      <c r="C3611" t="s">
        <v>8</v>
      </c>
      <c r="D3611" t="s">
        <v>2446</v>
      </c>
      <c r="E3611" t="s">
        <v>1429</v>
      </c>
      <c r="F3611" s="2">
        <v>1000</v>
      </c>
      <c r="G3611" s="2">
        <v>1</v>
      </c>
      <c r="H3611" t="s">
        <v>2496</v>
      </c>
      <c r="I3611" t="s">
        <v>2497</v>
      </c>
      <c r="J3611" s="11">
        <v>1000</v>
      </c>
      <c r="K3611" t="str">
        <f t="shared" si="122"/>
        <v>Duncan McCallum</v>
      </c>
    </row>
    <row r="3612" spans="1:11" hidden="1" x14ac:dyDescent="0.35">
      <c r="A3612">
        <f t="shared" si="121"/>
        <v>3611</v>
      </c>
      <c r="B3612">
        <v>2022</v>
      </c>
      <c r="C3612" t="s">
        <v>8</v>
      </c>
      <c r="D3612" t="s">
        <v>45</v>
      </c>
      <c r="E3612" t="s">
        <v>1429</v>
      </c>
      <c r="F3612" s="2">
        <v>1108</v>
      </c>
      <c r="G3612" s="2">
        <v>1</v>
      </c>
      <c r="H3612" t="s">
        <v>366</v>
      </c>
      <c r="I3612" t="s">
        <v>61</v>
      </c>
      <c r="J3612" s="11">
        <v>1612.7838567197355</v>
      </c>
      <c r="K3612" t="str">
        <f t="shared" si="122"/>
        <v>Len Greenberg</v>
      </c>
    </row>
    <row r="3613" spans="1:11" hidden="1" x14ac:dyDescent="0.35">
      <c r="A3613">
        <f t="shared" si="121"/>
        <v>3612</v>
      </c>
      <c r="B3613">
        <v>2022</v>
      </c>
      <c r="C3613" t="s">
        <v>8</v>
      </c>
      <c r="D3613" t="s">
        <v>45</v>
      </c>
      <c r="E3613" t="s">
        <v>1429</v>
      </c>
      <c r="F3613" s="2">
        <v>936</v>
      </c>
      <c r="G3613" s="2">
        <v>2</v>
      </c>
      <c r="H3613" t="s">
        <v>2571</v>
      </c>
      <c r="I3613" t="s">
        <v>2489</v>
      </c>
      <c r="J3613" s="11">
        <v>1311.7538610557542</v>
      </c>
      <c r="K3613" t="str">
        <f t="shared" si="122"/>
        <v>Roy Jaoude</v>
      </c>
    </row>
    <row r="3614" spans="1:11" hidden="1" x14ac:dyDescent="0.35">
      <c r="A3614">
        <f t="shared" ref="A3614:A3677" si="123">A3613+1</f>
        <v>3613</v>
      </c>
      <c r="B3614">
        <v>2022</v>
      </c>
      <c r="C3614" t="s">
        <v>8</v>
      </c>
      <c r="D3614" t="s">
        <v>45</v>
      </c>
      <c r="E3614" t="s">
        <v>1429</v>
      </c>
      <c r="F3614" s="2">
        <v>935</v>
      </c>
      <c r="G3614" s="2">
        <v>3</v>
      </c>
      <c r="H3614" t="s">
        <v>251</v>
      </c>
      <c r="I3614" t="s">
        <v>252</v>
      </c>
      <c r="J3614" s="11">
        <v>1135.6626020000731</v>
      </c>
      <c r="K3614" t="str">
        <f t="shared" si="122"/>
        <v>Linda Lewis</v>
      </c>
    </row>
    <row r="3615" spans="1:11" hidden="1" x14ac:dyDescent="0.35">
      <c r="A3615">
        <f t="shared" si="123"/>
        <v>3614</v>
      </c>
      <c r="B3615">
        <v>2022</v>
      </c>
      <c r="C3615" t="s">
        <v>8</v>
      </c>
      <c r="D3615" t="s">
        <v>45</v>
      </c>
      <c r="E3615" t="s">
        <v>1429</v>
      </c>
      <c r="F3615" s="2">
        <v>384</v>
      </c>
      <c r="G3615" s="2">
        <v>4</v>
      </c>
      <c r="H3615" t="s">
        <v>161</v>
      </c>
      <c r="I3615" t="s">
        <v>200</v>
      </c>
      <c r="J3615" s="11">
        <v>1010.723865391773</v>
      </c>
      <c r="K3615" t="str">
        <f t="shared" si="122"/>
        <v>Rick Becker</v>
      </c>
    </row>
    <row r="3616" spans="1:11" hidden="1" x14ac:dyDescent="0.35">
      <c r="A3616">
        <f t="shared" si="123"/>
        <v>3615</v>
      </c>
      <c r="B3616">
        <v>2022</v>
      </c>
      <c r="C3616" t="s">
        <v>8</v>
      </c>
      <c r="D3616" t="s">
        <v>45</v>
      </c>
      <c r="E3616" t="s">
        <v>1429</v>
      </c>
      <c r="F3616" s="2">
        <v>304</v>
      </c>
      <c r="G3616" s="2">
        <v>5</v>
      </c>
      <c r="H3616" t="s">
        <v>27</v>
      </c>
      <c r="I3616" t="s">
        <v>28</v>
      </c>
      <c r="J3616" s="11">
        <v>913.81385238371661</v>
      </c>
      <c r="K3616" t="str">
        <f t="shared" si="122"/>
        <v>Chris Richards</v>
      </c>
    </row>
    <row r="3617" spans="1:11" hidden="1" x14ac:dyDescent="0.35">
      <c r="A3617">
        <f t="shared" si="123"/>
        <v>3616</v>
      </c>
      <c r="B3617">
        <v>2022</v>
      </c>
      <c r="C3617" t="s">
        <v>8</v>
      </c>
      <c r="D3617" t="s">
        <v>45</v>
      </c>
      <c r="E3617" t="s">
        <v>1429</v>
      </c>
      <c r="F3617" s="2">
        <v>224</v>
      </c>
      <c r="G3617" s="2">
        <v>6</v>
      </c>
      <c r="H3617" t="s">
        <v>64</v>
      </c>
      <c r="I3617" t="s">
        <v>65</v>
      </c>
      <c r="J3617" s="11">
        <v>834.63260633609184</v>
      </c>
      <c r="K3617" t="str">
        <f t="shared" si="122"/>
        <v>Steve Daniel</v>
      </c>
    </row>
    <row r="3618" spans="1:11" hidden="1" x14ac:dyDescent="0.35">
      <c r="A3618">
        <f t="shared" si="123"/>
        <v>3617</v>
      </c>
      <c r="B3618">
        <v>2022</v>
      </c>
      <c r="C3618" t="s">
        <v>8</v>
      </c>
      <c r="D3618" t="s">
        <v>45</v>
      </c>
      <c r="E3618" t="s">
        <v>1429</v>
      </c>
      <c r="F3618" s="2">
        <v>86</v>
      </c>
      <c r="G3618" s="2">
        <v>7</v>
      </c>
      <c r="H3618" t="s">
        <v>433</v>
      </c>
      <c r="I3618" t="s">
        <v>434</v>
      </c>
      <c r="J3618" s="11">
        <v>767.6858167054786</v>
      </c>
      <c r="K3618" t="str">
        <f t="shared" si="122"/>
        <v>AJ Evangelista</v>
      </c>
    </row>
    <row r="3619" spans="1:11" hidden="1" x14ac:dyDescent="0.35">
      <c r="A3619">
        <f t="shared" si="123"/>
        <v>3618</v>
      </c>
      <c r="B3619">
        <v>2022</v>
      </c>
      <c r="C3619" t="s">
        <v>8</v>
      </c>
      <c r="D3619" t="s">
        <v>24</v>
      </c>
      <c r="E3619" t="s">
        <v>1430</v>
      </c>
      <c r="F3619" s="2">
        <v>571</v>
      </c>
      <c r="G3619" s="2">
        <v>1</v>
      </c>
      <c r="H3619" t="s">
        <v>436</v>
      </c>
      <c r="I3619" t="s">
        <v>2569</v>
      </c>
      <c r="J3619" s="11">
        <v>602.05999132796239</v>
      </c>
      <c r="K3619" t="str">
        <f t="shared" si="122"/>
        <v>DJ Coates</v>
      </c>
    </row>
    <row r="3620" spans="1:11" hidden="1" x14ac:dyDescent="0.35">
      <c r="A3620">
        <f t="shared" si="123"/>
        <v>3619</v>
      </c>
      <c r="B3620">
        <v>2022</v>
      </c>
      <c r="C3620" t="s">
        <v>8</v>
      </c>
      <c r="D3620" t="s">
        <v>24</v>
      </c>
      <c r="E3620" t="s">
        <v>1430</v>
      </c>
      <c r="F3620" s="2">
        <v>571</v>
      </c>
      <c r="G3620" s="2">
        <v>1</v>
      </c>
      <c r="H3620" t="s">
        <v>433</v>
      </c>
      <c r="I3620" t="s">
        <v>434</v>
      </c>
      <c r="J3620" s="11">
        <v>602.05999132796239</v>
      </c>
      <c r="K3620" t="str">
        <f t="shared" si="122"/>
        <v>AJ Evangelista</v>
      </c>
    </row>
    <row r="3621" spans="1:11" hidden="1" x14ac:dyDescent="0.35">
      <c r="A3621">
        <f t="shared" si="123"/>
        <v>3620</v>
      </c>
      <c r="B3621">
        <v>2022</v>
      </c>
      <c r="C3621" t="s">
        <v>8</v>
      </c>
      <c r="D3621" t="s">
        <v>24</v>
      </c>
      <c r="E3621" t="s">
        <v>1430</v>
      </c>
      <c r="F3621" s="2">
        <v>571</v>
      </c>
      <c r="G3621" s="2">
        <v>2</v>
      </c>
      <c r="H3621" t="s">
        <v>862</v>
      </c>
      <c r="I3621" t="s">
        <v>117</v>
      </c>
      <c r="J3621" s="11">
        <v>451.54499349597177</v>
      </c>
      <c r="K3621" t="str">
        <f t="shared" si="122"/>
        <v>Thomas Kelley</v>
      </c>
    </row>
    <row r="3622" spans="1:11" hidden="1" x14ac:dyDescent="0.35">
      <c r="A3622">
        <f t="shared" si="123"/>
        <v>3621</v>
      </c>
      <c r="B3622">
        <v>2022</v>
      </c>
      <c r="C3622" t="s">
        <v>8</v>
      </c>
      <c r="D3622" t="s">
        <v>24</v>
      </c>
      <c r="E3622" t="s">
        <v>1430</v>
      </c>
      <c r="F3622" s="2">
        <v>571</v>
      </c>
      <c r="G3622" s="2">
        <v>2</v>
      </c>
      <c r="H3622" t="s">
        <v>202</v>
      </c>
      <c r="I3622" t="s">
        <v>205</v>
      </c>
      <c r="J3622" s="11">
        <v>451.54499349597177</v>
      </c>
      <c r="K3622" t="str">
        <f t="shared" si="122"/>
        <v>Ron Lyons</v>
      </c>
    </row>
    <row r="3623" spans="1:11" hidden="1" x14ac:dyDescent="0.35">
      <c r="A3623">
        <f t="shared" si="123"/>
        <v>3622</v>
      </c>
      <c r="B3623">
        <v>2022</v>
      </c>
      <c r="C3623" t="s">
        <v>8</v>
      </c>
      <c r="D3623" t="s">
        <v>24</v>
      </c>
      <c r="E3623" t="s">
        <v>1430</v>
      </c>
      <c r="F3623" s="2">
        <v>310</v>
      </c>
      <c r="G3623" s="2">
        <v>3</v>
      </c>
      <c r="H3623" t="s">
        <v>836</v>
      </c>
      <c r="I3623" t="s">
        <v>136</v>
      </c>
      <c r="J3623" s="11">
        <v>363.49936396813121</v>
      </c>
      <c r="K3623" t="str">
        <f t="shared" si="122"/>
        <v>John Grout</v>
      </c>
    </row>
    <row r="3624" spans="1:11" hidden="1" x14ac:dyDescent="0.35">
      <c r="A3624">
        <f t="shared" si="123"/>
        <v>3623</v>
      </c>
      <c r="B3624">
        <v>2022</v>
      </c>
      <c r="C3624" t="s">
        <v>8</v>
      </c>
      <c r="D3624" t="s">
        <v>24</v>
      </c>
      <c r="E3624" t="s">
        <v>1430</v>
      </c>
      <c r="F3624" s="2">
        <v>310</v>
      </c>
      <c r="G3624" s="2">
        <v>3</v>
      </c>
      <c r="H3624" t="s">
        <v>151</v>
      </c>
      <c r="I3624" t="s">
        <v>16</v>
      </c>
      <c r="J3624" s="11">
        <v>363.49936396813121</v>
      </c>
      <c r="K3624" t="str">
        <f t="shared" si="122"/>
        <v>David Kent</v>
      </c>
    </row>
    <row r="3625" spans="1:11" hidden="1" x14ac:dyDescent="0.35">
      <c r="A3625">
        <f t="shared" si="123"/>
        <v>3624</v>
      </c>
      <c r="B3625">
        <v>2022</v>
      </c>
      <c r="C3625" t="s">
        <v>8</v>
      </c>
      <c r="D3625" t="s">
        <v>24</v>
      </c>
      <c r="E3625" t="s">
        <v>1430</v>
      </c>
      <c r="F3625" s="2">
        <v>100</v>
      </c>
      <c r="G3625" s="2">
        <v>4</v>
      </c>
      <c r="H3625" t="s">
        <v>114</v>
      </c>
      <c r="I3625" t="s">
        <v>187</v>
      </c>
      <c r="J3625" s="11">
        <v>301.0299956639812</v>
      </c>
      <c r="K3625" t="str">
        <f t="shared" si="122"/>
        <v>Joe Morrissette</v>
      </c>
    </row>
    <row r="3626" spans="1:11" hidden="1" x14ac:dyDescent="0.35">
      <c r="A3626">
        <f t="shared" si="123"/>
        <v>3625</v>
      </c>
      <c r="B3626">
        <v>2022</v>
      </c>
      <c r="C3626" t="s">
        <v>8</v>
      </c>
      <c r="D3626" t="s">
        <v>24</v>
      </c>
      <c r="E3626" t="s">
        <v>1430</v>
      </c>
      <c r="F3626" s="2">
        <v>100</v>
      </c>
      <c r="G3626" s="2">
        <v>4</v>
      </c>
      <c r="H3626" t="s">
        <v>27</v>
      </c>
      <c r="I3626" t="s">
        <v>28</v>
      </c>
      <c r="J3626" s="11">
        <v>301.0299956639812</v>
      </c>
      <c r="K3626" t="str">
        <f t="shared" si="122"/>
        <v>Chris Richards</v>
      </c>
    </row>
    <row r="3627" spans="1:11" hidden="1" x14ac:dyDescent="0.35">
      <c r="A3627">
        <f t="shared" si="123"/>
        <v>3626</v>
      </c>
      <c r="B3627">
        <v>2023</v>
      </c>
      <c r="C3627" t="s">
        <v>2410</v>
      </c>
      <c r="D3627" t="s">
        <v>557</v>
      </c>
      <c r="E3627" t="s">
        <v>1430</v>
      </c>
      <c r="F3627" s="2">
        <v>2779</v>
      </c>
      <c r="G3627" s="2">
        <v>1</v>
      </c>
      <c r="H3627" t="s">
        <v>366</v>
      </c>
      <c r="I3627" t="s">
        <v>61</v>
      </c>
      <c r="J3627" s="11">
        <v>1653.2125137753437</v>
      </c>
      <c r="K3627" t="str">
        <f t="shared" si="122"/>
        <v>Len Greenberg</v>
      </c>
    </row>
    <row r="3628" spans="1:11" hidden="1" x14ac:dyDescent="0.35">
      <c r="A3628">
        <f t="shared" si="123"/>
        <v>3627</v>
      </c>
      <c r="B3628">
        <v>2023</v>
      </c>
      <c r="C3628" t="s">
        <v>2410</v>
      </c>
      <c r="D3628" t="s">
        <v>557</v>
      </c>
      <c r="E3628" t="s">
        <v>1430</v>
      </c>
      <c r="F3628" s="2">
        <v>1647</v>
      </c>
      <c r="G3628" s="2">
        <v>2</v>
      </c>
      <c r="H3628" t="s">
        <v>1437</v>
      </c>
      <c r="I3628" t="s">
        <v>44</v>
      </c>
      <c r="J3628" s="11">
        <v>1352.1825181113625</v>
      </c>
      <c r="K3628" t="str">
        <f t="shared" si="122"/>
        <v>Mike Fujita</v>
      </c>
    </row>
    <row r="3629" spans="1:11" hidden="1" x14ac:dyDescent="0.35">
      <c r="A3629">
        <f t="shared" si="123"/>
        <v>3628</v>
      </c>
      <c r="B3629">
        <v>2023</v>
      </c>
      <c r="C3629" t="s">
        <v>2410</v>
      </c>
      <c r="D3629" t="s">
        <v>557</v>
      </c>
      <c r="E3629" t="s">
        <v>1430</v>
      </c>
      <c r="F3629" s="2">
        <v>983</v>
      </c>
      <c r="G3629" s="2">
        <v>3</v>
      </c>
      <c r="H3629" t="s">
        <v>1146</v>
      </c>
      <c r="I3629" t="s">
        <v>79</v>
      </c>
      <c r="J3629" s="11">
        <v>1176.0912590556813</v>
      </c>
      <c r="K3629" t="str">
        <f t="shared" si="122"/>
        <v>Kevin Suffecool</v>
      </c>
    </row>
    <row r="3630" spans="1:11" hidden="1" x14ac:dyDescent="0.35">
      <c r="A3630">
        <f t="shared" si="123"/>
        <v>3629</v>
      </c>
      <c r="B3630">
        <v>2023</v>
      </c>
      <c r="C3630" t="s">
        <v>2410</v>
      </c>
      <c r="D3630" t="s">
        <v>557</v>
      </c>
      <c r="E3630" t="s">
        <v>1430</v>
      </c>
      <c r="F3630" s="2">
        <v>738</v>
      </c>
      <c r="G3630" s="2">
        <v>4</v>
      </c>
      <c r="H3630" t="s">
        <v>2616</v>
      </c>
      <c r="I3630" t="s">
        <v>848</v>
      </c>
      <c r="J3630" s="11">
        <v>1051.1525224473814</v>
      </c>
      <c r="K3630" t="str">
        <f t="shared" si="122"/>
        <v>Jason Marler</v>
      </c>
    </row>
    <row r="3631" spans="1:11" hidden="1" x14ac:dyDescent="0.35">
      <c r="A3631">
        <f t="shared" si="123"/>
        <v>3630</v>
      </c>
      <c r="B3631">
        <v>2023</v>
      </c>
      <c r="C3631" t="s">
        <v>2410</v>
      </c>
      <c r="D3631" t="s">
        <v>557</v>
      </c>
      <c r="E3631" t="s">
        <v>1430</v>
      </c>
      <c r="F3631" s="2">
        <v>590</v>
      </c>
      <c r="G3631" s="2">
        <v>5</v>
      </c>
      <c r="H3631" t="s">
        <v>86</v>
      </c>
      <c r="I3631" t="s">
        <v>87</v>
      </c>
      <c r="J3631" s="11">
        <v>954.24250943932486</v>
      </c>
      <c r="K3631" t="str">
        <f t="shared" si="122"/>
        <v>Stevan Goldman</v>
      </c>
    </row>
    <row r="3632" spans="1:11" hidden="1" x14ac:dyDescent="0.35">
      <c r="A3632">
        <f t="shared" si="123"/>
        <v>3631</v>
      </c>
      <c r="B3632">
        <v>2023</v>
      </c>
      <c r="C3632" t="s">
        <v>2410</v>
      </c>
      <c r="D3632" t="s">
        <v>557</v>
      </c>
      <c r="E3632" t="s">
        <v>1430</v>
      </c>
      <c r="F3632" s="2">
        <v>443</v>
      </c>
      <c r="G3632" s="2">
        <v>6</v>
      </c>
      <c r="H3632" t="s">
        <v>2418</v>
      </c>
      <c r="I3632" t="s">
        <v>782</v>
      </c>
      <c r="J3632" s="11">
        <v>875.06126339170009</v>
      </c>
      <c r="K3632" t="str">
        <f t="shared" si="122"/>
        <v>Dennis McGlynn</v>
      </c>
    </row>
    <row r="3633" spans="1:11" hidden="1" x14ac:dyDescent="0.35">
      <c r="A3633">
        <f t="shared" si="123"/>
        <v>3632</v>
      </c>
      <c r="B3633">
        <v>2023</v>
      </c>
      <c r="C3633" t="s">
        <v>2410</v>
      </c>
      <c r="D3633" t="s">
        <v>557</v>
      </c>
      <c r="E3633" t="s">
        <v>1430</v>
      </c>
      <c r="F3633" s="2">
        <v>200</v>
      </c>
      <c r="G3633" s="2">
        <v>7</v>
      </c>
      <c r="H3633" t="s">
        <v>21</v>
      </c>
      <c r="I3633" t="s">
        <v>463</v>
      </c>
      <c r="J3633" s="11">
        <v>808.11447376108697</v>
      </c>
      <c r="K3633" t="str">
        <f t="shared" si="122"/>
        <v>Richard Bremer</v>
      </c>
    </row>
    <row r="3634" spans="1:11" hidden="1" x14ac:dyDescent="0.35">
      <c r="A3634">
        <f t="shared" si="123"/>
        <v>3633</v>
      </c>
      <c r="B3634">
        <v>2023</v>
      </c>
      <c r="C3634" t="s">
        <v>2410</v>
      </c>
      <c r="D3634" t="s">
        <v>45</v>
      </c>
      <c r="E3634" t="s">
        <v>1429</v>
      </c>
      <c r="F3634" s="2">
        <v>2589</v>
      </c>
      <c r="G3634" s="2">
        <v>1</v>
      </c>
      <c r="H3634" t="s">
        <v>204</v>
      </c>
      <c r="I3634" t="s">
        <v>205</v>
      </c>
      <c r="J3634" s="11">
        <v>1602.0599913279623</v>
      </c>
      <c r="K3634" t="str">
        <f t="shared" si="122"/>
        <v>Ron Grossberg</v>
      </c>
    </row>
    <row r="3635" spans="1:11" hidden="1" x14ac:dyDescent="0.35">
      <c r="A3635">
        <f t="shared" si="123"/>
        <v>3634</v>
      </c>
      <c r="B3635">
        <v>2023</v>
      </c>
      <c r="C3635" t="s">
        <v>2410</v>
      </c>
      <c r="D3635" t="s">
        <v>45</v>
      </c>
      <c r="E3635" t="s">
        <v>1429</v>
      </c>
      <c r="F3635" s="2">
        <v>1590</v>
      </c>
      <c r="G3635" s="2">
        <v>2</v>
      </c>
      <c r="H3635" t="s">
        <v>256</v>
      </c>
      <c r="I3635" t="s">
        <v>257</v>
      </c>
      <c r="J3635" s="11">
        <v>1301.029995663981</v>
      </c>
      <c r="K3635" t="str">
        <f t="shared" si="122"/>
        <v>Stephanie Wasserman</v>
      </c>
    </row>
    <row r="3636" spans="1:11" hidden="1" x14ac:dyDescent="0.35">
      <c r="A3636">
        <f t="shared" si="123"/>
        <v>3635</v>
      </c>
      <c r="B3636">
        <v>2023</v>
      </c>
      <c r="C3636" t="s">
        <v>2410</v>
      </c>
      <c r="D3636" t="s">
        <v>45</v>
      </c>
      <c r="E3636" t="s">
        <v>1429</v>
      </c>
      <c r="F3636" s="2">
        <v>934</v>
      </c>
      <c r="G3636" s="2">
        <v>3</v>
      </c>
      <c r="H3636" t="s">
        <v>31</v>
      </c>
      <c r="I3636" t="s">
        <v>16</v>
      </c>
      <c r="J3636" s="11">
        <v>1124.9387366082999</v>
      </c>
      <c r="K3636" t="str">
        <f t="shared" si="122"/>
        <v>David Aronson</v>
      </c>
    </row>
    <row r="3637" spans="1:11" hidden="1" x14ac:dyDescent="0.35">
      <c r="A3637">
        <f t="shared" si="123"/>
        <v>3636</v>
      </c>
      <c r="B3637">
        <v>2023</v>
      </c>
      <c r="C3637" t="s">
        <v>2410</v>
      </c>
      <c r="D3637" t="s">
        <v>45</v>
      </c>
      <c r="E3637" t="s">
        <v>1429</v>
      </c>
      <c r="F3637" s="2">
        <v>722</v>
      </c>
      <c r="G3637" s="2">
        <v>4</v>
      </c>
      <c r="H3637" t="s">
        <v>2618</v>
      </c>
      <c r="I3637" t="s">
        <v>1271</v>
      </c>
      <c r="J3637" s="11">
        <v>999.99999999999989</v>
      </c>
      <c r="K3637" t="str">
        <f t="shared" si="122"/>
        <v>Seth Nieman</v>
      </c>
    </row>
    <row r="3638" spans="1:11" hidden="1" x14ac:dyDescent="0.35">
      <c r="A3638">
        <f t="shared" si="123"/>
        <v>3637</v>
      </c>
      <c r="B3638">
        <v>2023</v>
      </c>
      <c r="C3638" t="s">
        <v>2410</v>
      </c>
      <c r="D3638" t="s">
        <v>45</v>
      </c>
      <c r="E3638" t="s">
        <v>1429</v>
      </c>
      <c r="F3638" s="2">
        <v>525</v>
      </c>
      <c r="G3638" s="2">
        <v>5</v>
      </c>
      <c r="H3638" t="s">
        <v>1719</v>
      </c>
      <c r="I3638" t="s">
        <v>524</v>
      </c>
      <c r="J3638" s="11">
        <v>903.08998699194342</v>
      </c>
      <c r="K3638" t="str">
        <f t="shared" si="122"/>
        <v>Guy Berentsen</v>
      </c>
    </row>
    <row r="3639" spans="1:11" hidden="1" x14ac:dyDescent="0.35">
      <c r="A3639">
        <f t="shared" si="123"/>
        <v>3638</v>
      </c>
      <c r="B3639">
        <v>2023</v>
      </c>
      <c r="C3639" t="s">
        <v>2410</v>
      </c>
      <c r="D3639" t="s">
        <v>45</v>
      </c>
      <c r="E3639" t="s">
        <v>1429</v>
      </c>
      <c r="F3639" s="2">
        <v>200</v>
      </c>
      <c r="G3639" s="2">
        <v>6</v>
      </c>
      <c r="H3639" t="s">
        <v>366</v>
      </c>
      <c r="I3639" t="s">
        <v>61</v>
      </c>
      <c r="J3639" s="11">
        <v>823.90874094431865</v>
      </c>
      <c r="K3639" t="str">
        <f t="shared" si="122"/>
        <v>Len Greenberg</v>
      </c>
    </row>
    <row r="3640" spans="1:11" hidden="1" x14ac:dyDescent="0.35">
      <c r="A3640">
        <f t="shared" si="123"/>
        <v>3639</v>
      </c>
      <c r="B3640">
        <v>2023</v>
      </c>
      <c r="C3640" t="s">
        <v>2410</v>
      </c>
      <c r="D3640" t="s">
        <v>2598</v>
      </c>
      <c r="E3640" t="s">
        <v>1433</v>
      </c>
      <c r="F3640" s="2">
        <v>2016</v>
      </c>
      <c r="G3640" s="2">
        <v>1</v>
      </c>
      <c r="H3640" t="s">
        <v>70</v>
      </c>
      <c r="I3640" t="s">
        <v>71</v>
      </c>
      <c r="J3640" s="11">
        <v>1447.1580313422191</v>
      </c>
      <c r="K3640" t="str">
        <f t="shared" si="122"/>
        <v>Scott Byron</v>
      </c>
    </row>
    <row r="3641" spans="1:11" hidden="1" x14ac:dyDescent="0.35">
      <c r="A3641">
        <f t="shared" si="123"/>
        <v>3640</v>
      </c>
      <c r="B3641">
        <v>2023</v>
      </c>
      <c r="C3641" t="s">
        <v>2410</v>
      </c>
      <c r="D3641" t="s">
        <v>2598</v>
      </c>
      <c r="E3641" t="s">
        <v>1433</v>
      </c>
      <c r="F3641" s="2">
        <v>1190</v>
      </c>
      <c r="G3641" s="2">
        <v>2</v>
      </c>
      <c r="H3641" t="s">
        <v>2620</v>
      </c>
      <c r="I3641" t="s">
        <v>65</v>
      </c>
      <c r="J3641" s="11">
        <v>1146.1280356782379</v>
      </c>
      <c r="K3641" t="str">
        <f t="shared" si="122"/>
        <v>Steve Tung</v>
      </c>
    </row>
    <row r="3642" spans="1:11" hidden="1" x14ac:dyDescent="0.35">
      <c r="A3642">
        <f t="shared" si="123"/>
        <v>3641</v>
      </c>
      <c r="B3642">
        <v>2023</v>
      </c>
      <c r="C3642" t="s">
        <v>2410</v>
      </c>
      <c r="D3642" t="s">
        <v>2598</v>
      </c>
      <c r="E3642" t="s">
        <v>1433</v>
      </c>
      <c r="F3642" s="2">
        <v>731</v>
      </c>
      <c r="G3642" s="2">
        <v>3</v>
      </c>
      <c r="H3642" t="s">
        <v>64</v>
      </c>
      <c r="I3642" t="s">
        <v>65</v>
      </c>
      <c r="J3642" s="11">
        <v>970.03677662255677</v>
      </c>
      <c r="K3642" t="str">
        <f t="shared" si="122"/>
        <v>Steve Daniel</v>
      </c>
    </row>
    <row r="3643" spans="1:11" hidden="1" x14ac:dyDescent="0.35">
      <c r="A3643">
        <f t="shared" si="123"/>
        <v>3642</v>
      </c>
      <c r="B3643">
        <v>2023</v>
      </c>
      <c r="C3643" t="s">
        <v>2410</v>
      </c>
      <c r="D3643" t="s">
        <v>2598</v>
      </c>
      <c r="E3643" t="s">
        <v>1433</v>
      </c>
      <c r="F3643" s="2">
        <v>455</v>
      </c>
      <c r="G3643" s="2">
        <v>4</v>
      </c>
      <c r="H3643" t="s">
        <v>204</v>
      </c>
      <c r="I3643" t="s">
        <v>205</v>
      </c>
      <c r="J3643" s="11">
        <v>845.09804001425687</v>
      </c>
      <c r="K3643" t="str">
        <f t="shared" si="122"/>
        <v>Ron Grossberg</v>
      </c>
    </row>
    <row r="3644" spans="1:11" hidden="1" x14ac:dyDescent="0.35">
      <c r="A3644">
        <f t="shared" si="123"/>
        <v>3643</v>
      </c>
      <c r="B3644">
        <v>2023</v>
      </c>
      <c r="C3644" t="s">
        <v>2410</v>
      </c>
      <c r="D3644" t="s">
        <v>2598</v>
      </c>
      <c r="E3644" t="s">
        <v>1433</v>
      </c>
      <c r="F3644" s="2">
        <v>200</v>
      </c>
      <c r="G3644" s="2">
        <v>5</v>
      </c>
      <c r="H3644" t="s">
        <v>461</v>
      </c>
      <c r="I3644" t="s">
        <v>1448</v>
      </c>
      <c r="J3644" s="11">
        <v>748.1880270062004</v>
      </c>
      <c r="K3644" t="str">
        <f t="shared" si="122"/>
        <v>Christian Jones</v>
      </c>
    </row>
    <row r="3645" spans="1:11" hidden="1" x14ac:dyDescent="0.35">
      <c r="A3645">
        <f t="shared" si="123"/>
        <v>3644</v>
      </c>
      <c r="B3645">
        <v>2023</v>
      </c>
      <c r="C3645" t="s">
        <v>109</v>
      </c>
      <c r="D3645" t="s">
        <v>45</v>
      </c>
      <c r="E3645" t="s">
        <v>1429</v>
      </c>
      <c r="F3645" s="2">
        <v>2753</v>
      </c>
      <c r="G3645" s="2">
        <v>1</v>
      </c>
      <c r="H3645" t="s">
        <v>183</v>
      </c>
      <c r="I3645" t="s">
        <v>101</v>
      </c>
      <c r="J3645" s="11">
        <v>1681.2412373755872</v>
      </c>
      <c r="K3645" t="str">
        <f t="shared" si="122"/>
        <v>Dean White</v>
      </c>
    </row>
    <row r="3646" spans="1:11" hidden="1" x14ac:dyDescent="0.35">
      <c r="A3646">
        <f t="shared" si="123"/>
        <v>3645</v>
      </c>
      <c r="B3646">
        <v>2023</v>
      </c>
      <c r="C3646" t="s">
        <v>109</v>
      </c>
      <c r="D3646" t="s">
        <v>45</v>
      </c>
      <c r="E3646" t="s">
        <v>1429</v>
      </c>
      <c r="F3646" s="2">
        <v>1706</v>
      </c>
      <c r="G3646" s="2">
        <v>2</v>
      </c>
      <c r="H3646" t="s">
        <v>15</v>
      </c>
      <c r="I3646" t="s">
        <v>28</v>
      </c>
      <c r="J3646" s="11">
        <v>1380.2112417116059</v>
      </c>
      <c r="K3646" t="str">
        <f t="shared" si="122"/>
        <v>Chris Kluchman</v>
      </c>
    </row>
    <row r="3647" spans="1:11" hidden="1" x14ac:dyDescent="0.35">
      <c r="A3647">
        <f t="shared" si="123"/>
        <v>3646</v>
      </c>
      <c r="B3647">
        <v>2023</v>
      </c>
      <c r="C3647" t="s">
        <v>109</v>
      </c>
      <c r="D3647" t="s">
        <v>45</v>
      </c>
      <c r="E3647" t="s">
        <v>1429</v>
      </c>
      <c r="F3647" s="2">
        <v>1008</v>
      </c>
      <c r="G3647" s="2">
        <v>3</v>
      </c>
      <c r="H3647" t="s">
        <v>251</v>
      </c>
      <c r="I3647" t="s">
        <v>252</v>
      </c>
      <c r="J3647" s="11">
        <v>1204.1199826559248</v>
      </c>
      <c r="K3647" t="str">
        <f t="shared" si="122"/>
        <v>Linda Lewis</v>
      </c>
    </row>
    <row r="3648" spans="1:11" hidden="1" x14ac:dyDescent="0.35">
      <c r="A3648">
        <f t="shared" si="123"/>
        <v>3647</v>
      </c>
      <c r="B3648">
        <v>2023</v>
      </c>
      <c r="C3648" t="s">
        <v>109</v>
      </c>
      <c r="D3648" t="s">
        <v>45</v>
      </c>
      <c r="E3648" t="s">
        <v>1429</v>
      </c>
      <c r="F3648" s="2">
        <v>728</v>
      </c>
      <c r="G3648" s="2">
        <v>4</v>
      </c>
      <c r="H3648" t="s">
        <v>33</v>
      </c>
      <c r="I3648" t="s">
        <v>34</v>
      </c>
      <c r="J3648" s="11">
        <v>1079.1812460476247</v>
      </c>
      <c r="K3648" t="str">
        <f t="shared" si="122"/>
        <v>Meredith Holtzman</v>
      </c>
    </row>
    <row r="3649" spans="1:11" hidden="1" x14ac:dyDescent="0.35">
      <c r="A3649">
        <f t="shared" si="123"/>
        <v>3648</v>
      </c>
      <c r="B3649">
        <v>2023</v>
      </c>
      <c r="C3649" t="s">
        <v>109</v>
      </c>
      <c r="D3649" t="s">
        <v>45</v>
      </c>
      <c r="E3649" t="s">
        <v>1429</v>
      </c>
      <c r="F3649" s="2">
        <v>589</v>
      </c>
      <c r="G3649" s="2">
        <v>5</v>
      </c>
      <c r="H3649" t="s">
        <v>161</v>
      </c>
      <c r="I3649" t="s">
        <v>162</v>
      </c>
      <c r="J3649" s="11">
        <v>982.2712330395683</v>
      </c>
      <c r="K3649" t="str">
        <f t="shared" si="122"/>
        <v>Tracy Becker</v>
      </c>
    </row>
    <row r="3650" spans="1:11" hidden="1" x14ac:dyDescent="0.35">
      <c r="A3650">
        <f t="shared" si="123"/>
        <v>3649</v>
      </c>
      <c r="B3650">
        <v>2023</v>
      </c>
      <c r="C3650" t="s">
        <v>109</v>
      </c>
      <c r="D3650" t="s">
        <v>45</v>
      </c>
      <c r="E3650" t="s">
        <v>1429</v>
      </c>
      <c r="F3650" s="2">
        <v>200</v>
      </c>
      <c r="G3650" s="2">
        <v>6</v>
      </c>
      <c r="H3650" t="s">
        <v>764</v>
      </c>
      <c r="I3650" t="s">
        <v>765</v>
      </c>
      <c r="J3650" s="11">
        <v>903.08998699194353</v>
      </c>
      <c r="K3650" t="str">
        <f t="shared" ref="K3650:K3713" si="124">I3650&amp;" "&amp;H3650</f>
        <v>Michelle Ankenman</v>
      </c>
    </row>
    <row r="3651" spans="1:11" hidden="1" x14ac:dyDescent="0.35">
      <c r="A3651">
        <f t="shared" si="123"/>
        <v>3650</v>
      </c>
      <c r="B3651">
        <v>2023</v>
      </c>
      <c r="C3651" t="s">
        <v>109</v>
      </c>
      <c r="D3651" t="s">
        <v>133</v>
      </c>
      <c r="E3651" t="s">
        <v>133</v>
      </c>
      <c r="F3651" s="2">
        <v>1112</v>
      </c>
      <c r="G3651" s="2">
        <v>1</v>
      </c>
      <c r="H3651" t="s">
        <v>21</v>
      </c>
      <c r="I3651" t="s">
        <v>463</v>
      </c>
      <c r="J3651" s="11">
        <v>1397.9400086720377</v>
      </c>
      <c r="K3651" t="str">
        <f t="shared" si="124"/>
        <v>Richard Bremer</v>
      </c>
    </row>
    <row r="3652" spans="1:11" hidden="1" x14ac:dyDescent="0.35">
      <c r="A3652">
        <f t="shared" si="123"/>
        <v>3651</v>
      </c>
      <c r="B3652">
        <v>2023</v>
      </c>
      <c r="C3652" t="s">
        <v>109</v>
      </c>
      <c r="D3652" t="s">
        <v>133</v>
      </c>
      <c r="E3652" t="s">
        <v>133</v>
      </c>
      <c r="F3652" s="2">
        <v>678</v>
      </c>
      <c r="G3652" s="2">
        <v>2</v>
      </c>
      <c r="H3652" t="s">
        <v>414</v>
      </c>
      <c r="I3652" t="s">
        <v>413</v>
      </c>
      <c r="J3652" s="11">
        <v>1096.9100130080565</v>
      </c>
      <c r="K3652" t="str">
        <f t="shared" si="124"/>
        <v>Bruce Kramer</v>
      </c>
    </row>
    <row r="3653" spans="1:11" hidden="1" x14ac:dyDescent="0.35">
      <c r="A3653">
        <f t="shared" si="123"/>
        <v>3652</v>
      </c>
      <c r="B3653">
        <v>2023</v>
      </c>
      <c r="C3653" t="s">
        <v>109</v>
      </c>
      <c r="D3653" t="s">
        <v>133</v>
      </c>
      <c r="E3653" t="s">
        <v>133</v>
      </c>
      <c r="F3653" s="2">
        <v>460</v>
      </c>
      <c r="G3653" s="2">
        <v>3</v>
      </c>
      <c r="H3653" t="s">
        <v>70</v>
      </c>
      <c r="I3653" t="s">
        <v>71</v>
      </c>
      <c r="J3653" s="11">
        <v>920.81875395237535</v>
      </c>
      <c r="K3653" t="str">
        <f t="shared" si="124"/>
        <v>Scott Byron</v>
      </c>
    </row>
    <row r="3654" spans="1:11" hidden="1" x14ac:dyDescent="0.35">
      <c r="A3654">
        <f t="shared" si="123"/>
        <v>3653</v>
      </c>
      <c r="B3654">
        <v>2023</v>
      </c>
      <c r="C3654" t="s">
        <v>109</v>
      </c>
      <c r="D3654" t="s">
        <v>133</v>
      </c>
      <c r="E3654" t="s">
        <v>133</v>
      </c>
      <c r="F3654" s="2">
        <v>175</v>
      </c>
      <c r="G3654" s="2">
        <v>4</v>
      </c>
      <c r="H3654" t="s">
        <v>240</v>
      </c>
      <c r="I3654" t="s">
        <v>241</v>
      </c>
      <c r="J3654" s="11">
        <v>795.88001734407533</v>
      </c>
      <c r="K3654" t="str">
        <f t="shared" si="124"/>
        <v>Cynthia Yannette</v>
      </c>
    </row>
    <row r="3655" spans="1:11" hidden="1" x14ac:dyDescent="0.35">
      <c r="A3655">
        <f t="shared" si="123"/>
        <v>3654</v>
      </c>
      <c r="B3655">
        <v>2023</v>
      </c>
      <c r="C3655" t="s">
        <v>109</v>
      </c>
      <c r="D3655" t="s">
        <v>110</v>
      </c>
      <c r="E3655" t="s">
        <v>1430</v>
      </c>
      <c r="F3655" s="2">
        <v>1316</v>
      </c>
      <c r="G3655" s="2">
        <v>1</v>
      </c>
      <c r="H3655" t="s">
        <v>161</v>
      </c>
      <c r="I3655" t="s">
        <v>200</v>
      </c>
      <c r="J3655" s="11">
        <v>1623.2492903979005</v>
      </c>
      <c r="K3655" t="str">
        <f t="shared" si="124"/>
        <v>Rick Becker</v>
      </c>
    </row>
    <row r="3656" spans="1:11" hidden="1" x14ac:dyDescent="0.35">
      <c r="A3656">
        <f t="shared" si="123"/>
        <v>3655</v>
      </c>
      <c r="B3656">
        <v>2023</v>
      </c>
      <c r="C3656" t="s">
        <v>109</v>
      </c>
      <c r="D3656" t="s">
        <v>110</v>
      </c>
      <c r="E3656" t="s">
        <v>1430</v>
      </c>
      <c r="F3656" s="2">
        <v>1070</v>
      </c>
      <c r="G3656" s="2">
        <v>2</v>
      </c>
      <c r="H3656" t="s">
        <v>121</v>
      </c>
      <c r="I3656" t="s">
        <v>122</v>
      </c>
      <c r="J3656" s="11">
        <v>1322.2192947339192</v>
      </c>
      <c r="K3656" t="str">
        <f t="shared" si="124"/>
        <v>Andy Bartalone</v>
      </c>
    </row>
    <row r="3657" spans="1:11" hidden="1" x14ac:dyDescent="0.35">
      <c r="A3657">
        <f t="shared" si="123"/>
        <v>3656</v>
      </c>
      <c r="B3657">
        <v>2023</v>
      </c>
      <c r="C3657" t="s">
        <v>109</v>
      </c>
      <c r="D3657" t="s">
        <v>110</v>
      </c>
      <c r="E3657" t="s">
        <v>1430</v>
      </c>
      <c r="F3657" s="2">
        <v>783</v>
      </c>
      <c r="G3657" s="2">
        <v>3</v>
      </c>
      <c r="H3657" t="s">
        <v>2408</v>
      </c>
      <c r="I3657" t="s">
        <v>25</v>
      </c>
      <c r="J3657" s="11">
        <v>1146.1280356782381</v>
      </c>
      <c r="K3657" t="str">
        <f t="shared" si="124"/>
        <v>Russell Diaz</v>
      </c>
    </row>
    <row r="3658" spans="1:11" hidden="1" x14ac:dyDescent="0.35">
      <c r="A3658">
        <f t="shared" si="123"/>
        <v>3657</v>
      </c>
      <c r="B3658">
        <v>2023</v>
      </c>
      <c r="C3658" t="s">
        <v>109</v>
      </c>
      <c r="D3658" t="s">
        <v>110</v>
      </c>
      <c r="E3658" t="s">
        <v>1430</v>
      </c>
      <c r="F3658" s="2">
        <v>418</v>
      </c>
      <c r="G3658" s="2">
        <v>4</v>
      </c>
      <c r="H3658" t="s">
        <v>558</v>
      </c>
      <c r="I3658" t="s">
        <v>79</v>
      </c>
      <c r="J3658" s="11">
        <v>1021.1892990699382</v>
      </c>
      <c r="K3658" t="str">
        <f t="shared" si="124"/>
        <v>Kevin Conlon</v>
      </c>
    </row>
    <row r="3659" spans="1:11" hidden="1" x14ac:dyDescent="0.35">
      <c r="A3659">
        <f t="shared" si="123"/>
        <v>3658</v>
      </c>
      <c r="B3659">
        <v>2023</v>
      </c>
      <c r="C3659" t="s">
        <v>109</v>
      </c>
      <c r="D3659" t="s">
        <v>110</v>
      </c>
      <c r="E3659" t="s">
        <v>1430</v>
      </c>
      <c r="F3659" s="2">
        <v>337</v>
      </c>
      <c r="G3659" s="2">
        <v>5</v>
      </c>
      <c r="H3659" t="s">
        <v>459</v>
      </c>
      <c r="I3659" t="s">
        <v>136</v>
      </c>
      <c r="J3659" s="11">
        <v>924.27928606188175</v>
      </c>
      <c r="K3659" t="str">
        <f t="shared" si="124"/>
        <v>John Bonaguro</v>
      </c>
    </row>
    <row r="3660" spans="1:11" hidden="1" x14ac:dyDescent="0.35">
      <c r="A3660">
        <f t="shared" si="123"/>
        <v>3659</v>
      </c>
      <c r="B3660">
        <v>2023</v>
      </c>
      <c r="C3660" t="s">
        <v>109</v>
      </c>
      <c r="D3660" t="s">
        <v>110</v>
      </c>
      <c r="E3660" t="s">
        <v>1430</v>
      </c>
      <c r="F3660" s="2">
        <v>150</v>
      </c>
      <c r="G3660" s="2">
        <v>6</v>
      </c>
      <c r="H3660" t="s">
        <v>2613</v>
      </c>
      <c r="I3660" t="s">
        <v>2614</v>
      </c>
      <c r="J3660" s="11">
        <v>845.09804001425687</v>
      </c>
      <c r="K3660" t="str">
        <f t="shared" si="124"/>
        <v>BG Dilworth</v>
      </c>
    </row>
    <row r="3661" spans="1:11" hidden="1" x14ac:dyDescent="0.35">
      <c r="A3661">
        <f t="shared" si="123"/>
        <v>3660</v>
      </c>
      <c r="B3661">
        <v>2023</v>
      </c>
      <c r="C3661" t="s">
        <v>263</v>
      </c>
      <c r="D3661" t="s">
        <v>2603</v>
      </c>
      <c r="E3661" t="s">
        <v>1432</v>
      </c>
      <c r="F3661" s="2">
        <v>386</v>
      </c>
      <c r="G3661" s="2">
        <v>1</v>
      </c>
      <c r="H3661" t="s">
        <v>2305</v>
      </c>
      <c r="I3661" t="s">
        <v>2306</v>
      </c>
      <c r="J3661" s="11">
        <v>1204.1199826559248</v>
      </c>
      <c r="K3661" t="str">
        <f t="shared" si="124"/>
        <v>Randal Hennemuth</v>
      </c>
    </row>
    <row r="3662" spans="1:11" hidden="1" x14ac:dyDescent="0.35">
      <c r="A3662">
        <f t="shared" si="123"/>
        <v>3661</v>
      </c>
      <c r="B3662">
        <v>2023</v>
      </c>
      <c r="C3662" t="s">
        <v>263</v>
      </c>
      <c r="D3662" t="s">
        <v>2603</v>
      </c>
      <c r="E3662" t="s">
        <v>1432</v>
      </c>
      <c r="F3662" s="2">
        <v>435</v>
      </c>
      <c r="G3662" s="2">
        <v>2</v>
      </c>
      <c r="H3662" t="s">
        <v>383</v>
      </c>
      <c r="I3662" t="s">
        <v>384</v>
      </c>
      <c r="J3662" s="11">
        <v>903.08998699194353</v>
      </c>
      <c r="K3662" t="str">
        <f t="shared" si="124"/>
        <v>Jeff Deitch</v>
      </c>
    </row>
    <row r="3663" spans="1:11" hidden="1" x14ac:dyDescent="0.35">
      <c r="A3663">
        <f t="shared" si="123"/>
        <v>3662</v>
      </c>
      <c r="B3663">
        <v>2023</v>
      </c>
      <c r="C3663" t="s">
        <v>263</v>
      </c>
      <c r="D3663" t="s">
        <v>2603</v>
      </c>
      <c r="E3663" t="s">
        <v>1432</v>
      </c>
      <c r="F3663" s="2">
        <v>230</v>
      </c>
      <c r="G3663" s="2">
        <v>3</v>
      </c>
      <c r="H3663" t="s">
        <v>86</v>
      </c>
      <c r="I3663" t="s">
        <v>271</v>
      </c>
      <c r="J3663" s="11">
        <v>726.99872793626241</v>
      </c>
      <c r="K3663" t="str">
        <f t="shared" si="124"/>
        <v>Dan Goldman</v>
      </c>
    </row>
    <row r="3664" spans="1:11" hidden="1" x14ac:dyDescent="0.35">
      <c r="A3664">
        <f t="shared" si="123"/>
        <v>3663</v>
      </c>
      <c r="B3664">
        <v>2023</v>
      </c>
      <c r="C3664" t="s">
        <v>263</v>
      </c>
      <c r="D3664" t="s">
        <v>2603</v>
      </c>
      <c r="E3664" t="s">
        <v>1432</v>
      </c>
      <c r="F3664" s="2">
        <v>179</v>
      </c>
      <c r="G3664" s="2">
        <v>4</v>
      </c>
      <c r="H3664" t="s">
        <v>95</v>
      </c>
      <c r="I3664" t="s">
        <v>71</v>
      </c>
      <c r="J3664" s="11">
        <v>602.05999132796239</v>
      </c>
      <c r="K3664" t="str">
        <f t="shared" si="124"/>
        <v>Scott Samarel</v>
      </c>
    </row>
    <row r="3665" spans="1:11" hidden="1" x14ac:dyDescent="0.35">
      <c r="A3665">
        <f t="shared" si="123"/>
        <v>3664</v>
      </c>
      <c r="B3665">
        <v>2023</v>
      </c>
      <c r="C3665" t="s">
        <v>263</v>
      </c>
      <c r="D3665" t="s">
        <v>2603</v>
      </c>
      <c r="E3665" t="s">
        <v>1432</v>
      </c>
      <c r="F3665" s="2">
        <v>50</v>
      </c>
      <c r="G3665" s="2">
        <v>5</v>
      </c>
      <c r="H3665" t="s">
        <v>2365</v>
      </c>
      <c r="I3665" t="s">
        <v>2366</v>
      </c>
      <c r="J3665" s="11">
        <v>0</v>
      </c>
      <c r="K3665" t="str">
        <f t="shared" si="124"/>
        <v>Jesse Capps</v>
      </c>
    </row>
    <row r="3666" spans="1:11" hidden="1" x14ac:dyDescent="0.35">
      <c r="A3666">
        <f t="shared" si="123"/>
        <v>3665</v>
      </c>
      <c r="B3666">
        <v>2023</v>
      </c>
      <c r="C3666" t="s">
        <v>263</v>
      </c>
      <c r="D3666" t="s">
        <v>2600</v>
      </c>
      <c r="E3666" t="s">
        <v>1430</v>
      </c>
      <c r="F3666" s="2">
        <v>1408</v>
      </c>
      <c r="G3666" s="2">
        <v>1</v>
      </c>
      <c r="H3666" t="s">
        <v>2632</v>
      </c>
      <c r="I3666" t="s">
        <v>2633</v>
      </c>
      <c r="J3666" s="11">
        <v>1707.5701760979362</v>
      </c>
      <c r="K3666" t="str">
        <f t="shared" si="124"/>
        <v>Terrance Reid</v>
      </c>
    </row>
    <row r="3667" spans="1:11" hidden="1" x14ac:dyDescent="0.35">
      <c r="A3667">
        <f t="shared" si="123"/>
        <v>3666</v>
      </c>
      <c r="B3667">
        <v>2023</v>
      </c>
      <c r="C3667" t="s">
        <v>263</v>
      </c>
      <c r="D3667" t="s">
        <v>2600</v>
      </c>
      <c r="E3667" t="s">
        <v>1430</v>
      </c>
      <c r="F3667" s="2">
        <v>1051</v>
      </c>
      <c r="G3667" s="2">
        <v>2</v>
      </c>
      <c r="H3667" t="s">
        <v>883</v>
      </c>
      <c r="I3667" t="s">
        <v>884</v>
      </c>
      <c r="J3667" s="11">
        <v>1406.5401804339549</v>
      </c>
      <c r="K3667" t="str">
        <f t="shared" si="124"/>
        <v>Salim Valimahomed</v>
      </c>
    </row>
    <row r="3668" spans="1:11" hidden="1" x14ac:dyDescent="0.35">
      <c r="A3668">
        <f t="shared" si="123"/>
        <v>3667</v>
      </c>
      <c r="B3668">
        <v>2023</v>
      </c>
      <c r="C3668" t="s">
        <v>263</v>
      </c>
      <c r="D3668" t="s">
        <v>2600</v>
      </c>
      <c r="E3668" t="s">
        <v>1430</v>
      </c>
      <c r="F3668" s="2">
        <v>796</v>
      </c>
      <c r="G3668" s="2">
        <v>3</v>
      </c>
      <c r="H3668" t="s">
        <v>35</v>
      </c>
      <c r="I3668" t="s">
        <v>36</v>
      </c>
      <c r="J3668" s="11">
        <v>1230.4489213782738</v>
      </c>
      <c r="K3668" t="str">
        <f t="shared" si="124"/>
        <v>Nolan Dalla</v>
      </c>
    </row>
    <row r="3669" spans="1:11" hidden="1" x14ac:dyDescent="0.35">
      <c r="A3669">
        <f t="shared" si="123"/>
        <v>3668</v>
      </c>
      <c r="B3669">
        <v>2023</v>
      </c>
      <c r="C3669" t="s">
        <v>263</v>
      </c>
      <c r="D3669" t="s">
        <v>2600</v>
      </c>
      <c r="E3669" t="s">
        <v>1430</v>
      </c>
      <c r="F3669" s="2">
        <v>643</v>
      </c>
      <c r="G3669" s="2">
        <v>4</v>
      </c>
      <c r="H3669" t="s">
        <v>70</v>
      </c>
      <c r="I3669" t="s">
        <v>71</v>
      </c>
      <c r="J3669" s="11">
        <v>1105.5101847699736</v>
      </c>
      <c r="K3669" t="str">
        <f t="shared" si="124"/>
        <v>Scott Byron</v>
      </c>
    </row>
    <row r="3670" spans="1:11" hidden="1" x14ac:dyDescent="0.35">
      <c r="A3670">
        <f t="shared" si="123"/>
        <v>3669</v>
      </c>
      <c r="B3670">
        <v>2023</v>
      </c>
      <c r="C3670" t="s">
        <v>263</v>
      </c>
      <c r="D3670" t="s">
        <v>2600</v>
      </c>
      <c r="E3670" t="s">
        <v>1430</v>
      </c>
      <c r="F3670" s="2">
        <v>490</v>
      </c>
      <c r="G3670" s="2">
        <v>5</v>
      </c>
      <c r="H3670" t="s">
        <v>600</v>
      </c>
      <c r="I3670" t="s">
        <v>142</v>
      </c>
      <c r="J3670" s="11">
        <v>1008.6001717619175</v>
      </c>
      <c r="K3670" t="str">
        <f t="shared" si="124"/>
        <v>Matt Grapenthien</v>
      </c>
    </row>
    <row r="3671" spans="1:11" hidden="1" x14ac:dyDescent="0.35">
      <c r="A3671">
        <f t="shared" si="123"/>
        <v>3670</v>
      </c>
      <c r="B3671">
        <v>2023</v>
      </c>
      <c r="C3671" t="s">
        <v>263</v>
      </c>
      <c r="D3671" t="s">
        <v>2600</v>
      </c>
      <c r="E3671" t="s">
        <v>1430</v>
      </c>
      <c r="F3671" s="2">
        <v>337</v>
      </c>
      <c r="G3671" s="2">
        <v>6</v>
      </c>
      <c r="H3671" t="s">
        <v>16</v>
      </c>
      <c r="I3671" t="s">
        <v>59</v>
      </c>
      <c r="J3671" s="11">
        <v>929.41892571429264</v>
      </c>
      <c r="K3671" t="str">
        <f t="shared" si="124"/>
        <v>Jeanne David</v>
      </c>
    </row>
    <row r="3672" spans="1:11" hidden="1" x14ac:dyDescent="0.35">
      <c r="A3672">
        <f t="shared" si="123"/>
        <v>3671</v>
      </c>
      <c r="B3672">
        <v>2023</v>
      </c>
      <c r="C3672" t="s">
        <v>263</v>
      </c>
      <c r="D3672" t="s">
        <v>2600</v>
      </c>
      <c r="E3672" t="s">
        <v>1430</v>
      </c>
      <c r="F3672" s="2">
        <v>235</v>
      </c>
      <c r="G3672" s="2">
        <v>7</v>
      </c>
      <c r="H3672" t="s">
        <v>15</v>
      </c>
      <c r="I3672" t="s">
        <v>16</v>
      </c>
      <c r="J3672" s="11">
        <v>862.4721360836794</v>
      </c>
      <c r="K3672" t="str">
        <f t="shared" si="124"/>
        <v>David Kluchman</v>
      </c>
    </row>
    <row r="3673" spans="1:11" hidden="1" x14ac:dyDescent="0.35">
      <c r="A3673">
        <f t="shared" si="123"/>
        <v>3672</v>
      </c>
      <c r="B3673">
        <v>2023</v>
      </c>
      <c r="C3673" t="s">
        <v>263</v>
      </c>
      <c r="D3673" t="s">
        <v>2600</v>
      </c>
      <c r="E3673" t="s">
        <v>1430</v>
      </c>
      <c r="F3673" s="2">
        <v>140</v>
      </c>
      <c r="G3673" s="2">
        <v>8</v>
      </c>
      <c r="H3673" t="s">
        <v>2365</v>
      </c>
      <c r="I3673" t="s">
        <v>2366</v>
      </c>
      <c r="J3673" s="11">
        <v>804.48018910599274</v>
      </c>
      <c r="K3673" t="str">
        <f t="shared" si="124"/>
        <v>Jesse Capps</v>
      </c>
    </row>
    <row r="3674" spans="1:11" hidden="1" x14ac:dyDescent="0.35">
      <c r="A3674">
        <f t="shared" si="123"/>
        <v>3673</v>
      </c>
      <c r="B3674">
        <v>2023</v>
      </c>
      <c r="C3674" t="s">
        <v>263</v>
      </c>
      <c r="D3674" t="s">
        <v>607</v>
      </c>
      <c r="E3674" t="s">
        <v>1051</v>
      </c>
      <c r="F3674" s="2">
        <v>1016</v>
      </c>
      <c r="G3674" s="2">
        <v>1</v>
      </c>
      <c r="H3674" t="s">
        <v>1053</v>
      </c>
      <c r="I3674" t="s">
        <v>128</v>
      </c>
      <c r="J3674" s="11">
        <v>1612.7838567197355</v>
      </c>
      <c r="K3674" t="str">
        <f t="shared" si="124"/>
        <v>Lee Crocker</v>
      </c>
    </row>
    <row r="3675" spans="1:11" hidden="1" x14ac:dyDescent="0.35">
      <c r="A3675">
        <f t="shared" si="123"/>
        <v>3674</v>
      </c>
      <c r="B3675">
        <v>2023</v>
      </c>
      <c r="C3675" t="s">
        <v>263</v>
      </c>
      <c r="D3675" t="s">
        <v>607</v>
      </c>
      <c r="E3675" t="s">
        <v>1051</v>
      </c>
      <c r="F3675" s="2">
        <v>722</v>
      </c>
      <c r="G3675" s="2">
        <v>2</v>
      </c>
      <c r="H3675" t="s">
        <v>204</v>
      </c>
      <c r="I3675" t="s">
        <v>205</v>
      </c>
      <c r="J3675" s="11">
        <v>1311.7538610557542</v>
      </c>
      <c r="K3675" t="str">
        <f t="shared" si="124"/>
        <v>Ron Grossberg</v>
      </c>
    </row>
    <row r="3676" spans="1:11" hidden="1" x14ac:dyDescent="0.35">
      <c r="A3676">
        <f t="shared" si="123"/>
        <v>3675</v>
      </c>
      <c r="B3676">
        <v>2023</v>
      </c>
      <c r="C3676" t="s">
        <v>263</v>
      </c>
      <c r="D3676" t="s">
        <v>607</v>
      </c>
      <c r="E3676" t="s">
        <v>1051</v>
      </c>
      <c r="F3676" s="2">
        <v>558</v>
      </c>
      <c r="G3676" s="2">
        <v>3</v>
      </c>
      <c r="H3676" t="s">
        <v>70</v>
      </c>
      <c r="I3676" t="s">
        <v>71</v>
      </c>
      <c r="J3676" s="11">
        <v>1135.6626020000731</v>
      </c>
      <c r="K3676" t="str">
        <f t="shared" si="124"/>
        <v>Scott Byron</v>
      </c>
    </row>
    <row r="3677" spans="1:11" hidden="1" x14ac:dyDescent="0.35">
      <c r="A3677">
        <f t="shared" si="123"/>
        <v>3676</v>
      </c>
      <c r="B3677">
        <v>2023</v>
      </c>
      <c r="C3677" t="s">
        <v>263</v>
      </c>
      <c r="D3677" t="s">
        <v>607</v>
      </c>
      <c r="E3677" t="s">
        <v>1051</v>
      </c>
      <c r="F3677" s="2">
        <v>426</v>
      </c>
      <c r="G3677" s="2">
        <v>4</v>
      </c>
      <c r="H3677" t="s">
        <v>2627</v>
      </c>
      <c r="I3677" t="s">
        <v>388</v>
      </c>
      <c r="J3677" s="11">
        <v>1010.723865391773</v>
      </c>
      <c r="K3677" t="str">
        <f t="shared" si="124"/>
        <v>Charles Stillman</v>
      </c>
    </row>
    <row r="3678" spans="1:11" hidden="1" x14ac:dyDescent="0.35">
      <c r="A3678">
        <f t="shared" ref="A3678:A3741" si="125">A3677+1</f>
        <v>3677</v>
      </c>
      <c r="B3678">
        <v>2023</v>
      </c>
      <c r="C3678" t="s">
        <v>263</v>
      </c>
      <c r="D3678" t="s">
        <v>607</v>
      </c>
      <c r="E3678" t="s">
        <v>1051</v>
      </c>
      <c r="F3678" s="2">
        <v>328</v>
      </c>
      <c r="G3678" s="2">
        <v>5</v>
      </c>
      <c r="H3678" t="s">
        <v>2629</v>
      </c>
      <c r="I3678" t="s">
        <v>2630</v>
      </c>
      <c r="J3678" s="11">
        <v>913.81385238371661</v>
      </c>
      <c r="K3678" t="str">
        <f t="shared" si="124"/>
        <v>Laurie Skywalker</v>
      </c>
    </row>
    <row r="3679" spans="1:11" hidden="1" x14ac:dyDescent="0.35">
      <c r="A3679">
        <f t="shared" si="125"/>
        <v>3678</v>
      </c>
      <c r="B3679">
        <v>2023</v>
      </c>
      <c r="C3679" t="s">
        <v>263</v>
      </c>
      <c r="D3679" t="s">
        <v>607</v>
      </c>
      <c r="E3679" t="s">
        <v>1051</v>
      </c>
      <c r="F3679" s="2">
        <v>230</v>
      </c>
      <c r="G3679" s="2">
        <v>6</v>
      </c>
      <c r="H3679" t="s">
        <v>78</v>
      </c>
      <c r="I3679" t="s">
        <v>79</v>
      </c>
      <c r="J3679" s="11">
        <v>834.63260633609184</v>
      </c>
      <c r="K3679" t="str">
        <f t="shared" si="124"/>
        <v>Kevin Knourek</v>
      </c>
    </row>
    <row r="3680" spans="1:11" hidden="1" x14ac:dyDescent="0.35">
      <c r="A3680">
        <f t="shared" si="125"/>
        <v>3679</v>
      </c>
      <c r="B3680">
        <v>2023</v>
      </c>
      <c r="C3680" t="s">
        <v>263</v>
      </c>
      <c r="D3680" t="s">
        <v>2602</v>
      </c>
      <c r="E3680" t="s">
        <v>1429</v>
      </c>
      <c r="F3680" s="2">
        <v>1042</v>
      </c>
      <c r="G3680" s="2">
        <v>1</v>
      </c>
      <c r="H3680" t="s">
        <v>21</v>
      </c>
      <c r="I3680" t="s">
        <v>463</v>
      </c>
      <c r="J3680" s="11">
        <v>1623.2492903979005</v>
      </c>
      <c r="K3680" t="str">
        <f t="shared" si="124"/>
        <v>Richard Bremer</v>
      </c>
    </row>
    <row r="3681" spans="1:11" hidden="1" x14ac:dyDescent="0.35">
      <c r="A3681">
        <f t="shared" si="125"/>
        <v>3680</v>
      </c>
      <c r="B3681">
        <v>2023</v>
      </c>
      <c r="C3681" t="s">
        <v>263</v>
      </c>
      <c r="D3681" t="s">
        <v>2602</v>
      </c>
      <c r="E3681" t="s">
        <v>1429</v>
      </c>
      <c r="F3681" s="2">
        <v>739</v>
      </c>
      <c r="G3681" s="2">
        <v>2</v>
      </c>
      <c r="H3681" t="s">
        <v>2641</v>
      </c>
      <c r="I3681" t="s">
        <v>361</v>
      </c>
      <c r="J3681" s="11">
        <v>1322.2192947339192</v>
      </c>
      <c r="K3681" t="str">
        <f t="shared" si="124"/>
        <v>Jon Regashus</v>
      </c>
    </row>
    <row r="3682" spans="1:11" hidden="1" x14ac:dyDescent="0.35">
      <c r="A3682">
        <f t="shared" si="125"/>
        <v>3681</v>
      </c>
      <c r="B3682">
        <v>2023</v>
      </c>
      <c r="C3682" t="s">
        <v>263</v>
      </c>
      <c r="D3682" t="s">
        <v>2602</v>
      </c>
      <c r="E3682" t="s">
        <v>1429</v>
      </c>
      <c r="F3682" s="2">
        <v>571</v>
      </c>
      <c r="G3682" s="2">
        <v>3</v>
      </c>
      <c r="H3682" t="s">
        <v>1719</v>
      </c>
      <c r="I3682" t="s">
        <v>524</v>
      </c>
      <c r="J3682" s="11">
        <v>1146.1280356782381</v>
      </c>
      <c r="K3682" t="str">
        <f t="shared" si="124"/>
        <v>Guy Berentsen</v>
      </c>
    </row>
    <row r="3683" spans="1:11" hidden="1" x14ac:dyDescent="0.35">
      <c r="A3683">
        <f t="shared" si="125"/>
        <v>3682</v>
      </c>
      <c r="B3683">
        <v>2023</v>
      </c>
      <c r="C3683" t="s">
        <v>263</v>
      </c>
      <c r="D3683" t="s">
        <v>2602</v>
      </c>
      <c r="E3683" t="s">
        <v>1429</v>
      </c>
      <c r="F3683" s="2">
        <v>437</v>
      </c>
      <c r="G3683" s="2">
        <v>4</v>
      </c>
      <c r="H3683" t="s">
        <v>2305</v>
      </c>
      <c r="I3683" t="s">
        <v>2306</v>
      </c>
      <c r="J3683" s="11">
        <v>1021.1892990699382</v>
      </c>
      <c r="K3683" t="str">
        <f t="shared" si="124"/>
        <v>Randal Hennemuth</v>
      </c>
    </row>
    <row r="3684" spans="1:11" hidden="1" x14ac:dyDescent="0.35">
      <c r="A3684">
        <f t="shared" si="125"/>
        <v>3683</v>
      </c>
      <c r="B3684">
        <v>2023</v>
      </c>
      <c r="C3684" t="s">
        <v>263</v>
      </c>
      <c r="D3684" t="s">
        <v>2602</v>
      </c>
      <c r="E3684" t="s">
        <v>1429</v>
      </c>
      <c r="F3684" s="2">
        <v>336</v>
      </c>
      <c r="G3684" s="2">
        <v>5</v>
      </c>
      <c r="H3684" t="s">
        <v>135</v>
      </c>
      <c r="I3684" t="s">
        <v>1073</v>
      </c>
      <c r="J3684" s="11">
        <v>924.27928606188175</v>
      </c>
      <c r="K3684" t="str">
        <f t="shared" si="124"/>
        <v>Sam Scheinberg</v>
      </c>
    </row>
    <row r="3685" spans="1:11" hidden="1" x14ac:dyDescent="0.35">
      <c r="A3685">
        <f t="shared" si="125"/>
        <v>3684</v>
      </c>
      <c r="B3685">
        <v>2023</v>
      </c>
      <c r="C3685" t="s">
        <v>263</v>
      </c>
      <c r="D3685" t="s">
        <v>2602</v>
      </c>
      <c r="E3685" t="s">
        <v>1429</v>
      </c>
      <c r="F3685" s="2">
        <v>235</v>
      </c>
      <c r="G3685" s="2">
        <v>6</v>
      </c>
      <c r="H3685" t="s">
        <v>2401</v>
      </c>
      <c r="I3685" t="s">
        <v>2017</v>
      </c>
      <c r="J3685" s="11">
        <v>845.09804001425687</v>
      </c>
      <c r="K3685" t="str">
        <f t="shared" si="124"/>
        <v>Kathy Chang</v>
      </c>
    </row>
    <row r="3686" spans="1:11" hidden="1" x14ac:dyDescent="0.35">
      <c r="A3686">
        <f t="shared" si="125"/>
        <v>3685</v>
      </c>
      <c r="B3686">
        <v>2023</v>
      </c>
      <c r="C3686" t="s">
        <v>263</v>
      </c>
      <c r="D3686" t="s">
        <v>2599</v>
      </c>
      <c r="E3686" t="s">
        <v>1429</v>
      </c>
      <c r="F3686" s="2">
        <v>300</v>
      </c>
      <c r="G3686" s="2">
        <v>1</v>
      </c>
      <c r="H3686" t="s">
        <v>50</v>
      </c>
      <c r="I3686" t="s">
        <v>25</v>
      </c>
      <c r="J3686" s="11">
        <v>1531.478917042255</v>
      </c>
      <c r="K3686" t="str">
        <f t="shared" si="124"/>
        <v>Russell Fox</v>
      </c>
    </row>
    <row r="3687" spans="1:11" hidden="1" x14ac:dyDescent="0.35">
      <c r="A3687">
        <f t="shared" si="125"/>
        <v>3686</v>
      </c>
      <c r="B3687">
        <v>2023</v>
      </c>
      <c r="C3687" t="s">
        <v>263</v>
      </c>
      <c r="D3687" t="s">
        <v>2599</v>
      </c>
      <c r="E3687" t="s">
        <v>1429</v>
      </c>
      <c r="F3687" s="2">
        <v>300</v>
      </c>
      <c r="G3687" s="2">
        <v>2</v>
      </c>
      <c r="H3687" t="s">
        <v>226</v>
      </c>
      <c r="I3687" t="s">
        <v>227</v>
      </c>
      <c r="J3687" s="11">
        <v>1230.4489213782738</v>
      </c>
      <c r="K3687" t="str">
        <f t="shared" si="124"/>
        <v>Patti Beadles</v>
      </c>
    </row>
    <row r="3688" spans="1:11" hidden="1" x14ac:dyDescent="0.35">
      <c r="A3688">
        <f t="shared" si="125"/>
        <v>3687</v>
      </c>
      <c r="B3688">
        <v>2023</v>
      </c>
      <c r="C3688" t="s">
        <v>263</v>
      </c>
      <c r="D3688" t="s">
        <v>2599</v>
      </c>
      <c r="E3688" t="s">
        <v>1429</v>
      </c>
      <c r="F3688" s="2">
        <v>300</v>
      </c>
      <c r="G3688" s="2">
        <v>3</v>
      </c>
      <c r="H3688" t="s">
        <v>2622</v>
      </c>
      <c r="I3688" t="s">
        <v>2623</v>
      </c>
      <c r="J3688" s="11">
        <v>1054.3576623225927</v>
      </c>
      <c r="K3688" t="str">
        <f t="shared" si="124"/>
        <v>Shinichiro Hatakeyama</v>
      </c>
    </row>
    <row r="3689" spans="1:11" hidden="1" x14ac:dyDescent="0.35">
      <c r="A3689">
        <f t="shared" si="125"/>
        <v>3688</v>
      </c>
      <c r="B3689">
        <v>2023</v>
      </c>
      <c r="C3689" t="s">
        <v>263</v>
      </c>
      <c r="D3689" t="s">
        <v>2599</v>
      </c>
      <c r="E3689" t="s">
        <v>1429</v>
      </c>
      <c r="F3689" s="2">
        <v>300</v>
      </c>
      <c r="G3689" s="2">
        <v>4</v>
      </c>
      <c r="H3689" t="s">
        <v>86</v>
      </c>
      <c r="I3689" t="s">
        <v>271</v>
      </c>
      <c r="J3689" s="11">
        <v>929.41892571429275</v>
      </c>
      <c r="K3689" t="str">
        <f t="shared" si="124"/>
        <v>Dan Goldman</v>
      </c>
    </row>
    <row r="3690" spans="1:11" hidden="1" x14ac:dyDescent="0.35">
      <c r="A3690">
        <f t="shared" si="125"/>
        <v>3689</v>
      </c>
      <c r="B3690">
        <v>2023</v>
      </c>
      <c r="C3690" t="s">
        <v>263</v>
      </c>
      <c r="D3690" t="s">
        <v>2599</v>
      </c>
      <c r="E3690" t="s">
        <v>1429</v>
      </c>
      <c r="F3690" s="2">
        <v>300</v>
      </c>
      <c r="G3690" s="2">
        <v>5</v>
      </c>
      <c r="H3690" t="s">
        <v>609</v>
      </c>
      <c r="I3690" t="s">
        <v>610</v>
      </c>
      <c r="J3690" s="11">
        <v>832.50891270623629</v>
      </c>
      <c r="K3690" t="str">
        <f t="shared" si="124"/>
        <v>Deron Brod</v>
      </c>
    </row>
    <row r="3691" spans="1:11" hidden="1" x14ac:dyDescent="0.35">
      <c r="A3691">
        <f t="shared" si="125"/>
        <v>3690</v>
      </c>
      <c r="B3691">
        <v>2023</v>
      </c>
      <c r="C3691" t="s">
        <v>263</v>
      </c>
      <c r="D3691" t="s">
        <v>2599</v>
      </c>
      <c r="E3691" t="s">
        <v>1429</v>
      </c>
      <c r="F3691" s="2">
        <v>300</v>
      </c>
      <c r="G3691" s="2">
        <v>6</v>
      </c>
      <c r="H3691" t="s">
        <v>220</v>
      </c>
      <c r="I3691" t="s">
        <v>421</v>
      </c>
      <c r="J3691" s="11">
        <v>753.32766665861152</v>
      </c>
      <c r="K3691" t="str">
        <f t="shared" si="124"/>
        <v>Bill Chen</v>
      </c>
    </row>
    <row r="3692" spans="1:11" hidden="1" x14ac:dyDescent="0.35">
      <c r="A3692">
        <f t="shared" si="125"/>
        <v>3691</v>
      </c>
      <c r="B3692">
        <v>2023</v>
      </c>
      <c r="C3692" t="s">
        <v>263</v>
      </c>
      <c r="D3692" t="s">
        <v>2599</v>
      </c>
      <c r="E3692" t="s">
        <v>1429</v>
      </c>
      <c r="F3692" s="2">
        <v>300</v>
      </c>
      <c r="G3692" s="2">
        <v>7</v>
      </c>
      <c r="H3692" t="s">
        <v>2625</v>
      </c>
      <c r="I3692" t="s">
        <v>153</v>
      </c>
      <c r="J3692" s="11">
        <v>686.38087702799828</v>
      </c>
      <c r="K3692" t="str">
        <f t="shared" si="124"/>
        <v>Stephen Tysor</v>
      </c>
    </row>
    <row r="3693" spans="1:11" hidden="1" x14ac:dyDescent="0.35">
      <c r="A3693">
        <f t="shared" si="125"/>
        <v>3692</v>
      </c>
      <c r="B3693">
        <v>2023</v>
      </c>
      <c r="C3693" t="s">
        <v>263</v>
      </c>
      <c r="D3693" t="s">
        <v>2599</v>
      </c>
      <c r="E3693" t="s">
        <v>1429</v>
      </c>
      <c r="F3693" s="2">
        <v>300</v>
      </c>
      <c r="G3693" s="2">
        <v>8</v>
      </c>
      <c r="H3693" t="s">
        <v>64</v>
      </c>
      <c r="I3693" t="s">
        <v>65</v>
      </c>
      <c r="J3693" s="11">
        <v>628.38893005031161</v>
      </c>
      <c r="K3693" t="str">
        <f t="shared" si="124"/>
        <v>Steve Daniel</v>
      </c>
    </row>
    <row r="3694" spans="1:11" hidden="1" x14ac:dyDescent="0.35">
      <c r="A3694">
        <f t="shared" si="125"/>
        <v>3693</v>
      </c>
      <c r="B3694">
        <v>2023</v>
      </c>
      <c r="C3694" t="s">
        <v>263</v>
      </c>
      <c r="D3694" t="s">
        <v>2601</v>
      </c>
      <c r="E3694" t="s">
        <v>1429</v>
      </c>
      <c r="F3694" s="2">
        <v>1309</v>
      </c>
      <c r="G3694" s="2">
        <v>1</v>
      </c>
      <c r="H3694" t="s">
        <v>2635</v>
      </c>
      <c r="I3694" t="s">
        <v>463</v>
      </c>
      <c r="J3694" s="11">
        <v>1763.4279935629374</v>
      </c>
      <c r="K3694" t="str">
        <f t="shared" si="124"/>
        <v>Richard Jaglarski</v>
      </c>
    </row>
    <row r="3695" spans="1:11" hidden="1" x14ac:dyDescent="0.35">
      <c r="A3695">
        <f t="shared" si="125"/>
        <v>3694</v>
      </c>
      <c r="B3695">
        <v>2023</v>
      </c>
      <c r="C3695" t="s">
        <v>263</v>
      </c>
      <c r="D3695" t="s">
        <v>2601</v>
      </c>
      <c r="E3695" t="s">
        <v>1429</v>
      </c>
      <c r="F3695" s="2">
        <v>858</v>
      </c>
      <c r="G3695" s="2">
        <v>2</v>
      </c>
      <c r="H3695" t="s">
        <v>99</v>
      </c>
      <c r="I3695" t="s">
        <v>101</v>
      </c>
      <c r="J3695" s="11">
        <v>1462.3979978989562</v>
      </c>
      <c r="K3695" t="str">
        <f t="shared" si="124"/>
        <v>Dean Kerl</v>
      </c>
    </row>
    <row r="3696" spans="1:11" hidden="1" x14ac:dyDescent="0.35">
      <c r="A3696">
        <f t="shared" si="125"/>
        <v>3695</v>
      </c>
      <c r="B3696">
        <v>2023</v>
      </c>
      <c r="C3696" t="s">
        <v>263</v>
      </c>
      <c r="D3696" t="s">
        <v>2601</v>
      </c>
      <c r="E3696" t="s">
        <v>1429</v>
      </c>
      <c r="F3696" s="2">
        <v>760</v>
      </c>
      <c r="G3696" s="2">
        <v>3</v>
      </c>
      <c r="H3696" t="s">
        <v>1719</v>
      </c>
      <c r="I3696" t="s">
        <v>524</v>
      </c>
      <c r="J3696" s="11">
        <v>1286.3067388432748</v>
      </c>
      <c r="K3696" t="str">
        <f t="shared" si="124"/>
        <v>Guy Berentsen</v>
      </c>
    </row>
    <row r="3697" spans="1:11" hidden="1" x14ac:dyDescent="0.35">
      <c r="A3697">
        <f t="shared" si="125"/>
        <v>3696</v>
      </c>
      <c r="B3697">
        <v>2023</v>
      </c>
      <c r="C3697" t="s">
        <v>263</v>
      </c>
      <c r="D3697" t="s">
        <v>2601</v>
      </c>
      <c r="E3697" t="s">
        <v>1429</v>
      </c>
      <c r="F3697" s="2">
        <v>730</v>
      </c>
      <c r="G3697" s="2">
        <v>4</v>
      </c>
      <c r="H3697" t="s">
        <v>2635</v>
      </c>
      <c r="I3697" t="s">
        <v>955</v>
      </c>
      <c r="J3697" s="11">
        <v>1161.3680022349749</v>
      </c>
      <c r="K3697" t="str">
        <f t="shared" si="124"/>
        <v>Terry Jaglarski</v>
      </c>
    </row>
    <row r="3698" spans="1:11" hidden="1" x14ac:dyDescent="0.35">
      <c r="A3698">
        <f t="shared" si="125"/>
        <v>3697</v>
      </c>
      <c r="B3698">
        <v>2023</v>
      </c>
      <c r="C3698" t="s">
        <v>263</v>
      </c>
      <c r="D3698" t="s">
        <v>2601</v>
      </c>
      <c r="E3698" t="s">
        <v>1429</v>
      </c>
      <c r="F3698" s="2">
        <v>276</v>
      </c>
      <c r="G3698" s="2">
        <v>5</v>
      </c>
      <c r="H3698" t="s">
        <v>2638</v>
      </c>
      <c r="I3698" t="s">
        <v>2639</v>
      </c>
      <c r="J3698" s="11">
        <v>1064.4579892269187</v>
      </c>
      <c r="K3698" t="str">
        <f t="shared" si="124"/>
        <v>Christin Maschmann</v>
      </c>
    </row>
    <row r="3699" spans="1:11" hidden="1" x14ac:dyDescent="0.35">
      <c r="A3699">
        <f t="shared" si="125"/>
        <v>3698</v>
      </c>
      <c r="B3699">
        <v>2023</v>
      </c>
      <c r="C3699" t="s">
        <v>263</v>
      </c>
      <c r="D3699" t="s">
        <v>2601</v>
      </c>
      <c r="E3699" t="s">
        <v>1429</v>
      </c>
      <c r="F3699" s="2">
        <v>218</v>
      </c>
      <c r="G3699" s="2">
        <v>6</v>
      </c>
      <c r="H3699" t="s">
        <v>70</v>
      </c>
      <c r="I3699" t="s">
        <v>71</v>
      </c>
      <c r="J3699" s="11">
        <v>985.2767431792937</v>
      </c>
      <c r="K3699" t="str">
        <f t="shared" si="124"/>
        <v>Scott Byron</v>
      </c>
    </row>
    <row r="3700" spans="1:11" hidden="1" x14ac:dyDescent="0.35">
      <c r="A3700">
        <f t="shared" si="125"/>
        <v>3699</v>
      </c>
      <c r="B3700">
        <v>2023</v>
      </c>
      <c r="C3700" t="s">
        <v>263</v>
      </c>
      <c r="D3700" t="s">
        <v>2601</v>
      </c>
      <c r="E3700" t="s">
        <v>1429</v>
      </c>
      <c r="F3700" s="2">
        <v>199</v>
      </c>
      <c r="G3700" s="2">
        <v>7</v>
      </c>
      <c r="H3700" t="s">
        <v>527</v>
      </c>
      <c r="I3700" t="s">
        <v>11</v>
      </c>
      <c r="J3700" s="11">
        <v>918.32995354868058</v>
      </c>
      <c r="K3700" t="str">
        <f t="shared" si="124"/>
        <v>Paul Stine</v>
      </c>
    </row>
    <row r="3701" spans="1:11" hidden="1" x14ac:dyDescent="0.35">
      <c r="A3701">
        <f t="shared" si="125"/>
        <v>3700</v>
      </c>
      <c r="B3701">
        <v>2023</v>
      </c>
      <c r="C3701" t="s">
        <v>263</v>
      </c>
      <c r="D3701" t="s">
        <v>45</v>
      </c>
      <c r="E3701" t="s">
        <v>1429</v>
      </c>
      <c r="F3701" s="2">
        <v>3568</v>
      </c>
      <c r="G3701" s="2">
        <v>1</v>
      </c>
      <c r="H3701" t="s">
        <v>21</v>
      </c>
      <c r="I3701" t="s">
        <v>463</v>
      </c>
      <c r="J3701" s="11">
        <v>1991.226075692495</v>
      </c>
      <c r="K3701" t="str">
        <f t="shared" si="124"/>
        <v>Richard Bremer</v>
      </c>
    </row>
    <row r="3702" spans="1:11" hidden="1" x14ac:dyDescent="0.35">
      <c r="A3702">
        <f t="shared" si="125"/>
        <v>3701</v>
      </c>
      <c r="B3702">
        <v>2023</v>
      </c>
      <c r="C3702" t="s">
        <v>263</v>
      </c>
      <c r="D3702" t="s">
        <v>45</v>
      </c>
      <c r="E3702" t="s">
        <v>1429</v>
      </c>
      <c r="F3702" s="2">
        <v>2607</v>
      </c>
      <c r="G3702" s="2">
        <v>2</v>
      </c>
      <c r="H3702" t="s">
        <v>35</v>
      </c>
      <c r="I3702" t="s">
        <v>36</v>
      </c>
      <c r="J3702" s="11">
        <v>1690.1960800285137</v>
      </c>
      <c r="K3702" t="str">
        <f t="shared" si="124"/>
        <v>Nolan Dalla</v>
      </c>
    </row>
    <row r="3703" spans="1:11" hidden="1" x14ac:dyDescent="0.35">
      <c r="A3703">
        <f t="shared" si="125"/>
        <v>3702</v>
      </c>
      <c r="B3703">
        <v>2023</v>
      </c>
      <c r="C3703" t="s">
        <v>263</v>
      </c>
      <c r="D3703" t="s">
        <v>45</v>
      </c>
      <c r="E3703" t="s">
        <v>1429</v>
      </c>
      <c r="F3703" s="2">
        <v>2058</v>
      </c>
      <c r="G3703" s="2">
        <v>3</v>
      </c>
      <c r="H3703" t="s">
        <v>15</v>
      </c>
      <c r="I3703" t="s">
        <v>16</v>
      </c>
      <c r="J3703" s="11">
        <v>1514.1048209728324</v>
      </c>
      <c r="K3703" t="str">
        <f t="shared" si="124"/>
        <v>David Kluchman</v>
      </c>
    </row>
    <row r="3704" spans="1:11" hidden="1" x14ac:dyDescent="0.35">
      <c r="A3704">
        <f t="shared" si="125"/>
        <v>3703</v>
      </c>
      <c r="B3704">
        <v>2023</v>
      </c>
      <c r="C3704" t="s">
        <v>263</v>
      </c>
      <c r="D3704" t="s">
        <v>45</v>
      </c>
      <c r="E3704" t="s">
        <v>1429</v>
      </c>
      <c r="F3704" s="2">
        <v>1646</v>
      </c>
      <c r="G3704" s="2">
        <v>4</v>
      </c>
      <c r="H3704" t="s">
        <v>482</v>
      </c>
      <c r="I3704" t="s">
        <v>410</v>
      </c>
      <c r="J3704" s="11">
        <v>1389.1660843645327</v>
      </c>
      <c r="K3704" t="str">
        <f t="shared" si="124"/>
        <v>Larry Bierman</v>
      </c>
    </row>
    <row r="3705" spans="1:11" hidden="1" x14ac:dyDescent="0.35">
      <c r="A3705">
        <f t="shared" si="125"/>
        <v>3704</v>
      </c>
      <c r="B3705">
        <v>2023</v>
      </c>
      <c r="C3705" t="s">
        <v>263</v>
      </c>
      <c r="D3705" t="s">
        <v>45</v>
      </c>
      <c r="E3705" t="s">
        <v>1429</v>
      </c>
      <c r="F3705" s="2">
        <v>1235</v>
      </c>
      <c r="G3705" s="2">
        <v>5</v>
      </c>
      <c r="H3705" t="s">
        <v>2648</v>
      </c>
      <c r="I3705" t="s">
        <v>2649</v>
      </c>
      <c r="J3705" s="11">
        <v>1292.256071356476</v>
      </c>
      <c r="K3705" t="str">
        <f t="shared" si="124"/>
        <v>Sheila Stimson</v>
      </c>
    </row>
    <row r="3706" spans="1:11" hidden="1" x14ac:dyDescent="0.35">
      <c r="A3706">
        <f t="shared" si="125"/>
        <v>3705</v>
      </c>
      <c r="B3706">
        <v>2023</v>
      </c>
      <c r="C3706" t="s">
        <v>263</v>
      </c>
      <c r="D3706" t="s">
        <v>45</v>
      </c>
      <c r="E3706" t="s">
        <v>1429</v>
      </c>
      <c r="F3706" s="2">
        <v>960</v>
      </c>
      <c r="G3706" s="2">
        <v>6</v>
      </c>
      <c r="H3706" t="s">
        <v>37</v>
      </c>
      <c r="I3706" t="s">
        <v>38</v>
      </c>
      <c r="J3706" s="11">
        <v>1213.0748253088514</v>
      </c>
      <c r="K3706" t="str">
        <f t="shared" si="124"/>
        <v>Doug Grismore</v>
      </c>
    </row>
    <row r="3707" spans="1:11" hidden="1" x14ac:dyDescent="0.35">
      <c r="A3707">
        <f t="shared" si="125"/>
        <v>3706</v>
      </c>
      <c r="B3707">
        <v>2023</v>
      </c>
      <c r="C3707" t="s">
        <v>263</v>
      </c>
      <c r="D3707" t="s">
        <v>45</v>
      </c>
      <c r="E3707" t="s">
        <v>1429</v>
      </c>
      <c r="F3707" s="2">
        <v>686</v>
      </c>
      <c r="G3707" s="2">
        <v>7</v>
      </c>
      <c r="H3707" t="s">
        <v>366</v>
      </c>
      <c r="I3707" t="s">
        <v>61</v>
      </c>
      <c r="J3707" s="11">
        <v>1146.1280356782381</v>
      </c>
      <c r="K3707" t="str">
        <f t="shared" si="124"/>
        <v>Len Greenberg</v>
      </c>
    </row>
    <row r="3708" spans="1:11" hidden="1" x14ac:dyDescent="0.35">
      <c r="A3708">
        <f t="shared" si="125"/>
        <v>3707</v>
      </c>
      <c r="B3708">
        <v>2023</v>
      </c>
      <c r="C3708" t="s">
        <v>263</v>
      </c>
      <c r="D3708" t="s">
        <v>45</v>
      </c>
      <c r="E3708" t="s">
        <v>1429</v>
      </c>
      <c r="F3708" s="2">
        <v>412</v>
      </c>
      <c r="G3708" s="2">
        <v>8</v>
      </c>
      <c r="H3708" t="s">
        <v>414</v>
      </c>
      <c r="I3708" t="s">
        <v>413</v>
      </c>
      <c r="J3708" s="11">
        <v>1088.1360887005512</v>
      </c>
      <c r="K3708" t="str">
        <f t="shared" si="124"/>
        <v>Bruce Kramer</v>
      </c>
    </row>
    <row r="3709" spans="1:11" hidden="1" x14ac:dyDescent="0.35">
      <c r="A3709">
        <f t="shared" si="125"/>
        <v>3708</v>
      </c>
      <c r="B3709">
        <v>2023</v>
      </c>
      <c r="C3709" t="s">
        <v>263</v>
      </c>
      <c r="D3709" t="s">
        <v>45</v>
      </c>
      <c r="E3709" t="s">
        <v>1429</v>
      </c>
      <c r="F3709" s="2">
        <v>274</v>
      </c>
      <c r="G3709" s="2">
        <v>9</v>
      </c>
      <c r="H3709" t="s">
        <v>2476</v>
      </c>
      <c r="I3709" t="s">
        <v>77</v>
      </c>
      <c r="J3709" s="11">
        <v>1036.98356625317</v>
      </c>
      <c r="K3709" t="str">
        <f t="shared" si="124"/>
        <v>Eric Schneller</v>
      </c>
    </row>
    <row r="3710" spans="1:11" hidden="1" x14ac:dyDescent="0.35">
      <c r="A3710">
        <f t="shared" si="125"/>
        <v>3709</v>
      </c>
      <c r="B3710">
        <v>2023</v>
      </c>
      <c r="C3710" t="s">
        <v>263</v>
      </c>
      <c r="D3710" t="s">
        <v>45</v>
      </c>
      <c r="E3710" t="s">
        <v>1429</v>
      </c>
      <c r="F3710" s="2">
        <v>274</v>
      </c>
      <c r="G3710" s="2">
        <v>10</v>
      </c>
      <c r="H3710" t="s">
        <v>217</v>
      </c>
      <c r="I3710" t="s">
        <v>218</v>
      </c>
      <c r="J3710" s="11">
        <v>991.22607569249487</v>
      </c>
      <c r="K3710" t="str">
        <f t="shared" si="124"/>
        <v>Michael Patterson</v>
      </c>
    </row>
    <row r="3711" spans="1:11" hidden="1" x14ac:dyDescent="0.35">
      <c r="A3711">
        <f t="shared" si="125"/>
        <v>3710</v>
      </c>
      <c r="B3711">
        <v>2023</v>
      </c>
      <c r="C3711" t="s">
        <v>263</v>
      </c>
      <c r="D3711" t="s">
        <v>133</v>
      </c>
      <c r="E3711" t="s">
        <v>133</v>
      </c>
      <c r="F3711" s="2">
        <v>1582</v>
      </c>
      <c r="G3711" s="2">
        <v>1</v>
      </c>
      <c r="H3711" t="s">
        <v>72</v>
      </c>
      <c r="I3711" t="s">
        <v>73</v>
      </c>
      <c r="J3711" s="11">
        <v>1770.8520116421441</v>
      </c>
      <c r="K3711" t="str">
        <f t="shared" si="124"/>
        <v>Corey Imsdahl</v>
      </c>
    </row>
    <row r="3712" spans="1:11" hidden="1" x14ac:dyDescent="0.35">
      <c r="A3712">
        <f t="shared" si="125"/>
        <v>3711</v>
      </c>
      <c r="B3712">
        <v>2023</v>
      </c>
      <c r="C3712" t="s">
        <v>263</v>
      </c>
      <c r="D3712" t="s">
        <v>133</v>
      </c>
      <c r="E3712" t="s">
        <v>133</v>
      </c>
      <c r="F3712" s="2">
        <v>1199</v>
      </c>
      <c r="G3712" s="2">
        <v>2</v>
      </c>
      <c r="H3712" t="s">
        <v>490</v>
      </c>
      <c r="I3712" t="s">
        <v>480</v>
      </c>
      <c r="J3712" s="11">
        <v>1469.8220159781629</v>
      </c>
      <c r="K3712" t="str">
        <f t="shared" si="124"/>
        <v>James Hammer</v>
      </c>
    </row>
    <row r="3713" spans="1:11" hidden="1" x14ac:dyDescent="0.35">
      <c r="A3713">
        <f t="shared" si="125"/>
        <v>3712</v>
      </c>
      <c r="B3713">
        <v>2023</v>
      </c>
      <c r="C3713" t="s">
        <v>263</v>
      </c>
      <c r="D3713" t="s">
        <v>133</v>
      </c>
      <c r="E3713" t="s">
        <v>133</v>
      </c>
      <c r="F3713" s="2">
        <v>924</v>
      </c>
      <c r="G3713" s="2">
        <v>3</v>
      </c>
      <c r="H3713" t="s">
        <v>711</v>
      </c>
      <c r="I3713" t="s">
        <v>85</v>
      </c>
      <c r="J3713" s="11">
        <v>1293.7307569224818</v>
      </c>
      <c r="K3713" t="str">
        <f t="shared" si="124"/>
        <v>Patrick Kirwan</v>
      </c>
    </row>
    <row r="3714" spans="1:11" hidden="1" x14ac:dyDescent="0.35">
      <c r="A3714">
        <f t="shared" si="125"/>
        <v>3713</v>
      </c>
      <c r="B3714">
        <v>2023</v>
      </c>
      <c r="C3714" t="s">
        <v>263</v>
      </c>
      <c r="D3714" t="s">
        <v>133</v>
      </c>
      <c r="E3714" t="s">
        <v>133</v>
      </c>
      <c r="F3714" s="2">
        <v>767</v>
      </c>
      <c r="G3714" s="2">
        <v>4</v>
      </c>
      <c r="H3714" t="s">
        <v>21</v>
      </c>
      <c r="I3714" t="s">
        <v>463</v>
      </c>
      <c r="J3714" s="11">
        <v>1168.7920203141816</v>
      </c>
      <c r="K3714" t="str">
        <f t="shared" ref="K3714:K3777" si="126">I3714&amp;" "&amp;H3714</f>
        <v>Richard Bremer</v>
      </c>
    </row>
    <row r="3715" spans="1:11" hidden="1" x14ac:dyDescent="0.35">
      <c r="A3715">
        <f t="shared" si="125"/>
        <v>3714</v>
      </c>
      <c r="B3715">
        <v>2023</v>
      </c>
      <c r="C3715" t="s">
        <v>263</v>
      </c>
      <c r="D3715" t="s">
        <v>133</v>
      </c>
      <c r="E3715" t="s">
        <v>133</v>
      </c>
      <c r="F3715" s="2">
        <v>500</v>
      </c>
      <c r="G3715" s="2">
        <v>5</v>
      </c>
      <c r="H3715" t="s">
        <v>608</v>
      </c>
      <c r="I3715" t="s">
        <v>267</v>
      </c>
      <c r="J3715" s="11">
        <v>1071.8820073061254</v>
      </c>
      <c r="K3715" t="str">
        <f t="shared" si="126"/>
        <v>Christopher Kuntz</v>
      </c>
    </row>
    <row r="3716" spans="1:11" hidden="1" x14ac:dyDescent="0.35">
      <c r="A3716">
        <f t="shared" si="125"/>
        <v>3715</v>
      </c>
      <c r="B3716">
        <v>2023</v>
      </c>
      <c r="C3716" t="s">
        <v>263</v>
      </c>
      <c r="D3716" t="s">
        <v>133</v>
      </c>
      <c r="E3716" t="s">
        <v>133</v>
      </c>
      <c r="F3716" s="2">
        <v>413</v>
      </c>
      <c r="G3716" s="2">
        <v>6</v>
      </c>
      <c r="H3716" t="s">
        <v>2401</v>
      </c>
      <c r="I3716" t="s">
        <v>2017</v>
      </c>
      <c r="J3716" s="11">
        <v>992.70076125850062</v>
      </c>
      <c r="K3716" t="str">
        <f t="shared" si="126"/>
        <v>Kathy Chang</v>
      </c>
    </row>
    <row r="3717" spans="1:11" hidden="1" x14ac:dyDescent="0.35">
      <c r="A3717">
        <f t="shared" si="125"/>
        <v>3716</v>
      </c>
      <c r="B3717">
        <v>2023</v>
      </c>
      <c r="C3717" t="s">
        <v>263</v>
      </c>
      <c r="D3717" t="s">
        <v>133</v>
      </c>
      <c r="E3717" t="s">
        <v>133</v>
      </c>
      <c r="F3717" s="2">
        <v>295</v>
      </c>
      <c r="G3717" s="2">
        <v>7</v>
      </c>
      <c r="H3717" t="s">
        <v>527</v>
      </c>
      <c r="I3717" t="s">
        <v>11</v>
      </c>
      <c r="J3717" s="11">
        <v>925.75397162788738</v>
      </c>
      <c r="K3717" t="str">
        <f t="shared" si="126"/>
        <v>Paul Stine</v>
      </c>
    </row>
    <row r="3718" spans="1:11" hidden="1" x14ac:dyDescent="0.35">
      <c r="A3718">
        <f t="shared" si="125"/>
        <v>3717</v>
      </c>
      <c r="B3718">
        <v>2023</v>
      </c>
      <c r="C3718" t="s">
        <v>263</v>
      </c>
      <c r="D3718" t="s">
        <v>133</v>
      </c>
      <c r="E3718" t="s">
        <v>133</v>
      </c>
      <c r="F3718" s="2">
        <v>130</v>
      </c>
      <c r="G3718" s="2">
        <v>8</v>
      </c>
      <c r="H3718" t="s">
        <v>50</v>
      </c>
      <c r="I3718" t="s">
        <v>25</v>
      </c>
      <c r="J3718" s="11">
        <v>867.76202465020071</v>
      </c>
      <c r="K3718" t="str">
        <f t="shared" si="126"/>
        <v>Russell Fox</v>
      </c>
    </row>
    <row r="3719" spans="1:11" hidden="1" x14ac:dyDescent="0.35">
      <c r="A3719">
        <f t="shared" si="125"/>
        <v>3718</v>
      </c>
      <c r="B3719">
        <v>2023</v>
      </c>
      <c r="C3719" t="s">
        <v>263</v>
      </c>
      <c r="D3719" t="s">
        <v>110</v>
      </c>
      <c r="E3719" t="s">
        <v>1430</v>
      </c>
      <c r="F3719" s="2">
        <v>2275</v>
      </c>
      <c r="G3719" s="2">
        <v>1</v>
      </c>
      <c r="H3719" t="s">
        <v>50</v>
      </c>
      <c r="I3719" t="s">
        <v>25</v>
      </c>
      <c r="J3719" s="11">
        <v>1832.5089127062363</v>
      </c>
      <c r="K3719" t="str">
        <f t="shared" si="126"/>
        <v>Russell Fox</v>
      </c>
    </row>
    <row r="3720" spans="1:11" hidden="1" x14ac:dyDescent="0.35">
      <c r="A3720">
        <f t="shared" si="125"/>
        <v>3719</v>
      </c>
      <c r="B3720">
        <v>2023</v>
      </c>
      <c r="C3720" t="s">
        <v>263</v>
      </c>
      <c r="D3720" t="s">
        <v>110</v>
      </c>
      <c r="E3720" t="s">
        <v>1430</v>
      </c>
      <c r="F3720" s="2">
        <v>1680</v>
      </c>
      <c r="G3720" s="2">
        <v>2</v>
      </c>
      <c r="H3720" t="s">
        <v>1719</v>
      </c>
      <c r="I3720" t="s">
        <v>524</v>
      </c>
      <c r="J3720" s="11">
        <v>1531.478917042255</v>
      </c>
      <c r="K3720" t="str">
        <f t="shared" si="126"/>
        <v>Guy Berentsen</v>
      </c>
    </row>
    <row r="3721" spans="1:11" hidden="1" x14ac:dyDescent="0.35">
      <c r="A3721">
        <f t="shared" si="125"/>
        <v>3720</v>
      </c>
      <c r="B3721">
        <v>2023</v>
      </c>
      <c r="C3721" t="s">
        <v>263</v>
      </c>
      <c r="D3721" t="s">
        <v>110</v>
      </c>
      <c r="E3721" t="s">
        <v>1430</v>
      </c>
      <c r="F3721" s="2">
        <v>1255</v>
      </c>
      <c r="G3721" s="2">
        <v>3</v>
      </c>
      <c r="H3721" t="s">
        <v>394</v>
      </c>
      <c r="I3721" t="s">
        <v>1516</v>
      </c>
      <c r="J3721" s="11">
        <v>1355.3876579865739</v>
      </c>
      <c r="K3721" t="str">
        <f t="shared" si="126"/>
        <v>Lori Miller</v>
      </c>
    </row>
    <row r="3722" spans="1:11" hidden="1" x14ac:dyDescent="0.35">
      <c r="A3722">
        <f t="shared" si="125"/>
        <v>3721</v>
      </c>
      <c r="B3722">
        <v>2023</v>
      </c>
      <c r="C3722" t="s">
        <v>263</v>
      </c>
      <c r="D3722" t="s">
        <v>110</v>
      </c>
      <c r="E3722" t="s">
        <v>1430</v>
      </c>
      <c r="F3722" s="2">
        <v>1000</v>
      </c>
      <c r="G3722" s="2">
        <v>4</v>
      </c>
      <c r="H3722" t="s">
        <v>2644</v>
      </c>
      <c r="I3722" t="s">
        <v>1003</v>
      </c>
      <c r="J3722" s="11">
        <v>1230.448921378274</v>
      </c>
      <c r="K3722" t="str">
        <f t="shared" si="126"/>
        <v>Jan Fisher</v>
      </c>
    </row>
    <row r="3723" spans="1:11" hidden="1" x14ac:dyDescent="0.35">
      <c r="A3723">
        <f t="shared" si="125"/>
        <v>3722</v>
      </c>
      <c r="B3723">
        <v>2023</v>
      </c>
      <c r="C3723" t="s">
        <v>263</v>
      </c>
      <c r="D3723" t="s">
        <v>110</v>
      </c>
      <c r="E3723" t="s">
        <v>1430</v>
      </c>
      <c r="F3723" s="2">
        <v>830</v>
      </c>
      <c r="G3723" s="2">
        <v>5</v>
      </c>
      <c r="H3723" t="s">
        <v>74</v>
      </c>
      <c r="I3723" t="s">
        <v>75</v>
      </c>
      <c r="J3723" s="11">
        <v>1133.5389083702173</v>
      </c>
      <c r="K3723" t="str">
        <f t="shared" si="126"/>
        <v>Sabyl Landrum</v>
      </c>
    </row>
    <row r="3724" spans="1:11" hidden="1" x14ac:dyDescent="0.35">
      <c r="A3724">
        <f t="shared" si="125"/>
        <v>3723</v>
      </c>
      <c r="B3724">
        <v>2023</v>
      </c>
      <c r="C3724" t="s">
        <v>263</v>
      </c>
      <c r="D3724" t="s">
        <v>110</v>
      </c>
      <c r="E3724" t="s">
        <v>1430</v>
      </c>
      <c r="F3724" s="2">
        <v>575</v>
      </c>
      <c r="G3724" s="2">
        <v>6</v>
      </c>
      <c r="H3724" t="s">
        <v>220</v>
      </c>
      <c r="I3724" t="s">
        <v>421</v>
      </c>
      <c r="J3724" s="11">
        <v>1054.3576623225927</v>
      </c>
      <c r="K3724" t="str">
        <f t="shared" si="126"/>
        <v>Bill Chen</v>
      </c>
    </row>
    <row r="3725" spans="1:11" hidden="1" x14ac:dyDescent="0.35">
      <c r="A3725">
        <f t="shared" si="125"/>
        <v>3724</v>
      </c>
      <c r="B3725">
        <v>2023</v>
      </c>
      <c r="C3725" t="s">
        <v>263</v>
      </c>
      <c r="D3725" t="s">
        <v>110</v>
      </c>
      <c r="E3725" t="s">
        <v>1430</v>
      </c>
      <c r="F3725" s="2">
        <v>405</v>
      </c>
      <c r="G3725" s="2">
        <v>7</v>
      </c>
      <c r="H3725" t="s">
        <v>55</v>
      </c>
      <c r="I3725" t="s">
        <v>56</v>
      </c>
      <c r="J3725" s="11">
        <v>987.41087269197953</v>
      </c>
      <c r="K3725" t="str">
        <f t="shared" si="126"/>
        <v>Brandon Gerson</v>
      </c>
    </row>
    <row r="3726" spans="1:11" hidden="1" x14ac:dyDescent="0.35">
      <c r="A3726">
        <f t="shared" si="125"/>
        <v>3725</v>
      </c>
      <c r="B3726">
        <v>2023</v>
      </c>
      <c r="C3726" t="s">
        <v>263</v>
      </c>
      <c r="D3726" t="s">
        <v>110</v>
      </c>
      <c r="E3726" t="s">
        <v>1430</v>
      </c>
      <c r="F3726" s="2">
        <v>320</v>
      </c>
      <c r="G3726" s="2">
        <v>8</v>
      </c>
      <c r="H3726" t="s">
        <v>204</v>
      </c>
      <c r="I3726" t="s">
        <v>205</v>
      </c>
      <c r="J3726" s="11">
        <v>929.41892571429287</v>
      </c>
      <c r="K3726" t="str">
        <f t="shared" si="126"/>
        <v>Ron Grossberg</v>
      </c>
    </row>
    <row r="3727" spans="1:11" hidden="1" x14ac:dyDescent="0.35">
      <c r="A3727">
        <f t="shared" si="125"/>
        <v>3726</v>
      </c>
      <c r="B3727">
        <v>2023</v>
      </c>
      <c r="C3727" t="s">
        <v>263</v>
      </c>
      <c r="D3727" t="s">
        <v>110</v>
      </c>
      <c r="E3727" t="s">
        <v>1430</v>
      </c>
      <c r="F3727" s="2">
        <v>160</v>
      </c>
      <c r="G3727" s="2">
        <v>9</v>
      </c>
      <c r="H3727" t="s">
        <v>618</v>
      </c>
      <c r="I3727" t="s">
        <v>521</v>
      </c>
      <c r="J3727" s="11">
        <v>878.26640326691154</v>
      </c>
      <c r="K3727" t="str">
        <f t="shared" si="126"/>
        <v>Chuck Weinstock</v>
      </c>
    </row>
    <row r="3728" spans="1:11" hidden="1" x14ac:dyDescent="0.35">
      <c r="A3728">
        <f t="shared" si="125"/>
        <v>3727</v>
      </c>
      <c r="B3728">
        <v>2023</v>
      </c>
      <c r="C3728" t="s">
        <v>263</v>
      </c>
      <c r="D3728" t="s">
        <v>2604</v>
      </c>
      <c r="E3728" t="s">
        <v>1430</v>
      </c>
      <c r="F3728" s="2">
        <v>656</v>
      </c>
      <c r="G3728" s="2">
        <v>1</v>
      </c>
      <c r="H3728" t="s">
        <v>256</v>
      </c>
      <c r="I3728" t="s">
        <v>257</v>
      </c>
      <c r="J3728" s="11">
        <v>1322.2192947339192</v>
      </c>
      <c r="K3728" t="str">
        <f t="shared" si="126"/>
        <v>Stephanie Wasserman</v>
      </c>
    </row>
    <row r="3729" spans="1:11" hidden="1" x14ac:dyDescent="0.35">
      <c r="A3729">
        <f t="shared" si="125"/>
        <v>3728</v>
      </c>
      <c r="B3729">
        <v>2023</v>
      </c>
      <c r="C3729" t="s">
        <v>263</v>
      </c>
      <c r="D3729" t="s">
        <v>2604</v>
      </c>
      <c r="E3729" t="s">
        <v>1430</v>
      </c>
      <c r="F3729" s="2">
        <v>412</v>
      </c>
      <c r="G3729" s="2">
        <v>2</v>
      </c>
      <c r="H3729" t="s">
        <v>95</v>
      </c>
      <c r="I3729" t="s">
        <v>71</v>
      </c>
      <c r="J3729" s="11">
        <v>1021.1892990699381</v>
      </c>
      <c r="K3729" t="str">
        <f t="shared" si="126"/>
        <v>Scott Samarel</v>
      </c>
    </row>
    <row r="3730" spans="1:11" hidden="1" x14ac:dyDescent="0.35">
      <c r="A3730">
        <f t="shared" si="125"/>
        <v>3729</v>
      </c>
      <c r="B3730">
        <v>2023</v>
      </c>
      <c r="C3730" t="s">
        <v>263</v>
      </c>
      <c r="D3730" t="s">
        <v>2604</v>
      </c>
      <c r="E3730" t="s">
        <v>1430</v>
      </c>
      <c r="F3730" s="2">
        <v>277</v>
      </c>
      <c r="G3730" s="2">
        <v>3</v>
      </c>
      <c r="H3730" t="s">
        <v>2646</v>
      </c>
      <c r="I3730" t="s">
        <v>826</v>
      </c>
      <c r="J3730" s="11">
        <v>845.09804001425687</v>
      </c>
      <c r="K3730" t="str">
        <f t="shared" si="126"/>
        <v>Kelly Kania</v>
      </c>
    </row>
    <row r="3731" spans="1:11" hidden="1" x14ac:dyDescent="0.35">
      <c r="A3731">
        <f t="shared" si="125"/>
        <v>3730</v>
      </c>
      <c r="B3731">
        <v>2023</v>
      </c>
      <c r="C3731" t="s">
        <v>263</v>
      </c>
      <c r="D3731" t="s">
        <v>2604</v>
      </c>
      <c r="E3731" t="s">
        <v>1430</v>
      </c>
      <c r="F3731" s="2">
        <v>210</v>
      </c>
      <c r="G3731" s="2">
        <v>4</v>
      </c>
      <c r="H3731" t="s">
        <v>99</v>
      </c>
      <c r="I3731" t="s">
        <v>101</v>
      </c>
      <c r="J3731" s="11">
        <v>720.15930340595696</v>
      </c>
      <c r="K3731" t="str">
        <f t="shared" si="126"/>
        <v>Dean Kerl</v>
      </c>
    </row>
    <row r="3732" spans="1:11" hidden="1" x14ac:dyDescent="0.35">
      <c r="A3732">
        <f t="shared" si="125"/>
        <v>3731</v>
      </c>
      <c r="B3732">
        <v>2023</v>
      </c>
      <c r="C3732" t="s">
        <v>263</v>
      </c>
      <c r="D3732" t="s">
        <v>2604</v>
      </c>
      <c r="E3732" t="s">
        <v>1430</v>
      </c>
      <c r="F3732" s="2">
        <v>125</v>
      </c>
      <c r="G3732" s="2">
        <v>5</v>
      </c>
      <c r="H3732" t="s">
        <v>15</v>
      </c>
      <c r="I3732" t="s">
        <v>28</v>
      </c>
      <c r="J3732" s="11">
        <v>623.2492903979005</v>
      </c>
      <c r="K3732" t="str">
        <f t="shared" si="126"/>
        <v>Chris Kluchman</v>
      </c>
    </row>
    <row r="3733" spans="1:11" hidden="1" x14ac:dyDescent="0.35">
      <c r="A3733">
        <f t="shared" si="125"/>
        <v>3732</v>
      </c>
      <c r="B3733">
        <v>2023</v>
      </c>
      <c r="C3733" t="s">
        <v>68</v>
      </c>
      <c r="D3733" t="s">
        <v>2597</v>
      </c>
      <c r="E3733" t="s">
        <v>1433</v>
      </c>
      <c r="F3733" s="2">
        <v>1178</v>
      </c>
      <c r="G3733" s="2">
        <v>1</v>
      </c>
      <c r="H3733" t="s">
        <v>204</v>
      </c>
      <c r="I3733" t="s">
        <v>205</v>
      </c>
      <c r="J3733" s="11">
        <v>1579.7835966168102</v>
      </c>
      <c r="K3733" t="str">
        <f t="shared" si="126"/>
        <v>Ron Grossberg</v>
      </c>
    </row>
    <row r="3734" spans="1:11" hidden="1" x14ac:dyDescent="0.35">
      <c r="A3734">
        <f t="shared" si="125"/>
        <v>3733</v>
      </c>
      <c r="B3734">
        <v>2023</v>
      </c>
      <c r="C3734" t="s">
        <v>68</v>
      </c>
      <c r="D3734" t="s">
        <v>2597</v>
      </c>
      <c r="E3734" t="s">
        <v>1433</v>
      </c>
      <c r="F3734" s="2">
        <v>836</v>
      </c>
      <c r="G3734" s="2">
        <v>2</v>
      </c>
      <c r="H3734" t="s">
        <v>525</v>
      </c>
      <c r="I3734" t="s">
        <v>58</v>
      </c>
      <c r="J3734" s="11">
        <v>1278.7536009528289</v>
      </c>
      <c r="K3734" t="str">
        <f t="shared" si="126"/>
        <v>Jim Anderson</v>
      </c>
    </row>
    <row r="3735" spans="1:11" hidden="1" x14ac:dyDescent="0.35">
      <c r="A3735">
        <f t="shared" si="125"/>
        <v>3734</v>
      </c>
      <c r="B3735">
        <v>2023</v>
      </c>
      <c r="C3735" t="s">
        <v>68</v>
      </c>
      <c r="D3735" t="s">
        <v>2597</v>
      </c>
      <c r="E3735" t="s">
        <v>1433</v>
      </c>
      <c r="F3735" s="2">
        <v>646</v>
      </c>
      <c r="G3735" s="2">
        <v>3</v>
      </c>
      <c r="H3735" t="s">
        <v>14</v>
      </c>
      <c r="I3735" t="s">
        <v>11</v>
      </c>
      <c r="J3735" s="11">
        <v>1102.6623418971478</v>
      </c>
      <c r="K3735" t="str">
        <f t="shared" si="126"/>
        <v>Paul McMullin</v>
      </c>
    </row>
    <row r="3736" spans="1:11" hidden="1" x14ac:dyDescent="0.35">
      <c r="A3736">
        <f t="shared" si="125"/>
        <v>3735</v>
      </c>
      <c r="B3736">
        <v>2023</v>
      </c>
      <c r="C3736" t="s">
        <v>68</v>
      </c>
      <c r="D3736" t="s">
        <v>2597</v>
      </c>
      <c r="E3736" t="s">
        <v>1433</v>
      </c>
      <c r="F3736" s="2">
        <v>494</v>
      </c>
      <c r="G3736" s="2">
        <v>4</v>
      </c>
      <c r="H3736" t="s">
        <v>2608</v>
      </c>
      <c r="I3736" t="s">
        <v>356</v>
      </c>
      <c r="J3736" s="11">
        <v>977.72360528884769</v>
      </c>
      <c r="K3736" t="str">
        <f t="shared" si="126"/>
        <v>Danny Sprung</v>
      </c>
    </row>
    <row r="3737" spans="1:11" hidden="1" x14ac:dyDescent="0.35">
      <c r="A3737">
        <f t="shared" si="125"/>
        <v>3736</v>
      </c>
      <c r="B3737">
        <v>2023</v>
      </c>
      <c r="C3737" t="s">
        <v>68</v>
      </c>
      <c r="D3737" t="s">
        <v>2597</v>
      </c>
      <c r="E3737" t="s">
        <v>1433</v>
      </c>
      <c r="F3737" s="2">
        <v>380</v>
      </c>
      <c r="G3737" s="2">
        <v>5</v>
      </c>
      <c r="H3737" t="s">
        <v>323</v>
      </c>
      <c r="I3737" t="s">
        <v>324</v>
      </c>
      <c r="J3737" s="11">
        <v>880.81359228079123</v>
      </c>
      <c r="K3737" t="str">
        <f t="shared" si="126"/>
        <v>Andrew Prock</v>
      </c>
    </row>
    <row r="3738" spans="1:11" hidden="1" x14ac:dyDescent="0.35">
      <c r="A3738">
        <f t="shared" si="125"/>
        <v>3737</v>
      </c>
      <c r="B3738">
        <v>2023</v>
      </c>
      <c r="C3738" t="s">
        <v>68</v>
      </c>
      <c r="D3738" t="s">
        <v>2597</v>
      </c>
      <c r="E3738" t="s">
        <v>1433</v>
      </c>
      <c r="F3738" s="2">
        <v>266</v>
      </c>
      <c r="G3738" s="2">
        <v>6</v>
      </c>
      <c r="H3738" t="s">
        <v>217</v>
      </c>
      <c r="I3738" t="s">
        <v>218</v>
      </c>
      <c r="J3738" s="11">
        <v>801.63234623316646</v>
      </c>
      <c r="K3738" t="str">
        <f t="shared" si="126"/>
        <v>Michael Patterson</v>
      </c>
    </row>
    <row r="3739" spans="1:11" hidden="1" x14ac:dyDescent="0.35">
      <c r="A3739">
        <f t="shared" si="125"/>
        <v>3738</v>
      </c>
      <c r="B3739">
        <v>2023</v>
      </c>
      <c r="C3739" t="s">
        <v>68</v>
      </c>
      <c r="D3739" t="s">
        <v>2594</v>
      </c>
      <c r="E3739" t="s">
        <v>1430</v>
      </c>
      <c r="F3739" s="2">
        <v>1220</v>
      </c>
      <c r="G3739" s="2">
        <v>1</v>
      </c>
      <c r="H3739" t="s">
        <v>294</v>
      </c>
      <c r="I3739" t="s">
        <v>16</v>
      </c>
      <c r="J3739" s="11">
        <v>1602.0599913279623</v>
      </c>
      <c r="K3739" t="str">
        <f t="shared" si="126"/>
        <v>David Low</v>
      </c>
    </row>
    <row r="3740" spans="1:11" hidden="1" x14ac:dyDescent="0.35">
      <c r="A3740">
        <f t="shared" si="125"/>
        <v>3739</v>
      </c>
      <c r="B3740">
        <v>2023</v>
      </c>
      <c r="C3740" t="s">
        <v>68</v>
      </c>
      <c r="D3740" t="s">
        <v>2594</v>
      </c>
      <c r="E3740" t="s">
        <v>1430</v>
      </c>
      <c r="F3740" s="2">
        <v>860</v>
      </c>
      <c r="G3740" s="2">
        <v>2</v>
      </c>
      <c r="H3740" t="s">
        <v>50</v>
      </c>
      <c r="I3740" t="s">
        <v>25</v>
      </c>
      <c r="J3740" s="11">
        <v>1301.029995663981</v>
      </c>
      <c r="K3740" t="str">
        <f t="shared" si="126"/>
        <v>Russell Fox</v>
      </c>
    </row>
    <row r="3741" spans="1:11" hidden="1" x14ac:dyDescent="0.35">
      <c r="A3741">
        <f t="shared" si="125"/>
        <v>3740</v>
      </c>
      <c r="B3741">
        <v>2023</v>
      </c>
      <c r="C3741" t="s">
        <v>68</v>
      </c>
      <c r="D3741" t="s">
        <v>2594</v>
      </c>
      <c r="E3741" t="s">
        <v>1430</v>
      </c>
      <c r="F3741" s="2">
        <v>660</v>
      </c>
      <c r="G3741" s="2">
        <v>3</v>
      </c>
      <c r="H3741" t="s">
        <v>83</v>
      </c>
      <c r="I3741" t="s">
        <v>36</v>
      </c>
      <c r="J3741" s="11">
        <v>1124.9387366082999</v>
      </c>
      <c r="K3741" t="str">
        <f t="shared" si="126"/>
        <v>Nolan Hee</v>
      </c>
    </row>
    <row r="3742" spans="1:11" hidden="1" x14ac:dyDescent="0.35">
      <c r="A3742">
        <f t="shared" ref="A3742:A3793" si="127">A3741+1</f>
        <v>3741</v>
      </c>
      <c r="B3742">
        <v>2023</v>
      </c>
      <c r="C3742" t="s">
        <v>68</v>
      </c>
      <c r="D3742" t="s">
        <v>2594</v>
      </c>
      <c r="E3742" t="s">
        <v>1430</v>
      </c>
      <c r="F3742" s="2">
        <v>500</v>
      </c>
      <c r="G3742" s="2">
        <v>4</v>
      </c>
      <c r="H3742" t="s">
        <v>80</v>
      </c>
      <c r="I3742" t="s">
        <v>81</v>
      </c>
      <c r="J3742" s="11">
        <v>999.99999999999989</v>
      </c>
      <c r="K3742" t="str">
        <f t="shared" si="126"/>
        <v>Don Adams</v>
      </c>
    </row>
    <row r="3743" spans="1:11" hidden="1" x14ac:dyDescent="0.35">
      <c r="A3743">
        <f t="shared" si="127"/>
        <v>3742</v>
      </c>
      <c r="B3743">
        <v>2023</v>
      </c>
      <c r="C3743" t="s">
        <v>68</v>
      </c>
      <c r="D3743" t="s">
        <v>2594</v>
      </c>
      <c r="E3743" t="s">
        <v>1430</v>
      </c>
      <c r="F3743" s="2">
        <v>380</v>
      </c>
      <c r="G3743" s="2">
        <v>5</v>
      </c>
      <c r="H3743" t="s">
        <v>1105</v>
      </c>
      <c r="I3743" t="s">
        <v>1106</v>
      </c>
      <c r="J3743" s="11">
        <v>903.08998699194342</v>
      </c>
      <c r="K3743" t="str">
        <f t="shared" si="126"/>
        <v>Ellis Starks</v>
      </c>
    </row>
    <row r="3744" spans="1:11" hidden="1" x14ac:dyDescent="0.35">
      <c r="A3744">
        <f t="shared" si="127"/>
        <v>3743</v>
      </c>
      <c r="B3744">
        <v>2023</v>
      </c>
      <c r="C3744" t="s">
        <v>68</v>
      </c>
      <c r="D3744" t="s">
        <v>2594</v>
      </c>
      <c r="E3744" t="s">
        <v>1430</v>
      </c>
      <c r="F3744" s="2">
        <v>260</v>
      </c>
      <c r="G3744" s="2">
        <v>6</v>
      </c>
      <c r="H3744" t="s">
        <v>72</v>
      </c>
      <c r="I3744" t="s">
        <v>73</v>
      </c>
      <c r="J3744" s="11">
        <v>823.90874094431865</v>
      </c>
      <c r="K3744" t="str">
        <f t="shared" si="126"/>
        <v>Corey Imsdahl</v>
      </c>
    </row>
    <row r="3745" spans="1:11" hidden="1" x14ac:dyDescent="0.35">
      <c r="A3745">
        <f t="shared" si="127"/>
        <v>3744</v>
      </c>
      <c r="B3745">
        <v>2023</v>
      </c>
      <c r="C3745" t="s">
        <v>68</v>
      </c>
      <c r="D3745" t="s">
        <v>2594</v>
      </c>
      <c r="E3745" t="s">
        <v>1430</v>
      </c>
      <c r="F3745" s="2">
        <v>120</v>
      </c>
      <c r="G3745" s="2">
        <v>7</v>
      </c>
      <c r="H3745" t="s">
        <v>461</v>
      </c>
      <c r="I3745" t="s">
        <v>1448</v>
      </c>
      <c r="J3745" s="11">
        <v>756.96195131370553</v>
      </c>
      <c r="K3745" t="str">
        <f t="shared" si="126"/>
        <v>Christian Jones</v>
      </c>
    </row>
    <row r="3746" spans="1:11" hidden="1" x14ac:dyDescent="0.35">
      <c r="A3746">
        <f t="shared" si="127"/>
        <v>3745</v>
      </c>
      <c r="B3746">
        <v>2023</v>
      </c>
      <c r="C3746" t="s">
        <v>68</v>
      </c>
      <c r="D3746" t="s">
        <v>91</v>
      </c>
      <c r="E3746" t="s">
        <v>509</v>
      </c>
      <c r="F3746" s="2">
        <v>1240</v>
      </c>
      <c r="G3746" s="2">
        <v>1</v>
      </c>
      <c r="H3746" t="s">
        <v>83</v>
      </c>
      <c r="I3746" t="s">
        <v>36</v>
      </c>
      <c r="J3746" s="11">
        <v>1602.0599913279623</v>
      </c>
      <c r="K3746" t="str">
        <f t="shared" si="126"/>
        <v>Nolan Hee</v>
      </c>
    </row>
    <row r="3747" spans="1:11" hidden="1" x14ac:dyDescent="0.35">
      <c r="A3747">
        <f t="shared" si="127"/>
        <v>3746</v>
      </c>
      <c r="B3747">
        <v>2023</v>
      </c>
      <c r="C3747" t="s">
        <v>68</v>
      </c>
      <c r="D3747" t="s">
        <v>91</v>
      </c>
      <c r="E3747" t="s">
        <v>509</v>
      </c>
      <c r="F3747" s="2">
        <v>880</v>
      </c>
      <c r="G3747" s="2">
        <v>2</v>
      </c>
      <c r="H3747" t="s">
        <v>95</v>
      </c>
      <c r="I3747" t="s">
        <v>71</v>
      </c>
      <c r="J3747" s="11">
        <v>1301.029995663981</v>
      </c>
      <c r="K3747" t="str">
        <f t="shared" si="126"/>
        <v>Scott Samarel</v>
      </c>
    </row>
    <row r="3748" spans="1:11" hidden="1" x14ac:dyDescent="0.35">
      <c r="A3748">
        <f t="shared" si="127"/>
        <v>3747</v>
      </c>
      <c r="B3748">
        <v>2023</v>
      </c>
      <c r="C3748" t="s">
        <v>68</v>
      </c>
      <c r="D3748" t="s">
        <v>91</v>
      </c>
      <c r="E3748" t="s">
        <v>509</v>
      </c>
      <c r="F3748" s="2">
        <v>680</v>
      </c>
      <c r="G3748" s="2">
        <v>3</v>
      </c>
      <c r="H3748" t="s">
        <v>86</v>
      </c>
      <c r="I3748" t="s">
        <v>271</v>
      </c>
      <c r="J3748" s="11">
        <v>1124.9387366082999</v>
      </c>
      <c r="K3748" t="str">
        <f t="shared" si="126"/>
        <v>Dan Goldman</v>
      </c>
    </row>
    <row r="3749" spans="1:11" hidden="1" x14ac:dyDescent="0.35">
      <c r="A3749">
        <f t="shared" si="127"/>
        <v>3748</v>
      </c>
      <c r="B3749">
        <v>2023</v>
      </c>
      <c r="C3749" t="s">
        <v>68</v>
      </c>
      <c r="D3749" t="s">
        <v>91</v>
      </c>
      <c r="E3749" t="s">
        <v>509</v>
      </c>
      <c r="F3749" s="2">
        <v>520</v>
      </c>
      <c r="G3749" s="2">
        <v>4</v>
      </c>
      <c r="H3749" t="s">
        <v>2401</v>
      </c>
      <c r="I3749" t="s">
        <v>2017</v>
      </c>
      <c r="J3749" s="11">
        <v>999.99999999999989</v>
      </c>
      <c r="K3749" t="str">
        <f t="shared" si="126"/>
        <v>Kathy Chang</v>
      </c>
    </row>
    <row r="3750" spans="1:11" hidden="1" x14ac:dyDescent="0.35">
      <c r="A3750">
        <f t="shared" si="127"/>
        <v>3749</v>
      </c>
      <c r="B3750">
        <v>2023</v>
      </c>
      <c r="C3750" t="s">
        <v>68</v>
      </c>
      <c r="D3750" t="s">
        <v>91</v>
      </c>
      <c r="E3750" t="s">
        <v>509</v>
      </c>
      <c r="F3750" s="2">
        <v>400</v>
      </c>
      <c r="G3750" s="2">
        <v>5</v>
      </c>
      <c r="H3750" t="s">
        <v>204</v>
      </c>
      <c r="I3750" t="s">
        <v>205</v>
      </c>
      <c r="J3750" s="11">
        <v>903.08998699194342</v>
      </c>
      <c r="K3750" t="str">
        <f t="shared" si="126"/>
        <v>Ron Grossberg</v>
      </c>
    </row>
    <row r="3751" spans="1:11" hidden="1" x14ac:dyDescent="0.35">
      <c r="A3751">
        <f t="shared" si="127"/>
        <v>3750</v>
      </c>
      <c r="B3751">
        <v>2023</v>
      </c>
      <c r="C3751" t="s">
        <v>68</v>
      </c>
      <c r="D3751" t="s">
        <v>91</v>
      </c>
      <c r="E3751" t="s">
        <v>509</v>
      </c>
      <c r="F3751" s="2">
        <v>280</v>
      </c>
      <c r="G3751" s="2">
        <v>6</v>
      </c>
      <c r="H3751" t="s">
        <v>414</v>
      </c>
      <c r="I3751" t="s">
        <v>413</v>
      </c>
      <c r="J3751" s="11">
        <v>823.90874094431865</v>
      </c>
      <c r="K3751" t="str">
        <f t="shared" si="126"/>
        <v>Bruce Kramer</v>
      </c>
    </row>
    <row r="3752" spans="1:11" hidden="1" x14ac:dyDescent="0.35">
      <c r="A3752">
        <f t="shared" si="127"/>
        <v>3751</v>
      </c>
      <c r="B3752">
        <v>2023</v>
      </c>
      <c r="C3752" t="s">
        <v>68</v>
      </c>
      <c r="D3752" t="s">
        <v>2596</v>
      </c>
      <c r="E3752" t="s">
        <v>1429</v>
      </c>
      <c r="F3752" s="2">
        <v>1800</v>
      </c>
      <c r="G3752" s="2">
        <v>1</v>
      </c>
      <c r="H3752" t="s">
        <v>50</v>
      </c>
      <c r="I3752" t="s">
        <v>25</v>
      </c>
      <c r="J3752" s="11">
        <v>1698.9700043360187</v>
      </c>
      <c r="K3752" t="str">
        <f t="shared" si="126"/>
        <v>Russell Fox</v>
      </c>
    </row>
    <row r="3753" spans="1:11" hidden="1" x14ac:dyDescent="0.35">
      <c r="A3753">
        <f t="shared" si="127"/>
        <v>3752</v>
      </c>
      <c r="B3753">
        <v>2023</v>
      </c>
      <c r="C3753" t="s">
        <v>68</v>
      </c>
      <c r="D3753" t="s">
        <v>2596</v>
      </c>
      <c r="E3753" t="s">
        <v>1429</v>
      </c>
      <c r="F3753" s="2">
        <v>1345</v>
      </c>
      <c r="G3753" s="2">
        <v>2</v>
      </c>
      <c r="H3753" t="s">
        <v>2608</v>
      </c>
      <c r="I3753" t="s">
        <v>356</v>
      </c>
      <c r="J3753" s="11">
        <v>1397.9400086720375</v>
      </c>
      <c r="K3753" t="str">
        <f t="shared" si="126"/>
        <v>Danny Sprung</v>
      </c>
    </row>
    <row r="3754" spans="1:11" hidden="1" x14ac:dyDescent="0.35">
      <c r="A3754">
        <f t="shared" si="127"/>
        <v>3753</v>
      </c>
      <c r="B3754">
        <v>2023</v>
      </c>
      <c r="C3754" t="s">
        <v>68</v>
      </c>
      <c r="D3754" t="s">
        <v>2596</v>
      </c>
      <c r="E3754" t="s">
        <v>1429</v>
      </c>
      <c r="F3754" s="2">
        <v>1020</v>
      </c>
      <c r="G3754" s="2">
        <v>3</v>
      </c>
      <c r="H3754" t="s">
        <v>99</v>
      </c>
      <c r="I3754" t="s">
        <v>101</v>
      </c>
      <c r="J3754" s="11">
        <v>1221.8487496163564</v>
      </c>
      <c r="K3754" t="str">
        <f t="shared" si="126"/>
        <v>Dean Kerl</v>
      </c>
    </row>
    <row r="3755" spans="1:11" hidden="1" x14ac:dyDescent="0.35">
      <c r="A3755">
        <f t="shared" si="127"/>
        <v>3754</v>
      </c>
      <c r="B3755">
        <v>2023</v>
      </c>
      <c r="C3755" t="s">
        <v>68</v>
      </c>
      <c r="D3755" t="s">
        <v>2596</v>
      </c>
      <c r="E3755" t="s">
        <v>1429</v>
      </c>
      <c r="F3755" s="2">
        <v>825</v>
      </c>
      <c r="G3755" s="2">
        <v>4</v>
      </c>
      <c r="H3755" t="s">
        <v>80</v>
      </c>
      <c r="I3755" t="s">
        <v>82</v>
      </c>
      <c r="J3755" s="11">
        <v>1096.9100130080562</v>
      </c>
      <c r="K3755" t="str">
        <f t="shared" si="126"/>
        <v>Karen Adams</v>
      </c>
    </row>
    <row r="3756" spans="1:11" hidden="1" x14ac:dyDescent="0.35">
      <c r="A3756">
        <f t="shared" si="127"/>
        <v>3755</v>
      </c>
      <c r="B3756">
        <v>2023</v>
      </c>
      <c r="C3756" t="s">
        <v>68</v>
      </c>
      <c r="D3756" t="s">
        <v>2596</v>
      </c>
      <c r="E3756" t="s">
        <v>1429</v>
      </c>
      <c r="F3756" s="2">
        <v>630</v>
      </c>
      <c r="G3756" s="2">
        <v>5</v>
      </c>
      <c r="H3756" t="s">
        <v>2610</v>
      </c>
      <c r="I3756" t="s">
        <v>2611</v>
      </c>
      <c r="J3756" s="11">
        <v>999.99999999999989</v>
      </c>
      <c r="K3756" t="str">
        <f t="shared" si="126"/>
        <v>Jiyoung Im</v>
      </c>
    </row>
    <row r="3757" spans="1:11" hidden="1" x14ac:dyDescent="0.35">
      <c r="A3757">
        <f t="shared" si="127"/>
        <v>3756</v>
      </c>
      <c r="B3757">
        <v>2023</v>
      </c>
      <c r="C3757" t="s">
        <v>68</v>
      </c>
      <c r="D3757" t="s">
        <v>2596</v>
      </c>
      <c r="E3757" t="s">
        <v>1429</v>
      </c>
      <c r="F3757" s="2">
        <v>435</v>
      </c>
      <c r="G3757" s="2">
        <v>6</v>
      </c>
      <c r="H3757" t="s">
        <v>294</v>
      </c>
      <c r="I3757" t="s">
        <v>16</v>
      </c>
      <c r="J3757" s="11">
        <v>920.81875395237512</v>
      </c>
      <c r="K3757" t="str">
        <f t="shared" si="126"/>
        <v>David Low</v>
      </c>
    </row>
    <row r="3758" spans="1:11" hidden="1" x14ac:dyDescent="0.35">
      <c r="A3758">
        <f t="shared" si="127"/>
        <v>3757</v>
      </c>
      <c r="B3758">
        <v>2023</v>
      </c>
      <c r="C3758" t="s">
        <v>68</v>
      </c>
      <c r="D3758" t="s">
        <v>2596</v>
      </c>
      <c r="E3758" t="s">
        <v>1429</v>
      </c>
      <c r="F3758" s="2">
        <v>305</v>
      </c>
      <c r="G3758" s="2">
        <v>7</v>
      </c>
      <c r="H3758" t="s">
        <v>88</v>
      </c>
      <c r="I3758" t="s">
        <v>89</v>
      </c>
      <c r="J3758" s="11">
        <v>853.87196432176188</v>
      </c>
      <c r="K3758" t="str">
        <f t="shared" si="126"/>
        <v>Ken Kubey</v>
      </c>
    </row>
    <row r="3759" spans="1:11" hidden="1" x14ac:dyDescent="0.35">
      <c r="A3759">
        <f t="shared" si="127"/>
        <v>3758</v>
      </c>
      <c r="B3759">
        <v>2023</v>
      </c>
      <c r="C3759" t="s">
        <v>68</v>
      </c>
      <c r="D3759" t="s">
        <v>2596</v>
      </c>
      <c r="E3759" t="s">
        <v>1429</v>
      </c>
      <c r="F3759" s="2">
        <v>140</v>
      </c>
      <c r="G3759" s="2">
        <v>8</v>
      </c>
      <c r="H3759" t="s">
        <v>935</v>
      </c>
      <c r="I3759" t="s">
        <v>480</v>
      </c>
      <c r="J3759" s="11">
        <v>795.88001734407521</v>
      </c>
      <c r="K3759" t="str">
        <f t="shared" si="126"/>
        <v>James Ernest</v>
      </c>
    </row>
    <row r="3760" spans="1:11" hidden="1" x14ac:dyDescent="0.35">
      <c r="A3760">
        <f t="shared" si="127"/>
        <v>3759</v>
      </c>
      <c r="B3760">
        <v>2023</v>
      </c>
      <c r="C3760" t="s">
        <v>68</v>
      </c>
      <c r="D3760" t="s">
        <v>2595</v>
      </c>
      <c r="E3760" t="s">
        <v>133</v>
      </c>
      <c r="F3760" s="2">
        <v>1224</v>
      </c>
      <c r="G3760" s="2">
        <v>1</v>
      </c>
      <c r="H3760" t="s">
        <v>490</v>
      </c>
      <c r="I3760" t="s">
        <v>480</v>
      </c>
      <c r="J3760" s="11">
        <v>1531.478917042255</v>
      </c>
      <c r="K3760" t="str">
        <f t="shared" si="126"/>
        <v>James Hammer</v>
      </c>
    </row>
    <row r="3761" spans="1:11" hidden="1" x14ac:dyDescent="0.35">
      <c r="A3761">
        <f t="shared" si="127"/>
        <v>3760</v>
      </c>
      <c r="B3761">
        <v>2023</v>
      </c>
      <c r="C3761" t="s">
        <v>68</v>
      </c>
      <c r="D3761" t="s">
        <v>2595</v>
      </c>
      <c r="E3761" t="s">
        <v>133</v>
      </c>
      <c r="F3761" s="2">
        <v>816</v>
      </c>
      <c r="G3761" s="2">
        <v>2</v>
      </c>
      <c r="H3761" t="s">
        <v>1437</v>
      </c>
      <c r="I3761" t="s">
        <v>44</v>
      </c>
      <c r="J3761" s="11">
        <v>1230.4489213782738</v>
      </c>
      <c r="K3761" t="str">
        <f t="shared" si="126"/>
        <v>Mike Fujita</v>
      </c>
    </row>
    <row r="3762" spans="1:11" hidden="1" x14ac:dyDescent="0.35">
      <c r="A3762">
        <f t="shared" si="127"/>
        <v>3761</v>
      </c>
      <c r="B3762">
        <v>2023</v>
      </c>
      <c r="C3762" t="s">
        <v>68</v>
      </c>
      <c r="D3762" t="s">
        <v>2595</v>
      </c>
      <c r="E3762" t="s">
        <v>133</v>
      </c>
      <c r="F3762" s="2">
        <v>578</v>
      </c>
      <c r="G3762" s="2">
        <v>3</v>
      </c>
      <c r="H3762" t="s">
        <v>21</v>
      </c>
      <c r="I3762" t="s">
        <v>463</v>
      </c>
      <c r="J3762" s="11">
        <v>1054.3576623225927</v>
      </c>
      <c r="K3762" t="str">
        <f t="shared" si="126"/>
        <v>Richard Bremer</v>
      </c>
    </row>
    <row r="3763" spans="1:11" hidden="1" x14ac:dyDescent="0.35">
      <c r="A3763">
        <f t="shared" si="127"/>
        <v>3762</v>
      </c>
      <c r="B3763">
        <v>2023</v>
      </c>
      <c r="C3763" t="s">
        <v>68</v>
      </c>
      <c r="D3763" t="s">
        <v>2595</v>
      </c>
      <c r="E3763" t="s">
        <v>133</v>
      </c>
      <c r="F3763" s="2">
        <v>442</v>
      </c>
      <c r="G3763" s="2">
        <v>4</v>
      </c>
      <c r="H3763" t="s">
        <v>80</v>
      </c>
      <c r="I3763" t="s">
        <v>81</v>
      </c>
      <c r="J3763" s="11">
        <v>929.41892571429275</v>
      </c>
      <c r="K3763" t="str">
        <f t="shared" si="126"/>
        <v>Don Adams</v>
      </c>
    </row>
    <row r="3764" spans="1:11" hidden="1" x14ac:dyDescent="0.35">
      <c r="A3764">
        <f t="shared" si="127"/>
        <v>3763</v>
      </c>
      <c r="B3764">
        <v>2023</v>
      </c>
      <c r="C3764" t="s">
        <v>68</v>
      </c>
      <c r="D3764" t="s">
        <v>2595</v>
      </c>
      <c r="E3764" t="s">
        <v>133</v>
      </c>
      <c r="F3764" s="2">
        <v>340</v>
      </c>
      <c r="G3764" s="2">
        <v>5</v>
      </c>
      <c r="H3764" t="s">
        <v>935</v>
      </c>
      <c r="I3764" t="s">
        <v>480</v>
      </c>
      <c r="J3764" s="11">
        <v>832.50891270623629</v>
      </c>
      <c r="K3764" t="str">
        <f t="shared" si="126"/>
        <v>James Ernest</v>
      </c>
    </row>
    <row r="3765" spans="1:11" hidden="1" x14ac:dyDescent="0.35">
      <c r="A3765">
        <f t="shared" si="127"/>
        <v>3764</v>
      </c>
      <c r="B3765">
        <v>2023</v>
      </c>
      <c r="C3765" t="s">
        <v>8</v>
      </c>
      <c r="D3765" t="s">
        <v>2446</v>
      </c>
      <c r="E3765" t="s">
        <v>1429</v>
      </c>
      <c r="F3765" s="2">
        <v>665</v>
      </c>
      <c r="G3765" s="2">
        <v>1</v>
      </c>
      <c r="H3765" t="s">
        <v>130</v>
      </c>
      <c r="I3765" t="s">
        <v>131</v>
      </c>
      <c r="J3765" s="11">
        <v>1322.2192947339192</v>
      </c>
      <c r="K3765" t="str">
        <f t="shared" si="126"/>
        <v>Alan Stuart</v>
      </c>
    </row>
    <row r="3766" spans="1:11" hidden="1" x14ac:dyDescent="0.35">
      <c r="A3766">
        <f t="shared" si="127"/>
        <v>3765</v>
      </c>
      <c r="B3766">
        <v>2023</v>
      </c>
      <c r="C3766" t="s">
        <v>8</v>
      </c>
      <c r="D3766" t="s">
        <v>2446</v>
      </c>
      <c r="E3766" t="s">
        <v>1429</v>
      </c>
      <c r="F3766" s="2">
        <v>595</v>
      </c>
      <c r="G3766" s="2">
        <v>2</v>
      </c>
      <c r="H3766" t="s">
        <v>2536</v>
      </c>
      <c r="I3766" t="s">
        <v>22</v>
      </c>
      <c r="J3766" s="11">
        <v>1021.1892990699381</v>
      </c>
      <c r="K3766" t="str">
        <f t="shared" si="126"/>
        <v>Rich Vehlow</v>
      </c>
    </row>
    <row r="3767" spans="1:11" hidden="1" x14ac:dyDescent="0.35">
      <c r="A3767">
        <f t="shared" si="127"/>
        <v>3766</v>
      </c>
      <c r="B3767">
        <v>2023</v>
      </c>
      <c r="C3767" t="s">
        <v>8</v>
      </c>
      <c r="D3767" t="s">
        <v>2446</v>
      </c>
      <c r="E3767" t="s">
        <v>1429</v>
      </c>
      <c r="F3767" s="2">
        <v>508</v>
      </c>
      <c r="G3767" s="2">
        <v>3</v>
      </c>
      <c r="H3767" t="s">
        <v>183</v>
      </c>
      <c r="I3767" t="s">
        <v>101</v>
      </c>
      <c r="J3767" s="11">
        <v>845.09804001425687</v>
      </c>
      <c r="K3767" t="str">
        <f t="shared" si="126"/>
        <v>Dean White</v>
      </c>
    </row>
    <row r="3768" spans="1:11" hidden="1" x14ac:dyDescent="0.35">
      <c r="A3768">
        <f t="shared" si="127"/>
        <v>3767</v>
      </c>
      <c r="B3768">
        <v>2023</v>
      </c>
      <c r="C3768" t="s">
        <v>8</v>
      </c>
      <c r="D3768" t="s">
        <v>2446</v>
      </c>
      <c r="E3768" t="s">
        <v>1429</v>
      </c>
      <c r="F3768" s="2">
        <v>324</v>
      </c>
      <c r="G3768" s="2">
        <v>4</v>
      </c>
      <c r="H3768" t="s">
        <v>29</v>
      </c>
      <c r="I3768" t="s">
        <v>30</v>
      </c>
      <c r="J3768" s="11">
        <v>720.15930340595696</v>
      </c>
      <c r="K3768" t="str">
        <f t="shared" si="126"/>
        <v>Tedford Armistead</v>
      </c>
    </row>
    <row r="3769" spans="1:11" hidden="1" x14ac:dyDescent="0.35">
      <c r="A3769">
        <f t="shared" si="127"/>
        <v>3768</v>
      </c>
      <c r="B3769">
        <v>2023</v>
      </c>
      <c r="C3769" t="s">
        <v>8</v>
      </c>
      <c r="D3769" t="s">
        <v>45</v>
      </c>
      <c r="E3769" t="s">
        <v>1429</v>
      </c>
      <c r="F3769" s="2">
        <v>1284</v>
      </c>
      <c r="G3769" s="2">
        <v>1</v>
      </c>
      <c r="H3769" t="s">
        <v>151</v>
      </c>
      <c r="I3769" t="s">
        <v>16</v>
      </c>
      <c r="J3769" s="11">
        <v>1799.3405494535816</v>
      </c>
      <c r="K3769" t="str">
        <f t="shared" si="126"/>
        <v>David Kent</v>
      </c>
    </row>
    <row r="3770" spans="1:11" hidden="1" x14ac:dyDescent="0.35">
      <c r="A3770">
        <f t="shared" si="127"/>
        <v>3769</v>
      </c>
      <c r="B3770">
        <v>2023</v>
      </c>
      <c r="C3770" t="s">
        <v>8</v>
      </c>
      <c r="D3770" t="s">
        <v>45</v>
      </c>
      <c r="E3770" t="s">
        <v>1429</v>
      </c>
      <c r="F3770" s="2">
        <v>1284</v>
      </c>
      <c r="G3770" s="2">
        <v>2</v>
      </c>
      <c r="H3770" t="s">
        <v>121</v>
      </c>
      <c r="I3770" t="s">
        <v>122</v>
      </c>
      <c r="J3770" s="11">
        <v>1498.3105537896004</v>
      </c>
      <c r="K3770" t="str">
        <f t="shared" si="126"/>
        <v>Andy Bartalone</v>
      </c>
    </row>
    <row r="3771" spans="1:11" hidden="1" x14ac:dyDescent="0.35">
      <c r="A3771">
        <f t="shared" si="127"/>
        <v>3770</v>
      </c>
      <c r="B3771">
        <v>2023</v>
      </c>
      <c r="C3771" t="s">
        <v>8</v>
      </c>
      <c r="D3771" t="s">
        <v>45</v>
      </c>
      <c r="E3771" t="s">
        <v>1429</v>
      </c>
      <c r="F3771" s="2">
        <v>1283</v>
      </c>
      <c r="G3771" s="2">
        <v>3</v>
      </c>
      <c r="H3771" t="s">
        <v>57</v>
      </c>
      <c r="I3771" t="s">
        <v>58</v>
      </c>
      <c r="J3771" s="11">
        <v>1322.2192947339192</v>
      </c>
      <c r="K3771" t="str">
        <f t="shared" si="126"/>
        <v>Jim Rogers</v>
      </c>
    </row>
    <row r="3772" spans="1:11" hidden="1" x14ac:dyDescent="0.35">
      <c r="A3772">
        <f t="shared" si="127"/>
        <v>3771</v>
      </c>
      <c r="B3772">
        <v>2023</v>
      </c>
      <c r="C3772" t="s">
        <v>8</v>
      </c>
      <c r="D3772" t="s">
        <v>45</v>
      </c>
      <c r="E3772" t="s">
        <v>1429</v>
      </c>
      <c r="F3772" s="2">
        <v>652</v>
      </c>
      <c r="G3772" s="2">
        <v>4</v>
      </c>
      <c r="H3772" t="s">
        <v>202</v>
      </c>
      <c r="I3772" t="s">
        <v>205</v>
      </c>
      <c r="J3772" s="11">
        <v>1197.2805581256191</v>
      </c>
      <c r="K3772" t="str">
        <f t="shared" si="126"/>
        <v>Ron Lyons</v>
      </c>
    </row>
    <row r="3773" spans="1:11" hidden="1" x14ac:dyDescent="0.35">
      <c r="A3773">
        <f t="shared" si="127"/>
        <v>3772</v>
      </c>
      <c r="B3773">
        <v>2023</v>
      </c>
      <c r="C3773" t="s">
        <v>8</v>
      </c>
      <c r="D3773" t="s">
        <v>45</v>
      </c>
      <c r="E3773" t="s">
        <v>1429</v>
      </c>
      <c r="F3773" s="2">
        <v>530</v>
      </c>
      <c r="G3773" s="2">
        <v>5</v>
      </c>
      <c r="H3773" t="s">
        <v>70</v>
      </c>
      <c r="I3773" t="s">
        <v>71</v>
      </c>
      <c r="J3773" s="11">
        <v>1100.3705451175629</v>
      </c>
      <c r="K3773" t="str">
        <f t="shared" si="126"/>
        <v>Scott Byron</v>
      </c>
    </row>
    <row r="3774" spans="1:11" hidden="1" x14ac:dyDescent="0.35">
      <c r="A3774">
        <f t="shared" si="127"/>
        <v>3773</v>
      </c>
      <c r="B3774">
        <v>2023</v>
      </c>
      <c r="C3774" t="s">
        <v>8</v>
      </c>
      <c r="D3774" t="s">
        <v>45</v>
      </c>
      <c r="E3774" t="s">
        <v>1429</v>
      </c>
      <c r="F3774" s="2">
        <v>408</v>
      </c>
      <c r="G3774" s="2">
        <v>6</v>
      </c>
      <c r="H3774" t="s">
        <v>2605</v>
      </c>
      <c r="I3774" t="s">
        <v>927</v>
      </c>
      <c r="J3774" s="11">
        <v>1021.1892990699381</v>
      </c>
      <c r="K3774" t="str">
        <f t="shared" si="126"/>
        <v>Jay Sipelstein</v>
      </c>
    </row>
    <row r="3775" spans="1:11" hidden="1" x14ac:dyDescent="0.35">
      <c r="A3775">
        <f t="shared" si="127"/>
        <v>3774</v>
      </c>
      <c r="B3775">
        <v>2023</v>
      </c>
      <c r="C3775" t="s">
        <v>8</v>
      </c>
      <c r="D3775" t="s">
        <v>45</v>
      </c>
      <c r="E3775" t="s">
        <v>1429</v>
      </c>
      <c r="F3775" s="2">
        <v>286</v>
      </c>
      <c r="G3775" s="2">
        <v>7</v>
      </c>
      <c r="H3775" t="s">
        <v>256</v>
      </c>
      <c r="I3775" t="s">
        <v>257</v>
      </c>
      <c r="J3775" s="11">
        <v>954.24250943932486</v>
      </c>
      <c r="K3775" t="str">
        <f t="shared" si="126"/>
        <v>Stephanie Wasserman</v>
      </c>
    </row>
    <row r="3776" spans="1:11" hidden="1" x14ac:dyDescent="0.35">
      <c r="A3776">
        <f t="shared" si="127"/>
        <v>3775</v>
      </c>
      <c r="B3776">
        <v>2023</v>
      </c>
      <c r="C3776" t="s">
        <v>8</v>
      </c>
      <c r="D3776" t="s">
        <v>45</v>
      </c>
      <c r="E3776" t="s">
        <v>1429</v>
      </c>
      <c r="F3776" s="2">
        <v>224</v>
      </c>
      <c r="G3776" s="2">
        <v>8</v>
      </c>
      <c r="H3776" t="s">
        <v>1437</v>
      </c>
      <c r="I3776" t="s">
        <v>44</v>
      </c>
      <c r="J3776" s="11">
        <v>896.2505624616382</v>
      </c>
      <c r="K3776" t="str">
        <f t="shared" si="126"/>
        <v>Mike Fujita</v>
      </c>
    </row>
    <row r="3777" spans="1:11" hidden="1" x14ac:dyDescent="0.35">
      <c r="A3777">
        <f t="shared" si="127"/>
        <v>3776</v>
      </c>
      <c r="B3777">
        <v>2023</v>
      </c>
      <c r="C3777" t="s">
        <v>8</v>
      </c>
      <c r="D3777" t="s">
        <v>45</v>
      </c>
      <c r="E3777" t="s">
        <v>1429</v>
      </c>
      <c r="F3777" s="2">
        <v>160</v>
      </c>
      <c r="G3777" s="2">
        <v>9</v>
      </c>
      <c r="H3777" t="s">
        <v>15</v>
      </c>
      <c r="I3777" t="s">
        <v>28</v>
      </c>
      <c r="J3777" s="11">
        <v>845.09804001425687</v>
      </c>
      <c r="K3777" t="str">
        <f t="shared" si="126"/>
        <v>Chris Kluchman</v>
      </c>
    </row>
    <row r="3778" spans="1:11" hidden="1" x14ac:dyDescent="0.35">
      <c r="A3778">
        <f t="shared" si="127"/>
        <v>3777</v>
      </c>
      <c r="B3778">
        <v>2023</v>
      </c>
      <c r="C3778" t="s">
        <v>8</v>
      </c>
      <c r="D3778" t="s">
        <v>2593</v>
      </c>
      <c r="E3778" t="s">
        <v>1430</v>
      </c>
      <c r="F3778" s="2">
        <v>1161</v>
      </c>
      <c r="G3778" s="2">
        <v>1</v>
      </c>
      <c r="H3778" t="s">
        <v>15</v>
      </c>
      <c r="I3778" t="s">
        <v>16</v>
      </c>
      <c r="J3778" s="11">
        <v>1579.7835966168102</v>
      </c>
      <c r="K3778" t="str">
        <f t="shared" ref="K3778:K3841" si="128">I3778&amp;" "&amp;H3778</f>
        <v>David Kluchman</v>
      </c>
    </row>
    <row r="3779" spans="1:11" hidden="1" x14ac:dyDescent="0.35">
      <c r="A3779">
        <f t="shared" si="127"/>
        <v>3778</v>
      </c>
      <c r="B3779">
        <v>2023</v>
      </c>
      <c r="C3779" t="s">
        <v>8</v>
      </c>
      <c r="D3779" t="s">
        <v>2593</v>
      </c>
      <c r="E3779" t="s">
        <v>1430</v>
      </c>
      <c r="F3779" s="2">
        <v>1161</v>
      </c>
      <c r="G3779" s="2">
        <v>2</v>
      </c>
      <c r="H3779" t="s">
        <v>836</v>
      </c>
      <c r="I3779" t="s">
        <v>136</v>
      </c>
      <c r="J3779" s="11">
        <v>1278.7536009528289</v>
      </c>
      <c r="K3779" t="str">
        <f t="shared" si="128"/>
        <v>John Grout</v>
      </c>
    </row>
    <row r="3780" spans="1:11" hidden="1" x14ac:dyDescent="0.35">
      <c r="A3780">
        <f t="shared" si="127"/>
        <v>3779</v>
      </c>
      <c r="B3780">
        <v>2023</v>
      </c>
      <c r="C3780" t="s">
        <v>8</v>
      </c>
      <c r="D3780" t="s">
        <v>2593</v>
      </c>
      <c r="E3780" t="s">
        <v>1430</v>
      </c>
      <c r="F3780" s="2">
        <v>479</v>
      </c>
      <c r="G3780" s="2">
        <v>3</v>
      </c>
      <c r="H3780" t="s">
        <v>23</v>
      </c>
      <c r="I3780" t="s">
        <v>13</v>
      </c>
      <c r="J3780" s="11">
        <v>1102.6623418971478</v>
      </c>
      <c r="K3780" t="str">
        <f t="shared" si="128"/>
        <v>Tom Hummel</v>
      </c>
    </row>
    <row r="3781" spans="1:11" hidden="1" x14ac:dyDescent="0.35">
      <c r="A3781">
        <f t="shared" si="127"/>
        <v>3780</v>
      </c>
      <c r="B3781">
        <v>2023</v>
      </c>
      <c r="C3781" t="s">
        <v>8</v>
      </c>
      <c r="D3781" t="s">
        <v>2593</v>
      </c>
      <c r="E3781" t="s">
        <v>1430</v>
      </c>
      <c r="F3781" s="2">
        <v>369</v>
      </c>
      <c r="G3781" s="2">
        <v>4</v>
      </c>
      <c r="H3781" t="s">
        <v>195</v>
      </c>
      <c r="I3781" t="s">
        <v>196</v>
      </c>
      <c r="J3781" s="11">
        <v>977.72360528884769</v>
      </c>
      <c r="K3781" t="str">
        <f t="shared" si="128"/>
        <v>Dave Tahajian</v>
      </c>
    </row>
    <row r="3782" spans="1:11" hidden="1" x14ac:dyDescent="0.35">
      <c r="A3782">
        <f t="shared" si="127"/>
        <v>3781</v>
      </c>
      <c r="B3782">
        <v>2023</v>
      </c>
      <c r="C3782" t="s">
        <v>8</v>
      </c>
      <c r="D3782" t="s">
        <v>2593</v>
      </c>
      <c r="E3782" t="s">
        <v>1430</v>
      </c>
      <c r="F3782" s="2">
        <v>295</v>
      </c>
      <c r="G3782" s="2">
        <v>5</v>
      </c>
      <c r="H3782" t="s">
        <v>19</v>
      </c>
      <c r="I3782" t="s">
        <v>20</v>
      </c>
      <c r="J3782" s="11">
        <v>880.81359228079123</v>
      </c>
      <c r="K3782" t="str">
        <f t="shared" si="128"/>
        <v>Barry Kornspan</v>
      </c>
    </row>
    <row r="3783" spans="1:11" hidden="1" x14ac:dyDescent="0.35">
      <c r="A3783">
        <f t="shared" si="127"/>
        <v>3782</v>
      </c>
      <c r="B3783">
        <v>2023</v>
      </c>
      <c r="C3783" t="s">
        <v>8</v>
      </c>
      <c r="D3783" t="s">
        <v>2593</v>
      </c>
      <c r="E3783" t="s">
        <v>1430</v>
      </c>
      <c r="F3783" s="2">
        <v>221</v>
      </c>
      <c r="G3783" s="2">
        <v>6</v>
      </c>
      <c r="H3783" t="s">
        <v>351</v>
      </c>
      <c r="I3783" t="s">
        <v>153</v>
      </c>
      <c r="J3783" s="11">
        <v>801.63234623316646</v>
      </c>
      <c r="K3783" t="str">
        <f t="shared" si="128"/>
        <v>Stephen Lewin-Berlin</v>
      </c>
    </row>
    <row r="3784" spans="1:11" hidden="1" x14ac:dyDescent="0.35">
      <c r="A3784">
        <f t="shared" si="127"/>
        <v>3783</v>
      </c>
      <c r="B3784">
        <v>2023</v>
      </c>
      <c r="C3784" t="s">
        <v>8</v>
      </c>
      <c r="D3784" t="s">
        <v>24</v>
      </c>
      <c r="E3784" t="s">
        <v>1430</v>
      </c>
      <c r="F3784" s="2">
        <v>673</v>
      </c>
      <c r="G3784" s="2">
        <v>1</v>
      </c>
      <c r="H3784" t="s">
        <v>238</v>
      </c>
      <c r="I3784" t="s">
        <v>16</v>
      </c>
      <c r="J3784" s="11">
        <v>715.68188207949368</v>
      </c>
      <c r="K3784" t="str">
        <f t="shared" si="128"/>
        <v>David Kuznick</v>
      </c>
    </row>
    <row r="3785" spans="1:11" hidden="1" x14ac:dyDescent="0.35">
      <c r="A3785">
        <f t="shared" si="127"/>
        <v>3784</v>
      </c>
      <c r="B3785">
        <v>2023</v>
      </c>
      <c r="C3785" t="s">
        <v>8</v>
      </c>
      <c r="D3785" t="s">
        <v>24</v>
      </c>
      <c r="E3785" t="s">
        <v>1430</v>
      </c>
      <c r="F3785" s="2">
        <v>673</v>
      </c>
      <c r="G3785" s="2">
        <v>1</v>
      </c>
      <c r="H3785" t="s">
        <v>238</v>
      </c>
      <c r="I3785" t="s">
        <v>375</v>
      </c>
      <c r="J3785" s="11">
        <v>715.68188207949368</v>
      </c>
      <c r="K3785" t="str">
        <f t="shared" si="128"/>
        <v>Jessica Kuznick</v>
      </c>
    </row>
    <row r="3786" spans="1:11" hidden="1" x14ac:dyDescent="0.35">
      <c r="A3786">
        <f t="shared" si="127"/>
        <v>3785</v>
      </c>
      <c r="B3786">
        <v>2023</v>
      </c>
      <c r="C3786" t="s">
        <v>8</v>
      </c>
      <c r="D3786" t="s">
        <v>24</v>
      </c>
      <c r="E3786" t="s">
        <v>1430</v>
      </c>
      <c r="F3786" s="2">
        <v>672</v>
      </c>
      <c r="G3786" s="2">
        <v>2</v>
      </c>
      <c r="H3786" t="s">
        <v>37</v>
      </c>
      <c r="I3786" t="s">
        <v>38</v>
      </c>
      <c r="J3786" s="11">
        <v>565.16688424750305</v>
      </c>
      <c r="K3786" t="str">
        <f t="shared" si="128"/>
        <v>Doug Grismore</v>
      </c>
    </row>
    <row r="3787" spans="1:11" hidden="1" x14ac:dyDescent="0.35">
      <c r="A3787">
        <f t="shared" si="127"/>
        <v>3786</v>
      </c>
      <c r="B3787">
        <v>2023</v>
      </c>
      <c r="C3787" t="s">
        <v>8</v>
      </c>
      <c r="D3787" t="s">
        <v>24</v>
      </c>
      <c r="E3787" t="s">
        <v>1430</v>
      </c>
      <c r="F3787" s="2">
        <v>672</v>
      </c>
      <c r="G3787" s="2">
        <v>2</v>
      </c>
      <c r="H3787" t="s">
        <v>294</v>
      </c>
      <c r="I3787" t="s">
        <v>16</v>
      </c>
      <c r="J3787" s="11">
        <v>565.16688424750305</v>
      </c>
      <c r="K3787" t="str">
        <f t="shared" si="128"/>
        <v>David Low</v>
      </c>
    </row>
    <row r="3788" spans="1:11" hidden="1" x14ac:dyDescent="0.35">
      <c r="A3788">
        <f t="shared" si="127"/>
        <v>3787</v>
      </c>
      <c r="B3788">
        <v>2023</v>
      </c>
      <c r="C3788" t="s">
        <v>8</v>
      </c>
      <c r="D3788" t="s">
        <v>24</v>
      </c>
      <c r="E3788" t="s">
        <v>1430</v>
      </c>
      <c r="F3788" s="2">
        <v>672</v>
      </c>
      <c r="G3788" s="2">
        <v>3</v>
      </c>
      <c r="H3788" t="s">
        <v>86</v>
      </c>
      <c r="I3788" t="s">
        <v>87</v>
      </c>
      <c r="J3788" s="11">
        <v>477.12125471966249</v>
      </c>
      <c r="K3788" t="str">
        <f t="shared" si="128"/>
        <v>Stevan Goldman</v>
      </c>
    </row>
    <row r="3789" spans="1:11" hidden="1" x14ac:dyDescent="0.35">
      <c r="A3789">
        <f t="shared" si="127"/>
        <v>3788</v>
      </c>
      <c r="B3789">
        <v>2023</v>
      </c>
      <c r="C3789" t="s">
        <v>8</v>
      </c>
      <c r="D3789" t="s">
        <v>24</v>
      </c>
      <c r="E3789" t="s">
        <v>1430</v>
      </c>
      <c r="F3789" s="2">
        <v>672</v>
      </c>
      <c r="G3789" s="2">
        <v>3</v>
      </c>
      <c r="H3789" t="s">
        <v>320</v>
      </c>
      <c r="I3789" t="s">
        <v>321</v>
      </c>
      <c r="J3789" s="11">
        <v>477.12125471966249</v>
      </c>
      <c r="K3789" t="str">
        <f t="shared" si="128"/>
        <v>Tina Gonzalez</v>
      </c>
    </row>
    <row r="3790" spans="1:11" hidden="1" x14ac:dyDescent="0.35">
      <c r="A3790">
        <f t="shared" si="127"/>
        <v>3789</v>
      </c>
      <c r="B3790">
        <v>2023</v>
      </c>
      <c r="C3790" t="s">
        <v>8</v>
      </c>
      <c r="D3790" t="s">
        <v>24</v>
      </c>
      <c r="E3790" t="s">
        <v>1430</v>
      </c>
      <c r="F3790" s="2">
        <v>340</v>
      </c>
      <c r="G3790" s="2">
        <v>4</v>
      </c>
      <c r="H3790" t="s">
        <v>21</v>
      </c>
      <c r="I3790" t="s">
        <v>463</v>
      </c>
      <c r="J3790" s="11">
        <v>414.65188641551248</v>
      </c>
      <c r="K3790" t="str">
        <f t="shared" si="128"/>
        <v>Richard Bremer</v>
      </c>
    </row>
    <row r="3791" spans="1:11" hidden="1" x14ac:dyDescent="0.35">
      <c r="A3791">
        <f t="shared" si="127"/>
        <v>3790</v>
      </c>
      <c r="B3791">
        <v>2023</v>
      </c>
      <c r="C3791" t="s">
        <v>8</v>
      </c>
      <c r="D3791" t="s">
        <v>24</v>
      </c>
      <c r="E3791" t="s">
        <v>1430</v>
      </c>
      <c r="F3791" s="2">
        <v>340</v>
      </c>
      <c r="G3791" s="2">
        <v>4</v>
      </c>
      <c r="H3791" t="s">
        <v>16</v>
      </c>
      <c r="I3791" t="s">
        <v>59</v>
      </c>
      <c r="J3791" s="11">
        <v>414.65188641551248</v>
      </c>
      <c r="K3791" t="str">
        <f t="shared" si="128"/>
        <v>Jeanne David</v>
      </c>
    </row>
    <row r="3792" spans="1:11" hidden="1" x14ac:dyDescent="0.35">
      <c r="A3792">
        <f t="shared" si="127"/>
        <v>3791</v>
      </c>
      <c r="B3792">
        <v>2023</v>
      </c>
      <c r="C3792" t="s">
        <v>8</v>
      </c>
      <c r="D3792" t="s">
        <v>24</v>
      </c>
      <c r="E3792" t="s">
        <v>1430</v>
      </c>
      <c r="F3792" s="2">
        <v>262</v>
      </c>
      <c r="G3792" s="2">
        <v>5</v>
      </c>
      <c r="H3792" t="s">
        <v>15</v>
      </c>
      <c r="I3792" t="s">
        <v>16</v>
      </c>
      <c r="J3792" s="11">
        <v>366.19687991148425</v>
      </c>
      <c r="K3792" t="str">
        <f t="shared" si="128"/>
        <v>David Kluchman</v>
      </c>
    </row>
    <row r="3793" spans="1:11" hidden="1" x14ac:dyDescent="0.35">
      <c r="A3793">
        <f t="shared" si="127"/>
        <v>3792</v>
      </c>
      <c r="B3793">
        <v>2023</v>
      </c>
      <c r="C3793" t="s">
        <v>8</v>
      </c>
      <c r="D3793" t="s">
        <v>24</v>
      </c>
      <c r="E3793" t="s">
        <v>1430</v>
      </c>
      <c r="F3793" s="2">
        <v>262</v>
      </c>
      <c r="G3793" s="2">
        <v>5</v>
      </c>
      <c r="H3793" t="s">
        <v>195</v>
      </c>
      <c r="I3793" t="s">
        <v>196</v>
      </c>
      <c r="J3793" s="11">
        <v>366.19687991148425</v>
      </c>
      <c r="K3793" t="str">
        <f t="shared" si="128"/>
        <v>Dave Tahajian</v>
      </c>
    </row>
    <row r="3794" spans="1:11" hidden="1" x14ac:dyDescent="0.35">
      <c r="A3794">
        <f>A3793+1</f>
        <v>3793</v>
      </c>
      <c r="B3794">
        <v>2024</v>
      </c>
      <c r="C3794" t="s">
        <v>2410</v>
      </c>
      <c r="D3794" t="s">
        <v>557</v>
      </c>
      <c r="E3794" t="s">
        <v>1430</v>
      </c>
      <c r="F3794" s="2">
        <v>2026</v>
      </c>
      <c r="G3794" s="2">
        <v>1</v>
      </c>
      <c r="H3794" t="s">
        <v>21</v>
      </c>
      <c r="I3794" t="s">
        <v>463</v>
      </c>
      <c r="J3794" s="11">
        <v>1447.1580313422191</v>
      </c>
      <c r="K3794" t="str">
        <f t="shared" si="128"/>
        <v>Richard Bremer</v>
      </c>
    </row>
    <row r="3795" spans="1:11" hidden="1" x14ac:dyDescent="0.35">
      <c r="A3795">
        <f t="shared" ref="A3795:A3858" si="129">A3794+1</f>
        <v>3794</v>
      </c>
      <c r="B3795">
        <v>2024</v>
      </c>
      <c r="C3795" t="s">
        <v>2410</v>
      </c>
      <c r="D3795" t="s">
        <v>557</v>
      </c>
      <c r="E3795" t="s">
        <v>1430</v>
      </c>
      <c r="F3795" s="2">
        <v>1200</v>
      </c>
      <c r="G3795" s="2">
        <v>2</v>
      </c>
      <c r="H3795" t="s">
        <v>366</v>
      </c>
      <c r="I3795" t="s">
        <v>61</v>
      </c>
      <c r="J3795" s="11">
        <v>1146.1280356782379</v>
      </c>
      <c r="K3795" t="str">
        <f t="shared" si="128"/>
        <v>Len Greenberg</v>
      </c>
    </row>
    <row r="3796" spans="1:11" hidden="1" x14ac:dyDescent="0.35">
      <c r="A3796">
        <f t="shared" si="129"/>
        <v>3795</v>
      </c>
      <c r="B3796">
        <v>2024</v>
      </c>
      <c r="C3796" t="s">
        <v>2410</v>
      </c>
      <c r="D3796" t="s">
        <v>557</v>
      </c>
      <c r="E3796" t="s">
        <v>1430</v>
      </c>
      <c r="F3796" s="2">
        <v>741</v>
      </c>
      <c r="G3796" s="2">
        <v>3</v>
      </c>
      <c r="H3796" t="s">
        <v>202</v>
      </c>
      <c r="I3796" t="s">
        <v>205</v>
      </c>
      <c r="J3796" s="11">
        <v>970.03677662255677</v>
      </c>
      <c r="K3796" t="str">
        <f t="shared" si="128"/>
        <v>Ron Lyons</v>
      </c>
    </row>
    <row r="3797" spans="1:11" hidden="1" x14ac:dyDescent="0.35">
      <c r="A3797">
        <f t="shared" si="129"/>
        <v>3796</v>
      </c>
      <c r="B3797">
        <v>2024</v>
      </c>
      <c r="C3797" t="s">
        <v>2410</v>
      </c>
      <c r="D3797" t="s">
        <v>557</v>
      </c>
      <c r="E3797" t="s">
        <v>1430</v>
      </c>
      <c r="F3797" s="2">
        <v>465</v>
      </c>
      <c r="G3797" s="2">
        <v>4</v>
      </c>
      <c r="H3797" t="s">
        <v>2672</v>
      </c>
      <c r="I3797" t="s">
        <v>16</v>
      </c>
      <c r="J3797" s="11">
        <v>845.09804001425687</v>
      </c>
      <c r="K3797" t="str">
        <f t="shared" si="128"/>
        <v>David Sheriff</v>
      </c>
    </row>
    <row r="3798" spans="1:11" hidden="1" x14ac:dyDescent="0.35">
      <c r="A3798">
        <f t="shared" si="129"/>
        <v>3797</v>
      </c>
      <c r="B3798">
        <v>2024</v>
      </c>
      <c r="C3798" t="s">
        <v>2410</v>
      </c>
      <c r="D3798" t="s">
        <v>557</v>
      </c>
      <c r="E3798" t="s">
        <v>1430</v>
      </c>
      <c r="F3798" s="2">
        <v>160</v>
      </c>
      <c r="G3798" s="2">
        <v>5</v>
      </c>
      <c r="H3798" t="s">
        <v>889</v>
      </c>
      <c r="I3798" t="s">
        <v>890</v>
      </c>
      <c r="J3798" s="11">
        <v>748.1880270062004</v>
      </c>
      <c r="K3798" t="str">
        <f t="shared" si="128"/>
        <v>Perry Spies</v>
      </c>
    </row>
    <row r="3799" spans="1:11" hidden="1" x14ac:dyDescent="0.35">
      <c r="A3799">
        <f t="shared" si="129"/>
        <v>3798</v>
      </c>
      <c r="B3799">
        <v>2024</v>
      </c>
      <c r="C3799" t="s">
        <v>2410</v>
      </c>
      <c r="D3799" t="s">
        <v>45</v>
      </c>
      <c r="E3799" t="s">
        <v>1429</v>
      </c>
      <c r="F3799" s="2">
        <v>2219</v>
      </c>
      <c r="G3799" s="2">
        <v>1</v>
      </c>
      <c r="H3799" t="s">
        <v>21</v>
      </c>
      <c r="I3799" t="s">
        <v>463</v>
      </c>
      <c r="J3799" s="11">
        <v>1518.5139398778874</v>
      </c>
      <c r="K3799" t="str">
        <f t="shared" si="128"/>
        <v>Richard Bremer</v>
      </c>
    </row>
    <row r="3800" spans="1:11" hidden="1" x14ac:dyDescent="0.35">
      <c r="A3800">
        <f t="shared" si="129"/>
        <v>3799</v>
      </c>
      <c r="B3800">
        <v>2024</v>
      </c>
      <c r="C3800" t="s">
        <v>2410</v>
      </c>
      <c r="D3800" t="s">
        <v>45</v>
      </c>
      <c r="E3800" t="s">
        <v>1429</v>
      </c>
      <c r="F3800" s="2">
        <v>1353</v>
      </c>
      <c r="G3800" s="2">
        <v>2</v>
      </c>
      <c r="H3800" t="s">
        <v>1458</v>
      </c>
      <c r="I3800" t="s">
        <v>67</v>
      </c>
      <c r="J3800" s="11">
        <v>1217.4839442139062</v>
      </c>
      <c r="K3800" t="str">
        <f t="shared" si="128"/>
        <v>Bob Gilbert</v>
      </c>
    </row>
    <row r="3801" spans="1:11" hidden="1" x14ac:dyDescent="0.35">
      <c r="A3801">
        <f t="shared" si="129"/>
        <v>3800</v>
      </c>
      <c r="B3801">
        <v>2024</v>
      </c>
      <c r="C3801" t="s">
        <v>2410</v>
      </c>
      <c r="D3801" t="s">
        <v>45</v>
      </c>
      <c r="E3801" t="s">
        <v>1429</v>
      </c>
      <c r="F3801" s="2">
        <v>812</v>
      </c>
      <c r="G3801" s="2">
        <v>3</v>
      </c>
      <c r="H3801" t="s">
        <v>1060</v>
      </c>
      <c r="I3801" t="s">
        <v>13</v>
      </c>
      <c r="J3801" s="11">
        <v>1041.392685158225</v>
      </c>
      <c r="K3801" t="str">
        <f t="shared" si="128"/>
        <v>Tom Abraham</v>
      </c>
    </row>
    <row r="3802" spans="1:11" hidden="1" x14ac:dyDescent="0.35">
      <c r="A3802">
        <f t="shared" si="129"/>
        <v>3801</v>
      </c>
      <c r="B3802">
        <v>2024</v>
      </c>
      <c r="C3802" t="s">
        <v>2410</v>
      </c>
      <c r="D3802" t="s">
        <v>45</v>
      </c>
      <c r="E3802" t="s">
        <v>1429</v>
      </c>
      <c r="F3802" s="2">
        <v>595</v>
      </c>
      <c r="G3802" s="2">
        <v>4</v>
      </c>
      <c r="H3802" t="s">
        <v>461</v>
      </c>
      <c r="I3802" t="s">
        <v>1448</v>
      </c>
      <c r="J3802" s="11">
        <v>916.45394854992514</v>
      </c>
      <c r="K3802" t="str">
        <f t="shared" si="128"/>
        <v>Christian Jones</v>
      </c>
    </row>
    <row r="3803" spans="1:11" hidden="1" x14ac:dyDescent="0.35">
      <c r="A3803">
        <f t="shared" si="129"/>
        <v>3802</v>
      </c>
      <c r="B3803">
        <v>2024</v>
      </c>
      <c r="C3803" t="s">
        <v>2410</v>
      </c>
      <c r="D3803" t="s">
        <v>45</v>
      </c>
      <c r="E3803" t="s">
        <v>1429</v>
      </c>
      <c r="F3803" s="2">
        <v>433</v>
      </c>
      <c r="G3803" s="2">
        <v>5</v>
      </c>
      <c r="H3803" t="s">
        <v>204</v>
      </c>
      <c r="I3803" t="s">
        <v>205</v>
      </c>
      <c r="J3803" s="11">
        <v>819.54393554186868</v>
      </c>
      <c r="K3803" t="str">
        <f t="shared" si="128"/>
        <v>Ron Grossberg</v>
      </c>
    </row>
    <row r="3804" spans="1:11" hidden="1" x14ac:dyDescent="0.35">
      <c r="A3804">
        <f t="shared" si="129"/>
        <v>3803</v>
      </c>
      <c r="B3804">
        <v>2024</v>
      </c>
      <c r="C3804" t="s">
        <v>2410</v>
      </c>
      <c r="D3804" t="s">
        <v>2661</v>
      </c>
      <c r="E3804" t="s">
        <v>133</v>
      </c>
      <c r="F3804" s="2">
        <v>1886</v>
      </c>
      <c r="G3804" s="2">
        <v>1</v>
      </c>
      <c r="H3804" t="s">
        <v>204</v>
      </c>
      <c r="I3804" t="s">
        <v>205</v>
      </c>
      <c r="J3804" s="11">
        <v>1361.7278360175928</v>
      </c>
      <c r="K3804" t="str">
        <f t="shared" si="128"/>
        <v>Ron Grossberg</v>
      </c>
    </row>
    <row r="3805" spans="1:11" hidden="1" x14ac:dyDescent="0.35">
      <c r="A3805">
        <f t="shared" si="129"/>
        <v>3804</v>
      </c>
      <c r="B3805">
        <v>2024</v>
      </c>
      <c r="C3805" t="s">
        <v>2410</v>
      </c>
      <c r="D3805" t="s">
        <v>2661</v>
      </c>
      <c r="E3805" t="s">
        <v>133</v>
      </c>
      <c r="F3805" s="2">
        <v>1132</v>
      </c>
      <c r="G3805" s="2">
        <v>2</v>
      </c>
      <c r="H3805" t="s">
        <v>1301</v>
      </c>
      <c r="I3805" t="s">
        <v>384</v>
      </c>
      <c r="J3805" s="11">
        <v>1060.6978403536116</v>
      </c>
      <c r="K3805" t="str">
        <f t="shared" si="128"/>
        <v>Jeff Davis</v>
      </c>
    </row>
    <row r="3806" spans="1:11" hidden="1" x14ac:dyDescent="0.35">
      <c r="A3806">
        <f t="shared" si="129"/>
        <v>3805</v>
      </c>
      <c r="B3806">
        <v>2024</v>
      </c>
      <c r="C3806" t="s">
        <v>2410</v>
      </c>
      <c r="D3806" t="s">
        <v>2661</v>
      </c>
      <c r="E3806" t="s">
        <v>133</v>
      </c>
      <c r="F3806" s="2">
        <v>754</v>
      </c>
      <c r="G3806" s="2">
        <v>3</v>
      </c>
      <c r="H3806" t="s">
        <v>2673</v>
      </c>
      <c r="I3806" t="s">
        <v>388</v>
      </c>
      <c r="J3806" s="11">
        <v>884.60658129793046</v>
      </c>
      <c r="K3806" t="str">
        <f t="shared" si="128"/>
        <v>Charles Stack</v>
      </c>
    </row>
    <row r="3807" spans="1:11" hidden="1" x14ac:dyDescent="0.35">
      <c r="A3807">
        <f t="shared" si="129"/>
        <v>3806</v>
      </c>
      <c r="B3807">
        <v>2024</v>
      </c>
      <c r="C3807" t="s">
        <v>109</v>
      </c>
      <c r="D3807" t="s">
        <v>2660</v>
      </c>
      <c r="E3807" t="s">
        <v>133</v>
      </c>
      <c r="F3807" s="2">
        <v>470</v>
      </c>
      <c r="G3807" s="2">
        <v>1</v>
      </c>
      <c r="H3807" t="s">
        <v>118</v>
      </c>
      <c r="I3807" t="s">
        <v>415</v>
      </c>
      <c r="J3807" s="11">
        <v>1462.3979978989562</v>
      </c>
      <c r="K3807" t="str">
        <f t="shared" si="128"/>
        <v>Pete Segal</v>
      </c>
    </row>
    <row r="3808" spans="1:11" hidden="1" x14ac:dyDescent="0.35">
      <c r="A3808">
        <f t="shared" si="129"/>
        <v>3807</v>
      </c>
      <c r="B3808">
        <v>2024</v>
      </c>
      <c r="C3808" t="s">
        <v>109</v>
      </c>
      <c r="D3808" t="s">
        <v>2660</v>
      </c>
      <c r="E3808" t="s">
        <v>133</v>
      </c>
      <c r="F3808" s="2">
        <v>217</v>
      </c>
      <c r="G3808" s="2">
        <v>2</v>
      </c>
      <c r="H3808" t="s">
        <v>1437</v>
      </c>
      <c r="I3808" t="s">
        <v>44</v>
      </c>
      <c r="J3808" s="11">
        <v>1161.3680022349749</v>
      </c>
      <c r="K3808" t="str">
        <f t="shared" si="128"/>
        <v>Mike Fujita</v>
      </c>
    </row>
    <row r="3809" spans="1:11" hidden="1" x14ac:dyDescent="0.35">
      <c r="A3809">
        <f t="shared" si="129"/>
        <v>3808</v>
      </c>
      <c r="B3809">
        <v>2024</v>
      </c>
      <c r="C3809" t="s">
        <v>109</v>
      </c>
      <c r="D3809" t="s">
        <v>2660</v>
      </c>
      <c r="E3809" t="s">
        <v>133</v>
      </c>
      <c r="F3809" s="2">
        <v>317</v>
      </c>
      <c r="G3809" s="2">
        <v>3</v>
      </c>
      <c r="H3809" t="s">
        <v>19</v>
      </c>
      <c r="I3809" t="s">
        <v>20</v>
      </c>
      <c r="J3809" s="11">
        <v>985.2767431792937</v>
      </c>
      <c r="K3809" t="str">
        <f t="shared" si="128"/>
        <v>Barry Kornspan</v>
      </c>
    </row>
    <row r="3810" spans="1:11" hidden="1" x14ac:dyDescent="0.35">
      <c r="A3810">
        <f t="shared" si="129"/>
        <v>3809</v>
      </c>
      <c r="B3810">
        <v>2024</v>
      </c>
      <c r="C3810" t="s">
        <v>109</v>
      </c>
      <c r="D3810" t="s">
        <v>2660</v>
      </c>
      <c r="E3810" t="s">
        <v>133</v>
      </c>
      <c r="F3810" s="2">
        <v>543</v>
      </c>
      <c r="G3810" s="2">
        <v>4</v>
      </c>
      <c r="H3810" t="s">
        <v>202</v>
      </c>
      <c r="I3810" t="s">
        <v>205</v>
      </c>
      <c r="J3810" s="11">
        <v>860.33800657099368</v>
      </c>
      <c r="K3810" t="str">
        <f t="shared" si="128"/>
        <v>Ron Lyons</v>
      </c>
    </row>
    <row r="3811" spans="1:11" hidden="1" x14ac:dyDescent="0.35">
      <c r="A3811">
        <f t="shared" si="129"/>
        <v>3810</v>
      </c>
      <c r="B3811">
        <v>2024</v>
      </c>
      <c r="C3811" t="s">
        <v>109</v>
      </c>
      <c r="D3811" t="s">
        <v>2660</v>
      </c>
      <c r="E3811" t="s">
        <v>133</v>
      </c>
      <c r="F3811" s="2">
        <v>370</v>
      </c>
      <c r="G3811" s="2">
        <v>5</v>
      </c>
      <c r="H3811" t="s">
        <v>612</v>
      </c>
      <c r="I3811" t="s">
        <v>181</v>
      </c>
      <c r="J3811" s="11">
        <v>763.42799356293722</v>
      </c>
      <c r="K3811" t="str">
        <f t="shared" si="128"/>
        <v>Aaron Lion</v>
      </c>
    </row>
    <row r="3812" spans="1:11" hidden="1" x14ac:dyDescent="0.35">
      <c r="A3812">
        <f t="shared" si="129"/>
        <v>3811</v>
      </c>
      <c r="B3812">
        <v>2024</v>
      </c>
      <c r="C3812" t="s">
        <v>109</v>
      </c>
      <c r="D3812" t="s">
        <v>2660</v>
      </c>
      <c r="E3812" t="s">
        <v>133</v>
      </c>
      <c r="F3812" s="2">
        <v>220</v>
      </c>
      <c r="G3812" s="2">
        <v>6</v>
      </c>
      <c r="H3812" t="s">
        <v>475</v>
      </c>
      <c r="I3812" t="s">
        <v>887</v>
      </c>
      <c r="J3812" s="11">
        <v>684.24674751531245</v>
      </c>
      <c r="K3812" t="str">
        <f t="shared" si="128"/>
        <v>Chic Natkins</v>
      </c>
    </row>
    <row r="3813" spans="1:11" hidden="1" x14ac:dyDescent="0.35">
      <c r="A3813">
        <f t="shared" si="129"/>
        <v>3812</v>
      </c>
      <c r="B3813">
        <v>2024</v>
      </c>
      <c r="C3813" t="s">
        <v>109</v>
      </c>
      <c r="D3813" t="s">
        <v>2660</v>
      </c>
      <c r="E3813" t="s">
        <v>133</v>
      </c>
      <c r="F3813" s="2">
        <v>477</v>
      </c>
      <c r="G3813" s="2">
        <v>7</v>
      </c>
      <c r="H3813" t="s">
        <v>121</v>
      </c>
      <c r="I3813" t="s">
        <v>122</v>
      </c>
      <c r="J3813" s="11">
        <v>617.29995788469932</v>
      </c>
      <c r="K3813" t="str">
        <f t="shared" si="128"/>
        <v>Andy Bartalone</v>
      </c>
    </row>
    <row r="3814" spans="1:11" hidden="1" x14ac:dyDescent="0.35">
      <c r="A3814">
        <f t="shared" si="129"/>
        <v>3813</v>
      </c>
      <c r="B3814">
        <v>2024</v>
      </c>
      <c r="C3814" t="s">
        <v>109</v>
      </c>
      <c r="D3814" t="s">
        <v>2660</v>
      </c>
      <c r="E3814" t="s">
        <v>133</v>
      </c>
      <c r="F3814" s="2">
        <v>287</v>
      </c>
      <c r="G3814" s="2">
        <v>8</v>
      </c>
      <c r="H3814" t="s">
        <v>2671</v>
      </c>
      <c r="I3814" t="s">
        <v>108</v>
      </c>
      <c r="J3814" s="11">
        <v>559.30801090701254</v>
      </c>
      <c r="K3814" t="str">
        <f t="shared" si="128"/>
        <v>Kyle Andrews</v>
      </c>
    </row>
    <row r="3815" spans="1:11" hidden="1" x14ac:dyDescent="0.35">
      <c r="A3815">
        <f t="shared" si="129"/>
        <v>3814</v>
      </c>
      <c r="B3815">
        <v>2024</v>
      </c>
      <c r="C3815" t="s">
        <v>109</v>
      </c>
      <c r="D3815" t="s">
        <v>45</v>
      </c>
      <c r="E3815" t="s">
        <v>1429</v>
      </c>
      <c r="F3815" s="2">
        <v>2343</v>
      </c>
      <c r="G3815" s="2">
        <v>1</v>
      </c>
      <c r="H3815" t="s">
        <v>183</v>
      </c>
      <c r="I3815" t="s">
        <v>101</v>
      </c>
      <c r="J3815" s="11">
        <v>1740.3626894942438</v>
      </c>
      <c r="K3815" t="str">
        <f t="shared" si="128"/>
        <v>Dean White</v>
      </c>
    </row>
    <row r="3816" spans="1:11" hidden="1" x14ac:dyDescent="0.35">
      <c r="A3816">
        <f t="shared" si="129"/>
        <v>3815</v>
      </c>
      <c r="B3816">
        <v>2024</v>
      </c>
      <c r="C3816" t="s">
        <v>109</v>
      </c>
      <c r="D3816" t="s">
        <v>45</v>
      </c>
      <c r="E3816" t="s">
        <v>1429</v>
      </c>
      <c r="F3816" s="2">
        <v>2342</v>
      </c>
      <c r="G3816" s="2">
        <v>2</v>
      </c>
      <c r="H3816" t="s">
        <v>2670</v>
      </c>
      <c r="I3816" t="s">
        <v>404</v>
      </c>
      <c r="J3816" s="11">
        <v>1439.3326938302625</v>
      </c>
      <c r="K3816" t="str">
        <f t="shared" si="128"/>
        <v>George Stricker</v>
      </c>
    </row>
    <row r="3817" spans="1:11" hidden="1" x14ac:dyDescent="0.35">
      <c r="A3817">
        <f t="shared" si="129"/>
        <v>3816</v>
      </c>
      <c r="B3817">
        <v>2024</v>
      </c>
      <c r="C3817" t="s">
        <v>109</v>
      </c>
      <c r="D3817" t="s">
        <v>45</v>
      </c>
      <c r="E3817" t="s">
        <v>1429</v>
      </c>
      <c r="F3817" s="2">
        <v>1152</v>
      </c>
      <c r="G3817" s="2">
        <v>3</v>
      </c>
      <c r="H3817" t="s">
        <v>240</v>
      </c>
      <c r="I3817" t="s">
        <v>241</v>
      </c>
      <c r="J3817" s="11">
        <v>1263.2414347745814</v>
      </c>
      <c r="K3817" t="str">
        <f t="shared" si="128"/>
        <v>Cynthia Yannette</v>
      </c>
    </row>
    <row r="3818" spans="1:11" hidden="1" x14ac:dyDescent="0.35">
      <c r="A3818">
        <f t="shared" si="129"/>
        <v>3817</v>
      </c>
      <c r="B3818">
        <v>2024</v>
      </c>
      <c r="C3818" t="s">
        <v>109</v>
      </c>
      <c r="D3818" t="s">
        <v>45</v>
      </c>
      <c r="E3818" t="s">
        <v>1429</v>
      </c>
      <c r="F3818" s="2">
        <v>793</v>
      </c>
      <c r="G3818" s="2">
        <v>4</v>
      </c>
      <c r="H3818" t="s">
        <v>57</v>
      </c>
      <c r="I3818" t="s">
        <v>480</v>
      </c>
      <c r="J3818" s="11">
        <v>1138.3026981662815</v>
      </c>
      <c r="K3818" t="str">
        <f t="shared" si="128"/>
        <v>James Rogers</v>
      </c>
    </row>
    <row r="3819" spans="1:11" hidden="1" x14ac:dyDescent="0.35">
      <c r="A3819">
        <f t="shared" si="129"/>
        <v>3818</v>
      </c>
      <c r="B3819">
        <v>2024</v>
      </c>
      <c r="C3819" t="s">
        <v>109</v>
      </c>
      <c r="D3819" t="s">
        <v>45</v>
      </c>
      <c r="E3819" t="s">
        <v>1429</v>
      </c>
      <c r="F3819" s="2">
        <v>582</v>
      </c>
      <c r="G3819" s="2">
        <v>5</v>
      </c>
      <c r="H3819" t="s">
        <v>405</v>
      </c>
      <c r="I3819" t="s">
        <v>404</v>
      </c>
      <c r="J3819" s="11">
        <v>1041.3926851582248</v>
      </c>
      <c r="K3819" t="str">
        <f t="shared" si="128"/>
        <v>George Wattman</v>
      </c>
    </row>
    <row r="3820" spans="1:11" hidden="1" x14ac:dyDescent="0.35">
      <c r="A3820">
        <f t="shared" si="129"/>
        <v>3819</v>
      </c>
      <c r="B3820">
        <v>2024</v>
      </c>
      <c r="C3820" t="s">
        <v>109</v>
      </c>
      <c r="D3820" t="s">
        <v>45</v>
      </c>
      <c r="E3820" t="s">
        <v>1429</v>
      </c>
      <c r="F3820" s="2">
        <v>484</v>
      </c>
      <c r="G3820" s="2">
        <v>6</v>
      </c>
      <c r="H3820" t="s">
        <v>256</v>
      </c>
      <c r="I3820" t="s">
        <v>257</v>
      </c>
      <c r="J3820" s="11">
        <v>962.21143911060028</v>
      </c>
      <c r="K3820" t="str">
        <f t="shared" si="128"/>
        <v>Stephanie Wasserman</v>
      </c>
    </row>
    <row r="3821" spans="1:11" hidden="1" x14ac:dyDescent="0.35">
      <c r="A3821">
        <f t="shared" si="129"/>
        <v>3820</v>
      </c>
      <c r="B3821">
        <v>2024</v>
      </c>
      <c r="C3821" t="s">
        <v>109</v>
      </c>
      <c r="D3821" t="s">
        <v>45</v>
      </c>
      <c r="E3821" t="s">
        <v>1429</v>
      </c>
      <c r="F3821" s="2">
        <v>414</v>
      </c>
      <c r="G3821" s="2">
        <v>7</v>
      </c>
      <c r="H3821" t="s">
        <v>100</v>
      </c>
      <c r="I3821" t="s">
        <v>52</v>
      </c>
      <c r="J3821" s="11">
        <v>895.26464947998704</v>
      </c>
      <c r="K3821" t="str">
        <f t="shared" si="128"/>
        <v>Steven Eisenstein</v>
      </c>
    </row>
    <row r="3822" spans="1:11" hidden="1" x14ac:dyDescent="0.35">
      <c r="A3822">
        <f t="shared" si="129"/>
        <v>3821</v>
      </c>
      <c r="B3822">
        <v>2024</v>
      </c>
      <c r="C3822" t="s">
        <v>109</v>
      </c>
      <c r="D3822" t="s">
        <v>110</v>
      </c>
      <c r="E3822" t="s">
        <v>1430</v>
      </c>
      <c r="F3822" s="2">
        <v>1445</v>
      </c>
      <c r="G3822" s="2">
        <v>1</v>
      </c>
      <c r="H3822" t="s">
        <v>33</v>
      </c>
      <c r="I3822" t="s">
        <v>34</v>
      </c>
      <c r="J3822" s="11">
        <v>1690.1960800285137</v>
      </c>
      <c r="K3822" t="str">
        <f t="shared" si="128"/>
        <v>Meredith Holtzman</v>
      </c>
    </row>
    <row r="3823" spans="1:11" hidden="1" x14ac:dyDescent="0.35">
      <c r="A3823">
        <f t="shared" si="129"/>
        <v>3822</v>
      </c>
      <c r="B3823">
        <v>2024</v>
      </c>
      <c r="C3823" t="s">
        <v>109</v>
      </c>
      <c r="D3823" t="s">
        <v>110</v>
      </c>
      <c r="E3823" t="s">
        <v>1430</v>
      </c>
      <c r="F3823" s="2">
        <v>1440</v>
      </c>
      <c r="G3823" s="2">
        <v>2</v>
      </c>
      <c r="H3823" t="s">
        <v>130</v>
      </c>
      <c r="I3823" t="s">
        <v>131</v>
      </c>
      <c r="J3823" s="11">
        <v>1389.1660843645325</v>
      </c>
      <c r="K3823" t="str">
        <f t="shared" si="128"/>
        <v>Alan Stuart</v>
      </c>
    </row>
    <row r="3824" spans="1:11" hidden="1" x14ac:dyDescent="0.35">
      <c r="A3824">
        <f t="shared" si="129"/>
        <v>3823</v>
      </c>
      <c r="B3824">
        <v>2024</v>
      </c>
      <c r="C3824" t="s">
        <v>109</v>
      </c>
      <c r="D3824" t="s">
        <v>110</v>
      </c>
      <c r="E3824" t="s">
        <v>1430</v>
      </c>
      <c r="F3824" s="2">
        <v>1280</v>
      </c>
      <c r="G3824" s="2">
        <v>3</v>
      </c>
      <c r="H3824" t="s">
        <v>16</v>
      </c>
      <c r="I3824" t="s">
        <v>59</v>
      </c>
      <c r="J3824" s="11">
        <v>1213.0748253088514</v>
      </c>
      <c r="K3824" t="str">
        <f t="shared" si="128"/>
        <v>Jeanne David</v>
      </c>
    </row>
    <row r="3825" spans="1:11" hidden="1" x14ac:dyDescent="0.35">
      <c r="A3825">
        <f t="shared" si="129"/>
        <v>3824</v>
      </c>
      <c r="B3825">
        <v>2024</v>
      </c>
      <c r="C3825" t="s">
        <v>109</v>
      </c>
      <c r="D3825" t="s">
        <v>110</v>
      </c>
      <c r="E3825" t="s">
        <v>1430</v>
      </c>
      <c r="F3825" s="2">
        <v>490</v>
      </c>
      <c r="G3825" s="2">
        <v>4</v>
      </c>
      <c r="H3825" t="s">
        <v>366</v>
      </c>
      <c r="I3825" t="s">
        <v>61</v>
      </c>
      <c r="J3825" s="11">
        <v>1088.1360887005512</v>
      </c>
      <c r="K3825" t="str">
        <f t="shared" si="128"/>
        <v>Len Greenberg</v>
      </c>
    </row>
    <row r="3826" spans="1:11" hidden="1" x14ac:dyDescent="0.35">
      <c r="A3826">
        <f t="shared" si="129"/>
        <v>3825</v>
      </c>
      <c r="B3826">
        <v>2024</v>
      </c>
      <c r="C3826" t="s">
        <v>109</v>
      </c>
      <c r="D3826" t="s">
        <v>110</v>
      </c>
      <c r="E3826" t="s">
        <v>1430</v>
      </c>
      <c r="F3826" s="2">
        <v>245</v>
      </c>
      <c r="G3826" s="2">
        <v>5</v>
      </c>
      <c r="H3826" t="s">
        <v>609</v>
      </c>
      <c r="I3826" t="s">
        <v>610</v>
      </c>
      <c r="J3826" s="11">
        <v>991.22607569249476</v>
      </c>
      <c r="K3826" t="str">
        <f t="shared" si="128"/>
        <v>Deron Brod</v>
      </c>
    </row>
    <row r="3827" spans="1:11" hidden="1" x14ac:dyDescent="0.35">
      <c r="A3827">
        <f t="shared" si="129"/>
        <v>3826</v>
      </c>
      <c r="B3827">
        <v>2024</v>
      </c>
      <c r="C3827" t="s">
        <v>68</v>
      </c>
      <c r="D3827" t="s">
        <v>2655</v>
      </c>
      <c r="E3827" t="s">
        <v>1430</v>
      </c>
      <c r="F3827" s="2">
        <v>1427</v>
      </c>
      <c r="G3827" s="2">
        <v>1</v>
      </c>
      <c r="H3827" t="s">
        <v>135</v>
      </c>
      <c r="I3827" t="s">
        <v>1073</v>
      </c>
      <c r="J3827" s="11">
        <v>1672.0978579357175</v>
      </c>
      <c r="K3827" t="str">
        <f t="shared" si="128"/>
        <v>Sam Scheinberg</v>
      </c>
    </row>
    <row r="3828" spans="1:11" hidden="1" x14ac:dyDescent="0.35">
      <c r="A3828">
        <f t="shared" si="129"/>
        <v>3827</v>
      </c>
      <c r="B3828">
        <v>2024</v>
      </c>
      <c r="C3828" t="s">
        <v>68</v>
      </c>
      <c r="D3828" t="s">
        <v>2655</v>
      </c>
      <c r="E3828" t="s">
        <v>1430</v>
      </c>
      <c r="F3828" s="2">
        <v>1004</v>
      </c>
      <c r="G3828" s="2">
        <v>2</v>
      </c>
      <c r="H3828" t="s">
        <v>74</v>
      </c>
      <c r="I3828" t="s">
        <v>75</v>
      </c>
      <c r="J3828" s="11">
        <v>1371.0678622717362</v>
      </c>
      <c r="K3828" t="str">
        <f t="shared" si="128"/>
        <v>Sabyl Landrum</v>
      </c>
    </row>
    <row r="3829" spans="1:11" hidden="1" x14ac:dyDescent="0.35">
      <c r="A3829">
        <f t="shared" si="129"/>
        <v>3828</v>
      </c>
      <c r="B3829">
        <v>2024</v>
      </c>
      <c r="C3829" t="s">
        <v>68</v>
      </c>
      <c r="D3829" t="s">
        <v>2655</v>
      </c>
      <c r="E3829" t="s">
        <v>1430</v>
      </c>
      <c r="F3829" s="2">
        <v>769</v>
      </c>
      <c r="G3829" s="2">
        <v>3</v>
      </c>
      <c r="H3829" t="s">
        <v>83</v>
      </c>
      <c r="I3829" t="s">
        <v>36</v>
      </c>
      <c r="J3829" s="11">
        <v>1194.9766032160551</v>
      </c>
      <c r="K3829" t="str">
        <f t="shared" si="128"/>
        <v>Nolan Hee</v>
      </c>
    </row>
    <row r="3830" spans="1:11" hidden="1" x14ac:dyDescent="0.35">
      <c r="A3830">
        <f t="shared" si="129"/>
        <v>3829</v>
      </c>
      <c r="B3830">
        <v>2024</v>
      </c>
      <c r="C3830" t="s">
        <v>68</v>
      </c>
      <c r="D3830" t="s">
        <v>2655</v>
      </c>
      <c r="E3830" t="s">
        <v>1430</v>
      </c>
      <c r="F3830" s="2">
        <v>581</v>
      </c>
      <c r="G3830" s="2">
        <v>4</v>
      </c>
      <c r="H3830" t="s">
        <v>2553</v>
      </c>
      <c r="I3830" t="s">
        <v>415</v>
      </c>
      <c r="J3830" s="11">
        <v>1070.0378666077549</v>
      </c>
      <c r="K3830" t="str">
        <f t="shared" si="128"/>
        <v>Pete Primiano</v>
      </c>
    </row>
    <row r="3831" spans="1:11" hidden="1" x14ac:dyDescent="0.35">
      <c r="A3831">
        <f t="shared" si="129"/>
        <v>3830</v>
      </c>
      <c r="B3831">
        <v>2024</v>
      </c>
      <c r="C3831" t="s">
        <v>68</v>
      </c>
      <c r="D3831" t="s">
        <v>2655</v>
      </c>
      <c r="E3831" t="s">
        <v>1430</v>
      </c>
      <c r="F3831" s="2">
        <v>440</v>
      </c>
      <c r="G3831" s="2">
        <v>5</v>
      </c>
      <c r="H3831" t="s">
        <v>323</v>
      </c>
      <c r="I3831" t="s">
        <v>324</v>
      </c>
      <c r="J3831" s="11">
        <v>973.12785359969871</v>
      </c>
      <c r="K3831" t="str">
        <f t="shared" si="128"/>
        <v>Andrew Prock</v>
      </c>
    </row>
    <row r="3832" spans="1:11" hidden="1" x14ac:dyDescent="0.35">
      <c r="A3832">
        <f t="shared" si="129"/>
        <v>3831</v>
      </c>
      <c r="B3832">
        <v>2024</v>
      </c>
      <c r="C3832" t="s">
        <v>68</v>
      </c>
      <c r="D3832" t="s">
        <v>2655</v>
      </c>
      <c r="E3832" t="s">
        <v>1430</v>
      </c>
      <c r="F3832" s="2">
        <v>299</v>
      </c>
      <c r="G3832" s="2">
        <v>6</v>
      </c>
      <c r="H3832" t="s">
        <v>514</v>
      </c>
      <c r="I3832" t="s">
        <v>515</v>
      </c>
      <c r="J3832" s="11">
        <v>893.94660755207394</v>
      </c>
      <c r="K3832" t="str">
        <f t="shared" si="128"/>
        <v>Darlene Springman</v>
      </c>
    </row>
    <row r="3833" spans="1:11" hidden="1" x14ac:dyDescent="0.35">
      <c r="A3833">
        <f t="shared" si="129"/>
        <v>3832</v>
      </c>
      <c r="B3833">
        <v>2024</v>
      </c>
      <c r="C3833" t="s">
        <v>68</v>
      </c>
      <c r="D3833" t="s">
        <v>2655</v>
      </c>
      <c r="E3833" t="s">
        <v>1430</v>
      </c>
      <c r="F3833" s="2">
        <v>180</v>
      </c>
      <c r="G3833" s="2">
        <v>7</v>
      </c>
      <c r="H3833" t="s">
        <v>2476</v>
      </c>
      <c r="I3833" t="s">
        <v>77</v>
      </c>
      <c r="J3833" s="11">
        <v>826.9998179214607</v>
      </c>
      <c r="K3833" t="str">
        <f t="shared" si="128"/>
        <v>Eric Schneller</v>
      </c>
    </row>
    <row r="3834" spans="1:11" hidden="1" x14ac:dyDescent="0.35">
      <c r="A3834">
        <f t="shared" si="129"/>
        <v>3833</v>
      </c>
      <c r="B3834">
        <v>2024</v>
      </c>
      <c r="C3834" t="s">
        <v>68</v>
      </c>
      <c r="D3834" t="s">
        <v>2659</v>
      </c>
      <c r="E3834" t="s">
        <v>1430</v>
      </c>
      <c r="F3834" s="2">
        <v>1210</v>
      </c>
      <c r="G3834" s="2">
        <v>1</v>
      </c>
      <c r="H3834" t="s">
        <v>1105</v>
      </c>
      <c r="I3834" t="s">
        <v>1106</v>
      </c>
      <c r="J3834" s="11">
        <v>1544.0680443502756</v>
      </c>
      <c r="K3834" t="str">
        <f t="shared" si="128"/>
        <v>Ellis Starks</v>
      </c>
    </row>
    <row r="3835" spans="1:11" hidden="1" x14ac:dyDescent="0.35">
      <c r="A3835">
        <f t="shared" si="129"/>
        <v>3834</v>
      </c>
      <c r="B3835">
        <v>2024</v>
      </c>
      <c r="C3835" t="s">
        <v>68</v>
      </c>
      <c r="D3835" t="s">
        <v>2659</v>
      </c>
      <c r="E3835" t="s">
        <v>1430</v>
      </c>
      <c r="F3835" s="2">
        <v>790</v>
      </c>
      <c r="G3835" s="2">
        <v>2</v>
      </c>
      <c r="H3835" t="s">
        <v>531</v>
      </c>
      <c r="I3835" t="s">
        <v>271</v>
      </c>
      <c r="J3835" s="11">
        <v>1243.0380486862944</v>
      </c>
      <c r="K3835" t="str">
        <f t="shared" si="128"/>
        <v>Dan Nussbaum</v>
      </c>
    </row>
    <row r="3836" spans="1:11" hidden="1" x14ac:dyDescent="0.35">
      <c r="A3836">
        <f t="shared" si="129"/>
        <v>3835</v>
      </c>
      <c r="B3836">
        <v>2024</v>
      </c>
      <c r="C3836" t="s">
        <v>68</v>
      </c>
      <c r="D3836" t="s">
        <v>2659</v>
      </c>
      <c r="E3836" t="s">
        <v>1430</v>
      </c>
      <c r="F3836" s="2">
        <v>545</v>
      </c>
      <c r="G3836" s="2">
        <v>3</v>
      </c>
      <c r="H3836" t="s">
        <v>16</v>
      </c>
      <c r="I3836" t="s">
        <v>59</v>
      </c>
      <c r="J3836" s="11">
        <v>1066.9467896306132</v>
      </c>
      <c r="K3836" t="str">
        <f t="shared" si="128"/>
        <v>Jeanne David</v>
      </c>
    </row>
    <row r="3837" spans="1:11" hidden="1" x14ac:dyDescent="0.35">
      <c r="A3837">
        <f t="shared" si="129"/>
        <v>3836</v>
      </c>
      <c r="B3837">
        <v>2024</v>
      </c>
      <c r="C3837" t="s">
        <v>68</v>
      </c>
      <c r="D3837" t="s">
        <v>2659</v>
      </c>
      <c r="E3837" t="s">
        <v>1430</v>
      </c>
      <c r="F3837" s="2">
        <v>405</v>
      </c>
      <c r="G3837" s="2">
        <v>4</v>
      </c>
      <c r="H3837" t="s">
        <v>2669</v>
      </c>
      <c r="I3837" t="s">
        <v>384</v>
      </c>
      <c r="J3837" s="11">
        <v>942.00805302231322</v>
      </c>
      <c r="K3837" t="str">
        <f t="shared" si="128"/>
        <v>Jeff Amasaki</v>
      </c>
    </row>
    <row r="3838" spans="1:11" hidden="1" x14ac:dyDescent="0.35">
      <c r="A3838">
        <f t="shared" si="129"/>
        <v>3837</v>
      </c>
      <c r="B3838">
        <v>2024</v>
      </c>
      <c r="C3838" t="s">
        <v>68</v>
      </c>
      <c r="D3838" t="s">
        <v>2659</v>
      </c>
      <c r="E3838" t="s">
        <v>1430</v>
      </c>
      <c r="F3838" s="2">
        <v>300</v>
      </c>
      <c r="G3838" s="2">
        <v>5</v>
      </c>
      <c r="H3838" t="s">
        <v>80</v>
      </c>
      <c r="I3838" t="s">
        <v>82</v>
      </c>
      <c r="J3838" s="11">
        <v>845.09804001425687</v>
      </c>
      <c r="K3838" t="str">
        <f t="shared" si="128"/>
        <v>Karen Adams</v>
      </c>
    </row>
    <row r="3839" spans="1:11" hidden="1" x14ac:dyDescent="0.35">
      <c r="A3839">
        <f t="shared" si="129"/>
        <v>3838</v>
      </c>
      <c r="B3839">
        <v>2024</v>
      </c>
      <c r="C3839" t="s">
        <v>68</v>
      </c>
      <c r="D3839" t="s">
        <v>2659</v>
      </c>
      <c r="E3839" t="s">
        <v>1430</v>
      </c>
      <c r="F3839" s="2">
        <v>150</v>
      </c>
      <c r="G3839" s="2">
        <v>5</v>
      </c>
      <c r="H3839" t="s">
        <v>88</v>
      </c>
      <c r="I3839" t="s">
        <v>89</v>
      </c>
      <c r="J3839" s="11">
        <v>765.91679396663199</v>
      </c>
      <c r="K3839" t="str">
        <f t="shared" si="128"/>
        <v>Ken Kubey</v>
      </c>
    </row>
    <row r="3840" spans="1:11" hidden="1" x14ac:dyDescent="0.35">
      <c r="A3840">
        <f t="shared" si="129"/>
        <v>3839</v>
      </c>
      <c r="B3840">
        <v>2024</v>
      </c>
      <c r="C3840" t="s">
        <v>68</v>
      </c>
      <c r="D3840" t="s">
        <v>2659</v>
      </c>
      <c r="E3840" t="s">
        <v>1430</v>
      </c>
      <c r="F3840" s="2">
        <v>100</v>
      </c>
      <c r="G3840" s="2">
        <v>5</v>
      </c>
      <c r="H3840" t="s">
        <v>92</v>
      </c>
      <c r="I3840" t="s">
        <v>93</v>
      </c>
      <c r="J3840" s="11">
        <v>698.97000433601886</v>
      </c>
      <c r="K3840" t="str">
        <f t="shared" si="128"/>
        <v>Kirk Oshiro</v>
      </c>
    </row>
    <row r="3841" spans="1:11" hidden="1" x14ac:dyDescent="0.35">
      <c r="A3841">
        <f t="shared" si="129"/>
        <v>3840</v>
      </c>
      <c r="B3841">
        <v>2024</v>
      </c>
      <c r="C3841" t="s">
        <v>68</v>
      </c>
      <c r="D3841" t="s">
        <v>2658</v>
      </c>
      <c r="E3841" t="s">
        <v>1429</v>
      </c>
      <c r="F3841" s="2">
        <v>1248</v>
      </c>
      <c r="G3841" s="2">
        <v>1</v>
      </c>
      <c r="H3841" t="s">
        <v>482</v>
      </c>
      <c r="I3841" t="s">
        <v>410</v>
      </c>
      <c r="J3841" s="11">
        <v>1716.0033436347992</v>
      </c>
      <c r="K3841" t="str">
        <f t="shared" si="128"/>
        <v>Larry Bierman</v>
      </c>
    </row>
    <row r="3842" spans="1:11" hidden="1" x14ac:dyDescent="0.35">
      <c r="A3842">
        <f t="shared" si="129"/>
        <v>3841</v>
      </c>
      <c r="B3842">
        <v>2024</v>
      </c>
      <c r="C3842" t="s">
        <v>68</v>
      </c>
      <c r="D3842" t="s">
        <v>2658</v>
      </c>
      <c r="E3842" t="s">
        <v>1429</v>
      </c>
      <c r="F3842" s="2">
        <v>1300</v>
      </c>
      <c r="G3842" s="2">
        <v>2</v>
      </c>
      <c r="H3842" t="s">
        <v>394</v>
      </c>
      <c r="I3842" t="s">
        <v>1516</v>
      </c>
      <c r="J3842" s="11">
        <v>1414.9733479708179</v>
      </c>
      <c r="K3842" t="str">
        <f t="shared" ref="K3842:K3905" si="130">I3842&amp;" "&amp;H3842</f>
        <v>Lori Miller</v>
      </c>
    </row>
    <row r="3843" spans="1:11" hidden="1" x14ac:dyDescent="0.35">
      <c r="A3843">
        <f t="shared" si="129"/>
        <v>3842</v>
      </c>
      <c r="B3843">
        <v>2024</v>
      </c>
      <c r="C3843" t="s">
        <v>68</v>
      </c>
      <c r="D3843" t="s">
        <v>2658</v>
      </c>
      <c r="E3843" t="s">
        <v>1429</v>
      </c>
      <c r="F3843" s="2">
        <v>832</v>
      </c>
      <c r="G3843" s="2">
        <v>3</v>
      </c>
      <c r="H3843" t="s">
        <v>14</v>
      </c>
      <c r="I3843" t="s">
        <v>11</v>
      </c>
      <c r="J3843" s="11">
        <v>1238.8820889151368</v>
      </c>
      <c r="K3843" t="str">
        <f t="shared" si="130"/>
        <v>Paul McMullin</v>
      </c>
    </row>
    <row r="3844" spans="1:11" hidden="1" x14ac:dyDescent="0.35">
      <c r="A3844">
        <f t="shared" si="129"/>
        <v>3843</v>
      </c>
      <c r="B3844">
        <v>2024</v>
      </c>
      <c r="C3844" t="s">
        <v>68</v>
      </c>
      <c r="D3844" t="s">
        <v>2658</v>
      </c>
      <c r="E3844" t="s">
        <v>1429</v>
      </c>
      <c r="F3844" s="2">
        <v>676</v>
      </c>
      <c r="G3844" s="2">
        <v>4</v>
      </c>
      <c r="H3844" t="s">
        <v>2667</v>
      </c>
      <c r="I3844" t="s">
        <v>2668</v>
      </c>
      <c r="J3844" s="11">
        <v>1113.9433523068369</v>
      </c>
      <c r="K3844" t="str">
        <f t="shared" si="130"/>
        <v>Olav Sachsen</v>
      </c>
    </row>
    <row r="3845" spans="1:11" hidden="1" x14ac:dyDescent="0.35">
      <c r="A3845">
        <f t="shared" si="129"/>
        <v>3844</v>
      </c>
      <c r="B3845">
        <v>2024</v>
      </c>
      <c r="C3845" t="s">
        <v>68</v>
      </c>
      <c r="D3845" t="s">
        <v>2658</v>
      </c>
      <c r="E3845" t="s">
        <v>1429</v>
      </c>
      <c r="F3845" s="2">
        <v>260</v>
      </c>
      <c r="G3845" s="2">
        <v>5</v>
      </c>
      <c r="H3845" t="s">
        <v>80</v>
      </c>
      <c r="I3845" t="s">
        <v>846</v>
      </c>
      <c r="J3845" s="11">
        <v>870.90530362054244</v>
      </c>
      <c r="K3845" t="str">
        <f t="shared" si="130"/>
        <v>Donald Adams</v>
      </c>
    </row>
    <row r="3846" spans="1:11" hidden="1" x14ac:dyDescent="0.35">
      <c r="A3846">
        <f t="shared" si="129"/>
        <v>3845</v>
      </c>
      <c r="B3846">
        <v>2024</v>
      </c>
      <c r="C3846" t="s">
        <v>68</v>
      </c>
      <c r="D3846" t="s">
        <v>2658</v>
      </c>
      <c r="E3846" t="s">
        <v>1429</v>
      </c>
      <c r="F3846" s="2">
        <v>364</v>
      </c>
      <c r="G3846" s="2">
        <v>5</v>
      </c>
      <c r="H3846" t="s">
        <v>231</v>
      </c>
      <c r="I3846" t="s">
        <v>232</v>
      </c>
      <c r="J3846" s="11">
        <v>937.85209325115557</v>
      </c>
      <c r="K3846" t="str">
        <f t="shared" si="130"/>
        <v>Adam Bachrach</v>
      </c>
    </row>
    <row r="3847" spans="1:11" hidden="1" x14ac:dyDescent="0.35">
      <c r="A3847">
        <f t="shared" si="129"/>
        <v>3846</v>
      </c>
      <c r="B3847">
        <v>2024</v>
      </c>
      <c r="C3847" t="s">
        <v>68</v>
      </c>
      <c r="D3847" t="s">
        <v>2658</v>
      </c>
      <c r="E3847" t="s">
        <v>1429</v>
      </c>
      <c r="F3847" s="2">
        <v>520</v>
      </c>
      <c r="G3847" s="2">
        <v>5</v>
      </c>
      <c r="H3847" t="s">
        <v>66</v>
      </c>
      <c r="I3847" t="s">
        <v>67</v>
      </c>
      <c r="J3847" s="11">
        <v>1017.0333392987802</v>
      </c>
      <c r="K3847" t="str">
        <f t="shared" si="130"/>
        <v>Bob Lauria</v>
      </c>
    </row>
    <row r="3848" spans="1:11" hidden="1" x14ac:dyDescent="0.35">
      <c r="A3848">
        <f t="shared" si="129"/>
        <v>3847</v>
      </c>
      <c r="B3848">
        <v>2024</v>
      </c>
      <c r="C3848" t="s">
        <v>68</v>
      </c>
      <c r="D3848" t="s">
        <v>2657</v>
      </c>
      <c r="E3848" t="s">
        <v>133</v>
      </c>
      <c r="F3848" s="2">
        <v>960</v>
      </c>
      <c r="G3848" s="2">
        <v>1</v>
      </c>
      <c r="H3848" t="s">
        <v>135</v>
      </c>
      <c r="I3848" t="s">
        <v>1073</v>
      </c>
      <c r="J3848" s="11">
        <v>1505.149978319906</v>
      </c>
      <c r="K3848" t="str">
        <f t="shared" si="130"/>
        <v>Sam Scheinberg</v>
      </c>
    </row>
    <row r="3849" spans="1:11" hidden="1" x14ac:dyDescent="0.35">
      <c r="A3849">
        <f t="shared" si="129"/>
        <v>3848</v>
      </c>
      <c r="B3849">
        <v>2024</v>
      </c>
      <c r="C3849" t="s">
        <v>68</v>
      </c>
      <c r="D3849" t="s">
        <v>2657</v>
      </c>
      <c r="E3849" t="s">
        <v>133</v>
      </c>
      <c r="F3849" s="2">
        <v>960</v>
      </c>
      <c r="G3849" s="2">
        <v>2</v>
      </c>
      <c r="H3849" t="s">
        <v>86</v>
      </c>
      <c r="I3849" t="s">
        <v>271</v>
      </c>
      <c r="J3849" s="11">
        <v>1204.1199826559248</v>
      </c>
      <c r="K3849" t="str">
        <f t="shared" si="130"/>
        <v>Dan Goldman</v>
      </c>
    </row>
    <row r="3850" spans="1:11" hidden="1" x14ac:dyDescent="0.35">
      <c r="A3850">
        <f t="shared" si="129"/>
        <v>3849</v>
      </c>
      <c r="B3850">
        <v>2024</v>
      </c>
      <c r="C3850" t="s">
        <v>68</v>
      </c>
      <c r="D3850" t="s">
        <v>2657</v>
      </c>
      <c r="E3850" t="s">
        <v>133</v>
      </c>
      <c r="F3850" s="2">
        <v>544</v>
      </c>
      <c r="G3850" s="2">
        <v>3</v>
      </c>
      <c r="H3850" t="s">
        <v>2573</v>
      </c>
      <c r="I3850" t="s">
        <v>187</v>
      </c>
      <c r="J3850" s="11">
        <v>1028.0287236002437</v>
      </c>
      <c r="K3850" t="str">
        <f t="shared" si="130"/>
        <v>Joe Santagata</v>
      </c>
    </row>
    <row r="3851" spans="1:11" hidden="1" x14ac:dyDescent="0.35">
      <c r="A3851">
        <f t="shared" si="129"/>
        <v>3850</v>
      </c>
      <c r="B3851">
        <v>2024</v>
      </c>
      <c r="C3851" t="s">
        <v>68</v>
      </c>
      <c r="D3851" t="s">
        <v>2657</v>
      </c>
      <c r="E3851" t="s">
        <v>133</v>
      </c>
      <c r="F3851" s="2">
        <v>416</v>
      </c>
      <c r="G3851" s="2">
        <v>4</v>
      </c>
      <c r="H3851" t="s">
        <v>1719</v>
      </c>
      <c r="I3851" t="s">
        <v>524</v>
      </c>
      <c r="J3851" s="11">
        <v>903.08998699194365</v>
      </c>
      <c r="K3851" t="str">
        <f t="shared" si="130"/>
        <v>Guy Berentsen</v>
      </c>
    </row>
    <row r="3852" spans="1:11" hidden="1" x14ac:dyDescent="0.35">
      <c r="A3852">
        <f t="shared" si="129"/>
        <v>3851</v>
      </c>
      <c r="B3852">
        <v>2024</v>
      </c>
      <c r="C3852" t="s">
        <v>68</v>
      </c>
      <c r="D3852" t="s">
        <v>2657</v>
      </c>
      <c r="E3852" t="s">
        <v>133</v>
      </c>
      <c r="F3852" s="2">
        <v>320</v>
      </c>
      <c r="G3852" s="2">
        <v>5</v>
      </c>
      <c r="H3852" t="s">
        <v>204</v>
      </c>
      <c r="I3852" t="s">
        <v>205</v>
      </c>
      <c r="J3852" s="11">
        <v>806.17997398388718</v>
      </c>
      <c r="K3852" t="str">
        <f t="shared" si="130"/>
        <v>Ron Grossberg</v>
      </c>
    </row>
    <row r="3853" spans="1:11" hidden="1" x14ac:dyDescent="0.35">
      <c r="A3853">
        <f t="shared" si="129"/>
        <v>3852</v>
      </c>
      <c r="B3853">
        <v>2024</v>
      </c>
      <c r="C3853" t="s">
        <v>68</v>
      </c>
      <c r="D3853" t="s">
        <v>2656</v>
      </c>
      <c r="E3853" t="s">
        <v>509</v>
      </c>
      <c r="F3853" s="2">
        <v>1308</v>
      </c>
      <c r="G3853" s="2">
        <v>1</v>
      </c>
      <c r="H3853" t="s">
        <v>83</v>
      </c>
      <c r="I3853" t="s">
        <v>36</v>
      </c>
      <c r="J3853" s="11">
        <v>1633.4684555795864</v>
      </c>
      <c r="K3853" t="str">
        <f t="shared" si="130"/>
        <v>Nolan Hee</v>
      </c>
    </row>
    <row r="3854" spans="1:11" hidden="1" x14ac:dyDescent="0.35">
      <c r="A3854">
        <f t="shared" si="129"/>
        <v>3853</v>
      </c>
      <c r="B3854">
        <v>2024</v>
      </c>
      <c r="C3854" t="s">
        <v>68</v>
      </c>
      <c r="D3854" t="s">
        <v>2656</v>
      </c>
      <c r="E3854" t="s">
        <v>509</v>
      </c>
      <c r="F3854" s="2">
        <v>921</v>
      </c>
      <c r="G3854" s="2">
        <v>2</v>
      </c>
      <c r="H3854" t="s">
        <v>204</v>
      </c>
      <c r="I3854" t="s">
        <v>205</v>
      </c>
      <c r="J3854" s="11">
        <v>1332.4384599156051</v>
      </c>
      <c r="K3854" t="str">
        <f t="shared" si="130"/>
        <v>Ron Grossberg</v>
      </c>
    </row>
    <row r="3855" spans="1:11" hidden="1" x14ac:dyDescent="0.35">
      <c r="A3855">
        <f t="shared" si="129"/>
        <v>3854</v>
      </c>
      <c r="B3855">
        <v>2024</v>
      </c>
      <c r="C3855" t="s">
        <v>68</v>
      </c>
      <c r="D3855" t="s">
        <v>2656</v>
      </c>
      <c r="E3855" t="s">
        <v>509</v>
      </c>
      <c r="F3855" s="2">
        <v>706</v>
      </c>
      <c r="G3855" s="2">
        <v>3</v>
      </c>
      <c r="H3855" t="s">
        <v>2666</v>
      </c>
      <c r="I3855" t="s">
        <v>350</v>
      </c>
      <c r="J3855" s="11">
        <v>1156.347200859924</v>
      </c>
      <c r="K3855" t="str">
        <f t="shared" si="130"/>
        <v>Helen Kimble</v>
      </c>
    </row>
    <row r="3856" spans="1:11" hidden="1" x14ac:dyDescent="0.35">
      <c r="A3856">
        <f t="shared" si="129"/>
        <v>3855</v>
      </c>
      <c r="B3856">
        <v>2024</v>
      </c>
      <c r="C3856" t="s">
        <v>68</v>
      </c>
      <c r="D3856" t="s">
        <v>2656</v>
      </c>
      <c r="E3856" t="s">
        <v>509</v>
      </c>
      <c r="F3856" s="2">
        <v>534</v>
      </c>
      <c r="G3856" s="2">
        <v>4</v>
      </c>
      <c r="H3856" t="s">
        <v>531</v>
      </c>
      <c r="I3856" t="s">
        <v>271</v>
      </c>
      <c r="J3856" s="11">
        <v>1031.4084642516241</v>
      </c>
      <c r="K3856" t="str">
        <f t="shared" si="130"/>
        <v>Dan Nussbaum</v>
      </c>
    </row>
    <row r="3857" spans="1:11" hidden="1" x14ac:dyDescent="0.35">
      <c r="A3857">
        <f t="shared" si="129"/>
        <v>3856</v>
      </c>
      <c r="B3857">
        <v>2024</v>
      </c>
      <c r="C3857" t="s">
        <v>68</v>
      </c>
      <c r="D3857" t="s">
        <v>2656</v>
      </c>
      <c r="E3857" t="s">
        <v>509</v>
      </c>
      <c r="F3857" s="2">
        <v>405</v>
      </c>
      <c r="G3857" s="2">
        <v>5</v>
      </c>
      <c r="H3857" t="s">
        <v>107</v>
      </c>
      <c r="I3857" t="s">
        <v>108</v>
      </c>
      <c r="J3857" s="11">
        <v>934.49845124356762</v>
      </c>
      <c r="K3857" t="str">
        <f t="shared" si="130"/>
        <v>Kyle Minnis</v>
      </c>
    </row>
    <row r="3858" spans="1:11" hidden="1" x14ac:dyDescent="0.35">
      <c r="A3858">
        <f t="shared" si="129"/>
        <v>3857</v>
      </c>
      <c r="B3858">
        <v>2024</v>
      </c>
      <c r="C3858" t="s">
        <v>68</v>
      </c>
      <c r="D3858" t="s">
        <v>2656</v>
      </c>
      <c r="E3858" t="s">
        <v>509</v>
      </c>
      <c r="F3858" s="2">
        <v>276</v>
      </c>
      <c r="G3858" s="2">
        <v>6</v>
      </c>
      <c r="H3858" t="s">
        <v>517</v>
      </c>
      <c r="I3858" t="s">
        <v>413</v>
      </c>
      <c r="J3858" s="11">
        <v>855.31720519594273</v>
      </c>
      <c r="K3858" t="str">
        <f t="shared" si="130"/>
        <v>Bruce Iwamoto</v>
      </c>
    </row>
    <row r="3859" spans="1:11" hidden="1" x14ac:dyDescent="0.35">
      <c r="A3859">
        <f t="shared" ref="A3859:A3922" si="131">A3858+1</f>
        <v>3858</v>
      </c>
      <c r="B3859">
        <v>2024</v>
      </c>
      <c r="C3859" t="s">
        <v>68</v>
      </c>
      <c r="D3859" t="s">
        <v>2656</v>
      </c>
      <c r="E3859" t="s">
        <v>509</v>
      </c>
      <c r="F3859" s="2">
        <v>150</v>
      </c>
      <c r="G3859" s="2">
        <v>7</v>
      </c>
      <c r="H3859" t="s">
        <v>35</v>
      </c>
      <c r="I3859" t="s">
        <v>36</v>
      </c>
      <c r="J3859" s="11">
        <v>788.37041556532961</v>
      </c>
      <c r="K3859" t="str">
        <f t="shared" si="130"/>
        <v>Nolan Dalla</v>
      </c>
    </row>
    <row r="3860" spans="1:11" hidden="1" x14ac:dyDescent="0.35">
      <c r="A3860">
        <f t="shared" si="131"/>
        <v>3859</v>
      </c>
      <c r="B3860">
        <v>2024</v>
      </c>
      <c r="C3860" t="s">
        <v>8</v>
      </c>
      <c r="D3860" t="s">
        <v>557</v>
      </c>
      <c r="E3860" t="s">
        <v>1430</v>
      </c>
      <c r="F3860" s="2">
        <v>1450</v>
      </c>
      <c r="G3860" s="2">
        <v>1</v>
      </c>
      <c r="H3860" t="s">
        <v>2662</v>
      </c>
      <c r="I3860" t="s">
        <v>2663</v>
      </c>
      <c r="J3860" s="11">
        <v>1568.201724066995</v>
      </c>
      <c r="K3860" t="str">
        <f t="shared" si="130"/>
        <v>Connor Whiteley</v>
      </c>
    </row>
    <row r="3861" spans="1:11" hidden="1" x14ac:dyDescent="0.35">
      <c r="A3861">
        <f t="shared" si="131"/>
        <v>3860</v>
      </c>
      <c r="B3861">
        <v>2024</v>
      </c>
      <c r="C3861" t="s">
        <v>8</v>
      </c>
      <c r="D3861" t="s">
        <v>557</v>
      </c>
      <c r="E3861" t="s">
        <v>1430</v>
      </c>
      <c r="F3861" s="2">
        <v>850</v>
      </c>
      <c r="G3861" s="2">
        <v>2</v>
      </c>
      <c r="H3861" t="s">
        <v>64</v>
      </c>
      <c r="I3861" t="s">
        <v>65</v>
      </c>
      <c r="J3861" s="11">
        <v>1267.1717284030137</v>
      </c>
      <c r="K3861" t="str">
        <f t="shared" si="130"/>
        <v>Steve Daniel</v>
      </c>
    </row>
    <row r="3862" spans="1:11" hidden="1" x14ac:dyDescent="0.35">
      <c r="A3862">
        <f t="shared" si="131"/>
        <v>3861</v>
      </c>
      <c r="B3862">
        <v>2024</v>
      </c>
      <c r="C3862" t="s">
        <v>8</v>
      </c>
      <c r="D3862" t="s">
        <v>557</v>
      </c>
      <c r="E3862" t="s">
        <v>1430</v>
      </c>
      <c r="F3862" s="2">
        <v>600</v>
      </c>
      <c r="G3862" s="2">
        <v>3</v>
      </c>
      <c r="H3862" t="s">
        <v>455</v>
      </c>
      <c r="I3862" t="s">
        <v>136</v>
      </c>
      <c r="J3862" s="11">
        <v>1091.0804693473326</v>
      </c>
      <c r="K3862" t="str">
        <f t="shared" si="130"/>
        <v>John Segovia</v>
      </c>
    </row>
    <row r="3863" spans="1:11" hidden="1" x14ac:dyDescent="0.35">
      <c r="A3863">
        <f t="shared" si="131"/>
        <v>3862</v>
      </c>
      <c r="B3863">
        <v>2024</v>
      </c>
      <c r="C3863" t="s">
        <v>8</v>
      </c>
      <c r="D3863" t="s">
        <v>557</v>
      </c>
      <c r="E3863" t="s">
        <v>1430</v>
      </c>
      <c r="F3863" s="2">
        <v>415</v>
      </c>
      <c r="G3863" s="2">
        <v>4</v>
      </c>
      <c r="H3863" t="s">
        <v>12</v>
      </c>
      <c r="I3863" t="s">
        <v>13</v>
      </c>
      <c r="J3863" s="11">
        <v>966.14173273903259</v>
      </c>
      <c r="K3863" t="str">
        <f t="shared" si="130"/>
        <v>Tom Bessoir</v>
      </c>
    </row>
    <row r="3864" spans="1:11" hidden="1" x14ac:dyDescent="0.35">
      <c r="A3864">
        <f t="shared" si="131"/>
        <v>3863</v>
      </c>
      <c r="B3864">
        <v>2024</v>
      </c>
      <c r="C3864" t="s">
        <v>8</v>
      </c>
      <c r="D3864" t="s">
        <v>557</v>
      </c>
      <c r="E3864" t="s">
        <v>1430</v>
      </c>
      <c r="F3864" s="2">
        <v>274</v>
      </c>
      <c r="G3864" s="2">
        <v>5</v>
      </c>
      <c r="H3864" t="s">
        <v>531</v>
      </c>
      <c r="I3864" t="s">
        <v>271</v>
      </c>
      <c r="J3864" s="11">
        <v>869.23171973097612</v>
      </c>
      <c r="K3864" t="str">
        <f t="shared" si="130"/>
        <v>Dan Nussbaum</v>
      </c>
    </row>
    <row r="3865" spans="1:11" hidden="1" x14ac:dyDescent="0.35">
      <c r="A3865">
        <f t="shared" si="131"/>
        <v>3864</v>
      </c>
      <c r="B3865">
        <v>2024</v>
      </c>
      <c r="C3865" t="s">
        <v>8</v>
      </c>
      <c r="D3865" t="s">
        <v>2446</v>
      </c>
      <c r="E3865" t="s">
        <v>1429</v>
      </c>
      <c r="F3865" s="2">
        <v>671</v>
      </c>
      <c r="G3865" s="2">
        <v>1</v>
      </c>
      <c r="H3865" t="s">
        <v>1458</v>
      </c>
      <c r="I3865" t="s">
        <v>67</v>
      </c>
      <c r="J3865" s="11">
        <v>1230.4489213782738</v>
      </c>
      <c r="K3865" t="str">
        <f t="shared" si="130"/>
        <v>Bob Gilbert</v>
      </c>
    </row>
    <row r="3866" spans="1:11" hidden="1" x14ac:dyDescent="0.35">
      <c r="A3866">
        <f t="shared" si="131"/>
        <v>3865</v>
      </c>
      <c r="B3866">
        <v>2024</v>
      </c>
      <c r="C3866" t="s">
        <v>8</v>
      </c>
      <c r="D3866" t="s">
        <v>2446</v>
      </c>
      <c r="E3866" t="s">
        <v>1429</v>
      </c>
      <c r="F3866" s="2">
        <v>543</v>
      </c>
      <c r="G3866" s="2">
        <v>2</v>
      </c>
      <c r="H3866" t="s">
        <v>2536</v>
      </c>
      <c r="I3866" t="s">
        <v>22</v>
      </c>
      <c r="J3866" s="11">
        <v>929.41892571429264</v>
      </c>
      <c r="K3866" t="str">
        <f t="shared" si="130"/>
        <v>Rich Vehlow</v>
      </c>
    </row>
    <row r="3867" spans="1:11" hidden="1" x14ac:dyDescent="0.35">
      <c r="A3867">
        <f t="shared" si="131"/>
        <v>3866</v>
      </c>
      <c r="B3867">
        <v>2024</v>
      </c>
      <c r="C3867" t="s">
        <v>8</v>
      </c>
      <c r="D3867" t="s">
        <v>2446</v>
      </c>
      <c r="E3867" t="s">
        <v>1429</v>
      </c>
      <c r="F3867" s="2">
        <v>486</v>
      </c>
      <c r="G3867" s="2">
        <v>3</v>
      </c>
      <c r="H3867" t="s">
        <v>1772</v>
      </c>
      <c r="I3867" t="s">
        <v>122</v>
      </c>
      <c r="J3867" s="11">
        <v>753.32766665861152</v>
      </c>
      <c r="K3867" t="str">
        <f t="shared" si="130"/>
        <v>Andy Latto</v>
      </c>
    </row>
    <row r="3868" spans="1:11" hidden="1" x14ac:dyDescent="0.35">
      <c r="A3868">
        <f t="shared" si="131"/>
        <v>3867</v>
      </c>
      <c r="B3868">
        <v>2024</v>
      </c>
      <c r="C3868" t="s">
        <v>8</v>
      </c>
      <c r="D3868" t="s">
        <v>45</v>
      </c>
      <c r="E3868" t="s">
        <v>1429</v>
      </c>
      <c r="F3868" s="2">
        <v>1761</v>
      </c>
      <c r="G3868" s="2">
        <v>1</v>
      </c>
      <c r="H3868" t="s">
        <v>1458</v>
      </c>
      <c r="I3868" t="s">
        <v>67</v>
      </c>
      <c r="J3868" s="11">
        <v>1740.3626894942438</v>
      </c>
      <c r="K3868" t="str">
        <f t="shared" si="130"/>
        <v>Bob Gilbert</v>
      </c>
    </row>
    <row r="3869" spans="1:11" hidden="1" x14ac:dyDescent="0.35">
      <c r="A3869">
        <f t="shared" si="131"/>
        <v>3868</v>
      </c>
      <c r="B3869">
        <v>2024</v>
      </c>
      <c r="C3869" t="s">
        <v>8</v>
      </c>
      <c r="D3869" t="s">
        <v>45</v>
      </c>
      <c r="E3869" t="s">
        <v>1429</v>
      </c>
      <c r="F3869" s="2">
        <v>960</v>
      </c>
      <c r="G3869" s="2">
        <v>2</v>
      </c>
      <c r="H3869" t="s">
        <v>51</v>
      </c>
      <c r="I3869" t="s">
        <v>153</v>
      </c>
      <c r="J3869" s="11">
        <v>1439.3326938302625</v>
      </c>
      <c r="K3869" t="str">
        <f t="shared" si="130"/>
        <v>Stephen Rosenblatt</v>
      </c>
    </row>
    <row r="3870" spans="1:11" hidden="1" x14ac:dyDescent="0.35">
      <c r="A3870">
        <f t="shared" si="131"/>
        <v>3869</v>
      </c>
      <c r="B3870">
        <v>2024</v>
      </c>
      <c r="C3870" t="s">
        <v>8</v>
      </c>
      <c r="D3870" t="s">
        <v>45</v>
      </c>
      <c r="E3870" t="s">
        <v>1429</v>
      </c>
      <c r="F3870" s="2">
        <v>694</v>
      </c>
      <c r="G3870" s="2">
        <v>3</v>
      </c>
      <c r="H3870" t="s">
        <v>531</v>
      </c>
      <c r="I3870" t="s">
        <v>271</v>
      </c>
      <c r="J3870" s="11">
        <v>1263.2414347745814</v>
      </c>
      <c r="K3870" t="str">
        <f t="shared" si="130"/>
        <v>Dan Nussbaum</v>
      </c>
    </row>
    <row r="3871" spans="1:11" hidden="1" x14ac:dyDescent="0.35">
      <c r="A3871">
        <f t="shared" si="131"/>
        <v>3870</v>
      </c>
      <c r="B3871">
        <v>2024</v>
      </c>
      <c r="C3871" t="s">
        <v>8</v>
      </c>
      <c r="D3871" t="s">
        <v>45</v>
      </c>
      <c r="E3871" t="s">
        <v>1429</v>
      </c>
      <c r="F3871" s="2">
        <v>587</v>
      </c>
      <c r="G3871" s="2">
        <v>4</v>
      </c>
      <c r="H3871" t="s">
        <v>1439</v>
      </c>
      <c r="I3871" t="s">
        <v>384</v>
      </c>
      <c r="J3871" s="11">
        <v>1138.3026981662815</v>
      </c>
      <c r="K3871" t="str">
        <f t="shared" si="130"/>
        <v>Jeff Palmucci</v>
      </c>
    </row>
    <row r="3872" spans="1:11" hidden="1" x14ac:dyDescent="0.35">
      <c r="A3872">
        <f t="shared" si="131"/>
        <v>3871</v>
      </c>
      <c r="B3872">
        <v>2024</v>
      </c>
      <c r="C3872" t="s">
        <v>8</v>
      </c>
      <c r="D3872" t="s">
        <v>45</v>
      </c>
      <c r="E3872" t="s">
        <v>1429</v>
      </c>
      <c r="F3872" s="2">
        <v>480</v>
      </c>
      <c r="G3872" s="2">
        <v>5</v>
      </c>
      <c r="H3872" t="s">
        <v>433</v>
      </c>
      <c r="I3872" t="s">
        <v>434</v>
      </c>
      <c r="J3872" s="11">
        <v>1041.3926851582248</v>
      </c>
      <c r="K3872" t="str">
        <f t="shared" si="130"/>
        <v>AJ Evangelista</v>
      </c>
    </row>
    <row r="3873" spans="1:11" hidden="1" x14ac:dyDescent="0.35">
      <c r="A3873">
        <f t="shared" si="131"/>
        <v>3872</v>
      </c>
      <c r="B3873">
        <v>2024</v>
      </c>
      <c r="C3873" t="s">
        <v>8</v>
      </c>
      <c r="D3873" t="s">
        <v>45</v>
      </c>
      <c r="E3873" t="s">
        <v>1429</v>
      </c>
      <c r="F3873" s="2">
        <v>373</v>
      </c>
      <c r="G3873" s="2">
        <v>6</v>
      </c>
      <c r="H3873" t="s">
        <v>118</v>
      </c>
      <c r="I3873" t="s">
        <v>415</v>
      </c>
      <c r="J3873" s="11">
        <v>962.21143911060028</v>
      </c>
      <c r="K3873" t="str">
        <f t="shared" si="130"/>
        <v>Pete Segal</v>
      </c>
    </row>
    <row r="3874" spans="1:11" hidden="1" x14ac:dyDescent="0.35">
      <c r="A3874">
        <f t="shared" si="131"/>
        <v>3873</v>
      </c>
      <c r="B3874">
        <v>2024</v>
      </c>
      <c r="C3874" t="s">
        <v>8</v>
      </c>
      <c r="D3874" t="s">
        <v>45</v>
      </c>
      <c r="E3874" t="s">
        <v>1429</v>
      </c>
      <c r="F3874" s="2">
        <v>267</v>
      </c>
      <c r="G3874" s="2">
        <v>7</v>
      </c>
      <c r="H3874" t="s">
        <v>1719</v>
      </c>
      <c r="I3874" t="s">
        <v>524</v>
      </c>
      <c r="J3874" s="11">
        <v>895.26464947998704</v>
      </c>
      <c r="K3874" t="str">
        <f t="shared" si="130"/>
        <v>Guy Berentsen</v>
      </c>
    </row>
    <row r="3875" spans="1:11" hidden="1" x14ac:dyDescent="0.35">
      <c r="A3875">
        <f t="shared" si="131"/>
        <v>3874</v>
      </c>
      <c r="B3875">
        <v>2024</v>
      </c>
      <c r="C3875" t="s">
        <v>8</v>
      </c>
      <c r="D3875" t="s">
        <v>45</v>
      </c>
      <c r="E3875" t="s">
        <v>1429</v>
      </c>
      <c r="F3875" s="2">
        <v>213</v>
      </c>
      <c r="G3875" s="2">
        <v>8</v>
      </c>
      <c r="H3875" t="s">
        <v>27</v>
      </c>
      <c r="I3875" t="s">
        <v>28</v>
      </c>
      <c r="J3875" s="11">
        <v>837.27270250230038</v>
      </c>
      <c r="K3875" t="str">
        <f t="shared" si="130"/>
        <v>Chris Richards</v>
      </c>
    </row>
    <row r="3876" spans="1:11" hidden="1" x14ac:dyDescent="0.35">
      <c r="A3876">
        <f t="shared" si="131"/>
        <v>3875</v>
      </c>
      <c r="B3876">
        <v>2024</v>
      </c>
      <c r="C3876" t="s">
        <v>8</v>
      </c>
      <c r="D3876" t="s">
        <v>24</v>
      </c>
      <c r="E3876" t="s">
        <v>1430</v>
      </c>
      <c r="F3876" s="2">
        <v>893</v>
      </c>
      <c r="G3876" s="2">
        <v>1</v>
      </c>
      <c r="H3876" t="s">
        <v>21</v>
      </c>
      <c r="I3876" t="s">
        <v>463</v>
      </c>
      <c r="J3876" s="11">
        <v>680.86391800879642</v>
      </c>
      <c r="K3876" t="str">
        <f t="shared" si="130"/>
        <v>Richard Bremer</v>
      </c>
    </row>
    <row r="3877" spans="1:11" hidden="1" x14ac:dyDescent="0.35">
      <c r="A3877">
        <f t="shared" si="131"/>
        <v>3876</v>
      </c>
      <c r="B3877">
        <v>2024</v>
      </c>
      <c r="C3877" t="s">
        <v>8</v>
      </c>
      <c r="D3877" t="s">
        <v>24</v>
      </c>
      <c r="E3877" t="s">
        <v>1430</v>
      </c>
      <c r="F3877" s="2">
        <v>893</v>
      </c>
      <c r="G3877" s="2">
        <v>1</v>
      </c>
      <c r="H3877" t="s">
        <v>16</v>
      </c>
      <c r="I3877" t="s">
        <v>59</v>
      </c>
      <c r="J3877" s="11">
        <v>680.86391800879642</v>
      </c>
      <c r="K3877" t="str">
        <f t="shared" si="130"/>
        <v>Jeanne David</v>
      </c>
    </row>
    <row r="3878" spans="1:11" hidden="1" x14ac:dyDescent="0.35">
      <c r="A3878">
        <f t="shared" si="131"/>
        <v>3877</v>
      </c>
      <c r="B3878">
        <v>2024</v>
      </c>
      <c r="C3878" t="s">
        <v>8</v>
      </c>
      <c r="D3878" t="s">
        <v>24</v>
      </c>
      <c r="E3878" t="s">
        <v>1430</v>
      </c>
      <c r="F3878" s="2">
        <v>892</v>
      </c>
      <c r="G3878" s="2">
        <v>2</v>
      </c>
      <c r="H3878" t="s">
        <v>366</v>
      </c>
      <c r="I3878" t="s">
        <v>61</v>
      </c>
      <c r="J3878" s="11">
        <v>530.34892017680579</v>
      </c>
      <c r="K3878" t="str">
        <f t="shared" si="130"/>
        <v>Len Greenberg</v>
      </c>
    </row>
    <row r="3879" spans="1:11" hidden="1" x14ac:dyDescent="0.35">
      <c r="A3879">
        <f t="shared" si="131"/>
        <v>3878</v>
      </c>
      <c r="B3879">
        <v>2024</v>
      </c>
      <c r="C3879" t="s">
        <v>8</v>
      </c>
      <c r="D3879" t="s">
        <v>24</v>
      </c>
      <c r="E3879" t="s">
        <v>1430</v>
      </c>
      <c r="F3879" s="2">
        <v>892</v>
      </c>
      <c r="G3879" s="2">
        <v>2</v>
      </c>
      <c r="H3879" t="s">
        <v>118</v>
      </c>
      <c r="I3879" t="s">
        <v>415</v>
      </c>
      <c r="J3879" s="11">
        <v>530.34892017680579</v>
      </c>
      <c r="K3879" t="str">
        <f t="shared" si="130"/>
        <v>Pete Segal</v>
      </c>
    </row>
    <row r="3880" spans="1:11" hidden="1" x14ac:dyDescent="0.35">
      <c r="A3880">
        <f t="shared" si="131"/>
        <v>3879</v>
      </c>
      <c r="B3880">
        <v>2024</v>
      </c>
      <c r="C3880" t="s">
        <v>8</v>
      </c>
      <c r="D3880" t="s">
        <v>24</v>
      </c>
      <c r="E3880" t="s">
        <v>1430</v>
      </c>
      <c r="F3880" s="2">
        <v>446</v>
      </c>
      <c r="G3880" s="2">
        <v>3</v>
      </c>
      <c r="H3880" t="s">
        <v>43</v>
      </c>
      <c r="I3880" t="s">
        <v>218</v>
      </c>
      <c r="J3880" s="11">
        <v>442.30329064896523</v>
      </c>
      <c r="K3880" t="str">
        <f t="shared" si="130"/>
        <v>Michael Klein</v>
      </c>
    </row>
    <row r="3881" spans="1:11" hidden="1" x14ac:dyDescent="0.35">
      <c r="A3881">
        <f t="shared" si="131"/>
        <v>3880</v>
      </c>
      <c r="B3881">
        <v>2024</v>
      </c>
      <c r="C3881" t="s">
        <v>8</v>
      </c>
      <c r="D3881" t="s">
        <v>24</v>
      </c>
      <c r="E3881" t="s">
        <v>1430</v>
      </c>
      <c r="F3881" s="2">
        <v>446</v>
      </c>
      <c r="G3881" s="2">
        <v>3</v>
      </c>
      <c r="H3881" t="s">
        <v>130</v>
      </c>
      <c r="I3881" t="s">
        <v>131</v>
      </c>
      <c r="J3881" s="11">
        <v>442.30329064896523</v>
      </c>
      <c r="K3881" t="str">
        <f t="shared" si="130"/>
        <v>Alan Stuart</v>
      </c>
    </row>
    <row r="3882" spans="1:11" hidden="1" x14ac:dyDescent="0.35">
      <c r="A3882">
        <f t="shared" si="131"/>
        <v>3881</v>
      </c>
      <c r="B3882">
        <v>2024</v>
      </c>
      <c r="C3882" t="s">
        <v>2654</v>
      </c>
      <c r="D3882" t="s">
        <v>45</v>
      </c>
      <c r="E3882" t="s">
        <v>1429</v>
      </c>
      <c r="F3882" s="2">
        <v>1240</v>
      </c>
      <c r="G3882" s="2">
        <v>1</v>
      </c>
      <c r="H3882" t="s">
        <v>608</v>
      </c>
      <c r="I3882" t="s">
        <v>267</v>
      </c>
      <c r="J3882" s="11">
        <v>1633.4684555795864</v>
      </c>
      <c r="K3882" t="str">
        <f t="shared" si="130"/>
        <v>Christopher Kuntz</v>
      </c>
    </row>
    <row r="3883" spans="1:11" hidden="1" x14ac:dyDescent="0.35">
      <c r="A3883">
        <f t="shared" si="131"/>
        <v>3882</v>
      </c>
      <c r="B3883">
        <v>2024</v>
      </c>
      <c r="C3883" t="s">
        <v>2654</v>
      </c>
      <c r="D3883" t="s">
        <v>45</v>
      </c>
      <c r="E3883" t="s">
        <v>1429</v>
      </c>
      <c r="F3883" s="2">
        <v>880</v>
      </c>
      <c r="G3883" s="2">
        <v>2</v>
      </c>
      <c r="H3883" t="s">
        <v>2664</v>
      </c>
      <c r="I3883" t="s">
        <v>314</v>
      </c>
      <c r="J3883" s="11">
        <v>1332.4384599156051</v>
      </c>
      <c r="K3883" t="str">
        <f t="shared" si="130"/>
        <v>Gerald Jeong</v>
      </c>
    </row>
    <row r="3884" spans="1:11" hidden="1" x14ac:dyDescent="0.35">
      <c r="A3884">
        <f t="shared" si="131"/>
        <v>3883</v>
      </c>
      <c r="B3884">
        <v>2024</v>
      </c>
      <c r="C3884" t="s">
        <v>2654</v>
      </c>
      <c r="D3884" t="s">
        <v>45</v>
      </c>
      <c r="E3884" t="s">
        <v>1429</v>
      </c>
      <c r="F3884" s="2">
        <v>680</v>
      </c>
      <c r="G3884" s="2">
        <v>3</v>
      </c>
      <c r="H3884" t="s">
        <v>15</v>
      </c>
      <c r="I3884" t="s">
        <v>16</v>
      </c>
      <c r="J3884" s="11">
        <v>1156.347200859924</v>
      </c>
      <c r="K3884" t="str">
        <f t="shared" si="130"/>
        <v>David Kluchman</v>
      </c>
    </row>
    <row r="3885" spans="1:11" hidden="1" x14ac:dyDescent="0.35">
      <c r="A3885">
        <f t="shared" si="131"/>
        <v>3884</v>
      </c>
      <c r="B3885">
        <v>2024</v>
      </c>
      <c r="C3885" t="s">
        <v>2654</v>
      </c>
      <c r="D3885" t="s">
        <v>45</v>
      </c>
      <c r="E3885" t="s">
        <v>1429</v>
      </c>
      <c r="F3885" s="2">
        <v>520</v>
      </c>
      <c r="G3885" s="2">
        <v>4</v>
      </c>
      <c r="H3885" t="s">
        <v>88</v>
      </c>
      <c r="I3885" t="s">
        <v>89</v>
      </c>
      <c r="J3885" s="11">
        <v>1031.4084642516241</v>
      </c>
      <c r="K3885" t="str">
        <f t="shared" si="130"/>
        <v>Ken Kubey</v>
      </c>
    </row>
    <row r="3886" spans="1:11" hidden="1" x14ac:dyDescent="0.35">
      <c r="A3886">
        <f t="shared" si="131"/>
        <v>3885</v>
      </c>
      <c r="B3886">
        <v>2024</v>
      </c>
      <c r="C3886" t="s">
        <v>2654</v>
      </c>
      <c r="D3886" t="s">
        <v>45</v>
      </c>
      <c r="E3886" t="s">
        <v>1429</v>
      </c>
      <c r="F3886" s="2">
        <v>400</v>
      </c>
      <c r="G3886" s="2">
        <v>5</v>
      </c>
      <c r="H3886" t="s">
        <v>1781</v>
      </c>
      <c r="I3886" t="s">
        <v>528</v>
      </c>
      <c r="J3886" s="11">
        <v>934.49845124356762</v>
      </c>
      <c r="K3886" t="str">
        <f t="shared" si="130"/>
        <v>Tim McGarvey</v>
      </c>
    </row>
    <row r="3887" spans="1:11" hidden="1" x14ac:dyDescent="0.35">
      <c r="A3887">
        <f t="shared" si="131"/>
        <v>3886</v>
      </c>
      <c r="B3887">
        <v>2024</v>
      </c>
      <c r="C3887" t="s">
        <v>2654</v>
      </c>
      <c r="D3887" t="s">
        <v>45</v>
      </c>
      <c r="E3887" t="s">
        <v>1429</v>
      </c>
      <c r="F3887" s="2">
        <v>280</v>
      </c>
      <c r="G3887" s="2">
        <v>6</v>
      </c>
      <c r="H3887" t="s">
        <v>531</v>
      </c>
      <c r="I3887" t="s">
        <v>271</v>
      </c>
      <c r="J3887" s="11">
        <v>855.31720519594273</v>
      </c>
      <c r="K3887" t="str">
        <f t="shared" si="130"/>
        <v>Dan Nussbaum</v>
      </c>
    </row>
    <row r="3888" spans="1:11" hidden="1" x14ac:dyDescent="0.35">
      <c r="A3888">
        <f t="shared" si="131"/>
        <v>3887</v>
      </c>
      <c r="B3888">
        <v>2024</v>
      </c>
      <c r="C3888" t="s">
        <v>2654</v>
      </c>
      <c r="D3888" t="s">
        <v>45</v>
      </c>
      <c r="E3888" t="s">
        <v>1429</v>
      </c>
      <c r="F3888" s="2">
        <v>100</v>
      </c>
      <c r="G3888" s="2">
        <v>7</v>
      </c>
      <c r="H3888" t="s">
        <v>1504</v>
      </c>
      <c r="I3888" t="s">
        <v>85</v>
      </c>
      <c r="J3888" s="11">
        <v>788.37041556532961</v>
      </c>
      <c r="K3888" t="str">
        <f t="shared" si="130"/>
        <v>Patrick Milligan</v>
      </c>
    </row>
    <row r="3889" spans="1:11" hidden="1" x14ac:dyDescent="0.35">
      <c r="A3889">
        <f t="shared" si="131"/>
        <v>3888</v>
      </c>
      <c r="B3889">
        <v>2024</v>
      </c>
      <c r="C3889" t="s">
        <v>2654</v>
      </c>
      <c r="D3889" t="s">
        <v>45</v>
      </c>
      <c r="E3889" t="s">
        <v>1429</v>
      </c>
      <c r="F3889" s="2">
        <v>100</v>
      </c>
      <c r="G3889" s="2">
        <v>8</v>
      </c>
      <c r="H3889" t="s">
        <v>475</v>
      </c>
      <c r="I3889" t="s">
        <v>887</v>
      </c>
      <c r="J3889" s="11">
        <v>730.37846858764283</v>
      </c>
      <c r="K3889" t="str">
        <f t="shared" si="130"/>
        <v>Chic Natkins</v>
      </c>
    </row>
    <row r="3890" spans="1:11" hidden="1" x14ac:dyDescent="0.35">
      <c r="A3890">
        <f t="shared" si="131"/>
        <v>3889</v>
      </c>
      <c r="B3890">
        <v>2024</v>
      </c>
      <c r="C3890" t="s">
        <v>2654</v>
      </c>
      <c r="D3890" t="s">
        <v>45</v>
      </c>
      <c r="E3890" t="s">
        <v>1429</v>
      </c>
      <c r="F3890" s="2">
        <v>100</v>
      </c>
      <c r="G3890" s="2">
        <v>9</v>
      </c>
      <c r="H3890" t="s">
        <v>2665</v>
      </c>
      <c r="I3890" t="s">
        <v>79</v>
      </c>
      <c r="J3890" s="2">
        <v>679.2259461402615</v>
      </c>
      <c r="K3890" t="str">
        <f t="shared" si="130"/>
        <v>Kevin Un</v>
      </c>
    </row>
    <row r="3891" spans="1:11" hidden="1" x14ac:dyDescent="0.35">
      <c r="A3891">
        <f t="shared" si="131"/>
        <v>3890</v>
      </c>
      <c r="B3891">
        <v>2024</v>
      </c>
      <c r="C3891" t="s">
        <v>263</v>
      </c>
      <c r="D3891" t="s">
        <v>2690</v>
      </c>
      <c r="E3891" t="s">
        <v>1429</v>
      </c>
      <c r="F3891" s="2">
        <v>964</v>
      </c>
      <c r="G3891" s="2">
        <v>1</v>
      </c>
      <c r="H3891" s="2" t="s">
        <v>86</v>
      </c>
      <c r="I3891" t="s">
        <v>271</v>
      </c>
      <c r="J3891" s="2">
        <v>1361.7278360175928</v>
      </c>
      <c r="K3891" t="str">
        <f t="shared" si="130"/>
        <v>Dan Goldman</v>
      </c>
    </row>
    <row r="3892" spans="1:11" hidden="1" x14ac:dyDescent="0.35">
      <c r="A3892">
        <f t="shared" si="131"/>
        <v>3891</v>
      </c>
      <c r="B3892">
        <v>2024</v>
      </c>
      <c r="C3892" t="s">
        <v>263</v>
      </c>
      <c r="D3892" t="s">
        <v>2690</v>
      </c>
      <c r="E3892" t="s">
        <v>1429</v>
      </c>
      <c r="F3892" s="2">
        <v>578</v>
      </c>
      <c r="G3892" s="2">
        <v>2</v>
      </c>
      <c r="H3892" s="2" t="s">
        <v>711</v>
      </c>
      <c r="I3892" t="s">
        <v>85</v>
      </c>
      <c r="J3892" s="2">
        <v>1060.6978403536116</v>
      </c>
      <c r="K3892" t="str">
        <f t="shared" si="130"/>
        <v>Patrick Kirwan</v>
      </c>
    </row>
    <row r="3893" spans="1:11" hidden="1" x14ac:dyDescent="0.35">
      <c r="A3893">
        <f t="shared" si="131"/>
        <v>3892</v>
      </c>
      <c r="B3893">
        <v>2024</v>
      </c>
      <c r="C3893" t="s">
        <v>263</v>
      </c>
      <c r="D3893" t="s">
        <v>2690</v>
      </c>
      <c r="E3893" t="s">
        <v>1429</v>
      </c>
      <c r="F3893" s="2">
        <v>385</v>
      </c>
      <c r="G3893" s="2">
        <v>3</v>
      </c>
      <c r="H3893" s="2" t="s">
        <v>525</v>
      </c>
      <c r="I3893" t="s">
        <v>58</v>
      </c>
      <c r="J3893" s="2">
        <v>884.60658129793046</v>
      </c>
      <c r="K3893" t="str">
        <f t="shared" si="130"/>
        <v>Jim Anderson</v>
      </c>
    </row>
    <row r="3894" spans="1:11" hidden="1" x14ac:dyDescent="0.35">
      <c r="A3894">
        <f t="shared" si="131"/>
        <v>3893</v>
      </c>
      <c r="B3894">
        <v>2024</v>
      </c>
      <c r="C3894" t="s">
        <v>263</v>
      </c>
      <c r="D3894" t="s">
        <v>2690</v>
      </c>
      <c r="E3894" t="s">
        <v>1429</v>
      </c>
      <c r="F3894" s="2">
        <v>288</v>
      </c>
      <c r="G3894" s="2">
        <v>4</v>
      </c>
      <c r="H3894" s="2" t="s">
        <v>527</v>
      </c>
      <c r="I3894" t="s">
        <v>11</v>
      </c>
      <c r="J3894" s="2">
        <v>759.66784468963044</v>
      </c>
      <c r="K3894" t="str">
        <f t="shared" si="130"/>
        <v>Paul Stine</v>
      </c>
    </row>
    <row r="3895" spans="1:11" hidden="1" x14ac:dyDescent="0.35">
      <c r="A3895">
        <f t="shared" si="131"/>
        <v>3894</v>
      </c>
      <c r="B3895">
        <v>2024</v>
      </c>
      <c r="C3895" t="s">
        <v>263</v>
      </c>
      <c r="D3895" t="s">
        <v>2690</v>
      </c>
      <c r="E3895" t="s">
        <v>1429</v>
      </c>
      <c r="F3895" s="2">
        <v>200</v>
      </c>
      <c r="G3895" s="2">
        <v>5</v>
      </c>
      <c r="H3895" s="2" t="s">
        <v>50</v>
      </c>
      <c r="I3895" t="s">
        <v>25</v>
      </c>
      <c r="J3895" s="2">
        <v>662.75783168157398</v>
      </c>
      <c r="K3895" t="str">
        <f t="shared" si="130"/>
        <v>Russell Fox</v>
      </c>
    </row>
    <row r="3896" spans="1:11" hidden="1" x14ac:dyDescent="0.35">
      <c r="A3896">
        <f t="shared" si="131"/>
        <v>3895</v>
      </c>
      <c r="B3896">
        <v>2024</v>
      </c>
      <c r="C3896" t="s">
        <v>263</v>
      </c>
      <c r="D3896" t="s">
        <v>2691</v>
      </c>
      <c r="E3896" t="s">
        <v>84</v>
      </c>
      <c r="F3896" s="2">
        <v>834</v>
      </c>
      <c r="G3896" s="2">
        <v>1</v>
      </c>
      <c r="H3896" s="2" t="s">
        <v>525</v>
      </c>
      <c r="I3896" t="s">
        <v>2320</v>
      </c>
      <c r="J3896" s="2">
        <v>1579.7835966168102</v>
      </c>
      <c r="K3896" t="str">
        <f t="shared" si="130"/>
        <v>Jared Anderson</v>
      </c>
    </row>
    <row r="3897" spans="1:11" hidden="1" x14ac:dyDescent="0.35">
      <c r="A3897">
        <f t="shared" si="131"/>
        <v>3896</v>
      </c>
      <c r="B3897">
        <v>2024</v>
      </c>
      <c r="C3897" t="s">
        <v>263</v>
      </c>
      <c r="D3897" t="s">
        <v>2691</v>
      </c>
      <c r="E3897" t="s">
        <v>84</v>
      </c>
      <c r="F3897" s="2">
        <v>597</v>
      </c>
      <c r="G3897" s="2">
        <v>2</v>
      </c>
      <c r="H3897" s="2" t="s">
        <v>461</v>
      </c>
      <c r="I3897" t="s">
        <v>1448</v>
      </c>
      <c r="J3897" s="2">
        <v>1278.7536009528289</v>
      </c>
      <c r="K3897" t="str">
        <f t="shared" si="130"/>
        <v>Christian Jones</v>
      </c>
    </row>
    <row r="3898" spans="1:11" hidden="1" x14ac:dyDescent="0.35">
      <c r="A3898">
        <f t="shared" si="131"/>
        <v>3897</v>
      </c>
      <c r="B3898">
        <v>2024</v>
      </c>
      <c r="C3898" t="s">
        <v>263</v>
      </c>
      <c r="D3898" t="s">
        <v>2691</v>
      </c>
      <c r="E3898" t="s">
        <v>84</v>
      </c>
      <c r="F3898" s="2">
        <v>464</v>
      </c>
      <c r="G3898" s="2">
        <v>3</v>
      </c>
      <c r="H3898" s="2" t="s">
        <v>525</v>
      </c>
      <c r="I3898" t="s">
        <v>327</v>
      </c>
      <c r="J3898" s="2">
        <v>1102.6623418971478</v>
      </c>
      <c r="K3898" t="str">
        <f t="shared" si="130"/>
        <v>Carol Anderson</v>
      </c>
    </row>
    <row r="3899" spans="1:11" hidden="1" x14ac:dyDescent="0.35">
      <c r="A3899">
        <f t="shared" si="131"/>
        <v>3898</v>
      </c>
      <c r="B3899">
        <v>2024</v>
      </c>
      <c r="C3899" t="s">
        <v>263</v>
      </c>
      <c r="D3899" t="s">
        <v>2691</v>
      </c>
      <c r="E3899" t="s">
        <v>84</v>
      </c>
      <c r="F3899" s="2">
        <v>370</v>
      </c>
      <c r="G3899" s="2">
        <v>4</v>
      </c>
      <c r="H3899" s="2" t="s">
        <v>2646</v>
      </c>
      <c r="I3899" t="s">
        <v>826</v>
      </c>
      <c r="J3899" s="2">
        <v>977.72360528884769</v>
      </c>
      <c r="K3899" t="str">
        <f t="shared" si="130"/>
        <v>Kelly Kania</v>
      </c>
    </row>
    <row r="3900" spans="1:11" hidden="1" x14ac:dyDescent="0.35">
      <c r="A3900">
        <f t="shared" si="131"/>
        <v>3899</v>
      </c>
      <c r="B3900">
        <v>2024</v>
      </c>
      <c r="C3900" t="s">
        <v>263</v>
      </c>
      <c r="D3900" t="s">
        <v>2691</v>
      </c>
      <c r="E3900" t="s">
        <v>84</v>
      </c>
      <c r="F3900" s="2">
        <v>285</v>
      </c>
      <c r="G3900" s="2">
        <v>5</v>
      </c>
      <c r="H3900" s="2" t="s">
        <v>50</v>
      </c>
      <c r="I3900" t="s">
        <v>25</v>
      </c>
      <c r="J3900" s="2">
        <v>880.81359228079123</v>
      </c>
      <c r="K3900" t="str">
        <f t="shared" si="130"/>
        <v>Russell Fox</v>
      </c>
    </row>
    <row r="3901" spans="1:11" hidden="1" x14ac:dyDescent="0.35">
      <c r="A3901">
        <f t="shared" si="131"/>
        <v>3900</v>
      </c>
      <c r="B3901">
        <v>2024</v>
      </c>
      <c r="C3901" t="s">
        <v>263</v>
      </c>
      <c r="D3901" t="s">
        <v>2691</v>
      </c>
      <c r="E3901" t="s">
        <v>84</v>
      </c>
      <c r="F3901" s="2">
        <v>200</v>
      </c>
      <c r="G3901" s="2">
        <v>6</v>
      </c>
      <c r="H3901" s="2" t="s">
        <v>86</v>
      </c>
      <c r="I3901" t="s">
        <v>271</v>
      </c>
      <c r="J3901" s="2">
        <v>801.63234623316646</v>
      </c>
      <c r="K3901" t="str">
        <f t="shared" si="130"/>
        <v>Dan Goldman</v>
      </c>
    </row>
    <row r="3902" spans="1:11" hidden="1" x14ac:dyDescent="0.35">
      <c r="A3902">
        <f t="shared" si="131"/>
        <v>3901</v>
      </c>
      <c r="B3902">
        <v>2024</v>
      </c>
      <c r="C3902" t="s">
        <v>263</v>
      </c>
      <c r="D3902" t="s">
        <v>2691</v>
      </c>
      <c r="E3902" t="s">
        <v>84</v>
      </c>
      <c r="F3902" s="2">
        <v>100</v>
      </c>
      <c r="G3902" s="2">
        <v>7</v>
      </c>
      <c r="H3902" s="2" t="s">
        <v>1719</v>
      </c>
      <c r="I3902" t="s">
        <v>524</v>
      </c>
      <c r="J3902" s="2">
        <v>734.68555660255333</v>
      </c>
      <c r="K3902" t="str">
        <f t="shared" si="130"/>
        <v>Guy Berentsen</v>
      </c>
    </row>
    <row r="3903" spans="1:11" hidden="1" x14ac:dyDescent="0.35">
      <c r="A3903">
        <f t="shared" si="131"/>
        <v>3902</v>
      </c>
      <c r="B3903">
        <v>2024</v>
      </c>
      <c r="C3903" t="s">
        <v>263</v>
      </c>
      <c r="D3903" t="s">
        <v>2692</v>
      </c>
      <c r="E3903" t="s">
        <v>1429</v>
      </c>
      <c r="F3903" s="2">
        <v>1209</v>
      </c>
      <c r="G3903" s="2">
        <v>1</v>
      </c>
      <c r="H3903" s="2" t="s">
        <v>531</v>
      </c>
      <c r="I3903" t="s">
        <v>271</v>
      </c>
      <c r="J3903" s="2">
        <v>1732.3937598229686</v>
      </c>
      <c r="K3903" t="str">
        <f t="shared" si="130"/>
        <v>Dan Nussbaum</v>
      </c>
    </row>
    <row r="3904" spans="1:11" hidden="1" x14ac:dyDescent="0.35">
      <c r="A3904">
        <f t="shared" si="131"/>
        <v>3903</v>
      </c>
      <c r="B3904">
        <v>2024</v>
      </c>
      <c r="C3904" t="s">
        <v>263</v>
      </c>
      <c r="D3904" t="s">
        <v>2692</v>
      </c>
      <c r="E3904" t="s">
        <v>1429</v>
      </c>
      <c r="F3904" s="2">
        <v>1442</v>
      </c>
      <c r="G3904" s="2">
        <v>2</v>
      </c>
      <c r="H3904" s="2" t="s">
        <v>21</v>
      </c>
      <c r="I3904" t="s">
        <v>463</v>
      </c>
      <c r="J3904" s="2">
        <v>1431.3637641589874</v>
      </c>
      <c r="K3904" t="str">
        <f t="shared" si="130"/>
        <v>Richard Bremer</v>
      </c>
    </row>
    <row r="3905" spans="1:11" hidden="1" x14ac:dyDescent="0.35">
      <c r="A3905">
        <f t="shared" si="131"/>
        <v>3904</v>
      </c>
      <c r="B3905">
        <v>2024</v>
      </c>
      <c r="C3905" t="s">
        <v>263</v>
      </c>
      <c r="D3905" t="s">
        <v>2692</v>
      </c>
      <c r="E3905" t="s">
        <v>1429</v>
      </c>
      <c r="F3905" s="2">
        <v>944</v>
      </c>
      <c r="G3905" s="2">
        <v>3</v>
      </c>
      <c r="H3905" s="2" t="s">
        <v>612</v>
      </c>
      <c r="I3905" t="s">
        <v>181</v>
      </c>
      <c r="J3905" s="2">
        <v>1255.2725051033062</v>
      </c>
      <c r="K3905" t="str">
        <f t="shared" si="130"/>
        <v>Aaron Lion</v>
      </c>
    </row>
    <row r="3906" spans="1:11" hidden="1" x14ac:dyDescent="0.35">
      <c r="A3906">
        <f t="shared" si="131"/>
        <v>3905</v>
      </c>
      <c r="B3906">
        <v>2024</v>
      </c>
      <c r="C3906" t="s">
        <v>263</v>
      </c>
      <c r="D3906" t="s">
        <v>2692</v>
      </c>
      <c r="E3906" t="s">
        <v>1429</v>
      </c>
      <c r="F3906" s="2">
        <v>707</v>
      </c>
      <c r="G3906" s="2">
        <v>4</v>
      </c>
      <c r="H3906" s="2" t="s">
        <v>461</v>
      </c>
      <c r="I3906" t="s">
        <v>665</v>
      </c>
      <c r="J3906" s="2">
        <v>1130.3337684950061</v>
      </c>
      <c r="K3906" t="str">
        <f t="shared" ref="K3906:K3968" si="132">I3906&amp;" "&amp;H3906</f>
        <v>Robert Jones</v>
      </c>
    </row>
    <row r="3907" spans="1:11" hidden="1" x14ac:dyDescent="0.35">
      <c r="A3907">
        <f t="shared" si="131"/>
        <v>3906</v>
      </c>
      <c r="B3907">
        <v>2024</v>
      </c>
      <c r="C3907" t="s">
        <v>263</v>
      </c>
      <c r="D3907" t="s">
        <v>2692</v>
      </c>
      <c r="E3907" t="s">
        <v>1429</v>
      </c>
      <c r="F3907" s="2">
        <v>537</v>
      </c>
      <c r="G3907" s="2">
        <v>5</v>
      </c>
      <c r="H3907" s="2" t="s">
        <v>2693</v>
      </c>
      <c r="I3907" t="s">
        <v>2694</v>
      </c>
      <c r="J3907" s="2">
        <v>1033.4237554869499</v>
      </c>
      <c r="K3907" t="str">
        <f t="shared" si="132"/>
        <v>Cornelius Buijs</v>
      </c>
    </row>
    <row r="3908" spans="1:11" hidden="1" x14ac:dyDescent="0.35">
      <c r="A3908">
        <f t="shared" si="131"/>
        <v>3907</v>
      </c>
      <c r="B3908">
        <v>2024</v>
      </c>
      <c r="C3908" t="s">
        <v>263</v>
      </c>
      <c r="D3908" t="s">
        <v>2692</v>
      </c>
      <c r="E3908" t="s">
        <v>1429</v>
      </c>
      <c r="F3908" s="2">
        <v>367</v>
      </c>
      <c r="G3908" s="2">
        <v>6</v>
      </c>
      <c r="H3908" s="2" t="s">
        <v>609</v>
      </c>
      <c r="I3908" t="s">
        <v>610</v>
      </c>
      <c r="J3908" s="2">
        <v>954.24250943932498</v>
      </c>
      <c r="K3908" t="str">
        <f t="shared" si="132"/>
        <v>Deron Brod</v>
      </c>
    </row>
    <row r="3909" spans="1:11" hidden="1" x14ac:dyDescent="0.35">
      <c r="A3909">
        <f t="shared" si="131"/>
        <v>3908</v>
      </c>
      <c r="B3909">
        <v>2024</v>
      </c>
      <c r="C3909" t="s">
        <v>263</v>
      </c>
      <c r="D3909" t="s">
        <v>2692</v>
      </c>
      <c r="E3909" t="s">
        <v>1429</v>
      </c>
      <c r="F3909" s="2">
        <v>254</v>
      </c>
      <c r="G3909" s="2">
        <v>7</v>
      </c>
      <c r="H3909" s="2" t="s">
        <v>2432</v>
      </c>
      <c r="I3909" t="s">
        <v>139</v>
      </c>
      <c r="J3909" s="2">
        <v>887.29571980871185</v>
      </c>
      <c r="K3909" t="str">
        <f t="shared" si="132"/>
        <v>Mark Haroldson</v>
      </c>
    </row>
    <row r="3910" spans="1:11" hidden="1" x14ac:dyDescent="0.35">
      <c r="A3910">
        <f t="shared" si="131"/>
        <v>3909</v>
      </c>
      <c r="B3910">
        <v>2024</v>
      </c>
      <c r="C3910" t="s">
        <v>263</v>
      </c>
      <c r="D3910" t="s">
        <v>2692</v>
      </c>
      <c r="E3910" t="s">
        <v>1429</v>
      </c>
      <c r="F3910" s="2">
        <v>105</v>
      </c>
      <c r="G3910" s="2">
        <v>8</v>
      </c>
      <c r="H3910" s="2" t="s">
        <v>2696</v>
      </c>
      <c r="I3910" t="s">
        <v>1926</v>
      </c>
      <c r="J3910" s="2">
        <v>829.30377283102507</v>
      </c>
      <c r="K3910" t="str">
        <f t="shared" si="132"/>
        <v>Ellen Fried</v>
      </c>
    </row>
    <row r="3911" spans="1:11" hidden="1" x14ac:dyDescent="0.35">
      <c r="A3911">
        <f t="shared" si="131"/>
        <v>3910</v>
      </c>
      <c r="B3911">
        <v>2024</v>
      </c>
      <c r="C3911" t="s">
        <v>263</v>
      </c>
      <c r="D3911" t="s">
        <v>2692</v>
      </c>
      <c r="E3911" t="s">
        <v>1429</v>
      </c>
      <c r="F3911" s="2">
        <v>105</v>
      </c>
      <c r="G3911" s="2">
        <v>9</v>
      </c>
      <c r="H3911" t="s">
        <v>294</v>
      </c>
      <c r="I3911" t="s">
        <v>16</v>
      </c>
      <c r="J3911" s="2">
        <v>778.15125038364374</v>
      </c>
      <c r="K3911" t="str">
        <f t="shared" si="132"/>
        <v>David Low</v>
      </c>
    </row>
    <row r="3912" spans="1:11" hidden="1" x14ac:dyDescent="0.35">
      <c r="A3912">
        <f t="shared" si="131"/>
        <v>3911</v>
      </c>
      <c r="B3912">
        <v>2024</v>
      </c>
      <c r="C3912" t="s">
        <v>263</v>
      </c>
      <c r="D3912" t="s">
        <v>2698</v>
      </c>
      <c r="E3912" t="s">
        <v>1430</v>
      </c>
      <c r="F3912" s="2">
        <v>500</v>
      </c>
      <c r="G3912" s="2">
        <v>1</v>
      </c>
      <c r="H3912" s="2" t="s">
        <v>21</v>
      </c>
      <c r="I3912" t="s">
        <v>463</v>
      </c>
      <c r="J3912" s="2">
        <v>1681.2412373755872</v>
      </c>
      <c r="K3912" t="str">
        <f t="shared" si="132"/>
        <v>Richard Bremer</v>
      </c>
    </row>
    <row r="3913" spans="1:11" hidden="1" x14ac:dyDescent="0.35">
      <c r="A3913">
        <f t="shared" si="131"/>
        <v>3912</v>
      </c>
      <c r="B3913">
        <v>2024</v>
      </c>
      <c r="C3913" t="s">
        <v>263</v>
      </c>
      <c r="D3913" t="s">
        <v>2698</v>
      </c>
      <c r="E3913" t="s">
        <v>1430</v>
      </c>
      <c r="F3913" s="2">
        <v>500</v>
      </c>
      <c r="G3913" s="2">
        <v>2</v>
      </c>
      <c r="H3913" s="2" t="s">
        <v>531</v>
      </c>
      <c r="I3913" t="s">
        <v>271</v>
      </c>
      <c r="J3913" s="2">
        <v>1380.2112417116059</v>
      </c>
      <c r="K3913" t="str">
        <f t="shared" si="132"/>
        <v>Dan Nussbaum</v>
      </c>
    </row>
    <row r="3914" spans="1:11" hidden="1" x14ac:dyDescent="0.35">
      <c r="A3914">
        <f t="shared" si="131"/>
        <v>3913</v>
      </c>
      <c r="B3914">
        <v>2024</v>
      </c>
      <c r="C3914" t="s">
        <v>263</v>
      </c>
      <c r="D3914" t="s">
        <v>2698</v>
      </c>
      <c r="E3914" t="s">
        <v>1430</v>
      </c>
      <c r="F3914" s="2">
        <v>500</v>
      </c>
      <c r="G3914" s="2">
        <v>3</v>
      </c>
      <c r="H3914" s="2" t="s">
        <v>525</v>
      </c>
      <c r="I3914" t="s">
        <v>2320</v>
      </c>
      <c r="J3914" s="2">
        <v>1204.1199826559248</v>
      </c>
      <c r="K3914" t="str">
        <f t="shared" si="132"/>
        <v>Jared Anderson</v>
      </c>
    </row>
    <row r="3915" spans="1:11" hidden="1" x14ac:dyDescent="0.35">
      <c r="A3915">
        <f t="shared" si="131"/>
        <v>3914</v>
      </c>
      <c r="B3915">
        <v>2024</v>
      </c>
      <c r="C3915" t="s">
        <v>263</v>
      </c>
      <c r="D3915" t="s">
        <v>2698</v>
      </c>
      <c r="E3915" t="s">
        <v>1430</v>
      </c>
      <c r="F3915" s="2">
        <v>500</v>
      </c>
      <c r="G3915" s="2">
        <v>4</v>
      </c>
      <c r="H3915" s="2" t="s">
        <v>86</v>
      </c>
      <c r="I3915" t="s">
        <v>271</v>
      </c>
      <c r="J3915" s="2">
        <v>1079.1812460476247</v>
      </c>
      <c r="K3915" t="str">
        <f t="shared" si="132"/>
        <v>Dan Goldman</v>
      </c>
    </row>
    <row r="3916" spans="1:11" hidden="1" x14ac:dyDescent="0.35">
      <c r="A3916">
        <f t="shared" si="131"/>
        <v>3915</v>
      </c>
      <c r="B3916">
        <v>2024</v>
      </c>
      <c r="C3916" t="s">
        <v>263</v>
      </c>
      <c r="D3916" t="s">
        <v>2698</v>
      </c>
      <c r="E3916" t="s">
        <v>1430</v>
      </c>
      <c r="F3916" s="2">
        <v>500</v>
      </c>
      <c r="G3916" s="2">
        <v>5</v>
      </c>
      <c r="H3916" s="2" t="s">
        <v>226</v>
      </c>
      <c r="I3916" t="s">
        <v>227</v>
      </c>
      <c r="J3916" s="2">
        <v>982.2712330395683</v>
      </c>
      <c r="K3916" t="str">
        <f t="shared" si="132"/>
        <v>Patti Beadles</v>
      </c>
    </row>
    <row r="3917" spans="1:11" hidden="1" x14ac:dyDescent="0.35">
      <c r="A3917">
        <f t="shared" si="131"/>
        <v>3916</v>
      </c>
      <c r="B3917">
        <v>2024</v>
      </c>
      <c r="C3917" t="s">
        <v>263</v>
      </c>
      <c r="D3917" t="s">
        <v>2698</v>
      </c>
      <c r="E3917" t="s">
        <v>1430</v>
      </c>
      <c r="F3917" s="2">
        <v>500</v>
      </c>
      <c r="G3917" s="2">
        <v>6</v>
      </c>
      <c r="H3917" s="2" t="s">
        <v>525</v>
      </c>
      <c r="I3917" t="s">
        <v>327</v>
      </c>
      <c r="J3917" s="2">
        <v>903.08998699194353</v>
      </c>
      <c r="K3917" t="str">
        <f t="shared" si="132"/>
        <v>Carol Anderson</v>
      </c>
    </row>
    <row r="3918" spans="1:11" hidden="1" x14ac:dyDescent="0.35">
      <c r="A3918">
        <f t="shared" si="131"/>
        <v>3917</v>
      </c>
      <c r="B3918">
        <v>2024</v>
      </c>
      <c r="C3918" t="s">
        <v>263</v>
      </c>
      <c r="D3918" t="s">
        <v>2698</v>
      </c>
      <c r="E3918" t="s">
        <v>1430</v>
      </c>
      <c r="F3918" s="2">
        <v>100</v>
      </c>
      <c r="G3918" s="2">
        <v>7</v>
      </c>
      <c r="H3918" s="2" t="s">
        <v>70</v>
      </c>
      <c r="I3918" t="s">
        <v>71</v>
      </c>
      <c r="J3918" s="2">
        <v>836.14319736133041</v>
      </c>
      <c r="K3918" t="str">
        <f t="shared" si="132"/>
        <v>Scott Byron</v>
      </c>
    </row>
    <row r="3919" spans="1:11" hidden="1" x14ac:dyDescent="0.35">
      <c r="A3919">
        <f t="shared" si="131"/>
        <v>3918</v>
      </c>
      <c r="B3919">
        <v>2024</v>
      </c>
      <c r="C3919" t="s">
        <v>263</v>
      </c>
      <c r="D3919" t="s">
        <v>2698</v>
      </c>
      <c r="E3919" t="s">
        <v>1430</v>
      </c>
      <c r="F3919" s="2">
        <v>100</v>
      </c>
      <c r="G3919" s="2">
        <v>7</v>
      </c>
      <c r="H3919" s="2" t="s">
        <v>1053</v>
      </c>
      <c r="I3919" t="s">
        <v>128</v>
      </c>
      <c r="J3919" s="2">
        <v>836.14319736133041</v>
      </c>
      <c r="K3919" t="str">
        <f t="shared" si="132"/>
        <v>Lee Crocker</v>
      </c>
    </row>
    <row r="3920" spans="1:11" hidden="1" x14ac:dyDescent="0.35">
      <c r="A3920">
        <f t="shared" si="131"/>
        <v>3919</v>
      </c>
      <c r="B3920">
        <v>2024</v>
      </c>
      <c r="C3920" t="s">
        <v>263</v>
      </c>
      <c r="D3920" t="s">
        <v>2698</v>
      </c>
      <c r="E3920" t="s">
        <v>1430</v>
      </c>
      <c r="F3920" s="2">
        <v>100</v>
      </c>
      <c r="G3920" s="2">
        <v>7</v>
      </c>
      <c r="H3920" s="2" t="s">
        <v>217</v>
      </c>
      <c r="I3920" t="s">
        <v>218</v>
      </c>
      <c r="J3920" s="2">
        <v>836.14319736133041</v>
      </c>
      <c r="K3920" t="str">
        <f t="shared" si="132"/>
        <v>Michael Patterson</v>
      </c>
    </row>
    <row r="3921" spans="1:11" hidden="1" x14ac:dyDescent="0.35">
      <c r="A3921">
        <f t="shared" si="131"/>
        <v>3920</v>
      </c>
      <c r="B3921">
        <v>2024</v>
      </c>
      <c r="C3921" t="s">
        <v>263</v>
      </c>
      <c r="D3921" t="s">
        <v>2698</v>
      </c>
      <c r="E3921" t="s">
        <v>1430</v>
      </c>
      <c r="F3921" s="2">
        <v>100</v>
      </c>
      <c r="G3921" s="2">
        <v>7</v>
      </c>
      <c r="H3921" s="2" t="s">
        <v>323</v>
      </c>
      <c r="I3921" t="s">
        <v>324</v>
      </c>
      <c r="J3921" s="2">
        <v>836.14319736133041</v>
      </c>
      <c r="K3921" t="str">
        <f t="shared" si="132"/>
        <v>Andrew Prock</v>
      </c>
    </row>
    <row r="3922" spans="1:11" hidden="1" x14ac:dyDescent="0.35">
      <c r="A3922">
        <f t="shared" si="131"/>
        <v>3921</v>
      </c>
      <c r="B3922">
        <v>2024</v>
      </c>
      <c r="C3922" t="s">
        <v>263</v>
      </c>
      <c r="D3922" t="s">
        <v>2698</v>
      </c>
      <c r="E3922" t="s">
        <v>1430</v>
      </c>
      <c r="F3922" s="2">
        <v>100</v>
      </c>
      <c r="G3922" s="2">
        <v>7</v>
      </c>
      <c r="H3922" s="2" t="s">
        <v>485</v>
      </c>
      <c r="I3922" t="s">
        <v>196</v>
      </c>
      <c r="J3922" s="2">
        <v>836.14319736133041</v>
      </c>
      <c r="K3922" t="str">
        <f t="shared" si="132"/>
        <v>Dave Spencer</v>
      </c>
    </row>
    <row r="3923" spans="1:11" hidden="1" x14ac:dyDescent="0.35">
      <c r="A3923">
        <f t="shared" ref="A3923:A3968" si="133">A3922+1</f>
        <v>3922</v>
      </c>
      <c r="B3923">
        <v>2024</v>
      </c>
      <c r="C3923" t="s">
        <v>263</v>
      </c>
      <c r="D3923" t="s">
        <v>2698</v>
      </c>
      <c r="E3923" t="s">
        <v>1430</v>
      </c>
      <c r="F3923" s="2">
        <v>100</v>
      </c>
      <c r="G3923" s="2">
        <v>7</v>
      </c>
      <c r="H3923" s="2" t="s">
        <v>527</v>
      </c>
      <c r="I3923" t="s">
        <v>11</v>
      </c>
      <c r="J3923" s="2">
        <v>836.14319736133041</v>
      </c>
      <c r="K3923" t="str">
        <f t="shared" si="132"/>
        <v>Paul Stine</v>
      </c>
    </row>
    <row r="3924" spans="1:11" hidden="1" x14ac:dyDescent="0.35">
      <c r="A3924">
        <f t="shared" si="133"/>
        <v>3923</v>
      </c>
      <c r="B3924">
        <v>2024</v>
      </c>
      <c r="C3924" t="s">
        <v>263</v>
      </c>
      <c r="D3924" t="s">
        <v>2700</v>
      </c>
      <c r="E3924" t="s">
        <v>133</v>
      </c>
      <c r="F3924" s="2">
        <v>1567</v>
      </c>
      <c r="G3924" s="2">
        <v>1</v>
      </c>
      <c r="H3924" s="2" t="s">
        <v>1861</v>
      </c>
      <c r="I3924" t="s">
        <v>200</v>
      </c>
      <c r="J3924" s="2">
        <v>1732.3937598229686</v>
      </c>
      <c r="K3924" t="str">
        <f t="shared" si="132"/>
        <v>Rick Mombourquette</v>
      </c>
    </row>
    <row r="3925" spans="1:11" hidden="1" x14ac:dyDescent="0.35">
      <c r="A3925">
        <f t="shared" si="133"/>
        <v>3924</v>
      </c>
      <c r="B3925">
        <v>2024</v>
      </c>
      <c r="C3925" t="s">
        <v>263</v>
      </c>
      <c r="D3925" t="s">
        <v>2700</v>
      </c>
      <c r="E3925" t="s">
        <v>133</v>
      </c>
      <c r="F3925" s="2">
        <v>1171</v>
      </c>
      <c r="G3925" s="2">
        <v>2</v>
      </c>
      <c r="H3925" s="2" t="s">
        <v>714</v>
      </c>
      <c r="I3925" t="s">
        <v>528</v>
      </c>
      <c r="J3925" s="2">
        <v>1431.3637641589874</v>
      </c>
      <c r="K3925" t="str">
        <f t="shared" si="132"/>
        <v>Tim Showalter</v>
      </c>
    </row>
    <row r="3926" spans="1:11" hidden="1" x14ac:dyDescent="0.35">
      <c r="A3926">
        <f t="shared" si="133"/>
        <v>3925</v>
      </c>
      <c r="B3926">
        <v>2024</v>
      </c>
      <c r="C3926" t="s">
        <v>263</v>
      </c>
      <c r="D3926" t="s">
        <v>2700</v>
      </c>
      <c r="E3926" t="s">
        <v>133</v>
      </c>
      <c r="F3926" s="2">
        <v>887</v>
      </c>
      <c r="G3926" s="2">
        <v>3</v>
      </c>
      <c r="H3926" s="2" t="s">
        <v>86</v>
      </c>
      <c r="I3926" t="s">
        <v>271</v>
      </c>
      <c r="J3926" s="2">
        <v>1255.2725051033062</v>
      </c>
      <c r="K3926" t="str">
        <f t="shared" si="132"/>
        <v>Dan Goldman</v>
      </c>
    </row>
    <row r="3927" spans="1:11" hidden="1" x14ac:dyDescent="0.35">
      <c r="A3927">
        <f t="shared" si="133"/>
        <v>3926</v>
      </c>
      <c r="B3927">
        <v>2024</v>
      </c>
      <c r="C3927" t="s">
        <v>263</v>
      </c>
      <c r="D3927" t="s">
        <v>2700</v>
      </c>
      <c r="E3927" t="s">
        <v>133</v>
      </c>
      <c r="F3927" s="2">
        <v>717</v>
      </c>
      <c r="G3927" s="2">
        <v>4</v>
      </c>
      <c r="H3927" s="2" t="s">
        <v>2365</v>
      </c>
      <c r="I3927" t="s">
        <v>2366</v>
      </c>
      <c r="J3927" s="2">
        <v>1130.3337684950061</v>
      </c>
      <c r="K3927" t="str">
        <f t="shared" si="132"/>
        <v>Jesse Capps</v>
      </c>
    </row>
    <row r="3928" spans="1:11" hidden="1" x14ac:dyDescent="0.35">
      <c r="A3928">
        <f t="shared" si="133"/>
        <v>3927</v>
      </c>
      <c r="B3928">
        <v>2024</v>
      </c>
      <c r="C3928" t="s">
        <v>263</v>
      </c>
      <c r="D3928" t="s">
        <v>2700</v>
      </c>
      <c r="E3928" t="s">
        <v>133</v>
      </c>
      <c r="F3928" s="2">
        <v>547</v>
      </c>
      <c r="G3928" s="2">
        <v>5</v>
      </c>
      <c r="H3928" s="2" t="s">
        <v>99</v>
      </c>
      <c r="I3928" t="s">
        <v>101</v>
      </c>
      <c r="J3928" s="2">
        <v>1033.4237554869499</v>
      </c>
      <c r="K3928" t="str">
        <f t="shared" si="132"/>
        <v>Dean Kerl</v>
      </c>
    </row>
    <row r="3929" spans="1:11" hidden="1" x14ac:dyDescent="0.35">
      <c r="A3929">
        <f t="shared" si="133"/>
        <v>3928</v>
      </c>
      <c r="B3929">
        <v>2024</v>
      </c>
      <c r="C3929" t="s">
        <v>263</v>
      </c>
      <c r="D3929" t="s">
        <v>2700</v>
      </c>
      <c r="E3929" t="s">
        <v>133</v>
      </c>
      <c r="F3929" s="2">
        <v>377</v>
      </c>
      <c r="G3929" s="2">
        <v>6</v>
      </c>
      <c r="H3929" s="2" t="s">
        <v>461</v>
      </c>
      <c r="I3929" t="s">
        <v>1448</v>
      </c>
      <c r="J3929" s="2">
        <v>954.24250943932498</v>
      </c>
      <c r="K3929" t="str">
        <f t="shared" si="132"/>
        <v>Christian Jones</v>
      </c>
    </row>
    <row r="3930" spans="1:11" hidden="1" x14ac:dyDescent="0.35">
      <c r="A3930">
        <f t="shared" si="133"/>
        <v>3929</v>
      </c>
      <c r="B3930">
        <v>2024</v>
      </c>
      <c r="C3930" t="s">
        <v>263</v>
      </c>
      <c r="D3930" t="s">
        <v>2700</v>
      </c>
      <c r="E3930" t="s">
        <v>133</v>
      </c>
      <c r="F3930" s="2">
        <v>264</v>
      </c>
      <c r="G3930" s="2">
        <v>7</v>
      </c>
      <c r="H3930" s="2" t="s">
        <v>204</v>
      </c>
      <c r="I3930" t="s">
        <v>205</v>
      </c>
      <c r="J3930" s="2">
        <v>887.29571980871185</v>
      </c>
      <c r="K3930" t="str">
        <f t="shared" si="132"/>
        <v>Ron Grossberg</v>
      </c>
    </row>
    <row r="3931" spans="1:11" hidden="1" x14ac:dyDescent="0.35">
      <c r="A3931">
        <f t="shared" si="133"/>
        <v>3930</v>
      </c>
      <c r="B3931">
        <v>2024</v>
      </c>
      <c r="C3931" t="s">
        <v>263</v>
      </c>
      <c r="D3931" t="s">
        <v>2700</v>
      </c>
      <c r="E3931" t="s">
        <v>133</v>
      </c>
      <c r="F3931" s="2">
        <v>140</v>
      </c>
      <c r="G3931" s="2">
        <v>8</v>
      </c>
      <c r="H3931" s="2" t="s">
        <v>128</v>
      </c>
      <c r="I3931" t="s">
        <v>395</v>
      </c>
      <c r="J3931" s="2">
        <v>829.30377283102507</v>
      </c>
      <c r="K3931" t="str">
        <f t="shared" si="132"/>
        <v>Troy Lee</v>
      </c>
    </row>
    <row r="3932" spans="1:11" hidden="1" x14ac:dyDescent="0.35">
      <c r="A3932">
        <f t="shared" si="133"/>
        <v>3931</v>
      </c>
      <c r="B3932">
        <v>2024</v>
      </c>
      <c r="C3932" t="s">
        <v>263</v>
      </c>
      <c r="D3932" t="s">
        <v>110</v>
      </c>
      <c r="E3932" t="s">
        <v>110</v>
      </c>
      <c r="F3932" s="2">
        <v>2321</v>
      </c>
      <c r="G3932" s="2">
        <v>1</v>
      </c>
      <c r="H3932" s="2" t="s">
        <v>2365</v>
      </c>
      <c r="I3932" t="s">
        <v>2366</v>
      </c>
      <c r="J3932" s="2">
        <v>1892.0946026904803</v>
      </c>
      <c r="K3932" t="str">
        <f t="shared" si="132"/>
        <v>Jesse Capps</v>
      </c>
    </row>
    <row r="3933" spans="1:11" hidden="1" x14ac:dyDescent="0.35">
      <c r="A3933">
        <f t="shared" si="133"/>
        <v>3932</v>
      </c>
      <c r="B3933">
        <v>2024</v>
      </c>
      <c r="C3933" t="s">
        <v>263</v>
      </c>
      <c r="D3933" t="s">
        <v>110</v>
      </c>
      <c r="E3933" t="s">
        <v>110</v>
      </c>
      <c r="F3933" s="2">
        <v>1758</v>
      </c>
      <c r="G3933" s="2">
        <v>2</v>
      </c>
      <c r="H3933" s="2" t="s">
        <v>21</v>
      </c>
      <c r="I3933" t="s">
        <v>463</v>
      </c>
      <c r="J3933" s="2">
        <v>1591.0646070264991</v>
      </c>
      <c r="K3933" t="str">
        <f t="shared" si="132"/>
        <v>Richard Bremer</v>
      </c>
    </row>
    <row r="3934" spans="1:11" hidden="1" x14ac:dyDescent="0.35">
      <c r="A3934">
        <f t="shared" si="133"/>
        <v>3933</v>
      </c>
      <c r="B3934">
        <v>2024</v>
      </c>
      <c r="C3934" t="s">
        <v>263</v>
      </c>
      <c r="D3934" t="s">
        <v>110</v>
      </c>
      <c r="E3934" t="s">
        <v>110</v>
      </c>
      <c r="F3934" s="2">
        <v>1290</v>
      </c>
      <c r="G3934" s="2">
        <v>3</v>
      </c>
      <c r="H3934" s="2" t="s">
        <v>525</v>
      </c>
      <c r="I3934" t="s">
        <v>2320</v>
      </c>
      <c r="J3934" s="2">
        <v>1414.9733479708179</v>
      </c>
      <c r="K3934" t="str">
        <f t="shared" si="132"/>
        <v>Jared Anderson</v>
      </c>
    </row>
    <row r="3935" spans="1:11" hidden="1" x14ac:dyDescent="0.35">
      <c r="A3935">
        <f t="shared" si="133"/>
        <v>3934</v>
      </c>
      <c r="B3935">
        <v>2024</v>
      </c>
      <c r="C3935" t="s">
        <v>263</v>
      </c>
      <c r="D3935" t="s">
        <v>110</v>
      </c>
      <c r="E3935" t="s">
        <v>110</v>
      </c>
      <c r="F3935" s="2">
        <v>1010</v>
      </c>
      <c r="G3935" s="2">
        <v>4</v>
      </c>
      <c r="H3935" s="2" t="s">
        <v>226</v>
      </c>
      <c r="I3935" t="s">
        <v>227</v>
      </c>
      <c r="J3935" s="2">
        <v>1290.0346113625178</v>
      </c>
      <c r="K3935" t="str">
        <f t="shared" si="132"/>
        <v>Patti Beadles</v>
      </c>
    </row>
    <row r="3936" spans="1:11" hidden="1" x14ac:dyDescent="0.35">
      <c r="A3936">
        <f t="shared" si="133"/>
        <v>3935</v>
      </c>
      <c r="B3936">
        <v>2024</v>
      </c>
      <c r="C3936" t="s">
        <v>263</v>
      </c>
      <c r="D3936" t="s">
        <v>110</v>
      </c>
      <c r="E3936" t="s">
        <v>110</v>
      </c>
      <c r="F3936" s="2">
        <v>822</v>
      </c>
      <c r="G3936" s="2">
        <v>5</v>
      </c>
      <c r="H3936" s="2" t="s">
        <v>527</v>
      </c>
      <c r="I3936" t="s">
        <v>528</v>
      </c>
      <c r="J3936" s="2">
        <v>1193.1245983544616</v>
      </c>
      <c r="K3936" t="str">
        <f t="shared" si="132"/>
        <v>Tim Stine</v>
      </c>
    </row>
    <row r="3937" spans="1:11" hidden="1" x14ac:dyDescent="0.35">
      <c r="A3937">
        <f t="shared" si="133"/>
        <v>3936</v>
      </c>
      <c r="B3937">
        <v>2024</v>
      </c>
      <c r="C3937" t="s">
        <v>263</v>
      </c>
      <c r="D3937" t="s">
        <v>110</v>
      </c>
      <c r="E3937" t="s">
        <v>110</v>
      </c>
      <c r="F3937" s="2">
        <v>635</v>
      </c>
      <c r="G3937" s="2">
        <v>6</v>
      </c>
      <c r="H3937" s="2" t="s">
        <v>1445</v>
      </c>
      <c r="I3937" t="s">
        <v>1746</v>
      </c>
      <c r="J3937" s="2">
        <v>1113.9433523068367</v>
      </c>
      <c r="K3937" t="str">
        <f t="shared" si="132"/>
        <v>Kevan Garrett</v>
      </c>
    </row>
    <row r="3938" spans="1:11" hidden="1" x14ac:dyDescent="0.35">
      <c r="A3938">
        <f t="shared" si="133"/>
        <v>3937</v>
      </c>
      <c r="B3938">
        <v>2024</v>
      </c>
      <c r="C3938" t="s">
        <v>263</v>
      </c>
      <c r="D3938" t="s">
        <v>110</v>
      </c>
      <c r="E3938" t="s">
        <v>110</v>
      </c>
      <c r="F3938" s="2">
        <v>448</v>
      </c>
      <c r="G3938" s="2">
        <v>7</v>
      </c>
      <c r="H3938" t="s">
        <v>608</v>
      </c>
      <c r="I3938" t="s">
        <v>267</v>
      </c>
      <c r="J3938" s="2">
        <v>1046.9965626762234</v>
      </c>
      <c r="K3938" t="str">
        <f t="shared" si="132"/>
        <v>Christopher Kuntz</v>
      </c>
    </row>
    <row r="3939" spans="1:11" hidden="1" x14ac:dyDescent="0.35">
      <c r="A3939">
        <f t="shared" si="133"/>
        <v>3938</v>
      </c>
      <c r="B3939">
        <v>2024</v>
      </c>
      <c r="C3939" t="s">
        <v>263</v>
      </c>
      <c r="D3939" t="s">
        <v>110</v>
      </c>
      <c r="E3939" t="s">
        <v>110</v>
      </c>
      <c r="F3939" s="2">
        <v>354</v>
      </c>
      <c r="G3939" s="2">
        <v>8</v>
      </c>
      <c r="H3939" s="2" t="s">
        <v>128</v>
      </c>
      <c r="I3939" t="s">
        <v>395</v>
      </c>
      <c r="J3939" s="2">
        <v>989.00461569853678</v>
      </c>
      <c r="K3939" t="str">
        <f t="shared" si="132"/>
        <v>Troy Lee</v>
      </c>
    </row>
    <row r="3940" spans="1:11" hidden="1" x14ac:dyDescent="0.35">
      <c r="A3940">
        <f t="shared" si="133"/>
        <v>3939</v>
      </c>
      <c r="B3940">
        <v>2024</v>
      </c>
      <c r="C3940" t="s">
        <v>263</v>
      </c>
      <c r="D3940" t="s">
        <v>110</v>
      </c>
      <c r="E3940" t="s">
        <v>110</v>
      </c>
      <c r="F3940" s="2">
        <v>261</v>
      </c>
      <c r="G3940" s="2">
        <v>9</v>
      </c>
      <c r="H3940" s="2" t="s">
        <v>86</v>
      </c>
      <c r="I3940" t="s">
        <v>271</v>
      </c>
      <c r="J3940" s="2">
        <v>937.85209325115545</v>
      </c>
      <c r="K3940" t="str">
        <f t="shared" si="132"/>
        <v>Dan Goldman</v>
      </c>
    </row>
    <row r="3941" spans="1:11" hidden="1" x14ac:dyDescent="0.35">
      <c r="A3941">
        <f t="shared" si="133"/>
        <v>3940</v>
      </c>
      <c r="B3941">
        <v>2024</v>
      </c>
      <c r="C3941" t="s">
        <v>263</v>
      </c>
      <c r="D3941" t="s">
        <v>110</v>
      </c>
      <c r="E3941" t="s">
        <v>110</v>
      </c>
      <c r="F3941" s="2">
        <v>261</v>
      </c>
      <c r="G3941" s="2">
        <v>10</v>
      </c>
      <c r="H3941" s="2" t="s">
        <v>482</v>
      </c>
      <c r="I3941" t="s">
        <v>410</v>
      </c>
      <c r="J3941" s="2">
        <v>892.09460269048031</v>
      </c>
      <c r="K3941" t="str">
        <f t="shared" si="132"/>
        <v>Larry Bierman</v>
      </c>
    </row>
    <row r="3942" spans="1:11" hidden="1" x14ac:dyDescent="0.35">
      <c r="A3942">
        <f t="shared" si="133"/>
        <v>3941</v>
      </c>
      <c r="B3942">
        <v>2024</v>
      </c>
      <c r="C3942" t="s">
        <v>263</v>
      </c>
      <c r="D3942" t="s">
        <v>110</v>
      </c>
      <c r="E3942" t="s">
        <v>110</v>
      </c>
      <c r="F3942" s="2">
        <v>200</v>
      </c>
      <c r="G3942" s="2">
        <v>11</v>
      </c>
      <c r="H3942" s="2" t="s">
        <v>74</v>
      </c>
      <c r="I3942" t="s">
        <v>75</v>
      </c>
      <c r="J3942" s="2">
        <v>850.70191753225527</v>
      </c>
      <c r="K3942" t="str">
        <f t="shared" si="132"/>
        <v>Sabyl Landrum</v>
      </c>
    </row>
    <row r="3943" spans="1:11" hidden="1" x14ac:dyDescent="0.35">
      <c r="A3943">
        <f t="shared" si="133"/>
        <v>3942</v>
      </c>
      <c r="B3943">
        <v>2024</v>
      </c>
      <c r="C3943" t="s">
        <v>263</v>
      </c>
      <c r="D3943" t="s">
        <v>2703</v>
      </c>
      <c r="E3943" t="s">
        <v>1429</v>
      </c>
      <c r="F3943" s="2">
        <v>2962</v>
      </c>
      <c r="G3943" s="2">
        <v>1</v>
      </c>
      <c r="H3943" s="2" t="s">
        <v>714</v>
      </c>
      <c r="I3943" t="s">
        <v>528</v>
      </c>
      <c r="J3943" s="2">
        <v>1995.6351945975498</v>
      </c>
      <c r="K3943" t="str">
        <f t="shared" si="132"/>
        <v>Tim Showalter</v>
      </c>
    </row>
    <row r="3944" spans="1:11" hidden="1" x14ac:dyDescent="0.35">
      <c r="A3944">
        <f t="shared" si="133"/>
        <v>3943</v>
      </c>
      <c r="B3944">
        <v>2024</v>
      </c>
      <c r="C3944" t="s">
        <v>263</v>
      </c>
      <c r="D3944" t="s">
        <v>2703</v>
      </c>
      <c r="E3944" t="s">
        <v>1429</v>
      </c>
      <c r="F3944" s="2">
        <v>2631</v>
      </c>
      <c r="G3944" s="2">
        <v>2</v>
      </c>
      <c r="H3944" s="2" t="s">
        <v>1177</v>
      </c>
      <c r="I3944" t="s">
        <v>717</v>
      </c>
      <c r="J3944" s="2">
        <v>1694.6051989335685</v>
      </c>
      <c r="K3944" t="str">
        <f t="shared" si="132"/>
        <v>Ben Gamble</v>
      </c>
    </row>
    <row r="3945" spans="1:11" hidden="1" x14ac:dyDescent="0.35">
      <c r="A3945">
        <f t="shared" si="133"/>
        <v>3944</v>
      </c>
      <c r="B3945">
        <v>2024</v>
      </c>
      <c r="C3945" t="s">
        <v>263</v>
      </c>
      <c r="D3945" t="s">
        <v>2703</v>
      </c>
      <c r="E3945" t="s">
        <v>1429</v>
      </c>
      <c r="F3945" s="2">
        <v>1594</v>
      </c>
      <c r="G3945" s="2">
        <v>3</v>
      </c>
      <c r="H3945" s="2" t="s">
        <v>366</v>
      </c>
      <c r="I3945" t="s">
        <v>61</v>
      </c>
      <c r="J3945" s="2">
        <v>1518.5139398778874</v>
      </c>
      <c r="K3945" t="str">
        <f t="shared" si="132"/>
        <v>Len Greenberg</v>
      </c>
    </row>
    <row r="3946" spans="1:11" hidden="1" x14ac:dyDescent="0.35">
      <c r="A3946">
        <f t="shared" si="133"/>
        <v>3945</v>
      </c>
      <c r="B3946">
        <v>2024</v>
      </c>
      <c r="C3946" t="s">
        <v>263</v>
      </c>
      <c r="D3946" t="s">
        <v>2703</v>
      </c>
      <c r="E3946" t="s">
        <v>1429</v>
      </c>
      <c r="F3946" s="2">
        <v>1193</v>
      </c>
      <c r="G3946" s="2">
        <v>4</v>
      </c>
      <c r="H3946" s="2" t="s">
        <v>135</v>
      </c>
      <c r="I3946" t="s">
        <v>1073</v>
      </c>
      <c r="J3946" s="2">
        <v>1393.5752032695875</v>
      </c>
      <c r="K3946" t="str">
        <f t="shared" si="132"/>
        <v>Sam Scheinberg</v>
      </c>
    </row>
    <row r="3947" spans="1:11" hidden="1" x14ac:dyDescent="0.35">
      <c r="A3947">
        <f t="shared" si="133"/>
        <v>3946</v>
      </c>
      <c r="B3947">
        <v>2024</v>
      </c>
      <c r="C3947" t="s">
        <v>263</v>
      </c>
      <c r="D3947" t="s">
        <v>2703</v>
      </c>
      <c r="E3947" t="s">
        <v>1429</v>
      </c>
      <c r="F3947" s="2">
        <v>926</v>
      </c>
      <c r="G3947" s="2">
        <v>5</v>
      </c>
      <c r="H3947" s="2" t="s">
        <v>332</v>
      </c>
      <c r="I3947" t="s">
        <v>451</v>
      </c>
      <c r="J3947" s="2">
        <v>1296.6651902615308</v>
      </c>
      <c r="K3947" t="str">
        <f t="shared" si="132"/>
        <v>Connie Kellers</v>
      </c>
    </row>
    <row r="3948" spans="1:11" hidden="1" x14ac:dyDescent="0.35">
      <c r="A3948">
        <f t="shared" si="133"/>
        <v>3947</v>
      </c>
      <c r="B3948">
        <v>2024</v>
      </c>
      <c r="C3948" t="s">
        <v>263</v>
      </c>
      <c r="D3948" t="s">
        <v>2703</v>
      </c>
      <c r="E3948" t="s">
        <v>1429</v>
      </c>
      <c r="F3948" s="2">
        <v>792</v>
      </c>
      <c r="G3948" s="2">
        <v>6</v>
      </c>
      <c r="H3948" s="2" t="s">
        <v>612</v>
      </c>
      <c r="I3948" t="s">
        <v>181</v>
      </c>
      <c r="J3948" s="2">
        <v>1217.4839442139062</v>
      </c>
      <c r="K3948" t="str">
        <f t="shared" si="132"/>
        <v>Aaron Lion</v>
      </c>
    </row>
    <row r="3949" spans="1:11" hidden="1" x14ac:dyDescent="0.35">
      <c r="A3949">
        <f t="shared" si="133"/>
        <v>3948</v>
      </c>
      <c r="B3949">
        <v>2024</v>
      </c>
      <c r="C3949" t="s">
        <v>263</v>
      </c>
      <c r="D3949" t="s">
        <v>2703</v>
      </c>
      <c r="E3949" t="s">
        <v>1429</v>
      </c>
      <c r="F3949" s="2">
        <v>525</v>
      </c>
      <c r="G3949" s="2">
        <v>7</v>
      </c>
      <c r="H3949" s="2" t="s">
        <v>2635</v>
      </c>
      <c r="I3949" t="s">
        <v>955</v>
      </c>
      <c r="J3949" s="2">
        <v>1150.5371545832932</v>
      </c>
      <c r="K3949" t="str">
        <f t="shared" si="132"/>
        <v>Terry Jaglarski</v>
      </c>
    </row>
    <row r="3950" spans="1:11" hidden="1" x14ac:dyDescent="0.35">
      <c r="A3950">
        <f t="shared" si="133"/>
        <v>3949</v>
      </c>
      <c r="B3950">
        <v>2024</v>
      </c>
      <c r="C3950" t="s">
        <v>263</v>
      </c>
      <c r="D3950" t="s">
        <v>2703</v>
      </c>
      <c r="E3950" t="s">
        <v>1429</v>
      </c>
      <c r="F3950" s="2">
        <v>391</v>
      </c>
      <c r="G3950" s="2">
        <v>8</v>
      </c>
      <c r="H3950" s="2" t="s">
        <v>64</v>
      </c>
      <c r="I3950" t="s">
        <v>65</v>
      </c>
      <c r="J3950" s="2">
        <v>1092.5452076056063</v>
      </c>
      <c r="K3950" t="str">
        <f t="shared" si="132"/>
        <v>Steve Daniel</v>
      </c>
    </row>
    <row r="3951" spans="1:11" hidden="1" x14ac:dyDescent="0.35">
      <c r="A3951">
        <f t="shared" si="133"/>
        <v>3950</v>
      </c>
      <c r="B3951">
        <v>2024</v>
      </c>
      <c r="C3951" t="s">
        <v>263</v>
      </c>
      <c r="D3951" t="s">
        <v>2703</v>
      </c>
      <c r="E3951" t="s">
        <v>1429</v>
      </c>
      <c r="F3951" s="2">
        <v>391</v>
      </c>
      <c r="G3951" s="2">
        <v>9</v>
      </c>
      <c r="H3951" s="2" t="s">
        <v>37</v>
      </c>
      <c r="I3951" t="s">
        <v>38</v>
      </c>
      <c r="J3951" s="2">
        <v>1041.3926851582248</v>
      </c>
      <c r="K3951" t="str">
        <f t="shared" si="132"/>
        <v>Doug Grismore</v>
      </c>
    </row>
    <row r="3952" spans="1:11" hidden="1" x14ac:dyDescent="0.35">
      <c r="A3952">
        <f t="shared" si="133"/>
        <v>3951</v>
      </c>
      <c r="B3952">
        <v>2024</v>
      </c>
      <c r="C3952" t="s">
        <v>263</v>
      </c>
      <c r="D3952" t="s">
        <v>2703</v>
      </c>
      <c r="E3952" t="s">
        <v>1429</v>
      </c>
      <c r="F3952" s="2">
        <v>391</v>
      </c>
      <c r="G3952" s="2">
        <v>10</v>
      </c>
      <c r="H3952" s="2" t="s">
        <v>299</v>
      </c>
      <c r="I3952" t="s">
        <v>300</v>
      </c>
      <c r="J3952" s="2">
        <v>995.63519459754991</v>
      </c>
      <c r="K3952" t="str">
        <f t="shared" si="132"/>
        <v>Gillian Groves</v>
      </c>
    </row>
    <row r="3953" spans="1:11" hidden="1" x14ac:dyDescent="0.35">
      <c r="A3953">
        <f t="shared" si="133"/>
        <v>3952</v>
      </c>
      <c r="B3953">
        <v>2024</v>
      </c>
      <c r="C3953" t="s">
        <v>263</v>
      </c>
      <c r="D3953" t="s">
        <v>2703</v>
      </c>
      <c r="E3953" t="s">
        <v>1429</v>
      </c>
      <c r="F3953" s="2">
        <v>324</v>
      </c>
      <c r="G3953" s="2">
        <v>11</v>
      </c>
      <c r="H3953" s="2" t="s">
        <v>533</v>
      </c>
      <c r="I3953" t="s">
        <v>534</v>
      </c>
      <c r="J3953" s="2">
        <v>954.24250943932475</v>
      </c>
      <c r="K3953" t="str">
        <f t="shared" si="132"/>
        <v>Edmund Hack</v>
      </c>
    </row>
    <row r="3954" spans="1:11" hidden="1" x14ac:dyDescent="0.35">
      <c r="A3954">
        <f t="shared" si="133"/>
        <v>3953</v>
      </c>
      <c r="B3954">
        <v>2024</v>
      </c>
      <c r="C3954" t="s">
        <v>263</v>
      </c>
      <c r="D3954" t="s">
        <v>2703</v>
      </c>
      <c r="E3954" t="s">
        <v>1429</v>
      </c>
      <c r="F3954" s="2">
        <v>324</v>
      </c>
      <c r="G3954" s="2">
        <v>12</v>
      </c>
      <c r="H3954" t="s">
        <v>294</v>
      </c>
      <c r="I3954" t="s">
        <v>16</v>
      </c>
      <c r="J3954" s="2">
        <v>916.45394854992503</v>
      </c>
      <c r="K3954" t="str">
        <f t="shared" si="132"/>
        <v>David Low</v>
      </c>
    </row>
    <row r="3955" spans="1:11" hidden="1" x14ac:dyDescent="0.35">
      <c r="A3955">
        <f t="shared" si="133"/>
        <v>3954</v>
      </c>
      <c r="B3955">
        <v>2024</v>
      </c>
      <c r="C3955" t="s">
        <v>263</v>
      </c>
      <c r="D3955" t="s">
        <v>2703</v>
      </c>
      <c r="E3955" t="s">
        <v>1429</v>
      </c>
      <c r="F3955" s="2">
        <v>257</v>
      </c>
      <c r="G3955" s="2">
        <v>13</v>
      </c>
      <c r="H3955" s="2" t="s">
        <v>2638</v>
      </c>
      <c r="I3955" t="s">
        <v>2639</v>
      </c>
      <c r="J3955" s="2">
        <v>881.69184229071323</v>
      </c>
      <c r="K3955" t="str">
        <f t="shared" si="132"/>
        <v>Christin Maschmann</v>
      </c>
    </row>
    <row r="3956" spans="1:11" hidden="1" x14ac:dyDescent="0.35">
      <c r="A3956">
        <f t="shared" si="133"/>
        <v>3955</v>
      </c>
      <c r="B3956">
        <v>2024</v>
      </c>
      <c r="C3956" t="s">
        <v>263</v>
      </c>
      <c r="D3956" t="s">
        <v>2703</v>
      </c>
      <c r="E3956" t="s">
        <v>1429</v>
      </c>
      <c r="F3956" s="2">
        <v>257</v>
      </c>
      <c r="G3956" s="2">
        <v>14</v>
      </c>
      <c r="H3956" s="2" t="s">
        <v>16</v>
      </c>
      <c r="I3956" t="s">
        <v>59</v>
      </c>
      <c r="J3956" s="2">
        <v>849.50715891931191</v>
      </c>
      <c r="K3956" t="str">
        <f t="shared" si="132"/>
        <v>Jeanne David</v>
      </c>
    </row>
    <row r="3957" spans="1:11" x14ac:dyDescent="0.35">
      <c r="A3957">
        <f t="shared" si="133"/>
        <v>3956</v>
      </c>
      <c r="B3957">
        <v>2024</v>
      </c>
      <c r="C3957" t="s">
        <v>263</v>
      </c>
      <c r="D3957" t="s">
        <v>2703</v>
      </c>
      <c r="E3957" t="s">
        <v>1429</v>
      </c>
      <c r="F3957" s="2">
        <v>257</v>
      </c>
      <c r="G3957" s="2">
        <v>15</v>
      </c>
      <c r="H3957" t="s">
        <v>313</v>
      </c>
      <c r="I3957" t="s">
        <v>314</v>
      </c>
      <c r="J3957" s="2">
        <v>819.54393554186856</v>
      </c>
      <c r="K3957" t="str">
        <f t="shared" si="132"/>
        <v>Gerald Petersen</v>
      </c>
    </row>
    <row r="3958" spans="1:11" hidden="1" x14ac:dyDescent="0.35">
      <c r="A3958">
        <f t="shared" si="133"/>
        <v>3957</v>
      </c>
      <c r="B3958">
        <v>2024</v>
      </c>
      <c r="C3958" t="s">
        <v>263</v>
      </c>
      <c r="D3958" t="s">
        <v>2703</v>
      </c>
      <c r="E3958" t="s">
        <v>1429</v>
      </c>
      <c r="F3958" s="2">
        <v>150</v>
      </c>
      <c r="G3958" s="2">
        <v>16</v>
      </c>
      <c r="H3958" s="2" t="s">
        <v>95</v>
      </c>
      <c r="I3958" t="s">
        <v>71</v>
      </c>
      <c r="J3958" s="2">
        <v>791.51521194162513</v>
      </c>
      <c r="K3958" t="str">
        <f t="shared" si="132"/>
        <v>Scott Samarel</v>
      </c>
    </row>
    <row r="3959" spans="1:11" hidden="1" x14ac:dyDescent="0.35">
      <c r="A3959">
        <f t="shared" si="133"/>
        <v>3958</v>
      </c>
      <c r="B3959">
        <v>2024</v>
      </c>
      <c r="C3959" t="s">
        <v>263</v>
      </c>
      <c r="D3959" t="s">
        <v>2704</v>
      </c>
      <c r="E3959" t="s">
        <v>1430</v>
      </c>
      <c r="F3959" s="2">
        <v>1524</v>
      </c>
      <c r="G3959" s="2">
        <v>1</v>
      </c>
      <c r="H3959" s="2" t="s">
        <v>217</v>
      </c>
      <c r="I3959" t="s">
        <v>218</v>
      </c>
      <c r="J3959" s="2">
        <v>1826.0748027008265</v>
      </c>
      <c r="K3959" t="str">
        <f t="shared" si="132"/>
        <v>Michael Patterson</v>
      </c>
    </row>
    <row r="3960" spans="1:11" hidden="1" x14ac:dyDescent="0.35">
      <c r="A3960">
        <f t="shared" si="133"/>
        <v>3959</v>
      </c>
      <c r="B3960">
        <v>2024</v>
      </c>
      <c r="C3960" t="s">
        <v>263</v>
      </c>
      <c r="D3960" t="s">
        <v>2704</v>
      </c>
      <c r="E3960" t="s">
        <v>1430</v>
      </c>
      <c r="F3960" s="2">
        <v>1523</v>
      </c>
      <c r="G3960" s="2">
        <v>2</v>
      </c>
      <c r="H3960" s="2" t="s">
        <v>50</v>
      </c>
      <c r="I3960" t="s">
        <v>25</v>
      </c>
      <c r="J3960" s="2">
        <v>1525.0448070368452</v>
      </c>
      <c r="K3960" t="str">
        <f t="shared" si="132"/>
        <v>Russell Fox</v>
      </c>
    </row>
    <row r="3961" spans="1:11" hidden="1" x14ac:dyDescent="0.35">
      <c r="A3961">
        <f t="shared" si="133"/>
        <v>3960</v>
      </c>
      <c r="B3961">
        <v>2024</v>
      </c>
      <c r="C3961" t="s">
        <v>263</v>
      </c>
      <c r="D3961" t="s">
        <v>2704</v>
      </c>
      <c r="E3961" t="s">
        <v>1430</v>
      </c>
      <c r="F3961" s="2">
        <v>1035</v>
      </c>
      <c r="G3961" s="2">
        <v>3</v>
      </c>
      <c r="H3961" s="2" t="s">
        <v>525</v>
      </c>
      <c r="I3961" t="s">
        <v>2320</v>
      </c>
      <c r="J3961" s="2">
        <v>1348.9535479811641</v>
      </c>
      <c r="K3961" t="str">
        <f t="shared" si="132"/>
        <v>Jared Anderson</v>
      </c>
    </row>
    <row r="3962" spans="1:11" hidden="1" x14ac:dyDescent="0.35">
      <c r="A3962">
        <f t="shared" si="133"/>
        <v>3961</v>
      </c>
      <c r="B3962">
        <v>2024</v>
      </c>
      <c r="C3962" t="s">
        <v>263</v>
      </c>
      <c r="D3962" t="s">
        <v>2704</v>
      </c>
      <c r="E3962" t="s">
        <v>1430</v>
      </c>
      <c r="F3962" s="2">
        <v>844</v>
      </c>
      <c r="G3962" s="2">
        <v>4</v>
      </c>
      <c r="H3962" s="2" t="s">
        <v>461</v>
      </c>
      <c r="I3962" t="s">
        <v>665</v>
      </c>
      <c r="J3962" s="2">
        <v>1224.014811372864</v>
      </c>
      <c r="K3962" t="str">
        <f t="shared" si="132"/>
        <v>Robert Jones</v>
      </c>
    </row>
    <row r="3963" spans="1:11" hidden="1" x14ac:dyDescent="0.35">
      <c r="A3963">
        <f t="shared" si="133"/>
        <v>3962</v>
      </c>
      <c r="B3963">
        <v>2024</v>
      </c>
      <c r="C3963" t="s">
        <v>263</v>
      </c>
      <c r="D3963" t="s">
        <v>2704</v>
      </c>
      <c r="E3963" t="s">
        <v>1430</v>
      </c>
      <c r="F3963" s="2">
        <v>633</v>
      </c>
      <c r="G3963" s="2">
        <v>5</v>
      </c>
      <c r="H3963" s="2" t="s">
        <v>485</v>
      </c>
      <c r="I3963" t="s">
        <v>196</v>
      </c>
      <c r="J3963" s="2">
        <v>1127.1047983648077</v>
      </c>
      <c r="K3963" t="str">
        <f t="shared" si="132"/>
        <v>Dave Spencer</v>
      </c>
    </row>
    <row r="3964" spans="1:11" hidden="1" x14ac:dyDescent="0.35">
      <c r="A3964">
        <f t="shared" si="133"/>
        <v>3963</v>
      </c>
      <c r="B3964">
        <v>2024</v>
      </c>
      <c r="C3964" t="s">
        <v>263</v>
      </c>
      <c r="D3964" t="s">
        <v>2704</v>
      </c>
      <c r="E3964" t="s">
        <v>1430</v>
      </c>
      <c r="F3964" s="2">
        <v>492</v>
      </c>
      <c r="G3964" s="2">
        <v>6</v>
      </c>
      <c r="H3964" s="2" t="s">
        <v>527</v>
      </c>
      <c r="I3964" t="s">
        <v>11</v>
      </c>
      <c r="J3964" s="2">
        <v>1047.9235523171828</v>
      </c>
      <c r="K3964" t="str">
        <f t="shared" si="132"/>
        <v>Paul Stine</v>
      </c>
    </row>
    <row r="3965" spans="1:11" hidden="1" x14ac:dyDescent="0.35">
      <c r="A3965">
        <f t="shared" si="133"/>
        <v>3964</v>
      </c>
      <c r="B3965">
        <v>2024</v>
      </c>
      <c r="C3965" t="s">
        <v>263</v>
      </c>
      <c r="D3965" t="s">
        <v>2704</v>
      </c>
      <c r="E3965" t="s">
        <v>1430</v>
      </c>
      <c r="F3965" s="2">
        <v>352</v>
      </c>
      <c r="G3965" s="2">
        <v>7</v>
      </c>
      <c r="H3965" s="2" t="s">
        <v>2629</v>
      </c>
      <c r="I3965" t="s">
        <v>2630</v>
      </c>
      <c r="J3965" s="2">
        <v>980.9767626865696</v>
      </c>
      <c r="K3965" t="str">
        <f t="shared" si="132"/>
        <v>Laurie Skywalker</v>
      </c>
    </row>
    <row r="3966" spans="1:11" hidden="1" x14ac:dyDescent="0.35">
      <c r="A3966">
        <f t="shared" si="133"/>
        <v>3965</v>
      </c>
      <c r="B3966">
        <v>2024</v>
      </c>
      <c r="C3966" t="s">
        <v>263</v>
      </c>
      <c r="D3966" t="s">
        <v>2704</v>
      </c>
      <c r="E3966" t="s">
        <v>1430</v>
      </c>
      <c r="F3966" s="2">
        <v>281</v>
      </c>
      <c r="G3966" s="2">
        <v>8</v>
      </c>
      <c r="H3966" s="2" t="s">
        <v>461</v>
      </c>
      <c r="I3966" t="s">
        <v>1448</v>
      </c>
      <c r="J3966" s="2">
        <v>922.98481570888293</v>
      </c>
      <c r="K3966" t="str">
        <f t="shared" si="132"/>
        <v>Christian Jones</v>
      </c>
    </row>
    <row r="3967" spans="1:11" hidden="1" x14ac:dyDescent="0.35">
      <c r="A3967">
        <f t="shared" si="133"/>
        <v>3966</v>
      </c>
      <c r="B3967">
        <v>2024</v>
      </c>
      <c r="C3967" t="s">
        <v>263</v>
      </c>
      <c r="D3967" t="s">
        <v>2704</v>
      </c>
      <c r="E3967" t="s">
        <v>1430</v>
      </c>
      <c r="F3967" s="2">
        <v>211</v>
      </c>
      <c r="G3967" s="2">
        <v>9</v>
      </c>
      <c r="H3967" s="2" t="s">
        <v>256</v>
      </c>
      <c r="I3967" t="s">
        <v>257</v>
      </c>
      <c r="J3967" s="2">
        <v>871.8322932615016</v>
      </c>
      <c r="K3967" t="str">
        <f t="shared" si="132"/>
        <v>Stephanie Wasserman</v>
      </c>
    </row>
    <row r="3968" spans="1:11" hidden="1" x14ac:dyDescent="0.35">
      <c r="A3968">
        <f t="shared" si="133"/>
        <v>3967</v>
      </c>
      <c r="B3968">
        <v>2024</v>
      </c>
      <c r="C3968" t="s">
        <v>263</v>
      </c>
      <c r="D3968" t="s">
        <v>2704</v>
      </c>
      <c r="E3968" t="s">
        <v>1430</v>
      </c>
      <c r="F3968" s="2">
        <v>140</v>
      </c>
      <c r="G3968" s="2">
        <v>10</v>
      </c>
      <c r="H3968" s="2" t="s">
        <v>204</v>
      </c>
      <c r="I3968" t="s">
        <v>205</v>
      </c>
      <c r="J3968" s="2">
        <v>826.07480270082647</v>
      </c>
      <c r="K3968" t="str">
        <f t="shared" si="132"/>
        <v>Ron Grossberg</v>
      </c>
    </row>
  </sheetData>
  <autoFilter ref="B1:K3968" xr:uid="{00000000-0009-0000-0000-000000000000}">
    <filterColumn colId="6">
      <filters>
        <filter val="Petersen"/>
      </filters>
    </filterColumn>
    <sortState xmlns:xlrd2="http://schemas.microsoft.com/office/spreadsheetml/2017/richdata2" ref="B2:K3890">
      <sortCondition ref="B2:B3890"/>
      <sortCondition ref="C2:C3890"/>
      <sortCondition ref="D2:D3890"/>
      <sortCondition ref="G2:G389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FC6D-4471-4745-B544-9C50D8941117}">
  <dimension ref="A1:I862"/>
  <sheetViews>
    <sheetView zoomScale="75" zoomScaleNormal="75" workbookViewId="0">
      <selection activeCell="G27" sqref="G27"/>
    </sheetView>
  </sheetViews>
  <sheetFormatPr defaultRowHeight="15" x14ac:dyDescent="0.35"/>
  <cols>
    <col min="1" max="1" width="5.0625" bestFit="1" customWidth="1"/>
    <col min="2" max="2" width="18.6875" bestFit="1" customWidth="1"/>
    <col min="3" max="3" width="11" bestFit="1" customWidth="1"/>
    <col min="4" max="4" width="8.75" bestFit="1" customWidth="1"/>
    <col min="6" max="6" width="5.0625" bestFit="1" customWidth="1"/>
    <col min="7" max="7" width="13.3125" bestFit="1" customWidth="1"/>
    <col min="8" max="8" width="15.9375" bestFit="1" customWidth="1"/>
    <col min="9" max="9" width="8.75" bestFit="1" customWidth="1"/>
  </cols>
  <sheetData>
    <row r="1" spans="1:9" x14ac:dyDescent="0.35">
      <c r="B1" s="6" t="s">
        <v>0</v>
      </c>
      <c r="C1" t="s">
        <v>1466</v>
      </c>
      <c r="G1" s="6" t="s">
        <v>0</v>
      </c>
      <c r="H1" t="s">
        <v>1466</v>
      </c>
    </row>
    <row r="2" spans="1:9" x14ac:dyDescent="0.35">
      <c r="B2" s="6" t="s">
        <v>1</v>
      </c>
      <c r="C2" t="s">
        <v>1466</v>
      </c>
      <c r="G2" s="6" t="s">
        <v>1</v>
      </c>
      <c r="H2" t="s">
        <v>1466</v>
      </c>
    </row>
    <row r="3" spans="1:9" x14ac:dyDescent="0.35">
      <c r="B3" s="6" t="s">
        <v>1428</v>
      </c>
      <c r="C3" t="s">
        <v>1466</v>
      </c>
      <c r="G3" s="6" t="s">
        <v>1428</v>
      </c>
      <c r="H3" t="s">
        <v>1466</v>
      </c>
    </row>
    <row r="4" spans="1:9" x14ac:dyDescent="0.35">
      <c r="C4" s="8">
        <f>MAX(C7:C776)</f>
        <v>0</v>
      </c>
      <c r="H4" s="8">
        <f>MAX(H7:H776)</f>
        <v>0</v>
      </c>
    </row>
    <row r="5" spans="1:9" x14ac:dyDescent="0.35">
      <c r="B5" s="9" t="s">
        <v>1435</v>
      </c>
      <c r="C5" s="14"/>
      <c r="G5" s="9" t="s">
        <v>1435</v>
      </c>
      <c r="H5" s="14"/>
    </row>
    <row r="6" spans="1:9" ht="15.45" x14ac:dyDescent="0.4">
      <c r="A6" s="7" t="s">
        <v>1503</v>
      </c>
      <c r="B6" s="6" t="s">
        <v>4</v>
      </c>
      <c r="C6" s="6" t="s">
        <v>5</v>
      </c>
      <c r="D6" t="s">
        <v>1436</v>
      </c>
      <c r="F6" s="7" t="s">
        <v>1503</v>
      </c>
      <c r="G6" s="6" t="s">
        <v>5</v>
      </c>
      <c r="H6" s="6" t="s">
        <v>4</v>
      </c>
      <c r="I6" t="s">
        <v>1436</v>
      </c>
    </row>
    <row r="7" spans="1:9" x14ac:dyDescent="0.35">
      <c r="A7">
        <v>1</v>
      </c>
      <c r="B7" t="s">
        <v>484</v>
      </c>
      <c r="C7" t="s">
        <v>2448</v>
      </c>
      <c r="D7" s="8">
        <v>4696.7712606900768</v>
      </c>
      <c r="F7">
        <v>1</v>
      </c>
      <c r="G7" t="s">
        <v>1003</v>
      </c>
      <c r="H7" t="s">
        <v>2644</v>
      </c>
      <c r="I7" s="8">
        <v>1230.448921378274</v>
      </c>
    </row>
    <row r="8" spans="1:9" x14ac:dyDescent="0.35">
      <c r="A8">
        <f>A7+1</f>
        <v>2</v>
      </c>
      <c r="B8" t="s">
        <v>1030</v>
      </c>
      <c r="C8" t="s">
        <v>848</v>
      </c>
      <c r="D8" s="8">
        <v>1417.7484020255899</v>
      </c>
      <c r="F8">
        <f>F7+1</f>
        <v>2</v>
      </c>
      <c r="H8" t="s">
        <v>304</v>
      </c>
      <c r="I8" s="8">
        <v>3574.0055890520061</v>
      </c>
    </row>
    <row r="9" spans="1:9" x14ac:dyDescent="0.35">
      <c r="A9">
        <f t="shared" ref="A9:A72" si="0">A8+1</f>
        <v>3</v>
      </c>
      <c r="B9" t="s">
        <v>1060</v>
      </c>
      <c r="C9" t="s">
        <v>1962</v>
      </c>
      <c r="D9" s="8">
        <v>1361.7278360175928</v>
      </c>
      <c r="F9">
        <f t="shared" ref="F9:F72" si="1">F8+1</f>
        <v>3</v>
      </c>
      <c r="G9" t="s">
        <v>181</v>
      </c>
      <c r="H9" t="s">
        <v>612</v>
      </c>
      <c r="I9" s="8">
        <v>7029.5186275075712</v>
      </c>
    </row>
    <row r="10" spans="1:9" x14ac:dyDescent="0.35">
      <c r="A10">
        <f t="shared" si="0"/>
        <v>4</v>
      </c>
      <c r="C10" t="s">
        <v>13</v>
      </c>
      <c r="D10" s="8">
        <v>4823.7793019013361</v>
      </c>
      <c r="F10">
        <f t="shared" si="1"/>
        <v>4</v>
      </c>
      <c r="H10" t="s">
        <v>180</v>
      </c>
      <c r="I10" s="8">
        <v>1317.0181010481117</v>
      </c>
    </row>
    <row r="11" spans="1:9" x14ac:dyDescent="0.35">
      <c r="A11">
        <f t="shared" si="0"/>
        <v>5</v>
      </c>
      <c r="B11" t="s">
        <v>232</v>
      </c>
      <c r="C11" t="s">
        <v>919</v>
      </c>
      <c r="D11" s="8">
        <v>1119.4758409067977</v>
      </c>
      <c r="F11">
        <f t="shared" si="1"/>
        <v>5</v>
      </c>
      <c r="H11" t="s">
        <v>22</v>
      </c>
      <c r="I11" s="8">
        <v>1094.4212126043617</v>
      </c>
    </row>
    <row r="12" spans="1:9" x14ac:dyDescent="0.35">
      <c r="A12">
        <f t="shared" si="0"/>
        <v>6</v>
      </c>
      <c r="B12" t="s">
        <v>80</v>
      </c>
      <c r="C12" t="s">
        <v>156</v>
      </c>
      <c r="D12" s="8">
        <v>5756.9518354143638</v>
      </c>
      <c r="F12">
        <f t="shared" si="1"/>
        <v>6</v>
      </c>
      <c r="G12" t="s">
        <v>1341</v>
      </c>
      <c r="H12" t="s">
        <v>1340</v>
      </c>
      <c r="I12" s="8">
        <v>425.96873227228116</v>
      </c>
    </row>
    <row r="13" spans="1:9" x14ac:dyDescent="0.35">
      <c r="A13">
        <f t="shared" si="0"/>
        <v>7</v>
      </c>
      <c r="C13" t="s">
        <v>81</v>
      </c>
      <c r="D13" s="8">
        <v>3744.5537423511059</v>
      </c>
      <c r="F13">
        <f t="shared" si="1"/>
        <v>7</v>
      </c>
      <c r="G13" t="s">
        <v>232</v>
      </c>
      <c r="H13" t="s">
        <v>231</v>
      </c>
      <c r="I13" s="8">
        <v>17289.616250602721</v>
      </c>
    </row>
    <row r="14" spans="1:9" x14ac:dyDescent="0.35">
      <c r="A14">
        <f t="shared" si="0"/>
        <v>8</v>
      </c>
      <c r="C14" t="s">
        <v>846</v>
      </c>
      <c r="D14" s="8">
        <v>870.90530362054244</v>
      </c>
      <c r="F14">
        <f t="shared" si="1"/>
        <v>8</v>
      </c>
      <c r="H14" t="s">
        <v>996</v>
      </c>
      <c r="I14" s="8">
        <v>1732.3937598229686</v>
      </c>
    </row>
    <row r="15" spans="1:9" x14ac:dyDescent="0.35">
      <c r="A15">
        <f t="shared" si="0"/>
        <v>9</v>
      </c>
      <c r="C15" t="s">
        <v>82</v>
      </c>
      <c r="D15" s="8">
        <v>6383.3365407038091</v>
      </c>
      <c r="F15">
        <f t="shared" si="1"/>
        <v>9</v>
      </c>
      <c r="H15" t="s">
        <v>2367</v>
      </c>
      <c r="I15" s="8">
        <v>937.85209325115557</v>
      </c>
    </row>
    <row r="16" spans="1:9" x14ac:dyDescent="0.35">
      <c r="A16">
        <f t="shared" si="0"/>
        <v>10</v>
      </c>
      <c r="C16" t="s">
        <v>1382</v>
      </c>
      <c r="D16" s="8">
        <v>912.84982428109981</v>
      </c>
      <c r="F16">
        <f t="shared" si="1"/>
        <v>10</v>
      </c>
      <c r="H16" t="s">
        <v>1400</v>
      </c>
      <c r="I16" s="8">
        <v>168.91267442855784</v>
      </c>
    </row>
    <row r="17" spans="1:9" x14ac:dyDescent="0.35">
      <c r="A17">
        <f t="shared" si="0"/>
        <v>11</v>
      </c>
      <c r="B17" t="s">
        <v>2413</v>
      </c>
      <c r="C17" t="s">
        <v>136</v>
      </c>
      <c r="D17" s="8">
        <v>2401.4005407815439</v>
      </c>
      <c r="F17">
        <f t="shared" si="1"/>
        <v>11</v>
      </c>
      <c r="H17" t="s">
        <v>1075</v>
      </c>
      <c r="I17" s="8">
        <v>631.62071738729071</v>
      </c>
    </row>
    <row r="18" spans="1:9" x14ac:dyDescent="0.35">
      <c r="A18">
        <f t="shared" si="0"/>
        <v>12</v>
      </c>
      <c r="B18" t="s">
        <v>498</v>
      </c>
      <c r="C18" t="s">
        <v>28</v>
      </c>
      <c r="D18" s="8">
        <v>4351.8814766414425</v>
      </c>
      <c r="F18">
        <f t="shared" si="1"/>
        <v>12</v>
      </c>
      <c r="G18" t="s">
        <v>434</v>
      </c>
      <c r="H18" t="s">
        <v>433</v>
      </c>
      <c r="I18" s="8">
        <v>4834.6547630873938</v>
      </c>
    </row>
    <row r="19" spans="1:9" x14ac:dyDescent="0.35">
      <c r="A19">
        <f t="shared" si="0"/>
        <v>13</v>
      </c>
      <c r="B19" t="s">
        <v>1045</v>
      </c>
      <c r="C19" t="s">
        <v>16</v>
      </c>
      <c r="D19" s="8">
        <v>2358.3755493315175</v>
      </c>
      <c r="F19">
        <f t="shared" si="1"/>
        <v>13</v>
      </c>
      <c r="G19" t="s">
        <v>1093</v>
      </c>
      <c r="H19" t="s">
        <v>1092</v>
      </c>
      <c r="I19" s="8">
        <v>1199.5242871245202</v>
      </c>
    </row>
    <row r="20" spans="1:9" x14ac:dyDescent="0.35">
      <c r="A20">
        <f t="shared" si="0"/>
        <v>14</v>
      </c>
      <c r="B20" t="s">
        <v>2173</v>
      </c>
      <c r="C20" t="s">
        <v>1112</v>
      </c>
      <c r="D20" s="8">
        <v>903.08998699194353</v>
      </c>
      <c r="F20">
        <f t="shared" si="1"/>
        <v>14</v>
      </c>
      <c r="G20" t="s">
        <v>131</v>
      </c>
      <c r="H20" t="s">
        <v>967</v>
      </c>
      <c r="I20" s="8">
        <v>1753.7919045241988</v>
      </c>
    </row>
    <row r="21" spans="1:9" x14ac:dyDescent="0.35">
      <c r="A21">
        <f t="shared" si="0"/>
        <v>15</v>
      </c>
      <c r="B21" t="s">
        <v>1329</v>
      </c>
      <c r="C21" t="s">
        <v>67</v>
      </c>
      <c r="D21" s="8">
        <v>1041.3926851582248</v>
      </c>
      <c r="F21">
        <f t="shared" si="1"/>
        <v>15</v>
      </c>
      <c r="H21" t="s">
        <v>616</v>
      </c>
      <c r="I21" s="8">
        <v>1349.7630439879497</v>
      </c>
    </row>
    <row r="22" spans="1:9" x14ac:dyDescent="0.35">
      <c r="A22">
        <f t="shared" si="0"/>
        <v>16</v>
      </c>
      <c r="B22" t="s">
        <v>773</v>
      </c>
      <c r="C22" t="s">
        <v>413</v>
      </c>
      <c r="D22" s="8">
        <v>1748.1880270062006</v>
      </c>
      <c r="F22">
        <f t="shared" si="1"/>
        <v>16</v>
      </c>
      <c r="H22" t="s">
        <v>1006</v>
      </c>
      <c r="I22" s="8">
        <v>2153.6243425244506</v>
      </c>
    </row>
    <row r="23" spans="1:9" x14ac:dyDescent="0.35">
      <c r="A23">
        <f t="shared" si="0"/>
        <v>17</v>
      </c>
      <c r="C23" t="s">
        <v>665</v>
      </c>
      <c r="D23" s="8">
        <v>2424.8816366310666</v>
      </c>
      <c r="F23">
        <f t="shared" si="1"/>
        <v>17</v>
      </c>
      <c r="H23" t="s">
        <v>130</v>
      </c>
      <c r="I23" s="8">
        <v>16857.218025604212</v>
      </c>
    </row>
    <row r="24" spans="1:9" x14ac:dyDescent="0.35">
      <c r="A24">
        <f t="shared" si="0"/>
        <v>18</v>
      </c>
      <c r="B24" t="s">
        <v>2669</v>
      </c>
      <c r="C24" t="s">
        <v>384</v>
      </c>
      <c r="D24" s="8">
        <v>942.00805302231322</v>
      </c>
      <c r="F24">
        <f t="shared" si="1"/>
        <v>18</v>
      </c>
      <c r="H24" t="s">
        <v>1235</v>
      </c>
      <c r="I24" s="8">
        <v>3712.7789607470027</v>
      </c>
    </row>
    <row r="25" spans="1:9" x14ac:dyDescent="0.35">
      <c r="A25">
        <f t="shared" si="0"/>
        <v>19</v>
      </c>
      <c r="B25" t="s">
        <v>525</v>
      </c>
      <c r="C25" t="s">
        <v>327</v>
      </c>
      <c r="D25" s="8">
        <v>3031.6880629834909</v>
      </c>
      <c r="F25">
        <f t="shared" si="1"/>
        <v>19</v>
      </c>
      <c r="H25" t="s">
        <v>298</v>
      </c>
      <c r="I25" s="8">
        <v>2688.4935542678604</v>
      </c>
    </row>
    <row r="26" spans="1:9" x14ac:dyDescent="0.35">
      <c r="A26">
        <f t="shared" si="0"/>
        <v>20</v>
      </c>
      <c r="C26" t="s">
        <v>2320</v>
      </c>
      <c r="D26" s="8">
        <v>13808.74557885516</v>
      </c>
      <c r="F26">
        <f t="shared" si="1"/>
        <v>20</v>
      </c>
      <c r="G26" t="s">
        <v>746</v>
      </c>
      <c r="H26" t="s">
        <v>745</v>
      </c>
      <c r="I26" s="8">
        <v>789.14663468510673</v>
      </c>
    </row>
    <row r="27" spans="1:9" x14ac:dyDescent="0.35">
      <c r="A27">
        <f t="shared" si="0"/>
        <v>21</v>
      </c>
      <c r="C27" t="s">
        <v>58</v>
      </c>
      <c r="D27" s="8">
        <v>10389.831646250377</v>
      </c>
      <c r="F27">
        <f t="shared" si="1"/>
        <v>21</v>
      </c>
      <c r="G27" t="s">
        <v>149</v>
      </c>
      <c r="H27" t="s">
        <v>198</v>
      </c>
      <c r="I27" s="8">
        <v>3404.0592013332193</v>
      </c>
    </row>
    <row r="28" spans="1:9" x14ac:dyDescent="0.35">
      <c r="A28">
        <f t="shared" si="0"/>
        <v>22</v>
      </c>
      <c r="C28" t="s">
        <v>136</v>
      </c>
      <c r="D28" s="8">
        <v>962.21143911060005</v>
      </c>
      <c r="F28">
        <f t="shared" si="1"/>
        <v>22</v>
      </c>
      <c r="H28" t="s">
        <v>148</v>
      </c>
      <c r="I28" s="8">
        <v>12327.917353432264</v>
      </c>
    </row>
    <row r="29" spans="1:9" x14ac:dyDescent="0.35">
      <c r="A29">
        <f t="shared" si="0"/>
        <v>23</v>
      </c>
      <c r="B29" t="s">
        <v>627</v>
      </c>
      <c r="C29" t="s">
        <v>391</v>
      </c>
      <c r="D29" s="8">
        <v>997.58052587658733</v>
      </c>
      <c r="F29">
        <f t="shared" si="1"/>
        <v>23</v>
      </c>
      <c r="G29" t="s">
        <v>744</v>
      </c>
      <c r="H29" t="s">
        <v>1073</v>
      </c>
      <c r="I29" s="8">
        <v>1970.5518898646847</v>
      </c>
    </row>
    <row r="30" spans="1:9" x14ac:dyDescent="0.35">
      <c r="A30">
        <f t="shared" si="0"/>
        <v>24</v>
      </c>
      <c r="B30" t="s">
        <v>2671</v>
      </c>
      <c r="C30" t="s">
        <v>108</v>
      </c>
      <c r="D30" s="8">
        <v>559.30801090701254</v>
      </c>
      <c r="F30">
        <f t="shared" si="1"/>
        <v>24</v>
      </c>
      <c r="G30" t="s">
        <v>2173</v>
      </c>
      <c r="H30" t="s">
        <v>2465</v>
      </c>
      <c r="I30" s="8">
        <v>862.4721360836794</v>
      </c>
    </row>
    <row r="31" spans="1:9" x14ac:dyDescent="0.35">
      <c r="A31">
        <f t="shared" si="0"/>
        <v>25</v>
      </c>
      <c r="B31" t="s">
        <v>791</v>
      </c>
      <c r="C31" t="s">
        <v>463</v>
      </c>
      <c r="D31" s="8">
        <v>945.09912999945493</v>
      </c>
      <c r="F31">
        <f t="shared" si="1"/>
        <v>25</v>
      </c>
      <c r="G31" t="s">
        <v>919</v>
      </c>
      <c r="H31" t="s">
        <v>232</v>
      </c>
      <c r="I31" s="8">
        <v>1119.4758409067977</v>
      </c>
    </row>
    <row r="32" spans="1:9" x14ac:dyDescent="0.35">
      <c r="A32">
        <f t="shared" si="0"/>
        <v>26</v>
      </c>
      <c r="B32" t="s">
        <v>707</v>
      </c>
      <c r="C32" t="s">
        <v>480</v>
      </c>
      <c r="D32" s="8">
        <v>1998.5946233024715</v>
      </c>
      <c r="F32">
        <f t="shared" si="1"/>
        <v>26</v>
      </c>
      <c r="G32" t="s">
        <v>47</v>
      </c>
      <c r="H32" t="s">
        <v>46</v>
      </c>
      <c r="I32" s="8">
        <v>3380.4309167411211</v>
      </c>
    </row>
    <row r="33" spans="1:9" x14ac:dyDescent="0.35">
      <c r="A33">
        <f t="shared" si="0"/>
        <v>27</v>
      </c>
      <c r="B33" t="s">
        <v>764</v>
      </c>
      <c r="C33" t="s">
        <v>901</v>
      </c>
      <c r="D33" s="8">
        <v>20165.82076108591</v>
      </c>
      <c r="F33">
        <f t="shared" si="1"/>
        <v>27</v>
      </c>
      <c r="G33" t="s">
        <v>787</v>
      </c>
      <c r="H33" t="s">
        <v>786</v>
      </c>
      <c r="I33" s="8">
        <v>2596.9307380584128</v>
      </c>
    </row>
    <row r="34" spans="1:9" x14ac:dyDescent="0.35">
      <c r="A34">
        <f t="shared" si="0"/>
        <v>28</v>
      </c>
      <c r="C34" t="s">
        <v>765</v>
      </c>
      <c r="D34" s="8">
        <v>13601.785232439332</v>
      </c>
      <c r="F34">
        <f t="shared" si="1"/>
        <v>28</v>
      </c>
      <c r="G34" t="s">
        <v>192</v>
      </c>
      <c r="H34" t="s">
        <v>27</v>
      </c>
      <c r="I34" s="8">
        <v>877.68540721784882</v>
      </c>
    </row>
    <row r="35" spans="1:9" x14ac:dyDescent="0.35">
      <c r="A35">
        <f t="shared" si="0"/>
        <v>29</v>
      </c>
      <c r="B35" t="s">
        <v>173</v>
      </c>
      <c r="C35" t="s">
        <v>117</v>
      </c>
      <c r="D35" s="8">
        <v>2306.5788725473403</v>
      </c>
      <c r="F35">
        <f t="shared" si="1"/>
        <v>29</v>
      </c>
      <c r="G35" t="s">
        <v>1461</v>
      </c>
      <c r="H35" t="s">
        <v>1460</v>
      </c>
      <c r="I35" s="8">
        <v>11925.986561792397</v>
      </c>
    </row>
    <row r="36" spans="1:9" x14ac:dyDescent="0.35">
      <c r="A36">
        <f t="shared" si="0"/>
        <v>30</v>
      </c>
      <c r="B36" t="s">
        <v>29</v>
      </c>
      <c r="C36" t="s">
        <v>30</v>
      </c>
      <c r="D36" s="8">
        <v>11084.501595818832</v>
      </c>
      <c r="F36">
        <f t="shared" si="1"/>
        <v>30</v>
      </c>
      <c r="G36" t="s">
        <v>324</v>
      </c>
      <c r="H36" t="s">
        <v>2278</v>
      </c>
      <c r="I36" s="8">
        <v>3838.4757199983887</v>
      </c>
    </row>
    <row r="37" spans="1:9" x14ac:dyDescent="0.35">
      <c r="A37">
        <f t="shared" si="0"/>
        <v>31</v>
      </c>
      <c r="B37" t="s">
        <v>31</v>
      </c>
      <c r="C37" t="s">
        <v>32</v>
      </c>
      <c r="D37" s="8">
        <v>8114.3397630243962</v>
      </c>
      <c r="F37">
        <f t="shared" si="1"/>
        <v>31</v>
      </c>
      <c r="H37" t="s">
        <v>1063</v>
      </c>
      <c r="I37" s="8">
        <v>714.0337507718948</v>
      </c>
    </row>
    <row r="38" spans="1:9" x14ac:dyDescent="0.35">
      <c r="A38">
        <f t="shared" si="0"/>
        <v>32</v>
      </c>
      <c r="C38" t="s">
        <v>16</v>
      </c>
      <c r="D38" s="8">
        <v>12809.919859086987</v>
      </c>
      <c r="F38">
        <f t="shared" si="1"/>
        <v>32</v>
      </c>
      <c r="H38" t="s">
        <v>323</v>
      </c>
      <c r="I38" s="8">
        <v>18093.030984747973</v>
      </c>
    </row>
    <row r="39" spans="1:9" x14ac:dyDescent="0.35">
      <c r="A39">
        <f t="shared" si="0"/>
        <v>33</v>
      </c>
      <c r="B39" t="s">
        <v>1102</v>
      </c>
      <c r="C39" t="s">
        <v>521</v>
      </c>
      <c r="D39" s="8">
        <v>3336.0091948954232</v>
      </c>
      <c r="F39">
        <f t="shared" si="1"/>
        <v>33</v>
      </c>
      <c r="H39" t="s">
        <v>1244</v>
      </c>
      <c r="I39" s="8">
        <v>2009.2234661869857</v>
      </c>
    </row>
    <row r="40" spans="1:9" x14ac:dyDescent="0.35">
      <c r="A40">
        <f t="shared" si="0"/>
        <v>34</v>
      </c>
      <c r="B40" t="s">
        <v>1714</v>
      </c>
      <c r="C40" t="s">
        <v>2004</v>
      </c>
      <c r="D40" s="8">
        <v>1892.0946026904803</v>
      </c>
      <c r="F40">
        <f t="shared" si="1"/>
        <v>34</v>
      </c>
      <c r="H40" t="s">
        <v>2557</v>
      </c>
      <c r="I40" s="8">
        <v>1146.1280356782379</v>
      </c>
    </row>
    <row r="41" spans="1:9" x14ac:dyDescent="0.35">
      <c r="A41">
        <f t="shared" si="0"/>
        <v>35</v>
      </c>
      <c r="B41" t="s">
        <v>1159</v>
      </c>
      <c r="C41" t="s">
        <v>136</v>
      </c>
      <c r="D41" s="8">
        <v>2677.750544879812</v>
      </c>
      <c r="F41">
        <f t="shared" si="1"/>
        <v>35</v>
      </c>
      <c r="G41" t="s">
        <v>122</v>
      </c>
      <c r="H41" t="s">
        <v>121</v>
      </c>
      <c r="I41" s="8">
        <v>6645.4103211736492</v>
      </c>
    </row>
    <row r="42" spans="1:9" x14ac:dyDescent="0.35">
      <c r="A42">
        <f t="shared" si="0"/>
        <v>36</v>
      </c>
      <c r="B42" t="s">
        <v>2454</v>
      </c>
      <c r="C42" t="s">
        <v>782</v>
      </c>
      <c r="D42" s="8">
        <v>1301.029995663981</v>
      </c>
      <c r="F42">
        <f t="shared" si="1"/>
        <v>36</v>
      </c>
      <c r="H42" t="s">
        <v>958</v>
      </c>
      <c r="I42" s="8">
        <v>7897.4215177832129</v>
      </c>
    </row>
    <row r="43" spans="1:9" x14ac:dyDescent="0.35">
      <c r="A43">
        <f t="shared" si="0"/>
        <v>37</v>
      </c>
      <c r="B43" t="s">
        <v>231</v>
      </c>
      <c r="C43" t="s">
        <v>232</v>
      </c>
      <c r="D43" s="8">
        <v>17289.616250602721</v>
      </c>
      <c r="F43">
        <f t="shared" si="1"/>
        <v>37</v>
      </c>
      <c r="H43" t="s">
        <v>265</v>
      </c>
      <c r="I43" s="8">
        <v>2643.4526764861876</v>
      </c>
    </row>
    <row r="44" spans="1:9" x14ac:dyDescent="0.35">
      <c r="A44">
        <f t="shared" si="0"/>
        <v>38</v>
      </c>
      <c r="B44" t="s">
        <v>645</v>
      </c>
      <c r="C44" t="s">
        <v>644</v>
      </c>
      <c r="D44" s="8">
        <v>3801.5157779472734</v>
      </c>
      <c r="F44">
        <f t="shared" si="1"/>
        <v>38</v>
      </c>
      <c r="H44" t="s">
        <v>1772</v>
      </c>
      <c r="I44" s="8">
        <v>753.32766665861152</v>
      </c>
    </row>
    <row r="45" spans="1:9" x14ac:dyDescent="0.35">
      <c r="A45">
        <f t="shared" si="0"/>
        <v>39</v>
      </c>
      <c r="B45" t="s">
        <v>898</v>
      </c>
      <c r="C45" t="s">
        <v>899</v>
      </c>
      <c r="D45" s="8">
        <v>6487.143569641652</v>
      </c>
      <c r="F45">
        <f t="shared" si="1"/>
        <v>39</v>
      </c>
      <c r="G45" t="s">
        <v>556</v>
      </c>
      <c r="H45" t="s">
        <v>555</v>
      </c>
      <c r="I45" s="8">
        <v>1488.037365809937</v>
      </c>
    </row>
    <row r="46" spans="1:9" x14ac:dyDescent="0.35">
      <c r="A46">
        <f t="shared" si="0"/>
        <v>40</v>
      </c>
      <c r="B46" t="s">
        <v>1228</v>
      </c>
      <c r="C46" t="s">
        <v>1229</v>
      </c>
      <c r="D46" s="8">
        <v>1484.2998393467858</v>
      </c>
      <c r="F46">
        <f t="shared" si="1"/>
        <v>40</v>
      </c>
      <c r="G46" t="s">
        <v>2286</v>
      </c>
      <c r="H46" t="s">
        <v>2285</v>
      </c>
      <c r="I46" s="8">
        <v>2162.0805446128666</v>
      </c>
    </row>
    <row r="47" spans="1:9" x14ac:dyDescent="0.35">
      <c r="A47">
        <f t="shared" si="0"/>
        <v>41</v>
      </c>
      <c r="B47" t="s">
        <v>1143</v>
      </c>
      <c r="C47" t="s">
        <v>848</v>
      </c>
      <c r="D47" s="8">
        <v>1120.5739312058499</v>
      </c>
      <c r="F47">
        <f t="shared" si="1"/>
        <v>41</v>
      </c>
      <c r="G47" t="s">
        <v>1364</v>
      </c>
      <c r="H47" t="s">
        <v>1363</v>
      </c>
      <c r="I47" s="8">
        <v>950.08654966816744</v>
      </c>
    </row>
    <row r="48" spans="1:9" x14ac:dyDescent="0.35">
      <c r="A48">
        <f t="shared" si="0"/>
        <v>42</v>
      </c>
      <c r="B48" t="s">
        <v>1004</v>
      </c>
      <c r="C48" t="s">
        <v>1005</v>
      </c>
      <c r="D48" s="8">
        <v>946.12461921714532</v>
      </c>
      <c r="F48">
        <f t="shared" si="1"/>
        <v>42</v>
      </c>
      <c r="G48" t="s">
        <v>399</v>
      </c>
      <c r="H48" t="s">
        <v>398</v>
      </c>
      <c r="I48" s="8">
        <v>7466.1678253094396</v>
      </c>
    </row>
    <row r="49" spans="1:9" x14ac:dyDescent="0.35">
      <c r="A49">
        <f t="shared" si="0"/>
        <v>43</v>
      </c>
      <c r="B49" t="s">
        <v>1140</v>
      </c>
      <c r="C49" t="s">
        <v>1141</v>
      </c>
      <c r="D49" s="8">
        <v>965.45073103095967</v>
      </c>
      <c r="F49">
        <f t="shared" si="1"/>
        <v>43</v>
      </c>
      <c r="H49" t="s">
        <v>2334</v>
      </c>
      <c r="I49" s="8">
        <v>1457.3771965239052</v>
      </c>
    </row>
    <row r="50" spans="1:9" x14ac:dyDescent="0.35">
      <c r="A50">
        <f t="shared" si="0"/>
        <v>44</v>
      </c>
      <c r="B50" t="s">
        <v>804</v>
      </c>
      <c r="C50" t="s">
        <v>644</v>
      </c>
      <c r="D50" s="8">
        <v>3661.8490753719557</v>
      </c>
      <c r="F50">
        <f t="shared" si="1"/>
        <v>44</v>
      </c>
      <c r="G50" t="s">
        <v>156</v>
      </c>
      <c r="H50" t="s">
        <v>80</v>
      </c>
      <c r="I50" s="8">
        <v>5756.9518354143638</v>
      </c>
    </row>
    <row r="51" spans="1:9" x14ac:dyDescent="0.35">
      <c r="A51">
        <f t="shared" si="0"/>
        <v>45</v>
      </c>
      <c r="C51" t="s">
        <v>22</v>
      </c>
      <c r="D51" s="8">
        <v>1678.4834302771219</v>
      </c>
      <c r="F51">
        <f t="shared" si="1"/>
        <v>45</v>
      </c>
      <c r="G51" t="s">
        <v>397</v>
      </c>
      <c r="H51" t="s">
        <v>396</v>
      </c>
      <c r="I51" s="8">
        <v>8082.4884751185818</v>
      </c>
    </row>
    <row r="52" spans="1:9" x14ac:dyDescent="0.35">
      <c r="A52">
        <f t="shared" si="0"/>
        <v>46</v>
      </c>
      <c r="B52" t="s">
        <v>121</v>
      </c>
      <c r="C52" t="s">
        <v>122</v>
      </c>
      <c r="D52" s="8">
        <v>6645.4103211736492</v>
      </c>
      <c r="F52">
        <f t="shared" si="1"/>
        <v>46</v>
      </c>
      <c r="G52" t="s">
        <v>109</v>
      </c>
      <c r="H52" t="s">
        <v>2330</v>
      </c>
      <c r="I52" s="8">
        <v>1003.0910769771417</v>
      </c>
    </row>
    <row r="53" spans="1:9" x14ac:dyDescent="0.35">
      <c r="A53">
        <f t="shared" si="0"/>
        <v>47</v>
      </c>
      <c r="B53" t="s">
        <v>699</v>
      </c>
      <c r="C53" t="s">
        <v>65</v>
      </c>
      <c r="D53" s="8">
        <v>1431.3637641589874</v>
      </c>
      <c r="F53">
        <f t="shared" si="1"/>
        <v>47</v>
      </c>
      <c r="H53" t="s">
        <v>2331</v>
      </c>
      <c r="I53" s="8">
        <v>973.12785359969837</v>
      </c>
    </row>
    <row r="54" spans="1:9" x14ac:dyDescent="0.35">
      <c r="A54">
        <f t="shared" si="0"/>
        <v>48</v>
      </c>
      <c r="B54" t="s">
        <v>555</v>
      </c>
      <c r="C54" t="s">
        <v>556</v>
      </c>
      <c r="D54" s="8">
        <v>1488.037365809937</v>
      </c>
      <c r="F54">
        <f t="shared" si="1"/>
        <v>48</v>
      </c>
      <c r="H54" t="s">
        <v>2332</v>
      </c>
      <c r="I54" s="8">
        <v>945.09912999945493</v>
      </c>
    </row>
    <row r="55" spans="1:9" x14ac:dyDescent="0.35">
      <c r="A55">
        <f t="shared" si="0"/>
        <v>49</v>
      </c>
      <c r="B55" t="s">
        <v>1061</v>
      </c>
      <c r="C55" t="s">
        <v>1062</v>
      </c>
      <c r="D55" s="8">
        <v>714.0337507718948</v>
      </c>
      <c r="F55">
        <f t="shared" si="1"/>
        <v>49</v>
      </c>
      <c r="H55" t="s">
        <v>2333</v>
      </c>
      <c r="I55" s="8">
        <v>1079.1812460476247</v>
      </c>
    </row>
    <row r="56" spans="1:9" x14ac:dyDescent="0.35">
      <c r="A56">
        <f t="shared" si="0"/>
        <v>50</v>
      </c>
      <c r="B56" t="s">
        <v>39</v>
      </c>
      <c r="C56" t="s">
        <v>920</v>
      </c>
      <c r="D56" s="8">
        <v>1052.5290512761844</v>
      </c>
      <c r="F56">
        <f t="shared" si="1"/>
        <v>50</v>
      </c>
      <c r="G56" t="s">
        <v>735</v>
      </c>
      <c r="H56" t="s">
        <v>734</v>
      </c>
      <c r="I56" s="8">
        <v>1124.9387366082999</v>
      </c>
    </row>
    <row r="57" spans="1:9" x14ac:dyDescent="0.35">
      <c r="A57">
        <f t="shared" si="0"/>
        <v>51</v>
      </c>
      <c r="C57" t="s">
        <v>40</v>
      </c>
      <c r="D57" s="8">
        <v>13492.686144148882</v>
      </c>
      <c r="F57">
        <f t="shared" si="1"/>
        <v>51</v>
      </c>
      <c r="G57" t="s">
        <v>1011</v>
      </c>
      <c r="H57" t="s">
        <v>1210</v>
      </c>
      <c r="I57" s="8">
        <v>942.00805302231322</v>
      </c>
    </row>
    <row r="58" spans="1:9" x14ac:dyDescent="0.35">
      <c r="A58">
        <f t="shared" si="0"/>
        <v>52</v>
      </c>
      <c r="B58" t="s">
        <v>684</v>
      </c>
      <c r="C58" t="s">
        <v>521</v>
      </c>
      <c r="D58" s="8">
        <v>5171.6828397937006</v>
      </c>
      <c r="F58">
        <f t="shared" si="1"/>
        <v>52</v>
      </c>
      <c r="H58" t="s">
        <v>1010</v>
      </c>
      <c r="I58" s="8">
        <v>1071.0633558254451</v>
      </c>
    </row>
    <row r="59" spans="1:9" x14ac:dyDescent="0.35">
      <c r="A59">
        <f t="shared" si="0"/>
        <v>53</v>
      </c>
      <c r="B59" t="s">
        <v>226</v>
      </c>
      <c r="C59" t="s">
        <v>227</v>
      </c>
      <c r="D59" s="8">
        <v>27115.407146318466</v>
      </c>
      <c r="F59">
        <f t="shared" si="1"/>
        <v>53</v>
      </c>
      <c r="H59" t="s">
        <v>1445</v>
      </c>
      <c r="I59" s="8">
        <v>875.06126339170009</v>
      </c>
    </row>
    <row r="60" spans="1:9" x14ac:dyDescent="0.35">
      <c r="A60">
        <f t="shared" si="0"/>
        <v>54</v>
      </c>
      <c r="B60" t="s">
        <v>1194</v>
      </c>
      <c r="C60" t="s">
        <v>1195</v>
      </c>
      <c r="D60" s="8">
        <v>5045.7296948243602</v>
      </c>
      <c r="F60">
        <f t="shared" si="1"/>
        <v>54</v>
      </c>
      <c r="H60" t="s">
        <v>2313</v>
      </c>
      <c r="I60" s="8">
        <v>2298.6347831244357</v>
      </c>
    </row>
    <row r="61" spans="1:9" x14ac:dyDescent="0.35">
      <c r="A61">
        <f t="shared" si="0"/>
        <v>55</v>
      </c>
      <c r="B61" t="s">
        <v>2368</v>
      </c>
      <c r="C61" t="s">
        <v>98</v>
      </c>
      <c r="D61" s="8">
        <v>1021.1892990699382</v>
      </c>
      <c r="F61">
        <f t="shared" si="1"/>
        <v>55</v>
      </c>
      <c r="G61" t="s">
        <v>20</v>
      </c>
      <c r="H61" t="s">
        <v>260</v>
      </c>
      <c r="I61" s="8">
        <v>2388.5008386660575</v>
      </c>
    </row>
    <row r="62" spans="1:9" x14ac:dyDescent="0.35">
      <c r="A62">
        <f t="shared" si="0"/>
        <v>56</v>
      </c>
      <c r="B62" t="s">
        <v>2395</v>
      </c>
      <c r="C62" t="s">
        <v>151</v>
      </c>
      <c r="D62" s="8">
        <v>1537.1191843949478</v>
      </c>
      <c r="F62">
        <f t="shared" si="1"/>
        <v>56</v>
      </c>
      <c r="H62" t="s">
        <v>19</v>
      </c>
      <c r="I62" s="8">
        <v>26140.993070830158</v>
      </c>
    </row>
    <row r="63" spans="1:9" x14ac:dyDescent="0.35">
      <c r="A63">
        <f t="shared" si="0"/>
        <v>57</v>
      </c>
      <c r="B63" t="s">
        <v>161</v>
      </c>
      <c r="C63" t="s">
        <v>44</v>
      </c>
      <c r="D63" s="8">
        <v>804.98081680627433</v>
      </c>
      <c r="F63">
        <f t="shared" si="1"/>
        <v>57</v>
      </c>
      <c r="H63" t="s">
        <v>185</v>
      </c>
      <c r="I63" s="8">
        <v>3354.0016673012819</v>
      </c>
    </row>
    <row r="64" spans="1:9" x14ac:dyDescent="0.35">
      <c r="A64">
        <f t="shared" si="0"/>
        <v>58</v>
      </c>
      <c r="C64" t="s">
        <v>200</v>
      </c>
      <c r="D64" s="8">
        <v>24835.283147975933</v>
      </c>
      <c r="F64">
        <f t="shared" si="1"/>
        <v>58</v>
      </c>
      <c r="H64" t="s">
        <v>629</v>
      </c>
      <c r="I64" s="8">
        <v>7805.555446177601</v>
      </c>
    </row>
    <row r="65" spans="1:9" x14ac:dyDescent="0.35">
      <c r="A65">
        <f t="shared" si="0"/>
        <v>59</v>
      </c>
      <c r="C65" t="s">
        <v>162</v>
      </c>
      <c r="D65" s="8">
        <v>19472.254581063957</v>
      </c>
      <c r="F65">
        <f t="shared" si="1"/>
        <v>59</v>
      </c>
      <c r="G65" t="s">
        <v>703</v>
      </c>
      <c r="H65" t="s">
        <v>702</v>
      </c>
      <c r="I65" s="8">
        <v>1752.5971459112554</v>
      </c>
    </row>
    <row r="66" spans="1:9" x14ac:dyDescent="0.35">
      <c r="A66">
        <f t="shared" si="0"/>
        <v>60</v>
      </c>
      <c r="B66" t="s">
        <v>457</v>
      </c>
      <c r="C66" t="s">
        <v>384</v>
      </c>
      <c r="D66" s="8">
        <v>1221.8487496163564</v>
      </c>
      <c r="F66">
        <f t="shared" si="1"/>
        <v>60</v>
      </c>
      <c r="G66" t="s">
        <v>717</v>
      </c>
      <c r="H66" t="s">
        <v>1177</v>
      </c>
      <c r="I66" s="8">
        <v>6881.5348772745856</v>
      </c>
    </row>
    <row r="67" spans="1:9" x14ac:dyDescent="0.35">
      <c r="A67">
        <f t="shared" si="0"/>
        <v>61</v>
      </c>
      <c r="B67" t="s">
        <v>658</v>
      </c>
      <c r="C67" t="s">
        <v>330</v>
      </c>
      <c r="D67" s="8">
        <v>3692.4613448498085</v>
      </c>
      <c r="F67">
        <f t="shared" si="1"/>
        <v>61</v>
      </c>
      <c r="H67" t="s">
        <v>72</v>
      </c>
      <c r="I67" s="8">
        <v>853.87196432176188</v>
      </c>
    </row>
    <row r="68" spans="1:9" x14ac:dyDescent="0.35">
      <c r="A68">
        <f t="shared" si="0"/>
        <v>62</v>
      </c>
      <c r="B68" t="s">
        <v>864</v>
      </c>
      <c r="C68" t="s">
        <v>52</v>
      </c>
      <c r="D68" s="8">
        <v>349.48500216800937</v>
      </c>
      <c r="F68">
        <f t="shared" si="1"/>
        <v>62</v>
      </c>
      <c r="H68" t="s">
        <v>2474</v>
      </c>
      <c r="I68" s="8">
        <v>2557.2063397655315</v>
      </c>
    </row>
    <row r="69" spans="1:9" x14ac:dyDescent="0.35">
      <c r="A69">
        <f t="shared" si="0"/>
        <v>63</v>
      </c>
      <c r="B69" t="s">
        <v>2458</v>
      </c>
      <c r="C69" t="s">
        <v>384</v>
      </c>
      <c r="D69" s="8">
        <v>1698.9700043360187</v>
      </c>
      <c r="F69">
        <f t="shared" si="1"/>
        <v>63</v>
      </c>
      <c r="G69" t="s">
        <v>864</v>
      </c>
      <c r="H69" t="s">
        <v>1248</v>
      </c>
      <c r="I69" s="8">
        <v>675.78526965726996</v>
      </c>
    </row>
    <row r="70" spans="1:9" x14ac:dyDescent="0.35">
      <c r="A70">
        <f t="shared" si="0"/>
        <v>64</v>
      </c>
      <c r="B70" t="s">
        <v>1227</v>
      </c>
      <c r="C70" t="s">
        <v>153</v>
      </c>
      <c r="D70" s="8">
        <v>1351.49151640329</v>
      </c>
      <c r="F70">
        <f t="shared" si="1"/>
        <v>64</v>
      </c>
      <c r="G70" t="s">
        <v>1390</v>
      </c>
      <c r="H70" t="s">
        <v>1389</v>
      </c>
      <c r="I70" s="8">
        <v>449.09253111941894</v>
      </c>
    </row>
    <row r="71" spans="1:9" x14ac:dyDescent="0.35">
      <c r="A71">
        <f t="shared" si="0"/>
        <v>65</v>
      </c>
      <c r="B71" t="s">
        <v>1719</v>
      </c>
      <c r="C71" t="s">
        <v>524</v>
      </c>
      <c r="D71" s="8">
        <v>26036.075358099435</v>
      </c>
      <c r="F71">
        <f t="shared" si="1"/>
        <v>65</v>
      </c>
      <c r="G71" t="s">
        <v>1318</v>
      </c>
      <c r="H71" t="s">
        <v>1317</v>
      </c>
      <c r="I71" s="8">
        <v>1720.7497786592612</v>
      </c>
    </row>
    <row r="72" spans="1:9" x14ac:dyDescent="0.35">
      <c r="A72">
        <f t="shared" si="0"/>
        <v>66</v>
      </c>
      <c r="B72" t="s">
        <v>2388</v>
      </c>
      <c r="C72" t="s">
        <v>665</v>
      </c>
      <c r="D72" s="8">
        <v>1290.0346113625178</v>
      </c>
      <c r="F72">
        <f t="shared" si="1"/>
        <v>66</v>
      </c>
      <c r="G72" t="s">
        <v>1451</v>
      </c>
      <c r="H72" t="s">
        <v>1020</v>
      </c>
      <c r="I72" s="8">
        <v>658.54134728041072</v>
      </c>
    </row>
    <row r="73" spans="1:9" x14ac:dyDescent="0.35">
      <c r="A73">
        <f t="shared" ref="A73:A136" si="2">A72+1</f>
        <v>67</v>
      </c>
      <c r="B73" t="s">
        <v>452</v>
      </c>
      <c r="C73" t="s">
        <v>334</v>
      </c>
      <c r="D73" s="8">
        <v>7724.7985694667077</v>
      </c>
      <c r="F73">
        <f t="shared" ref="F73:F136" si="3">F72+1</f>
        <v>67</v>
      </c>
      <c r="G73" t="s">
        <v>630</v>
      </c>
      <c r="H73" t="s">
        <v>629</v>
      </c>
      <c r="I73" s="8">
        <v>4236.2122078912571</v>
      </c>
    </row>
    <row r="74" spans="1:9" x14ac:dyDescent="0.35">
      <c r="A74">
        <f t="shared" si="2"/>
        <v>68</v>
      </c>
      <c r="B74" t="s">
        <v>2460</v>
      </c>
      <c r="C74" t="s">
        <v>187</v>
      </c>
      <c r="D74" s="8">
        <v>2452.2976709946302</v>
      </c>
      <c r="F74">
        <f t="shared" si="3"/>
        <v>68</v>
      </c>
      <c r="G74" t="s">
        <v>2500</v>
      </c>
      <c r="H74" t="s">
        <v>99</v>
      </c>
      <c r="I74" s="8">
        <v>20189.903790375658</v>
      </c>
    </row>
    <row r="75" spans="1:9" x14ac:dyDescent="0.35">
      <c r="A75">
        <f t="shared" si="2"/>
        <v>69</v>
      </c>
      <c r="B75" t="s">
        <v>967</v>
      </c>
      <c r="C75" t="s">
        <v>131</v>
      </c>
      <c r="D75" s="8">
        <v>1753.7919045241988</v>
      </c>
      <c r="F75">
        <f t="shared" si="3"/>
        <v>69</v>
      </c>
      <c r="G75" t="s">
        <v>2614</v>
      </c>
      <c r="H75" t="s">
        <v>2613</v>
      </c>
      <c r="I75" s="8">
        <v>845.09804001425687</v>
      </c>
    </row>
    <row r="76" spans="1:9" x14ac:dyDescent="0.35">
      <c r="A76">
        <f t="shared" si="2"/>
        <v>70</v>
      </c>
      <c r="B76" t="s">
        <v>12</v>
      </c>
      <c r="C76" t="s">
        <v>13</v>
      </c>
      <c r="D76" s="8">
        <v>18684.348293815434</v>
      </c>
      <c r="F76">
        <f t="shared" si="3"/>
        <v>70</v>
      </c>
      <c r="G76" t="s">
        <v>421</v>
      </c>
      <c r="H76" t="s">
        <v>1055</v>
      </c>
      <c r="I76" s="8">
        <v>1732.3937598229684</v>
      </c>
    </row>
    <row r="77" spans="1:9" x14ac:dyDescent="0.35">
      <c r="A77">
        <f t="shared" si="2"/>
        <v>71</v>
      </c>
      <c r="B77" t="s">
        <v>697</v>
      </c>
      <c r="C77" t="s">
        <v>200</v>
      </c>
      <c r="D77" s="8">
        <v>7252.9477405212911</v>
      </c>
      <c r="F77">
        <f t="shared" si="3"/>
        <v>71</v>
      </c>
      <c r="H77" t="s">
        <v>220</v>
      </c>
      <c r="I77" s="8">
        <v>11744.418739821664</v>
      </c>
    </row>
    <row r="78" spans="1:9" x14ac:dyDescent="0.35">
      <c r="A78">
        <f t="shared" si="2"/>
        <v>72</v>
      </c>
      <c r="B78" t="s">
        <v>482</v>
      </c>
      <c r="C78" t="s">
        <v>410</v>
      </c>
      <c r="D78" s="8">
        <v>13677.379602313837</v>
      </c>
      <c r="F78">
        <f t="shared" si="3"/>
        <v>72</v>
      </c>
      <c r="H78" t="s">
        <v>448</v>
      </c>
      <c r="I78" s="8">
        <v>2076.1550948162608</v>
      </c>
    </row>
    <row r="79" spans="1:9" x14ac:dyDescent="0.35">
      <c r="A79">
        <f t="shared" si="2"/>
        <v>73</v>
      </c>
      <c r="B79" t="s">
        <v>2463</v>
      </c>
      <c r="C79" t="s">
        <v>1073</v>
      </c>
      <c r="D79" s="8">
        <v>1707.5701760979362</v>
      </c>
      <c r="F79">
        <f t="shared" si="3"/>
        <v>73</v>
      </c>
      <c r="H79" t="s">
        <v>866</v>
      </c>
      <c r="I79" s="8">
        <v>1128.0647339808954</v>
      </c>
    </row>
    <row r="80" spans="1:9" x14ac:dyDescent="0.35">
      <c r="A80">
        <f t="shared" si="2"/>
        <v>74</v>
      </c>
      <c r="B80" t="s">
        <v>1214</v>
      </c>
      <c r="C80" t="s">
        <v>65</v>
      </c>
      <c r="D80" s="8">
        <v>3155.9612598906424</v>
      </c>
      <c r="F80">
        <f t="shared" si="3"/>
        <v>74</v>
      </c>
      <c r="G80" t="s">
        <v>1141</v>
      </c>
      <c r="H80" t="s">
        <v>1140</v>
      </c>
      <c r="I80" s="8">
        <v>965.45073103095967</v>
      </c>
    </row>
    <row r="81" spans="1:9" x14ac:dyDescent="0.35">
      <c r="A81">
        <f t="shared" si="2"/>
        <v>75</v>
      </c>
      <c r="B81" t="s">
        <v>1519</v>
      </c>
      <c r="C81" t="s">
        <v>153</v>
      </c>
      <c r="D81" s="8">
        <v>6890.2529591782013</v>
      </c>
      <c r="F81">
        <f t="shared" si="3"/>
        <v>75</v>
      </c>
      <c r="H81" t="s">
        <v>2543</v>
      </c>
      <c r="I81" s="8">
        <v>778.15125038364363</v>
      </c>
    </row>
    <row r="82" spans="1:9" x14ac:dyDescent="0.35">
      <c r="A82">
        <f t="shared" si="2"/>
        <v>76</v>
      </c>
      <c r="B82" t="s">
        <v>1270</v>
      </c>
      <c r="C82" t="s">
        <v>1271</v>
      </c>
      <c r="D82" s="8">
        <v>498.05516155530529</v>
      </c>
      <c r="F82">
        <f t="shared" si="3"/>
        <v>76</v>
      </c>
      <c r="G82" t="s">
        <v>2301</v>
      </c>
      <c r="H82" t="s">
        <v>2300</v>
      </c>
      <c r="I82" s="8">
        <v>916.45394854992526</v>
      </c>
    </row>
    <row r="83" spans="1:9" x14ac:dyDescent="0.35">
      <c r="A83">
        <f t="shared" si="2"/>
        <v>77</v>
      </c>
      <c r="B83" t="s">
        <v>958</v>
      </c>
      <c r="C83" t="s">
        <v>122</v>
      </c>
      <c r="D83" s="8">
        <v>7897.4215177832129</v>
      </c>
      <c r="F83">
        <f t="shared" si="3"/>
        <v>77</v>
      </c>
      <c r="G83" t="s">
        <v>1372</v>
      </c>
      <c r="H83" t="s">
        <v>1371</v>
      </c>
      <c r="I83" s="8">
        <v>1811.5750058705935</v>
      </c>
    </row>
    <row r="84" spans="1:9" x14ac:dyDescent="0.35">
      <c r="A84">
        <f t="shared" si="2"/>
        <v>78</v>
      </c>
      <c r="B84" t="s">
        <v>459</v>
      </c>
      <c r="C84" t="s">
        <v>136</v>
      </c>
      <c r="D84" s="8">
        <v>4585.8707314099966</v>
      </c>
      <c r="F84">
        <f t="shared" si="3"/>
        <v>78</v>
      </c>
      <c r="G84" t="s">
        <v>67</v>
      </c>
      <c r="H84" t="s">
        <v>1329</v>
      </c>
      <c r="I84" s="8">
        <v>1041.3926851582248</v>
      </c>
    </row>
    <row r="85" spans="1:9" x14ac:dyDescent="0.35">
      <c r="A85">
        <f t="shared" si="2"/>
        <v>79</v>
      </c>
      <c r="B85" t="s">
        <v>813</v>
      </c>
      <c r="C85" t="s">
        <v>665</v>
      </c>
      <c r="D85" s="8">
        <v>1181.3237859893582</v>
      </c>
      <c r="F85">
        <f t="shared" si="3"/>
        <v>79</v>
      </c>
      <c r="H85" t="s">
        <v>1458</v>
      </c>
      <c r="I85" s="8">
        <v>8036.2998265836923</v>
      </c>
    </row>
    <row r="86" spans="1:9" x14ac:dyDescent="0.35">
      <c r="A86">
        <f t="shared" si="2"/>
        <v>80</v>
      </c>
      <c r="B86" t="s">
        <v>1109</v>
      </c>
      <c r="C86" t="s">
        <v>528</v>
      </c>
      <c r="D86" s="8">
        <v>990.24016271084372</v>
      </c>
      <c r="F86">
        <f t="shared" si="3"/>
        <v>80</v>
      </c>
      <c r="H86" t="s">
        <v>543</v>
      </c>
      <c r="I86" s="8">
        <v>13084.120804055223</v>
      </c>
    </row>
    <row r="87" spans="1:9" x14ac:dyDescent="0.35">
      <c r="A87">
        <f t="shared" si="2"/>
        <v>81</v>
      </c>
      <c r="B87" t="s">
        <v>1167</v>
      </c>
      <c r="C87" t="s">
        <v>1168</v>
      </c>
      <c r="D87" s="8">
        <v>1397.9400086720375</v>
      </c>
      <c r="F87">
        <f t="shared" si="3"/>
        <v>81</v>
      </c>
      <c r="H87" t="s">
        <v>512</v>
      </c>
      <c r="I87" s="8">
        <v>5701.8059516040885</v>
      </c>
    </row>
    <row r="88" spans="1:9" x14ac:dyDescent="0.35">
      <c r="A88">
        <f t="shared" si="2"/>
        <v>82</v>
      </c>
      <c r="B88" t="s">
        <v>638</v>
      </c>
      <c r="C88" t="s">
        <v>218</v>
      </c>
      <c r="D88" s="8">
        <v>692.23662167705049</v>
      </c>
      <c r="F88">
        <f t="shared" si="3"/>
        <v>82</v>
      </c>
      <c r="H88" t="s">
        <v>826</v>
      </c>
      <c r="I88" s="8">
        <v>1049.7716167309957</v>
      </c>
    </row>
    <row r="89" spans="1:9" x14ac:dyDescent="0.35">
      <c r="A89">
        <f t="shared" si="2"/>
        <v>83</v>
      </c>
      <c r="B89" t="s">
        <v>686</v>
      </c>
      <c r="C89" t="s">
        <v>687</v>
      </c>
      <c r="D89" s="8">
        <v>2079.1812460476249</v>
      </c>
      <c r="F89">
        <f t="shared" si="3"/>
        <v>83</v>
      </c>
      <c r="H89" t="s">
        <v>66</v>
      </c>
      <c r="I89" s="8">
        <v>27914.377019401309</v>
      </c>
    </row>
    <row r="90" spans="1:9" x14ac:dyDescent="0.35">
      <c r="A90">
        <f t="shared" si="2"/>
        <v>84</v>
      </c>
      <c r="B90" t="s">
        <v>1210</v>
      </c>
      <c r="C90" t="s">
        <v>1011</v>
      </c>
      <c r="D90" s="8">
        <v>942.00805302231322</v>
      </c>
      <c r="F90">
        <f t="shared" si="3"/>
        <v>84</v>
      </c>
      <c r="H90" t="s">
        <v>895</v>
      </c>
      <c r="I90" s="8">
        <v>3196.5117381161981</v>
      </c>
    </row>
    <row r="91" spans="1:9" x14ac:dyDescent="0.35">
      <c r="A91">
        <f t="shared" si="2"/>
        <v>85</v>
      </c>
      <c r="C91" t="s">
        <v>353</v>
      </c>
      <c r="D91" s="8">
        <v>1410.1744650890494</v>
      </c>
      <c r="F91">
        <f t="shared" si="3"/>
        <v>85</v>
      </c>
      <c r="H91" t="s">
        <v>307</v>
      </c>
      <c r="I91" s="8">
        <v>18922.565504964456</v>
      </c>
    </row>
    <row r="92" spans="1:9" x14ac:dyDescent="0.35">
      <c r="A92">
        <f t="shared" si="2"/>
        <v>86</v>
      </c>
      <c r="B92" t="s">
        <v>519</v>
      </c>
      <c r="C92" t="s">
        <v>520</v>
      </c>
      <c r="D92" s="8">
        <v>2297.1219097082958</v>
      </c>
      <c r="F92">
        <f t="shared" si="3"/>
        <v>86</v>
      </c>
      <c r="G92" t="s">
        <v>1062</v>
      </c>
      <c r="H92" t="s">
        <v>1061</v>
      </c>
      <c r="I92" s="8">
        <v>714.0337507718948</v>
      </c>
    </row>
    <row r="93" spans="1:9" x14ac:dyDescent="0.35">
      <c r="A93">
        <f t="shared" si="2"/>
        <v>87</v>
      </c>
      <c r="B93" t="s">
        <v>974</v>
      </c>
      <c r="C93" t="s">
        <v>353</v>
      </c>
      <c r="D93" s="8">
        <v>6335.3592004449247</v>
      </c>
      <c r="F93">
        <f t="shared" si="3"/>
        <v>87</v>
      </c>
      <c r="G93" t="s">
        <v>2444</v>
      </c>
      <c r="H93" t="s">
        <v>2443</v>
      </c>
      <c r="I93" s="8">
        <v>852.7848686805479</v>
      </c>
    </row>
    <row r="94" spans="1:9" x14ac:dyDescent="0.35">
      <c r="A94">
        <f t="shared" si="2"/>
        <v>88</v>
      </c>
      <c r="C94" t="s">
        <v>2008</v>
      </c>
      <c r="D94" s="8">
        <v>903.08998699194353</v>
      </c>
      <c r="F94">
        <f t="shared" si="3"/>
        <v>88</v>
      </c>
      <c r="G94" t="s">
        <v>1218</v>
      </c>
      <c r="H94" t="s">
        <v>1217</v>
      </c>
      <c r="I94" s="8">
        <v>6961.4481476341534</v>
      </c>
    </row>
    <row r="95" spans="1:9" x14ac:dyDescent="0.35">
      <c r="A95">
        <f t="shared" si="2"/>
        <v>89</v>
      </c>
      <c r="B95" t="s">
        <v>1395</v>
      </c>
      <c r="C95" t="s">
        <v>782</v>
      </c>
      <c r="D95" s="8">
        <v>229.96663983853605</v>
      </c>
      <c r="F95">
        <f t="shared" si="3"/>
        <v>89</v>
      </c>
      <c r="G95" t="s">
        <v>56</v>
      </c>
      <c r="H95" t="s">
        <v>55</v>
      </c>
      <c r="I95" s="8">
        <v>5257.1442808408237</v>
      </c>
    </row>
    <row r="96" spans="1:9" x14ac:dyDescent="0.35">
      <c r="A96">
        <f t="shared" si="2"/>
        <v>90</v>
      </c>
      <c r="B96" t="s">
        <v>1201</v>
      </c>
      <c r="C96" t="s">
        <v>153</v>
      </c>
      <c r="D96" s="8">
        <v>829.30377283102507</v>
      </c>
      <c r="F96">
        <f t="shared" si="3"/>
        <v>90</v>
      </c>
      <c r="H96" t="s">
        <v>1231</v>
      </c>
      <c r="I96" s="8">
        <v>1086.3598306747483</v>
      </c>
    </row>
    <row r="97" spans="1:9" x14ac:dyDescent="0.35">
      <c r="A97">
        <f t="shared" si="2"/>
        <v>91</v>
      </c>
      <c r="B97" t="s">
        <v>21</v>
      </c>
      <c r="C97" t="s">
        <v>463</v>
      </c>
      <c r="D97" s="8">
        <v>77674.663680084239</v>
      </c>
      <c r="F97">
        <f t="shared" si="3"/>
        <v>91</v>
      </c>
      <c r="H97" t="s">
        <v>1169</v>
      </c>
      <c r="I97" s="8">
        <v>1502.4271199844325</v>
      </c>
    </row>
    <row r="98" spans="1:9" x14ac:dyDescent="0.35">
      <c r="A98">
        <f t="shared" si="2"/>
        <v>92</v>
      </c>
      <c r="B98" t="s">
        <v>750</v>
      </c>
      <c r="C98" t="s">
        <v>218</v>
      </c>
      <c r="D98" s="8">
        <v>2483.7209877447394</v>
      </c>
      <c r="F98">
        <f t="shared" si="3"/>
        <v>92</v>
      </c>
      <c r="H98" t="s">
        <v>682</v>
      </c>
      <c r="I98" s="8">
        <v>1832.5089127062363</v>
      </c>
    </row>
    <row r="99" spans="1:9" x14ac:dyDescent="0.35">
      <c r="A99">
        <f t="shared" si="2"/>
        <v>93</v>
      </c>
      <c r="B99" t="s">
        <v>2514</v>
      </c>
      <c r="C99" t="s">
        <v>218</v>
      </c>
      <c r="D99" s="8">
        <v>1064.4579892269187</v>
      </c>
      <c r="F99">
        <f t="shared" si="3"/>
        <v>93</v>
      </c>
      <c r="G99" t="s">
        <v>393</v>
      </c>
      <c r="H99" t="s">
        <v>86</v>
      </c>
      <c r="I99" s="8">
        <v>8910.971281754315</v>
      </c>
    </row>
    <row r="100" spans="1:9" x14ac:dyDescent="0.35">
      <c r="A100">
        <f t="shared" si="2"/>
        <v>94</v>
      </c>
      <c r="B100" t="s">
        <v>1263</v>
      </c>
      <c r="C100" t="s">
        <v>1264</v>
      </c>
      <c r="D100" s="8">
        <v>1151.2676753306489</v>
      </c>
      <c r="F100">
        <f t="shared" si="3"/>
        <v>94</v>
      </c>
      <c r="G100" t="s">
        <v>171</v>
      </c>
      <c r="H100" t="s">
        <v>170</v>
      </c>
      <c r="I100" s="8">
        <v>10145.999670942783</v>
      </c>
    </row>
    <row r="101" spans="1:9" x14ac:dyDescent="0.35">
      <c r="A101">
        <f t="shared" si="2"/>
        <v>95</v>
      </c>
      <c r="B101" t="s">
        <v>769</v>
      </c>
      <c r="C101" t="s">
        <v>463</v>
      </c>
      <c r="D101" s="8">
        <v>1049.2180226701814</v>
      </c>
      <c r="F101">
        <f t="shared" si="3"/>
        <v>95</v>
      </c>
      <c r="G101" t="s">
        <v>1101</v>
      </c>
      <c r="H101" t="s">
        <v>1100</v>
      </c>
      <c r="I101" s="8">
        <v>1301.029995663981</v>
      </c>
    </row>
    <row r="102" spans="1:9" x14ac:dyDescent="0.35">
      <c r="A102">
        <f t="shared" si="2"/>
        <v>96</v>
      </c>
      <c r="B102" t="s">
        <v>609</v>
      </c>
      <c r="C102" t="s">
        <v>610</v>
      </c>
      <c r="D102" s="8">
        <v>9666.7226020382786</v>
      </c>
      <c r="F102">
        <f t="shared" si="3"/>
        <v>96</v>
      </c>
      <c r="G102" t="s">
        <v>971</v>
      </c>
      <c r="H102" t="s">
        <v>970</v>
      </c>
      <c r="I102" s="8">
        <v>1153.8148643445288</v>
      </c>
    </row>
    <row r="103" spans="1:9" x14ac:dyDescent="0.35">
      <c r="A103">
        <f t="shared" si="2"/>
        <v>97</v>
      </c>
      <c r="B103" t="s">
        <v>810</v>
      </c>
      <c r="C103" t="s">
        <v>463</v>
      </c>
      <c r="D103" s="8">
        <v>7114.5947078908912</v>
      </c>
      <c r="F103">
        <f t="shared" si="3"/>
        <v>97</v>
      </c>
      <c r="G103" t="s">
        <v>159</v>
      </c>
      <c r="H103" t="s">
        <v>795</v>
      </c>
      <c r="I103" s="8">
        <v>893.94660755207371</v>
      </c>
    </row>
    <row r="104" spans="1:9" x14ac:dyDescent="0.35">
      <c r="A104">
        <f t="shared" si="2"/>
        <v>98</v>
      </c>
      <c r="B104" t="s">
        <v>653</v>
      </c>
      <c r="C104" t="s">
        <v>654</v>
      </c>
      <c r="D104" s="8">
        <v>2710.2477591526822</v>
      </c>
      <c r="F104">
        <f t="shared" si="3"/>
        <v>98</v>
      </c>
      <c r="H104" t="s">
        <v>1206</v>
      </c>
      <c r="I104" s="8">
        <v>862.4721360836794</v>
      </c>
    </row>
    <row r="105" spans="1:9" x14ac:dyDescent="0.35">
      <c r="A105">
        <f t="shared" si="2"/>
        <v>99</v>
      </c>
      <c r="C105" t="s">
        <v>2386</v>
      </c>
      <c r="D105" s="8">
        <v>1263.169638694922</v>
      </c>
      <c r="F105">
        <f t="shared" si="3"/>
        <v>99</v>
      </c>
      <c r="H105" t="s">
        <v>545</v>
      </c>
      <c r="I105" s="8">
        <v>1156.3472008599238</v>
      </c>
    </row>
    <row r="106" spans="1:9" x14ac:dyDescent="0.35">
      <c r="A106">
        <f t="shared" si="2"/>
        <v>100</v>
      </c>
      <c r="B106" t="s">
        <v>588</v>
      </c>
      <c r="C106" t="s">
        <v>353</v>
      </c>
      <c r="D106" s="8">
        <v>9563.5866583308416</v>
      </c>
      <c r="F106">
        <f t="shared" si="3"/>
        <v>100</v>
      </c>
      <c r="H106" t="s">
        <v>158</v>
      </c>
      <c r="I106" s="8">
        <v>5093.2522900129334</v>
      </c>
    </row>
    <row r="107" spans="1:9" x14ac:dyDescent="0.35">
      <c r="A107">
        <f t="shared" si="2"/>
        <v>101</v>
      </c>
      <c r="B107" t="s">
        <v>333</v>
      </c>
      <c r="C107" t="s">
        <v>334</v>
      </c>
      <c r="D107" s="8">
        <v>1044.4191397884131</v>
      </c>
      <c r="F107">
        <f t="shared" si="3"/>
        <v>101</v>
      </c>
      <c r="H107" t="s">
        <v>1236</v>
      </c>
      <c r="I107" s="8">
        <v>1272.474535210928</v>
      </c>
    </row>
    <row r="108" spans="1:9" x14ac:dyDescent="0.35">
      <c r="A108">
        <f t="shared" si="2"/>
        <v>102</v>
      </c>
      <c r="B108" t="s">
        <v>996</v>
      </c>
      <c r="C108" t="s">
        <v>232</v>
      </c>
      <c r="D108" s="8">
        <v>1732.3937598229686</v>
      </c>
      <c r="F108">
        <f t="shared" si="3"/>
        <v>102</v>
      </c>
      <c r="H108" t="s">
        <v>542</v>
      </c>
      <c r="I108" s="8">
        <v>1826.0748027008265</v>
      </c>
    </row>
    <row r="109" spans="1:9" x14ac:dyDescent="0.35">
      <c r="A109">
        <f t="shared" si="2"/>
        <v>103</v>
      </c>
      <c r="B109" t="s">
        <v>2693</v>
      </c>
      <c r="C109" t="s">
        <v>2694</v>
      </c>
      <c r="D109" s="8">
        <v>1033.4237554869499</v>
      </c>
      <c r="F109">
        <f t="shared" si="3"/>
        <v>103</v>
      </c>
      <c r="H109" t="s">
        <v>2415</v>
      </c>
      <c r="I109" s="8">
        <v>1255.2725051033062</v>
      </c>
    </row>
    <row r="110" spans="1:9" x14ac:dyDescent="0.35">
      <c r="A110">
        <f t="shared" si="2"/>
        <v>104</v>
      </c>
      <c r="B110" t="s">
        <v>601</v>
      </c>
      <c r="C110" t="s">
        <v>58</v>
      </c>
      <c r="D110" s="8">
        <v>12049.506193462215</v>
      </c>
      <c r="F110">
        <f t="shared" si="3"/>
        <v>104</v>
      </c>
      <c r="G110" t="s">
        <v>413</v>
      </c>
      <c r="H110" t="s">
        <v>773</v>
      </c>
      <c r="I110" s="8">
        <v>1748.1880270062006</v>
      </c>
    </row>
    <row r="111" spans="1:9" x14ac:dyDescent="0.35">
      <c r="A111">
        <f t="shared" si="2"/>
        <v>105</v>
      </c>
      <c r="B111" t="s">
        <v>431</v>
      </c>
      <c r="C111" t="s">
        <v>44</v>
      </c>
      <c r="D111" s="8">
        <v>868.32788073273161</v>
      </c>
      <c r="F111">
        <f t="shared" si="3"/>
        <v>105</v>
      </c>
      <c r="H111" t="s">
        <v>517</v>
      </c>
      <c r="I111" s="8">
        <v>4428.890130894657</v>
      </c>
    </row>
    <row r="112" spans="1:9" x14ac:dyDescent="0.35">
      <c r="A112">
        <f t="shared" si="2"/>
        <v>106</v>
      </c>
      <c r="B112" t="s">
        <v>672</v>
      </c>
      <c r="C112" t="s">
        <v>673</v>
      </c>
      <c r="D112" s="8">
        <v>4842.9848254437293</v>
      </c>
      <c r="F112">
        <f t="shared" si="3"/>
        <v>106</v>
      </c>
      <c r="H112" t="s">
        <v>414</v>
      </c>
      <c r="I112" s="8">
        <v>16367.578544010526</v>
      </c>
    </row>
    <row r="113" spans="1:9" x14ac:dyDescent="0.35">
      <c r="A113">
        <f t="shared" si="2"/>
        <v>107</v>
      </c>
      <c r="B113" t="s">
        <v>1182</v>
      </c>
      <c r="C113" t="s">
        <v>71</v>
      </c>
      <c r="D113" s="8">
        <v>1386.2016054007938</v>
      </c>
      <c r="F113">
        <f t="shared" si="3"/>
        <v>107</v>
      </c>
      <c r="G113" t="s">
        <v>701</v>
      </c>
      <c r="H113" t="s">
        <v>968</v>
      </c>
      <c r="I113" s="8">
        <v>8936.938312108523</v>
      </c>
    </row>
    <row r="114" spans="1:9" x14ac:dyDescent="0.35">
      <c r="A114">
        <f t="shared" si="2"/>
        <v>108</v>
      </c>
      <c r="B114" t="s">
        <v>1330</v>
      </c>
      <c r="C114" t="s">
        <v>1331</v>
      </c>
      <c r="D114" s="8">
        <v>1565.1479079951914</v>
      </c>
      <c r="F114">
        <f t="shared" si="3"/>
        <v>108</v>
      </c>
      <c r="H114" t="s">
        <v>700</v>
      </c>
      <c r="I114" s="8">
        <v>2704.0467551664105</v>
      </c>
    </row>
    <row r="115" spans="1:9" x14ac:dyDescent="0.35">
      <c r="A115">
        <f t="shared" si="2"/>
        <v>109</v>
      </c>
      <c r="B115" t="s">
        <v>70</v>
      </c>
      <c r="C115" t="s">
        <v>71</v>
      </c>
      <c r="D115" s="8">
        <v>37619.18550303884</v>
      </c>
      <c r="F115">
        <f t="shared" si="3"/>
        <v>109</v>
      </c>
      <c r="G115" t="s">
        <v>1447</v>
      </c>
      <c r="H115" t="s">
        <v>1446</v>
      </c>
      <c r="I115" s="8">
        <v>1068.7158123694599</v>
      </c>
    </row>
    <row r="116" spans="1:9" x14ac:dyDescent="0.35">
      <c r="A116">
        <f t="shared" si="2"/>
        <v>110</v>
      </c>
      <c r="B116" t="s">
        <v>310</v>
      </c>
      <c r="C116" t="s">
        <v>119</v>
      </c>
      <c r="D116" s="8">
        <v>7695.0795473712287</v>
      </c>
      <c r="F116">
        <f t="shared" si="3"/>
        <v>110</v>
      </c>
      <c r="G116" t="s">
        <v>344</v>
      </c>
      <c r="H116" t="s">
        <v>343</v>
      </c>
      <c r="I116" s="8">
        <v>2315.4859120749506</v>
      </c>
    </row>
    <row r="117" spans="1:9" x14ac:dyDescent="0.35">
      <c r="A117">
        <f t="shared" si="2"/>
        <v>111</v>
      </c>
      <c r="B117" t="s">
        <v>1518</v>
      </c>
      <c r="C117" t="s">
        <v>136</v>
      </c>
      <c r="D117" s="8">
        <v>1547.1591213274171</v>
      </c>
      <c r="F117">
        <f t="shared" si="3"/>
        <v>111</v>
      </c>
      <c r="G117" t="s">
        <v>753</v>
      </c>
      <c r="H117" t="s">
        <v>752</v>
      </c>
      <c r="I117" s="8">
        <v>2099.1025311309277</v>
      </c>
    </row>
    <row r="118" spans="1:9" x14ac:dyDescent="0.35">
      <c r="A118">
        <f t="shared" si="2"/>
        <v>112</v>
      </c>
      <c r="B118" t="s">
        <v>731</v>
      </c>
      <c r="C118" t="s">
        <v>384</v>
      </c>
      <c r="D118" s="8">
        <v>7781.7806774624278</v>
      </c>
      <c r="F118">
        <f t="shared" si="3"/>
        <v>112</v>
      </c>
      <c r="G118" t="s">
        <v>178</v>
      </c>
      <c r="H118" t="s">
        <v>177</v>
      </c>
      <c r="I118" s="8">
        <v>3667.2661193822746</v>
      </c>
    </row>
    <row r="119" spans="1:9" x14ac:dyDescent="0.35">
      <c r="A119">
        <f t="shared" si="2"/>
        <v>113</v>
      </c>
      <c r="C119" t="s">
        <v>732</v>
      </c>
      <c r="D119" s="8">
        <v>5724.6650514530083</v>
      </c>
      <c r="F119">
        <f t="shared" si="3"/>
        <v>113</v>
      </c>
      <c r="G119" t="s">
        <v>327</v>
      </c>
      <c r="H119" t="s">
        <v>525</v>
      </c>
      <c r="I119" s="8">
        <v>3031.6880629834909</v>
      </c>
    </row>
    <row r="120" spans="1:9" x14ac:dyDescent="0.35">
      <c r="A120">
        <f t="shared" si="2"/>
        <v>114</v>
      </c>
      <c r="B120" t="s">
        <v>784</v>
      </c>
      <c r="C120" t="s">
        <v>136</v>
      </c>
      <c r="D120" s="8">
        <v>2550.0535514902858</v>
      </c>
      <c r="F120">
        <f t="shared" si="3"/>
        <v>114</v>
      </c>
      <c r="H120" t="s">
        <v>326</v>
      </c>
      <c r="I120" s="8">
        <v>3992.0862153331673</v>
      </c>
    </row>
    <row r="121" spans="1:9" x14ac:dyDescent="0.35">
      <c r="A121">
        <f t="shared" si="2"/>
        <v>115</v>
      </c>
      <c r="C121" t="s">
        <v>665</v>
      </c>
      <c r="D121" s="8">
        <v>1070.0378666077547</v>
      </c>
      <c r="F121">
        <f t="shared" si="3"/>
        <v>115</v>
      </c>
      <c r="G121" t="s">
        <v>235</v>
      </c>
      <c r="H121" t="s">
        <v>234</v>
      </c>
      <c r="I121" s="8">
        <v>2908.7905373449275</v>
      </c>
    </row>
    <row r="122" spans="1:9" x14ac:dyDescent="0.35">
      <c r="A122">
        <f t="shared" si="2"/>
        <v>116</v>
      </c>
      <c r="B122" t="s">
        <v>1055</v>
      </c>
      <c r="C122" t="s">
        <v>421</v>
      </c>
      <c r="D122" s="8">
        <v>1732.3937598229684</v>
      </c>
      <c r="F122">
        <f t="shared" si="3"/>
        <v>116</v>
      </c>
      <c r="G122" t="s">
        <v>32</v>
      </c>
      <c r="H122" t="s">
        <v>31</v>
      </c>
      <c r="I122" s="8">
        <v>8114.3397630243962</v>
      </c>
    </row>
    <row r="123" spans="1:9" x14ac:dyDescent="0.35">
      <c r="A123">
        <f t="shared" si="2"/>
        <v>117</v>
      </c>
      <c r="B123" t="s">
        <v>2545</v>
      </c>
      <c r="C123" t="s">
        <v>71</v>
      </c>
      <c r="D123" s="8">
        <v>1342.4226808222061</v>
      </c>
      <c r="F123">
        <f t="shared" si="3"/>
        <v>117</v>
      </c>
      <c r="G123" t="s">
        <v>388</v>
      </c>
      <c r="H123" t="s">
        <v>1425</v>
      </c>
      <c r="I123" s="8">
        <v>1000</v>
      </c>
    </row>
    <row r="124" spans="1:9" x14ac:dyDescent="0.35">
      <c r="A124">
        <f t="shared" si="2"/>
        <v>118</v>
      </c>
      <c r="B124" t="s">
        <v>984</v>
      </c>
      <c r="C124" t="s">
        <v>119</v>
      </c>
      <c r="D124" s="8">
        <v>3145.3940951965415</v>
      </c>
      <c r="F124">
        <f t="shared" si="3"/>
        <v>118</v>
      </c>
      <c r="H124" t="s">
        <v>574</v>
      </c>
      <c r="I124" s="8">
        <v>2121.7113246501121</v>
      </c>
    </row>
    <row r="125" spans="1:9" x14ac:dyDescent="0.35">
      <c r="A125">
        <f t="shared" si="2"/>
        <v>119</v>
      </c>
      <c r="B125" t="s">
        <v>2365</v>
      </c>
      <c r="C125" t="s">
        <v>2366</v>
      </c>
      <c r="D125" s="8">
        <v>17266.892581867694</v>
      </c>
      <c r="F125">
        <f t="shared" si="3"/>
        <v>119</v>
      </c>
      <c r="H125" t="s">
        <v>882</v>
      </c>
      <c r="I125" s="8">
        <v>1093.4216851622352</v>
      </c>
    </row>
    <row r="126" spans="1:9" x14ac:dyDescent="0.35">
      <c r="A126">
        <f t="shared" si="2"/>
        <v>120</v>
      </c>
      <c r="B126" t="s">
        <v>762</v>
      </c>
      <c r="C126" t="s">
        <v>153</v>
      </c>
      <c r="D126" s="8">
        <v>1811.2631787740393</v>
      </c>
      <c r="F126">
        <f t="shared" si="3"/>
        <v>120</v>
      </c>
      <c r="H126" t="s">
        <v>2673</v>
      </c>
      <c r="I126" s="8">
        <v>884.60658129793046</v>
      </c>
    </row>
    <row r="127" spans="1:9" x14ac:dyDescent="0.35">
      <c r="A127">
        <f t="shared" si="2"/>
        <v>121</v>
      </c>
      <c r="B127" t="s">
        <v>174</v>
      </c>
      <c r="C127" t="s">
        <v>175</v>
      </c>
      <c r="D127" s="8">
        <v>4682.8466558661639</v>
      </c>
      <c r="F127">
        <f t="shared" si="3"/>
        <v>121</v>
      </c>
      <c r="H127" t="s">
        <v>2627</v>
      </c>
      <c r="I127" s="8">
        <v>1010.723865391773</v>
      </c>
    </row>
    <row r="128" spans="1:9" x14ac:dyDescent="0.35">
      <c r="A128">
        <f t="shared" si="2"/>
        <v>122</v>
      </c>
      <c r="B128" t="s">
        <v>1148</v>
      </c>
      <c r="C128" t="s">
        <v>28</v>
      </c>
      <c r="D128" s="8">
        <v>985.2767431792937</v>
      </c>
      <c r="F128">
        <f t="shared" si="3"/>
        <v>122</v>
      </c>
      <c r="H128" t="s">
        <v>1152</v>
      </c>
      <c r="I128" s="8">
        <v>2729.9049594192738</v>
      </c>
    </row>
    <row r="129" spans="1:9" x14ac:dyDescent="0.35">
      <c r="A129">
        <f t="shared" si="2"/>
        <v>123</v>
      </c>
      <c r="B129" t="s">
        <v>1071</v>
      </c>
      <c r="C129" t="s">
        <v>353</v>
      </c>
      <c r="D129" s="8">
        <v>1037.4264979406234</v>
      </c>
      <c r="F129">
        <f t="shared" si="3"/>
        <v>123</v>
      </c>
      <c r="G129" t="s">
        <v>634</v>
      </c>
      <c r="H129" t="s">
        <v>1151</v>
      </c>
      <c r="I129" s="8">
        <v>1462.3979978989562</v>
      </c>
    </row>
    <row r="130" spans="1:9" x14ac:dyDescent="0.35">
      <c r="A130">
        <f t="shared" si="2"/>
        <v>124</v>
      </c>
      <c r="B130" t="s">
        <v>340</v>
      </c>
      <c r="C130" t="s">
        <v>341</v>
      </c>
      <c r="D130" s="8">
        <v>692.23662167705049</v>
      </c>
      <c r="F130">
        <f t="shared" si="3"/>
        <v>124</v>
      </c>
      <c r="H130" t="s">
        <v>633</v>
      </c>
      <c r="I130" s="8">
        <v>903.08998699194365</v>
      </c>
    </row>
    <row r="131" spans="1:9" x14ac:dyDescent="0.35">
      <c r="A131">
        <f t="shared" si="2"/>
        <v>125</v>
      </c>
      <c r="C131" t="s">
        <v>665</v>
      </c>
      <c r="D131" s="8">
        <v>6566.1070589678975</v>
      </c>
      <c r="F131">
        <f t="shared" si="3"/>
        <v>125</v>
      </c>
      <c r="G131" t="s">
        <v>1338</v>
      </c>
      <c r="H131" t="s">
        <v>1337</v>
      </c>
      <c r="I131" s="8">
        <v>1169.2809079460192</v>
      </c>
    </row>
    <row r="132" spans="1:9" x14ac:dyDescent="0.35">
      <c r="A132">
        <f t="shared" si="2"/>
        <v>126</v>
      </c>
      <c r="B132" t="s">
        <v>496</v>
      </c>
      <c r="C132" t="s">
        <v>218</v>
      </c>
      <c r="D132" s="8">
        <v>1740.3626894942436</v>
      </c>
      <c r="F132">
        <f t="shared" si="3"/>
        <v>126</v>
      </c>
      <c r="G132" t="s">
        <v>887</v>
      </c>
      <c r="H132" t="s">
        <v>475</v>
      </c>
      <c r="I132" s="8">
        <v>21699.348477211493</v>
      </c>
    </row>
    <row r="133" spans="1:9" x14ac:dyDescent="0.35">
      <c r="A133">
        <f t="shared" si="2"/>
        <v>127</v>
      </c>
      <c r="B133" t="s">
        <v>926</v>
      </c>
      <c r="C133" t="s">
        <v>927</v>
      </c>
      <c r="D133" s="8">
        <v>1233.6305801644633</v>
      </c>
      <c r="F133">
        <f t="shared" si="3"/>
        <v>127</v>
      </c>
      <c r="G133" t="s">
        <v>964</v>
      </c>
      <c r="H133" t="s">
        <v>963</v>
      </c>
      <c r="I133" s="8">
        <v>1452.2976709946302</v>
      </c>
    </row>
    <row r="134" spans="1:9" x14ac:dyDescent="0.35">
      <c r="A134">
        <f t="shared" si="2"/>
        <v>128</v>
      </c>
      <c r="B134" t="s">
        <v>10</v>
      </c>
      <c r="C134" t="s">
        <v>11</v>
      </c>
      <c r="D134" s="8">
        <v>9585.2664809122216</v>
      </c>
      <c r="F134">
        <f t="shared" si="3"/>
        <v>128</v>
      </c>
      <c r="G134" t="s">
        <v>359</v>
      </c>
      <c r="H134" t="s">
        <v>358</v>
      </c>
      <c r="I134" s="8">
        <v>1874.5298092048547</v>
      </c>
    </row>
    <row r="135" spans="1:9" x14ac:dyDescent="0.35">
      <c r="A135">
        <f t="shared" si="2"/>
        <v>129</v>
      </c>
      <c r="B135" t="s">
        <v>910</v>
      </c>
      <c r="C135" t="s">
        <v>911</v>
      </c>
      <c r="D135" s="8">
        <v>2531.5009395306297</v>
      </c>
      <c r="F135">
        <f t="shared" si="3"/>
        <v>129</v>
      </c>
      <c r="G135" t="s">
        <v>28</v>
      </c>
      <c r="H135" t="s">
        <v>498</v>
      </c>
      <c r="I135" s="8">
        <v>4351.8814766414425</v>
      </c>
    </row>
    <row r="136" spans="1:9" x14ac:dyDescent="0.35">
      <c r="A136">
        <f t="shared" si="2"/>
        <v>130</v>
      </c>
      <c r="B136" t="s">
        <v>947</v>
      </c>
      <c r="C136" t="s">
        <v>16</v>
      </c>
      <c r="D136" s="8">
        <v>1755.8748556724915</v>
      </c>
      <c r="F136">
        <f t="shared" si="3"/>
        <v>130</v>
      </c>
      <c r="H136" t="s">
        <v>1148</v>
      </c>
      <c r="I136" s="8">
        <v>985.2767431792937</v>
      </c>
    </row>
    <row r="137" spans="1:9" x14ac:dyDescent="0.35">
      <c r="A137">
        <f t="shared" ref="A137:A200" si="4">A136+1</f>
        <v>131</v>
      </c>
      <c r="C137" t="s">
        <v>948</v>
      </c>
      <c r="D137" s="8">
        <v>3081.4275729213791</v>
      </c>
      <c r="F137">
        <f t="shared" ref="F137:F200" si="5">F136+1</f>
        <v>131</v>
      </c>
      <c r="H137" t="s">
        <v>713</v>
      </c>
      <c r="I137" s="8">
        <v>8875.9230153292392</v>
      </c>
    </row>
    <row r="138" spans="1:9" x14ac:dyDescent="0.35">
      <c r="A138">
        <f t="shared" si="4"/>
        <v>132</v>
      </c>
      <c r="B138" t="s">
        <v>2401</v>
      </c>
      <c r="C138" t="s">
        <v>2017</v>
      </c>
      <c r="D138" s="8">
        <v>11604.669478022655</v>
      </c>
      <c r="F138">
        <f t="shared" si="5"/>
        <v>132</v>
      </c>
      <c r="H138" t="s">
        <v>15</v>
      </c>
      <c r="I138" s="8">
        <v>12974.237045263415</v>
      </c>
    </row>
    <row r="139" spans="1:9" x14ac:dyDescent="0.35">
      <c r="A139">
        <f t="shared" si="4"/>
        <v>133</v>
      </c>
      <c r="B139" t="s">
        <v>2278</v>
      </c>
      <c r="C139" t="s">
        <v>324</v>
      </c>
      <c r="D139" s="8">
        <v>3838.4757199983887</v>
      </c>
      <c r="F139">
        <f t="shared" si="5"/>
        <v>133</v>
      </c>
      <c r="H139" t="s">
        <v>2578</v>
      </c>
      <c r="I139" s="8">
        <v>1028.0287236002437</v>
      </c>
    </row>
    <row r="140" spans="1:9" x14ac:dyDescent="0.35">
      <c r="A140">
        <f t="shared" si="4"/>
        <v>134</v>
      </c>
      <c r="B140" t="s">
        <v>388</v>
      </c>
      <c r="C140" t="s">
        <v>200</v>
      </c>
      <c r="D140" s="8">
        <v>6993.221312833688</v>
      </c>
      <c r="F140">
        <f t="shared" si="5"/>
        <v>134</v>
      </c>
      <c r="H140" t="s">
        <v>266</v>
      </c>
      <c r="I140" s="8">
        <v>30760.907780554346</v>
      </c>
    </row>
    <row r="141" spans="1:9" x14ac:dyDescent="0.35">
      <c r="A141">
        <f t="shared" si="4"/>
        <v>135</v>
      </c>
      <c r="B141" t="s">
        <v>1138</v>
      </c>
      <c r="C141" t="s">
        <v>71</v>
      </c>
      <c r="D141" s="8">
        <v>991.77966975330878</v>
      </c>
      <c r="F141">
        <f t="shared" si="5"/>
        <v>135</v>
      </c>
      <c r="H141" t="s">
        <v>1052</v>
      </c>
      <c r="I141" s="8">
        <v>2750.6048083231381</v>
      </c>
    </row>
    <row r="142" spans="1:9" x14ac:dyDescent="0.35">
      <c r="A142">
        <f t="shared" si="4"/>
        <v>136</v>
      </c>
      <c r="B142" t="s">
        <v>220</v>
      </c>
      <c r="C142" t="s">
        <v>421</v>
      </c>
      <c r="D142" s="8">
        <v>11744.418739821664</v>
      </c>
      <c r="F142">
        <f t="shared" si="5"/>
        <v>136</v>
      </c>
      <c r="H142" t="s">
        <v>2539</v>
      </c>
      <c r="I142" s="8">
        <v>27717.537376317894</v>
      </c>
    </row>
    <row r="143" spans="1:9" x14ac:dyDescent="0.35">
      <c r="A143">
        <f t="shared" si="4"/>
        <v>137</v>
      </c>
      <c r="C143" t="s">
        <v>221</v>
      </c>
      <c r="D143" s="8">
        <v>11335.862797850299</v>
      </c>
      <c r="F143">
        <f t="shared" si="5"/>
        <v>137</v>
      </c>
      <c r="H143" t="s">
        <v>2298</v>
      </c>
      <c r="I143" s="8">
        <v>3324.6939138617745</v>
      </c>
    </row>
    <row r="144" spans="1:9" x14ac:dyDescent="0.35">
      <c r="A144">
        <f t="shared" si="4"/>
        <v>138</v>
      </c>
      <c r="B144" t="s">
        <v>1288</v>
      </c>
      <c r="C144" t="s">
        <v>1289</v>
      </c>
      <c r="D144" s="8">
        <v>123.23895173040556</v>
      </c>
      <c r="F144">
        <f t="shared" si="5"/>
        <v>138</v>
      </c>
      <c r="H144" t="s">
        <v>1038</v>
      </c>
      <c r="I144" s="8">
        <v>3645.1040086371763</v>
      </c>
    </row>
    <row r="145" spans="1:9" x14ac:dyDescent="0.35">
      <c r="A145">
        <f t="shared" si="4"/>
        <v>139</v>
      </c>
      <c r="B145" t="s">
        <v>878</v>
      </c>
      <c r="C145" t="s">
        <v>136</v>
      </c>
      <c r="D145" s="8">
        <v>1683.2375980576567</v>
      </c>
      <c r="F145">
        <f t="shared" si="5"/>
        <v>139</v>
      </c>
      <c r="H145" t="s">
        <v>27</v>
      </c>
      <c r="I145" s="8">
        <v>9112.3374248073924</v>
      </c>
    </row>
    <row r="146" spans="1:9" x14ac:dyDescent="0.35">
      <c r="A146">
        <f t="shared" si="4"/>
        <v>140</v>
      </c>
      <c r="B146" t="s">
        <v>839</v>
      </c>
      <c r="C146" t="s">
        <v>271</v>
      </c>
      <c r="D146" s="8">
        <v>2309.6301674258989</v>
      </c>
      <c r="F146">
        <f t="shared" si="5"/>
        <v>140</v>
      </c>
      <c r="H146" t="s">
        <v>1002</v>
      </c>
      <c r="I146" s="8">
        <v>1423.2458739368076</v>
      </c>
    </row>
    <row r="147" spans="1:9" x14ac:dyDescent="0.35">
      <c r="A147">
        <f t="shared" si="4"/>
        <v>141</v>
      </c>
      <c r="B147" t="s">
        <v>1354</v>
      </c>
      <c r="C147" t="s">
        <v>1355</v>
      </c>
      <c r="D147" s="8">
        <v>734.39974252056697</v>
      </c>
      <c r="F147">
        <f t="shared" si="5"/>
        <v>141</v>
      </c>
      <c r="H147" t="s">
        <v>595</v>
      </c>
      <c r="I147" s="8">
        <v>7022.9608953980887</v>
      </c>
    </row>
    <row r="148" spans="1:9" x14ac:dyDescent="0.35">
      <c r="A148">
        <f t="shared" si="4"/>
        <v>142</v>
      </c>
      <c r="B148" t="s">
        <v>1727</v>
      </c>
      <c r="C148" t="s">
        <v>218</v>
      </c>
      <c r="D148" s="8">
        <v>1275.4758911915931</v>
      </c>
      <c r="F148">
        <f t="shared" si="5"/>
        <v>142</v>
      </c>
      <c r="H148" t="s">
        <v>1020</v>
      </c>
      <c r="I148" s="8">
        <v>1301.0299956639813</v>
      </c>
    </row>
    <row r="149" spans="1:9" x14ac:dyDescent="0.35">
      <c r="A149">
        <f t="shared" si="4"/>
        <v>143</v>
      </c>
      <c r="B149" t="s">
        <v>380</v>
      </c>
      <c r="C149" t="s">
        <v>381</v>
      </c>
      <c r="D149" s="8">
        <v>5446.4493498625488</v>
      </c>
      <c r="F149">
        <f t="shared" si="5"/>
        <v>143</v>
      </c>
      <c r="G149" t="s">
        <v>1448</v>
      </c>
      <c r="H149" t="s">
        <v>461</v>
      </c>
      <c r="I149" s="8">
        <v>21639.049039586611</v>
      </c>
    </row>
    <row r="150" spans="1:9" x14ac:dyDescent="0.35">
      <c r="A150">
        <f t="shared" si="4"/>
        <v>144</v>
      </c>
      <c r="B150" t="s">
        <v>206</v>
      </c>
      <c r="C150" t="s">
        <v>207</v>
      </c>
      <c r="D150" s="8">
        <v>11865.733089775475</v>
      </c>
      <c r="F150">
        <f t="shared" si="5"/>
        <v>144</v>
      </c>
      <c r="G150" t="s">
        <v>2639</v>
      </c>
      <c r="H150" t="s">
        <v>2638</v>
      </c>
      <c r="I150" s="8">
        <v>1946.1498315176318</v>
      </c>
    </row>
    <row r="151" spans="1:9" x14ac:dyDescent="0.35">
      <c r="A151">
        <f t="shared" si="4"/>
        <v>145</v>
      </c>
      <c r="B151" t="s">
        <v>2586</v>
      </c>
      <c r="C151" t="s">
        <v>1073</v>
      </c>
      <c r="D151" s="8">
        <v>875.06126339169998</v>
      </c>
      <c r="F151">
        <f t="shared" si="5"/>
        <v>145</v>
      </c>
      <c r="G151" t="s">
        <v>267</v>
      </c>
      <c r="H151" t="s">
        <v>771</v>
      </c>
      <c r="I151" s="8">
        <v>1243.0380486862944</v>
      </c>
    </row>
    <row r="152" spans="1:9" x14ac:dyDescent="0.35">
      <c r="A152">
        <f t="shared" si="4"/>
        <v>146</v>
      </c>
      <c r="B152" t="s">
        <v>53</v>
      </c>
      <c r="C152" t="s">
        <v>54</v>
      </c>
      <c r="D152" s="8">
        <v>7671.6056288774398</v>
      </c>
      <c r="F152">
        <f t="shared" si="5"/>
        <v>146</v>
      </c>
      <c r="H152" t="s">
        <v>608</v>
      </c>
      <c r="I152" s="8">
        <v>7825.2381823257165</v>
      </c>
    </row>
    <row r="153" spans="1:9" x14ac:dyDescent="0.35">
      <c r="A153">
        <f t="shared" si="4"/>
        <v>147</v>
      </c>
      <c r="B153" t="s">
        <v>824</v>
      </c>
      <c r="C153" t="s">
        <v>65</v>
      </c>
      <c r="D153" s="8">
        <v>2390.4304068932925</v>
      </c>
      <c r="F153">
        <f t="shared" si="5"/>
        <v>147</v>
      </c>
      <c r="H153" t="s">
        <v>821</v>
      </c>
      <c r="I153" s="8">
        <v>1452.2976709946302</v>
      </c>
    </row>
    <row r="154" spans="1:9" x14ac:dyDescent="0.35">
      <c r="A154">
        <f t="shared" si="4"/>
        <v>148</v>
      </c>
      <c r="B154" t="s">
        <v>436</v>
      </c>
      <c r="C154" t="s">
        <v>16</v>
      </c>
      <c r="D154" s="8">
        <v>7557.0125982882755</v>
      </c>
      <c r="F154">
        <f t="shared" si="5"/>
        <v>148</v>
      </c>
      <c r="G154" t="s">
        <v>521</v>
      </c>
      <c r="H154" t="s">
        <v>1102</v>
      </c>
      <c r="I154" s="8">
        <v>3336.0091948954232</v>
      </c>
    </row>
    <row r="155" spans="1:9" x14ac:dyDescent="0.35">
      <c r="A155">
        <f t="shared" si="4"/>
        <v>149</v>
      </c>
      <c r="C155" t="s">
        <v>2569</v>
      </c>
      <c r="D155" s="8">
        <v>602.05999132796239</v>
      </c>
      <c r="F155">
        <f t="shared" si="5"/>
        <v>149</v>
      </c>
      <c r="H155" t="s">
        <v>684</v>
      </c>
      <c r="I155" s="8">
        <v>5171.6828397937006</v>
      </c>
    </row>
    <row r="156" spans="1:9" x14ac:dyDescent="0.35">
      <c r="A156">
        <f t="shared" si="4"/>
        <v>150</v>
      </c>
      <c r="B156" t="s">
        <v>580</v>
      </c>
      <c r="C156" t="s">
        <v>662</v>
      </c>
      <c r="D156" s="8">
        <v>176.09125905568135</v>
      </c>
      <c r="F156">
        <f t="shared" si="5"/>
        <v>150</v>
      </c>
      <c r="H156" t="s">
        <v>387</v>
      </c>
      <c r="I156" s="8">
        <v>11357.62697450087</v>
      </c>
    </row>
    <row r="157" spans="1:9" x14ac:dyDescent="0.35">
      <c r="A157">
        <f t="shared" si="4"/>
        <v>151</v>
      </c>
      <c r="C157" t="s">
        <v>153</v>
      </c>
      <c r="D157" s="8">
        <v>4847.9497612875475</v>
      </c>
      <c r="F157">
        <f t="shared" si="5"/>
        <v>151</v>
      </c>
      <c r="H157" t="s">
        <v>618</v>
      </c>
      <c r="I157" s="8">
        <v>11096.764243936335</v>
      </c>
    </row>
    <row r="158" spans="1:9" x14ac:dyDescent="0.35">
      <c r="A158">
        <f t="shared" si="4"/>
        <v>152</v>
      </c>
      <c r="B158" t="s">
        <v>1048</v>
      </c>
      <c r="C158" t="s">
        <v>1049</v>
      </c>
      <c r="D158" s="8">
        <v>1204.1199826559246</v>
      </c>
      <c r="F158">
        <f t="shared" si="5"/>
        <v>152</v>
      </c>
      <c r="G158" t="s">
        <v>1343</v>
      </c>
      <c r="H158" t="s">
        <v>1342</v>
      </c>
      <c r="I158" s="8">
        <v>391.20662601306935</v>
      </c>
    </row>
    <row r="159" spans="1:9" x14ac:dyDescent="0.35">
      <c r="A159">
        <f t="shared" si="4"/>
        <v>153</v>
      </c>
      <c r="B159" t="s">
        <v>164</v>
      </c>
      <c r="C159" t="s">
        <v>165</v>
      </c>
      <c r="D159" s="8">
        <v>1052.6604542309715</v>
      </c>
      <c r="F159">
        <f t="shared" si="5"/>
        <v>153</v>
      </c>
      <c r="G159" t="s">
        <v>175</v>
      </c>
      <c r="H159" t="s">
        <v>174</v>
      </c>
      <c r="I159" s="8">
        <v>4682.8466558661639</v>
      </c>
    </row>
    <row r="160" spans="1:9" x14ac:dyDescent="0.35">
      <c r="A160">
        <f t="shared" si="4"/>
        <v>154</v>
      </c>
      <c r="B160" t="s">
        <v>281</v>
      </c>
      <c r="C160" t="s">
        <v>282</v>
      </c>
      <c r="D160" s="8">
        <v>17140.233636002653</v>
      </c>
      <c r="F160">
        <f t="shared" si="5"/>
        <v>154</v>
      </c>
      <c r="G160" t="s">
        <v>63</v>
      </c>
      <c r="H160" t="s">
        <v>868</v>
      </c>
      <c r="I160" s="8">
        <v>9041.5737628101542</v>
      </c>
    </row>
    <row r="161" spans="1:9" x14ac:dyDescent="0.35">
      <c r="A161">
        <f t="shared" si="4"/>
        <v>155</v>
      </c>
      <c r="B161" t="s">
        <v>1042</v>
      </c>
      <c r="C161" t="s">
        <v>38</v>
      </c>
      <c r="D161" s="8">
        <v>991.77966975330878</v>
      </c>
      <c r="F161">
        <f t="shared" si="5"/>
        <v>155</v>
      </c>
      <c r="G161" t="s">
        <v>538</v>
      </c>
      <c r="H161" t="s">
        <v>537</v>
      </c>
      <c r="I161" s="8">
        <v>11587.516988550782</v>
      </c>
    </row>
    <row r="162" spans="1:9" x14ac:dyDescent="0.35">
      <c r="A162">
        <f t="shared" si="4"/>
        <v>156</v>
      </c>
      <c r="B162" t="s">
        <v>972</v>
      </c>
      <c r="C162" t="s">
        <v>81</v>
      </c>
      <c r="D162" s="8">
        <v>6182.8738144290273</v>
      </c>
      <c r="F162">
        <f t="shared" si="5"/>
        <v>156</v>
      </c>
      <c r="G162" t="s">
        <v>368</v>
      </c>
      <c r="H162" t="s">
        <v>169</v>
      </c>
      <c r="I162" s="8">
        <v>1814.8271015770943</v>
      </c>
    </row>
    <row r="163" spans="1:9" x14ac:dyDescent="0.35">
      <c r="A163">
        <f t="shared" si="4"/>
        <v>157</v>
      </c>
      <c r="B163" t="s">
        <v>558</v>
      </c>
      <c r="C163" t="s">
        <v>79</v>
      </c>
      <c r="D163" s="8">
        <v>9395.953195710812</v>
      </c>
      <c r="F163">
        <f t="shared" si="5"/>
        <v>157</v>
      </c>
      <c r="G163" t="s">
        <v>2550</v>
      </c>
      <c r="H163" t="s">
        <v>245</v>
      </c>
      <c r="I163" s="8">
        <v>2349.6937177076679</v>
      </c>
    </row>
    <row r="164" spans="1:9" x14ac:dyDescent="0.35">
      <c r="A164">
        <f t="shared" si="4"/>
        <v>158</v>
      </c>
      <c r="B164" t="s">
        <v>876</v>
      </c>
      <c r="C164" t="s">
        <v>480</v>
      </c>
      <c r="D164" s="8">
        <v>925.75397162788749</v>
      </c>
      <c r="F164">
        <f t="shared" si="5"/>
        <v>158</v>
      </c>
      <c r="G164" t="s">
        <v>668</v>
      </c>
      <c r="H164" t="s">
        <v>667</v>
      </c>
      <c r="I164" s="8">
        <v>1778.1512503836434</v>
      </c>
    </row>
    <row r="165" spans="1:9" x14ac:dyDescent="0.35">
      <c r="A165">
        <f t="shared" si="4"/>
        <v>159</v>
      </c>
      <c r="B165" t="s">
        <v>1446</v>
      </c>
      <c r="C165" t="s">
        <v>1447</v>
      </c>
      <c r="D165" s="8">
        <v>1068.7158123694599</v>
      </c>
      <c r="F165">
        <f t="shared" si="5"/>
        <v>159</v>
      </c>
      <c r="G165" t="s">
        <v>451</v>
      </c>
      <c r="H165" t="s">
        <v>158</v>
      </c>
      <c r="I165" s="8">
        <v>349.48500216800943</v>
      </c>
    </row>
    <row r="166" spans="1:9" x14ac:dyDescent="0.35">
      <c r="A166">
        <f t="shared" si="4"/>
        <v>160</v>
      </c>
      <c r="B166" t="s">
        <v>795</v>
      </c>
      <c r="C166" t="s">
        <v>159</v>
      </c>
      <c r="D166" s="8">
        <v>893.94660755207371</v>
      </c>
      <c r="F166">
        <f t="shared" si="5"/>
        <v>160</v>
      </c>
      <c r="H166" t="s">
        <v>646</v>
      </c>
      <c r="I166" s="8">
        <v>1414.9733479708179</v>
      </c>
    </row>
    <row r="167" spans="1:9" x14ac:dyDescent="0.35">
      <c r="A167">
        <f t="shared" si="4"/>
        <v>161</v>
      </c>
      <c r="B167" t="s">
        <v>1512</v>
      </c>
      <c r="C167" t="s">
        <v>44</v>
      </c>
      <c r="D167" s="8">
        <v>1759.6678446896306</v>
      </c>
      <c r="F167">
        <f t="shared" si="5"/>
        <v>161</v>
      </c>
      <c r="H167" t="s">
        <v>332</v>
      </c>
      <c r="I167" s="8">
        <v>4363.2892412449564</v>
      </c>
    </row>
    <row r="168" spans="1:9" x14ac:dyDescent="0.35">
      <c r="A168">
        <f t="shared" si="4"/>
        <v>162</v>
      </c>
      <c r="B168" t="s">
        <v>1123</v>
      </c>
      <c r="C168" t="s">
        <v>1124</v>
      </c>
      <c r="D168" s="8">
        <v>1350.8016123949767</v>
      </c>
      <c r="F168">
        <f t="shared" si="5"/>
        <v>162</v>
      </c>
      <c r="G168" t="s">
        <v>73</v>
      </c>
      <c r="H168" t="s">
        <v>72</v>
      </c>
      <c r="I168" s="8">
        <v>28302.220542175008</v>
      </c>
    </row>
    <row r="169" spans="1:9" x14ac:dyDescent="0.35">
      <c r="A169">
        <f t="shared" si="4"/>
        <v>163</v>
      </c>
      <c r="B169" t="s">
        <v>1129</v>
      </c>
      <c r="C169" t="s">
        <v>492</v>
      </c>
      <c r="D169" s="8">
        <v>1195.8996524092336</v>
      </c>
      <c r="F169">
        <f t="shared" si="5"/>
        <v>163</v>
      </c>
      <c r="H169" t="s">
        <v>727</v>
      </c>
      <c r="I169" s="8">
        <v>1041.3926851582253</v>
      </c>
    </row>
    <row r="170" spans="1:9" x14ac:dyDescent="0.35">
      <c r="A170">
        <f t="shared" si="4"/>
        <v>164</v>
      </c>
      <c r="B170" t="s">
        <v>1978</v>
      </c>
      <c r="C170" t="s">
        <v>2489</v>
      </c>
      <c r="D170" s="8">
        <v>1149.5612115166321</v>
      </c>
      <c r="F170">
        <f t="shared" si="5"/>
        <v>164</v>
      </c>
      <c r="G170" t="s">
        <v>2484</v>
      </c>
      <c r="H170" t="s">
        <v>2483</v>
      </c>
      <c r="I170" s="8">
        <v>653.21251377534361</v>
      </c>
    </row>
    <row r="171" spans="1:9" x14ac:dyDescent="0.35">
      <c r="A171">
        <f t="shared" si="4"/>
        <v>165</v>
      </c>
      <c r="B171" t="s">
        <v>1413</v>
      </c>
      <c r="C171" t="s">
        <v>425</v>
      </c>
      <c r="D171" s="8">
        <v>1653.2125137753435</v>
      </c>
      <c r="F171">
        <f t="shared" si="5"/>
        <v>165</v>
      </c>
      <c r="G171" t="s">
        <v>2589</v>
      </c>
      <c r="H171" t="s">
        <v>2588</v>
      </c>
      <c r="I171" s="8">
        <v>778.15125038364351</v>
      </c>
    </row>
    <row r="172" spans="1:9" x14ac:dyDescent="0.35">
      <c r="A172">
        <f t="shared" si="4"/>
        <v>166</v>
      </c>
      <c r="B172" t="s">
        <v>1032</v>
      </c>
      <c r="C172" t="s">
        <v>1033</v>
      </c>
      <c r="D172" s="8">
        <v>1350.8016123949767</v>
      </c>
      <c r="F172">
        <f t="shared" si="5"/>
        <v>166</v>
      </c>
      <c r="G172" t="s">
        <v>952</v>
      </c>
      <c r="H172" t="s">
        <v>1154</v>
      </c>
      <c r="I172" s="8">
        <v>2032.0812676114404</v>
      </c>
    </row>
    <row r="173" spans="1:9" x14ac:dyDescent="0.35">
      <c r="A173">
        <f t="shared" si="4"/>
        <v>167</v>
      </c>
      <c r="B173" t="s">
        <v>336</v>
      </c>
      <c r="C173" t="s">
        <v>337</v>
      </c>
      <c r="D173" s="8">
        <v>982.27123303956841</v>
      </c>
      <c r="F173">
        <f t="shared" si="5"/>
        <v>167</v>
      </c>
      <c r="G173" t="s">
        <v>1116</v>
      </c>
      <c r="H173" t="s">
        <v>1115</v>
      </c>
      <c r="I173" s="8">
        <v>1718.7783976895712</v>
      </c>
    </row>
    <row r="174" spans="1:9" x14ac:dyDescent="0.35">
      <c r="A174">
        <f t="shared" si="4"/>
        <v>168</v>
      </c>
      <c r="B174" t="s">
        <v>1053</v>
      </c>
      <c r="C174" t="s">
        <v>128</v>
      </c>
      <c r="D174" s="8">
        <v>5987.1690481163005</v>
      </c>
      <c r="F174">
        <f t="shared" si="5"/>
        <v>168</v>
      </c>
      <c r="G174" t="s">
        <v>241</v>
      </c>
      <c r="H174" t="s">
        <v>240</v>
      </c>
      <c r="I174" s="8">
        <v>4237.192008291302</v>
      </c>
    </row>
    <row r="175" spans="1:9" x14ac:dyDescent="0.35">
      <c r="A175">
        <f t="shared" si="4"/>
        <v>169</v>
      </c>
      <c r="B175" t="s">
        <v>1311</v>
      </c>
      <c r="C175" t="s">
        <v>16</v>
      </c>
      <c r="D175" s="8">
        <v>4716.665289849454</v>
      </c>
      <c r="F175">
        <f t="shared" si="5"/>
        <v>169</v>
      </c>
      <c r="G175" t="s">
        <v>271</v>
      </c>
      <c r="H175" t="s">
        <v>839</v>
      </c>
      <c r="I175" s="8">
        <v>2309.6301674258989</v>
      </c>
    </row>
    <row r="176" spans="1:9" x14ac:dyDescent="0.35">
      <c r="A176">
        <f t="shared" si="4"/>
        <v>170</v>
      </c>
      <c r="B176" t="s">
        <v>2588</v>
      </c>
      <c r="C176" t="s">
        <v>2589</v>
      </c>
      <c r="D176" s="8">
        <v>778.15125038364351</v>
      </c>
      <c r="F176">
        <f t="shared" si="5"/>
        <v>170</v>
      </c>
      <c r="H176" t="s">
        <v>86</v>
      </c>
      <c r="I176" s="8">
        <v>44452.487222497948</v>
      </c>
    </row>
    <row r="177" spans="1:9" x14ac:dyDescent="0.35">
      <c r="A177">
        <f t="shared" si="4"/>
        <v>171</v>
      </c>
      <c r="B177" t="s">
        <v>939</v>
      </c>
      <c r="C177" t="s">
        <v>98</v>
      </c>
      <c r="D177" s="8">
        <v>932.60058450048189</v>
      </c>
      <c r="F177">
        <f t="shared" si="5"/>
        <v>171</v>
      </c>
      <c r="H177" t="s">
        <v>1298</v>
      </c>
      <c r="I177" s="8">
        <v>3129.1901211951554</v>
      </c>
    </row>
    <row r="178" spans="1:9" x14ac:dyDescent="0.35">
      <c r="A178">
        <f t="shared" si="4"/>
        <v>172</v>
      </c>
      <c r="B178" t="s">
        <v>449</v>
      </c>
      <c r="C178" t="s">
        <v>450</v>
      </c>
      <c r="D178" s="8">
        <v>404.05723688054348</v>
      </c>
      <c r="F178">
        <f t="shared" si="5"/>
        <v>172</v>
      </c>
      <c r="H178" t="s">
        <v>1024</v>
      </c>
      <c r="I178" s="8">
        <v>2037.537160313984</v>
      </c>
    </row>
    <row r="179" spans="1:9" x14ac:dyDescent="0.35">
      <c r="A179">
        <f t="shared" si="4"/>
        <v>173</v>
      </c>
      <c r="B179" t="s">
        <v>472</v>
      </c>
      <c r="C179" t="s">
        <v>473</v>
      </c>
      <c r="D179" s="8">
        <v>2918.0577008125074</v>
      </c>
      <c r="F179">
        <f t="shared" si="5"/>
        <v>173</v>
      </c>
      <c r="H179" t="s">
        <v>531</v>
      </c>
      <c r="I179" s="8">
        <v>18017.887190741225</v>
      </c>
    </row>
    <row r="180" spans="1:9" x14ac:dyDescent="0.35">
      <c r="A180">
        <f t="shared" si="4"/>
        <v>174</v>
      </c>
      <c r="B180" t="s">
        <v>35</v>
      </c>
      <c r="C180" t="s">
        <v>36</v>
      </c>
      <c r="D180" s="8">
        <v>32122.078368092782</v>
      </c>
      <c r="F180">
        <f t="shared" si="5"/>
        <v>174</v>
      </c>
      <c r="G180" t="s">
        <v>64</v>
      </c>
      <c r="H180" t="s">
        <v>50</v>
      </c>
      <c r="I180" s="8">
        <v>1505.149978319906</v>
      </c>
    </row>
    <row r="181" spans="1:9" x14ac:dyDescent="0.35">
      <c r="A181">
        <f t="shared" si="4"/>
        <v>175</v>
      </c>
      <c r="B181" t="s">
        <v>1438</v>
      </c>
      <c r="C181" t="s">
        <v>982</v>
      </c>
      <c r="D181" s="8">
        <v>1255.272505103306</v>
      </c>
      <c r="F181">
        <f t="shared" si="5"/>
        <v>175</v>
      </c>
      <c r="H181" t="s">
        <v>991</v>
      </c>
      <c r="I181" s="8">
        <v>1799.3405494535816</v>
      </c>
    </row>
    <row r="182" spans="1:9" x14ac:dyDescent="0.35">
      <c r="A182">
        <f t="shared" si="4"/>
        <v>176</v>
      </c>
      <c r="B182" t="s">
        <v>64</v>
      </c>
      <c r="C182" t="s">
        <v>65</v>
      </c>
      <c r="D182" s="8">
        <v>48605.527471418216</v>
      </c>
      <c r="F182">
        <f t="shared" si="5"/>
        <v>176</v>
      </c>
      <c r="H182" t="s">
        <v>1059</v>
      </c>
      <c r="I182" s="8">
        <v>1643.4526764861873</v>
      </c>
    </row>
    <row r="183" spans="1:9" x14ac:dyDescent="0.35">
      <c r="A183">
        <f t="shared" si="4"/>
        <v>177</v>
      </c>
      <c r="B183" t="s">
        <v>424</v>
      </c>
      <c r="C183" t="s">
        <v>425</v>
      </c>
      <c r="D183" s="8">
        <v>1380.2112417116059</v>
      </c>
      <c r="F183">
        <f t="shared" si="5"/>
        <v>177</v>
      </c>
      <c r="G183" t="s">
        <v>356</v>
      </c>
      <c r="H183" t="s">
        <v>355</v>
      </c>
      <c r="I183" s="8">
        <v>422.54902000712843</v>
      </c>
    </row>
    <row r="184" spans="1:9" x14ac:dyDescent="0.35">
      <c r="A184">
        <f t="shared" si="4"/>
        <v>178</v>
      </c>
      <c r="B184" t="s">
        <v>16</v>
      </c>
      <c r="C184" t="s">
        <v>59</v>
      </c>
      <c r="D184" s="8">
        <v>26953.455571635175</v>
      </c>
      <c r="F184">
        <f t="shared" si="5"/>
        <v>178</v>
      </c>
      <c r="H184" t="s">
        <v>2608</v>
      </c>
      <c r="I184" s="8">
        <v>2375.6636139608854</v>
      </c>
    </row>
    <row r="185" spans="1:9" x14ac:dyDescent="0.35">
      <c r="A185">
        <f t="shared" si="4"/>
        <v>179</v>
      </c>
      <c r="B185" t="s">
        <v>2317</v>
      </c>
      <c r="C185" t="s">
        <v>799</v>
      </c>
      <c r="D185" s="8">
        <v>935.75910374531168</v>
      </c>
      <c r="F185">
        <f t="shared" si="5"/>
        <v>179</v>
      </c>
      <c r="G185" t="s">
        <v>515</v>
      </c>
      <c r="H185" t="s">
        <v>514</v>
      </c>
      <c r="I185" s="8">
        <v>5467.6284608866499</v>
      </c>
    </row>
    <row r="186" spans="1:9" x14ac:dyDescent="0.35">
      <c r="A186">
        <f t="shared" si="4"/>
        <v>180</v>
      </c>
      <c r="B186" t="s">
        <v>1301</v>
      </c>
      <c r="C186" t="s">
        <v>384</v>
      </c>
      <c r="D186" s="8">
        <v>1060.6978403536116</v>
      </c>
      <c r="F186">
        <f t="shared" si="5"/>
        <v>180</v>
      </c>
      <c r="G186" t="s">
        <v>1299</v>
      </c>
      <c r="H186" t="s">
        <v>906</v>
      </c>
      <c r="I186" s="8">
        <v>587.33673450725598</v>
      </c>
    </row>
    <row r="187" spans="1:9" x14ac:dyDescent="0.35">
      <c r="A187">
        <f t="shared" si="4"/>
        <v>181</v>
      </c>
      <c r="C187" t="s">
        <v>136</v>
      </c>
      <c r="D187" s="8">
        <v>4275.5416884013093</v>
      </c>
      <c r="F187">
        <f t="shared" si="5"/>
        <v>181</v>
      </c>
      <c r="G187" t="s">
        <v>196</v>
      </c>
      <c r="H187" t="s">
        <v>1415</v>
      </c>
      <c r="I187" s="8">
        <v>1410.1744650890491</v>
      </c>
    </row>
    <row r="188" spans="1:9" x14ac:dyDescent="0.35">
      <c r="A188">
        <f t="shared" si="4"/>
        <v>182</v>
      </c>
      <c r="C188" t="s">
        <v>44</v>
      </c>
      <c r="D188" s="8">
        <v>1439.3326938302625</v>
      </c>
      <c r="F188">
        <f t="shared" si="5"/>
        <v>182</v>
      </c>
      <c r="H188" t="s">
        <v>1174</v>
      </c>
      <c r="I188" s="8">
        <v>2855.5904098897654</v>
      </c>
    </row>
    <row r="189" spans="1:9" x14ac:dyDescent="0.35">
      <c r="A189">
        <f t="shared" si="4"/>
        <v>183</v>
      </c>
      <c r="B189" t="s">
        <v>1175</v>
      </c>
      <c r="C189" t="s">
        <v>65</v>
      </c>
      <c r="D189" s="8">
        <v>2595.7166199434246</v>
      </c>
      <c r="F189">
        <f t="shared" si="5"/>
        <v>183</v>
      </c>
      <c r="H189" t="s">
        <v>542</v>
      </c>
      <c r="I189" s="8">
        <v>5211.4308837180379</v>
      </c>
    </row>
    <row r="190" spans="1:9" x14ac:dyDescent="0.35">
      <c r="A190">
        <f t="shared" si="4"/>
        <v>184</v>
      </c>
      <c r="B190" t="s">
        <v>1397</v>
      </c>
      <c r="C190" t="s">
        <v>44</v>
      </c>
      <c r="D190" s="8">
        <v>206.05448243312452</v>
      </c>
      <c r="F190">
        <f t="shared" si="5"/>
        <v>184</v>
      </c>
      <c r="H190" t="s">
        <v>1233</v>
      </c>
      <c r="I190" s="8">
        <v>1556.3025007672873</v>
      </c>
    </row>
    <row r="191" spans="1:9" x14ac:dyDescent="0.35">
      <c r="A191">
        <f t="shared" si="4"/>
        <v>185</v>
      </c>
      <c r="B191" t="s">
        <v>1133</v>
      </c>
      <c r="C191" t="s">
        <v>779</v>
      </c>
      <c r="D191" s="8">
        <v>2234.2446444854531</v>
      </c>
      <c r="F191">
        <f t="shared" si="5"/>
        <v>185</v>
      </c>
      <c r="H191" t="s">
        <v>2467</v>
      </c>
      <c r="I191" s="8">
        <v>804.48018910599274</v>
      </c>
    </row>
    <row r="192" spans="1:9" x14ac:dyDescent="0.35">
      <c r="A192">
        <f t="shared" si="4"/>
        <v>186</v>
      </c>
      <c r="B192" t="s">
        <v>383</v>
      </c>
      <c r="C192" t="s">
        <v>384</v>
      </c>
      <c r="D192" s="8">
        <v>11561.231589310099</v>
      </c>
      <c r="F192">
        <f t="shared" si="5"/>
        <v>186</v>
      </c>
      <c r="H192" t="s">
        <v>1239</v>
      </c>
      <c r="I192" s="8">
        <v>1199.9238680623166</v>
      </c>
    </row>
    <row r="193" spans="1:9" x14ac:dyDescent="0.35">
      <c r="A193">
        <f t="shared" si="4"/>
        <v>187</v>
      </c>
      <c r="B193" t="s">
        <v>956</v>
      </c>
      <c r="C193" t="s">
        <v>13</v>
      </c>
      <c r="D193" s="8">
        <v>1676.8764319731372</v>
      </c>
      <c r="F193">
        <f t="shared" si="5"/>
        <v>187</v>
      </c>
      <c r="H193" t="s">
        <v>485</v>
      </c>
      <c r="I193" s="8">
        <v>1963.247995726138</v>
      </c>
    </row>
    <row r="194" spans="1:9" x14ac:dyDescent="0.35">
      <c r="A194">
        <f t="shared" si="4"/>
        <v>188</v>
      </c>
      <c r="B194" t="s">
        <v>756</v>
      </c>
      <c r="C194" t="s">
        <v>757</v>
      </c>
      <c r="D194" s="8">
        <v>1102.6623418971481</v>
      </c>
      <c r="F194">
        <f t="shared" si="5"/>
        <v>188</v>
      </c>
      <c r="H194" t="s">
        <v>195</v>
      </c>
      <c r="I194" s="8">
        <v>18933.865035691553</v>
      </c>
    </row>
    <row r="195" spans="1:9" x14ac:dyDescent="0.35">
      <c r="A195">
        <f t="shared" si="4"/>
        <v>189</v>
      </c>
      <c r="B195" t="s">
        <v>642</v>
      </c>
      <c r="C195" t="s">
        <v>136</v>
      </c>
      <c r="D195" s="8">
        <v>6651.7985282164691</v>
      </c>
      <c r="F195">
        <f t="shared" si="5"/>
        <v>189</v>
      </c>
      <c r="H195" t="s">
        <v>721</v>
      </c>
      <c r="I195" s="8">
        <v>1116.0263034551294</v>
      </c>
    </row>
    <row r="196" spans="1:9" x14ac:dyDescent="0.35">
      <c r="A196">
        <f t="shared" si="4"/>
        <v>190</v>
      </c>
      <c r="B196" t="s">
        <v>166</v>
      </c>
      <c r="C196" t="s">
        <v>167</v>
      </c>
      <c r="D196" s="8">
        <v>483.0708663695163</v>
      </c>
      <c r="F196">
        <f t="shared" si="5"/>
        <v>190</v>
      </c>
      <c r="G196" t="s">
        <v>16</v>
      </c>
      <c r="H196" t="s">
        <v>1045</v>
      </c>
      <c r="I196" s="8">
        <v>2358.3755493315175</v>
      </c>
    </row>
    <row r="197" spans="1:9" x14ac:dyDescent="0.35">
      <c r="A197">
        <f t="shared" si="4"/>
        <v>191</v>
      </c>
      <c r="B197" t="s">
        <v>603</v>
      </c>
      <c r="C197" t="s">
        <v>604</v>
      </c>
      <c r="D197" s="8">
        <v>9964.4732559003205</v>
      </c>
      <c r="F197">
        <f t="shared" si="5"/>
        <v>191</v>
      </c>
      <c r="H197" t="s">
        <v>31</v>
      </c>
      <c r="I197" s="8">
        <v>12809.919859086987</v>
      </c>
    </row>
    <row r="198" spans="1:9" x14ac:dyDescent="0.35">
      <c r="A198">
        <f t="shared" si="4"/>
        <v>192</v>
      </c>
      <c r="B198" t="s">
        <v>1017</v>
      </c>
      <c r="C198" t="s">
        <v>1018</v>
      </c>
      <c r="D198" s="8">
        <v>3136.720567156407</v>
      </c>
      <c r="F198">
        <f t="shared" si="5"/>
        <v>192</v>
      </c>
      <c r="H198" t="s">
        <v>947</v>
      </c>
      <c r="I198" s="8">
        <v>1755.8748556724915</v>
      </c>
    </row>
    <row r="199" spans="1:9" x14ac:dyDescent="0.35">
      <c r="A199">
        <f t="shared" si="4"/>
        <v>193</v>
      </c>
      <c r="B199" t="s">
        <v>1150</v>
      </c>
      <c r="C199" t="s">
        <v>136</v>
      </c>
      <c r="D199" s="8">
        <v>508.15548845963121</v>
      </c>
      <c r="F199">
        <f t="shared" si="5"/>
        <v>193</v>
      </c>
      <c r="H199" t="s">
        <v>436</v>
      </c>
      <c r="I199" s="8">
        <v>7557.0125982882755</v>
      </c>
    </row>
    <row r="200" spans="1:9" x14ac:dyDescent="0.35">
      <c r="A200">
        <f t="shared" si="4"/>
        <v>194</v>
      </c>
      <c r="B200" t="s">
        <v>2408</v>
      </c>
      <c r="C200" t="s">
        <v>25</v>
      </c>
      <c r="D200" s="8">
        <v>2049.2180226701817</v>
      </c>
      <c r="F200">
        <f t="shared" si="5"/>
        <v>194</v>
      </c>
      <c r="H200" t="s">
        <v>1311</v>
      </c>
      <c r="I200" s="8">
        <v>4716.665289849454</v>
      </c>
    </row>
    <row r="201" spans="1:9" x14ac:dyDescent="0.35">
      <c r="A201">
        <f t="shared" ref="A201:A264" si="6">A200+1</f>
        <v>195</v>
      </c>
      <c r="B201" t="s">
        <v>945</v>
      </c>
      <c r="C201" t="s">
        <v>946</v>
      </c>
      <c r="D201" s="8">
        <v>6223.1639904161129</v>
      </c>
      <c r="F201">
        <f t="shared" ref="F201:F264" si="7">F200+1</f>
        <v>195</v>
      </c>
      <c r="H201" t="s">
        <v>111</v>
      </c>
      <c r="I201" s="8">
        <v>18987.466604723231</v>
      </c>
    </row>
    <row r="202" spans="1:9" x14ac:dyDescent="0.35">
      <c r="A202">
        <f t="shared" si="6"/>
        <v>196</v>
      </c>
      <c r="B202" t="s">
        <v>989</v>
      </c>
      <c r="C202" t="s">
        <v>215</v>
      </c>
      <c r="D202" s="8">
        <v>1105.5101847699739</v>
      </c>
      <c r="F202">
        <f t="shared" si="7"/>
        <v>196</v>
      </c>
      <c r="H202" t="s">
        <v>625</v>
      </c>
      <c r="I202" s="8">
        <v>2240.2639036718729</v>
      </c>
    </row>
    <row r="203" spans="1:9" x14ac:dyDescent="0.35">
      <c r="A203">
        <f t="shared" si="6"/>
        <v>197</v>
      </c>
      <c r="B203" t="s">
        <v>2613</v>
      </c>
      <c r="C203" t="s">
        <v>2614</v>
      </c>
      <c r="D203" s="8">
        <v>845.09804001425687</v>
      </c>
      <c r="F203">
        <f t="shared" si="7"/>
        <v>197</v>
      </c>
      <c r="H203" t="s">
        <v>94</v>
      </c>
      <c r="I203" s="8">
        <v>5382.8786493164471</v>
      </c>
    </row>
    <row r="204" spans="1:9" x14ac:dyDescent="0.35">
      <c r="A204">
        <f t="shared" si="6"/>
        <v>198</v>
      </c>
      <c r="B204" t="s">
        <v>48</v>
      </c>
      <c r="C204" t="s">
        <v>49</v>
      </c>
      <c r="D204" s="8">
        <v>13549.750683489243</v>
      </c>
      <c r="F204">
        <f t="shared" si="7"/>
        <v>198</v>
      </c>
      <c r="H204" t="s">
        <v>1069</v>
      </c>
      <c r="I204" s="8">
        <v>4941.7813334959919</v>
      </c>
    </row>
    <row r="205" spans="1:9" x14ac:dyDescent="0.35">
      <c r="A205">
        <f t="shared" si="6"/>
        <v>199</v>
      </c>
      <c r="B205" t="s">
        <v>781</v>
      </c>
      <c r="C205" t="s">
        <v>782</v>
      </c>
      <c r="D205" s="8">
        <v>2235.5789433301279</v>
      </c>
      <c r="F205">
        <f t="shared" si="7"/>
        <v>199</v>
      </c>
      <c r="H205" t="s">
        <v>151</v>
      </c>
      <c r="I205" s="8">
        <v>4728.7150961228581</v>
      </c>
    </row>
    <row r="206" spans="1:9" x14ac:dyDescent="0.35">
      <c r="A206">
        <f t="shared" si="6"/>
        <v>200</v>
      </c>
      <c r="B206" t="s">
        <v>417</v>
      </c>
      <c r="C206" t="s">
        <v>416</v>
      </c>
      <c r="D206" s="8">
        <v>1035.2757603485429</v>
      </c>
      <c r="F206">
        <f t="shared" si="7"/>
        <v>200</v>
      </c>
      <c r="H206" t="s">
        <v>742</v>
      </c>
      <c r="I206" s="8">
        <v>1874.8587478916893</v>
      </c>
    </row>
    <row r="207" spans="1:9" x14ac:dyDescent="0.35">
      <c r="A207">
        <f t="shared" si="6"/>
        <v>201</v>
      </c>
      <c r="B207" t="s">
        <v>1376</v>
      </c>
      <c r="C207" t="s">
        <v>119</v>
      </c>
      <c r="D207" s="8">
        <v>291.30987619294268</v>
      </c>
      <c r="F207">
        <f t="shared" si="7"/>
        <v>201</v>
      </c>
      <c r="H207" t="s">
        <v>15</v>
      </c>
      <c r="I207" s="8">
        <v>29861.317902178045</v>
      </c>
    </row>
    <row r="208" spans="1:9" x14ac:dyDescent="0.35">
      <c r="A208">
        <f t="shared" si="6"/>
        <v>202</v>
      </c>
      <c r="B208" t="s">
        <v>1217</v>
      </c>
      <c r="C208" t="s">
        <v>1218</v>
      </c>
      <c r="D208" s="8">
        <v>6961.4481476341534</v>
      </c>
      <c r="F208">
        <f t="shared" si="7"/>
        <v>202</v>
      </c>
      <c r="H208" t="s">
        <v>238</v>
      </c>
      <c r="I208" s="8">
        <v>27456.608999814332</v>
      </c>
    </row>
    <row r="209" spans="1:9" x14ac:dyDescent="0.35">
      <c r="A209">
        <f t="shared" si="6"/>
        <v>203</v>
      </c>
      <c r="B209" t="s">
        <v>100</v>
      </c>
      <c r="C209" t="s">
        <v>52</v>
      </c>
      <c r="D209" s="8">
        <v>23576.975795510854</v>
      </c>
      <c r="F209">
        <f t="shared" si="7"/>
        <v>203</v>
      </c>
      <c r="H209" t="s">
        <v>277</v>
      </c>
      <c r="I209" s="8">
        <v>34486.590646732024</v>
      </c>
    </row>
    <row r="210" spans="1:9" x14ac:dyDescent="0.35">
      <c r="A210">
        <f t="shared" si="6"/>
        <v>204</v>
      </c>
      <c r="B210" t="s">
        <v>935</v>
      </c>
      <c r="C210" t="s">
        <v>480</v>
      </c>
      <c r="D210" s="8">
        <v>1628.3889300503115</v>
      </c>
      <c r="F210">
        <f t="shared" si="7"/>
        <v>204</v>
      </c>
      <c r="H210" t="s">
        <v>128</v>
      </c>
      <c r="I210" s="8">
        <v>1982.2712330395684</v>
      </c>
    </row>
    <row r="211" spans="1:9" x14ac:dyDescent="0.35">
      <c r="A211">
        <f t="shared" si="6"/>
        <v>205</v>
      </c>
      <c r="B211" t="s">
        <v>2440</v>
      </c>
      <c r="C211" t="s">
        <v>2441</v>
      </c>
      <c r="D211" s="8">
        <v>910.77681565823468</v>
      </c>
      <c r="F211">
        <f t="shared" si="7"/>
        <v>205</v>
      </c>
      <c r="H211" t="s">
        <v>1097</v>
      </c>
      <c r="I211" s="8">
        <v>4746.7392574750183</v>
      </c>
    </row>
    <row r="212" spans="1:9" x14ac:dyDescent="0.35">
      <c r="A212">
        <f t="shared" si="6"/>
        <v>206</v>
      </c>
      <c r="B212" t="s">
        <v>433</v>
      </c>
      <c r="C212" t="s">
        <v>434</v>
      </c>
      <c r="D212" s="8">
        <v>4834.6547630873938</v>
      </c>
      <c r="F212">
        <f t="shared" si="7"/>
        <v>206</v>
      </c>
      <c r="H212" t="s">
        <v>294</v>
      </c>
      <c r="I212" s="8">
        <v>31924.859663546231</v>
      </c>
    </row>
    <row r="213" spans="1:9" x14ac:dyDescent="0.35">
      <c r="A213">
        <f t="shared" si="6"/>
        <v>207</v>
      </c>
      <c r="B213" t="s">
        <v>827</v>
      </c>
      <c r="C213" t="s">
        <v>52</v>
      </c>
      <c r="D213" s="8">
        <v>1872.5649336759861</v>
      </c>
      <c r="F213">
        <f t="shared" si="7"/>
        <v>207</v>
      </c>
      <c r="H213" t="s">
        <v>670</v>
      </c>
      <c r="I213" s="8">
        <v>1380.2112417116059</v>
      </c>
    </row>
    <row r="214" spans="1:9" x14ac:dyDescent="0.35">
      <c r="A214">
        <f t="shared" si="6"/>
        <v>208</v>
      </c>
      <c r="B214" t="s">
        <v>1317</v>
      </c>
      <c r="C214" t="s">
        <v>1318</v>
      </c>
      <c r="D214" s="8">
        <v>1720.7497786592612</v>
      </c>
      <c r="F214">
        <f t="shared" si="7"/>
        <v>208</v>
      </c>
      <c r="H214" t="s">
        <v>1278</v>
      </c>
      <c r="I214" s="8">
        <v>221.84874961635637</v>
      </c>
    </row>
    <row r="215" spans="1:9" x14ac:dyDescent="0.35">
      <c r="A215">
        <f t="shared" si="6"/>
        <v>209</v>
      </c>
      <c r="B215" t="s">
        <v>885</v>
      </c>
      <c r="C215" t="s">
        <v>136</v>
      </c>
      <c r="D215" s="8">
        <v>1681.2412373755872</v>
      </c>
      <c r="F215">
        <f t="shared" si="7"/>
        <v>209</v>
      </c>
      <c r="H215" t="s">
        <v>1199</v>
      </c>
      <c r="I215" s="8">
        <v>3395.2265150761777</v>
      </c>
    </row>
    <row r="216" spans="1:9" x14ac:dyDescent="0.35">
      <c r="A216">
        <f t="shared" si="6"/>
        <v>210</v>
      </c>
      <c r="B216" t="s">
        <v>124</v>
      </c>
      <c r="C216" t="s">
        <v>125</v>
      </c>
      <c r="D216" s="8">
        <v>4582.1390911098497</v>
      </c>
      <c r="F216">
        <f t="shared" si="7"/>
        <v>210</v>
      </c>
      <c r="H216" t="s">
        <v>1281</v>
      </c>
      <c r="I216" s="8">
        <v>197.02516589132401</v>
      </c>
    </row>
    <row r="217" spans="1:9" x14ac:dyDescent="0.35">
      <c r="A217">
        <f t="shared" si="6"/>
        <v>211</v>
      </c>
      <c r="B217" t="s">
        <v>801</v>
      </c>
      <c r="C217" t="s">
        <v>200</v>
      </c>
      <c r="D217" s="8">
        <v>2799.3405494535818</v>
      </c>
      <c r="F217">
        <f t="shared" si="7"/>
        <v>211</v>
      </c>
      <c r="H217" t="s">
        <v>25</v>
      </c>
      <c r="I217" s="8">
        <v>1166.331421766525</v>
      </c>
    </row>
    <row r="218" spans="1:9" x14ac:dyDescent="0.35">
      <c r="A218">
        <f t="shared" si="6"/>
        <v>212</v>
      </c>
      <c r="B218" t="s">
        <v>1161</v>
      </c>
      <c r="C218" t="s">
        <v>1162</v>
      </c>
      <c r="D218" s="8">
        <v>753.32766665861152</v>
      </c>
      <c r="F218">
        <f t="shared" si="7"/>
        <v>212</v>
      </c>
      <c r="H218" t="s">
        <v>2672</v>
      </c>
      <c r="I218" s="8">
        <v>845.09804001425687</v>
      </c>
    </row>
    <row r="219" spans="1:9" x14ac:dyDescent="0.35">
      <c r="A219">
        <f t="shared" si="6"/>
        <v>213</v>
      </c>
      <c r="B219" t="s">
        <v>1064</v>
      </c>
      <c r="C219" t="s">
        <v>139</v>
      </c>
      <c r="D219" s="8">
        <v>714.0337507718948</v>
      </c>
      <c r="F219">
        <f t="shared" si="7"/>
        <v>213</v>
      </c>
      <c r="H219" t="s">
        <v>279</v>
      </c>
      <c r="I219" s="8">
        <v>5938.9702970436201</v>
      </c>
    </row>
    <row r="220" spans="1:9" x14ac:dyDescent="0.35">
      <c r="A220">
        <f t="shared" si="6"/>
        <v>214</v>
      </c>
      <c r="B220" t="s">
        <v>268</v>
      </c>
      <c r="C220" t="s">
        <v>269</v>
      </c>
      <c r="D220" s="8">
        <v>18139.089343644398</v>
      </c>
      <c r="F220">
        <f t="shared" si="7"/>
        <v>214</v>
      </c>
      <c r="H220" t="s">
        <v>2472</v>
      </c>
      <c r="I220" s="8">
        <v>1591.0646070264991</v>
      </c>
    </row>
    <row r="221" spans="1:9" x14ac:dyDescent="0.35">
      <c r="A221">
        <f t="shared" si="6"/>
        <v>215</v>
      </c>
      <c r="B221" t="s">
        <v>1021</v>
      </c>
      <c r="C221" t="s">
        <v>1022</v>
      </c>
      <c r="D221" s="8">
        <v>3345.2788848668051</v>
      </c>
      <c r="F221">
        <f t="shared" si="7"/>
        <v>215</v>
      </c>
      <c r="H221" t="s">
        <v>656</v>
      </c>
      <c r="I221" s="8">
        <v>3553.3634002644803</v>
      </c>
    </row>
    <row r="222" spans="1:9" x14ac:dyDescent="0.35">
      <c r="A222">
        <f t="shared" si="6"/>
        <v>216</v>
      </c>
      <c r="B222" t="s">
        <v>291</v>
      </c>
      <c r="C222" t="s">
        <v>11</v>
      </c>
      <c r="D222" s="8">
        <v>1392.1104650113139</v>
      </c>
      <c r="F222">
        <f t="shared" si="7"/>
        <v>216</v>
      </c>
      <c r="H222" t="s">
        <v>1452</v>
      </c>
      <c r="I222" s="8">
        <v>2954.8452777274852</v>
      </c>
    </row>
    <row r="223" spans="1:9" x14ac:dyDescent="0.35">
      <c r="A223">
        <f t="shared" si="6"/>
        <v>217</v>
      </c>
      <c r="B223" t="s">
        <v>2644</v>
      </c>
      <c r="C223" t="s">
        <v>1003</v>
      </c>
      <c r="D223" s="8">
        <v>1230.448921378274</v>
      </c>
      <c r="F223">
        <f t="shared" si="7"/>
        <v>217</v>
      </c>
      <c r="H223" t="s">
        <v>621</v>
      </c>
      <c r="I223" s="8">
        <v>5271.2116382874574</v>
      </c>
    </row>
    <row r="224" spans="1:9" x14ac:dyDescent="0.35">
      <c r="A224">
        <f t="shared" si="6"/>
        <v>218</v>
      </c>
      <c r="B224" t="s">
        <v>678</v>
      </c>
      <c r="C224" t="s">
        <v>136</v>
      </c>
      <c r="D224" s="8">
        <v>2262.1543391333671</v>
      </c>
      <c r="F224">
        <f t="shared" si="7"/>
        <v>218</v>
      </c>
      <c r="H224" t="s">
        <v>2391</v>
      </c>
      <c r="I224" s="8">
        <v>778.15125038364374</v>
      </c>
    </row>
    <row r="225" spans="1:9" x14ac:dyDescent="0.35">
      <c r="A225">
        <f t="shared" si="6"/>
        <v>219</v>
      </c>
      <c r="B225" t="s">
        <v>234</v>
      </c>
      <c r="C225" t="s">
        <v>235</v>
      </c>
      <c r="D225" s="8">
        <v>2908.7905373449275</v>
      </c>
      <c r="F225">
        <f t="shared" si="7"/>
        <v>219</v>
      </c>
      <c r="G225" t="s">
        <v>101</v>
      </c>
      <c r="H225" t="s">
        <v>99</v>
      </c>
      <c r="I225" s="8">
        <v>33135.173248237967</v>
      </c>
    </row>
    <row r="226" spans="1:9" x14ac:dyDescent="0.35">
      <c r="A226">
        <f t="shared" si="6"/>
        <v>220</v>
      </c>
      <c r="B226" t="s">
        <v>1293</v>
      </c>
      <c r="C226" t="s">
        <v>58</v>
      </c>
      <c r="D226" s="8">
        <v>72.086429283024117</v>
      </c>
      <c r="F226">
        <f t="shared" si="7"/>
        <v>220</v>
      </c>
      <c r="H226" t="s">
        <v>1418</v>
      </c>
      <c r="I226" s="8">
        <v>1255.272505103306</v>
      </c>
    </row>
    <row r="227" spans="1:9" x14ac:dyDescent="0.35">
      <c r="A227">
        <f t="shared" si="6"/>
        <v>221</v>
      </c>
      <c r="B227" t="s">
        <v>1222</v>
      </c>
      <c r="C227" t="s">
        <v>136</v>
      </c>
      <c r="D227" s="8">
        <v>2097.4684662806444</v>
      </c>
      <c r="F227">
        <f t="shared" si="7"/>
        <v>221</v>
      </c>
      <c r="H227" t="s">
        <v>183</v>
      </c>
      <c r="I227" s="8">
        <v>10105.82441573852</v>
      </c>
    </row>
    <row r="228" spans="1:9" x14ac:dyDescent="0.35">
      <c r="A228">
        <f t="shared" si="6"/>
        <v>222</v>
      </c>
      <c r="B228" t="s">
        <v>623</v>
      </c>
      <c r="C228" t="s">
        <v>65</v>
      </c>
      <c r="D228" s="8">
        <v>8179.2232925653334</v>
      </c>
      <c r="F228">
        <f t="shared" si="7"/>
        <v>222</v>
      </c>
      <c r="G228" t="s">
        <v>687</v>
      </c>
      <c r="H228" t="s">
        <v>686</v>
      </c>
      <c r="I228" s="8">
        <v>2079.1812460476249</v>
      </c>
    </row>
    <row r="229" spans="1:9" x14ac:dyDescent="0.35">
      <c r="A229">
        <f t="shared" si="6"/>
        <v>223</v>
      </c>
      <c r="B229" t="s">
        <v>689</v>
      </c>
      <c r="C229" t="s">
        <v>61</v>
      </c>
      <c r="D229" s="8">
        <v>6029.5547559325505</v>
      </c>
      <c r="F229">
        <f t="shared" si="7"/>
        <v>223</v>
      </c>
      <c r="H229" t="s">
        <v>880</v>
      </c>
      <c r="I229" s="8">
        <v>770.85201164214425</v>
      </c>
    </row>
    <row r="230" spans="1:9" x14ac:dyDescent="0.35">
      <c r="A230">
        <f t="shared" si="6"/>
        <v>224</v>
      </c>
      <c r="B230" t="s">
        <v>614</v>
      </c>
      <c r="C230" t="s">
        <v>136</v>
      </c>
      <c r="D230" s="8">
        <v>1553.8830266438745</v>
      </c>
      <c r="F230">
        <f t="shared" si="7"/>
        <v>224</v>
      </c>
      <c r="G230" t="s">
        <v>782</v>
      </c>
      <c r="H230" t="s">
        <v>2454</v>
      </c>
      <c r="I230" s="8">
        <v>1301.029995663981</v>
      </c>
    </row>
    <row r="231" spans="1:9" x14ac:dyDescent="0.35">
      <c r="A231">
        <f t="shared" si="6"/>
        <v>225</v>
      </c>
      <c r="B231" t="s">
        <v>50</v>
      </c>
      <c r="C231" t="s">
        <v>64</v>
      </c>
      <c r="D231" s="8">
        <v>1505.149978319906</v>
      </c>
      <c r="F231">
        <f t="shared" si="7"/>
        <v>225</v>
      </c>
      <c r="H231" t="s">
        <v>1395</v>
      </c>
      <c r="I231" s="8">
        <v>229.96663983853605</v>
      </c>
    </row>
    <row r="232" spans="1:9" x14ac:dyDescent="0.35">
      <c r="A232">
        <f t="shared" si="6"/>
        <v>226</v>
      </c>
      <c r="C232" t="s">
        <v>25</v>
      </c>
      <c r="D232" s="8">
        <v>50794.681010475331</v>
      </c>
      <c r="F232">
        <f t="shared" si="7"/>
        <v>226</v>
      </c>
      <c r="H232" t="s">
        <v>781</v>
      </c>
      <c r="I232" s="8">
        <v>2235.5789433301279</v>
      </c>
    </row>
    <row r="233" spans="1:9" x14ac:dyDescent="0.35">
      <c r="A233">
        <f t="shared" si="6"/>
        <v>227</v>
      </c>
      <c r="B233" t="s">
        <v>1285</v>
      </c>
      <c r="C233" t="s">
        <v>1286</v>
      </c>
      <c r="D233" s="8">
        <v>137.02723621603874</v>
      </c>
      <c r="F233">
        <f t="shared" si="7"/>
        <v>227</v>
      </c>
      <c r="H233" t="s">
        <v>2418</v>
      </c>
      <c r="I233" s="8">
        <v>3033.4237554869496</v>
      </c>
    </row>
    <row r="234" spans="1:9" x14ac:dyDescent="0.35">
      <c r="A234">
        <f t="shared" si="6"/>
        <v>228</v>
      </c>
      <c r="B234" t="s">
        <v>1131</v>
      </c>
      <c r="C234" t="s">
        <v>404</v>
      </c>
      <c r="D234" s="8">
        <v>2395.7726611733833</v>
      </c>
      <c r="F234">
        <f t="shared" si="7"/>
        <v>228</v>
      </c>
      <c r="H234" t="s">
        <v>1224</v>
      </c>
      <c r="I234" s="8">
        <v>1019.8083933535522</v>
      </c>
    </row>
    <row r="235" spans="1:9" x14ac:dyDescent="0.35">
      <c r="A235">
        <f t="shared" si="6"/>
        <v>229</v>
      </c>
      <c r="B235" t="s">
        <v>1252</v>
      </c>
      <c r="C235" t="s">
        <v>1253</v>
      </c>
      <c r="D235" s="8">
        <v>265.70203332223821</v>
      </c>
      <c r="F235">
        <f t="shared" si="7"/>
        <v>229</v>
      </c>
      <c r="G235" t="s">
        <v>215</v>
      </c>
      <c r="H235" t="s">
        <v>989</v>
      </c>
      <c r="I235" s="8">
        <v>1105.5101847699739</v>
      </c>
    </row>
    <row r="236" spans="1:9" x14ac:dyDescent="0.35">
      <c r="A236">
        <f t="shared" si="6"/>
        <v>230</v>
      </c>
      <c r="B236" t="s">
        <v>1337</v>
      </c>
      <c r="C236" t="s">
        <v>1338</v>
      </c>
      <c r="D236" s="8">
        <v>1169.2809079460192</v>
      </c>
      <c r="F236">
        <f t="shared" si="7"/>
        <v>230</v>
      </c>
      <c r="H236" t="s">
        <v>214</v>
      </c>
      <c r="I236" s="8">
        <v>7101.6263720982543</v>
      </c>
    </row>
    <row r="237" spans="1:9" x14ac:dyDescent="0.35">
      <c r="A237">
        <f t="shared" si="6"/>
        <v>231</v>
      </c>
      <c r="B237" t="s">
        <v>1520</v>
      </c>
      <c r="C237" t="s">
        <v>1521</v>
      </c>
      <c r="D237" s="8">
        <v>1003.0910769771417</v>
      </c>
      <c r="F237">
        <f t="shared" si="7"/>
        <v>231</v>
      </c>
      <c r="G237" t="s">
        <v>610</v>
      </c>
      <c r="H237" t="s">
        <v>609</v>
      </c>
      <c r="I237" s="8">
        <v>9666.7226020382786</v>
      </c>
    </row>
    <row r="238" spans="1:9" x14ac:dyDescent="0.35">
      <c r="A238">
        <f t="shared" si="6"/>
        <v>232</v>
      </c>
      <c r="B238" t="s">
        <v>2696</v>
      </c>
      <c r="C238" t="s">
        <v>1926</v>
      </c>
      <c r="D238" s="8">
        <v>829.30377283102507</v>
      </c>
      <c r="F238">
        <f t="shared" si="7"/>
        <v>232</v>
      </c>
      <c r="G238" t="s">
        <v>1220</v>
      </c>
      <c r="H238" t="s">
        <v>1219</v>
      </c>
      <c r="I238" s="8">
        <v>3708.8076712571365</v>
      </c>
    </row>
    <row r="239" spans="1:9" x14ac:dyDescent="0.35">
      <c r="A239">
        <f t="shared" si="6"/>
        <v>233</v>
      </c>
      <c r="B239" t="s">
        <v>1234</v>
      </c>
      <c r="C239" t="s">
        <v>890</v>
      </c>
      <c r="D239" s="8">
        <v>4568.7374146684206</v>
      </c>
      <c r="F239">
        <f t="shared" si="7"/>
        <v>233</v>
      </c>
      <c r="G239" t="s">
        <v>2282</v>
      </c>
      <c r="H239" t="s">
        <v>2281</v>
      </c>
      <c r="I239" s="8">
        <v>3970.0910600401517</v>
      </c>
    </row>
    <row r="240" spans="1:9" x14ac:dyDescent="0.35">
      <c r="A240">
        <f t="shared" si="6"/>
        <v>234</v>
      </c>
      <c r="B240" t="s">
        <v>111</v>
      </c>
      <c r="C240" t="s">
        <v>16</v>
      </c>
      <c r="D240" s="8">
        <v>18987.466604723231</v>
      </c>
      <c r="F240">
        <f t="shared" si="7"/>
        <v>234</v>
      </c>
      <c r="G240" t="s">
        <v>676</v>
      </c>
      <c r="H240" t="s">
        <v>585</v>
      </c>
      <c r="I240" s="8">
        <v>3543.031592342948</v>
      </c>
    </row>
    <row r="241" spans="1:9" x14ac:dyDescent="0.35">
      <c r="A241">
        <f t="shared" si="6"/>
        <v>235</v>
      </c>
      <c r="B241" t="s">
        <v>103</v>
      </c>
      <c r="C241" t="s">
        <v>104</v>
      </c>
      <c r="D241" s="8">
        <v>8600.3253803258867</v>
      </c>
      <c r="F241">
        <f t="shared" si="7"/>
        <v>235</v>
      </c>
      <c r="G241" t="s">
        <v>1149</v>
      </c>
      <c r="H241" t="s">
        <v>799</v>
      </c>
      <c r="I241" s="8">
        <v>763.42799356293722</v>
      </c>
    </row>
    <row r="242" spans="1:9" x14ac:dyDescent="0.35">
      <c r="A242">
        <f t="shared" si="6"/>
        <v>236</v>
      </c>
      <c r="B242" t="s">
        <v>1437</v>
      </c>
      <c r="C242" t="s">
        <v>44</v>
      </c>
      <c r="D242" s="8">
        <v>12598.202722185211</v>
      </c>
      <c r="F242">
        <f t="shared" si="7"/>
        <v>236</v>
      </c>
      <c r="G242" t="s">
        <v>2569</v>
      </c>
      <c r="H242" t="s">
        <v>436</v>
      </c>
      <c r="I242" s="8">
        <v>602.05999132796239</v>
      </c>
    </row>
    <row r="243" spans="1:9" x14ac:dyDescent="0.35">
      <c r="A243">
        <f t="shared" si="6"/>
        <v>237</v>
      </c>
      <c r="B243" t="s">
        <v>1296</v>
      </c>
      <c r="C243" t="s">
        <v>190</v>
      </c>
      <c r="D243" s="8">
        <v>985.2767431792937</v>
      </c>
      <c r="F243">
        <f t="shared" si="7"/>
        <v>237</v>
      </c>
      <c r="G243" t="s">
        <v>165</v>
      </c>
      <c r="H243" t="s">
        <v>164</v>
      </c>
      <c r="I243" s="8">
        <v>1052.6604542309715</v>
      </c>
    </row>
    <row r="244" spans="1:9" x14ac:dyDescent="0.35">
      <c r="A244">
        <f t="shared" si="6"/>
        <v>238</v>
      </c>
      <c r="B244" t="s">
        <v>1010</v>
      </c>
      <c r="C244" t="s">
        <v>1011</v>
      </c>
      <c r="D244" s="8">
        <v>1071.0633558254451</v>
      </c>
      <c r="F244">
        <f t="shared" si="7"/>
        <v>238</v>
      </c>
      <c r="H244" t="s">
        <v>2575</v>
      </c>
      <c r="I244" s="8">
        <v>2139.8790864012362</v>
      </c>
    </row>
    <row r="245" spans="1:9" x14ac:dyDescent="0.35">
      <c r="A245">
        <f t="shared" si="6"/>
        <v>239</v>
      </c>
      <c r="B245" t="s">
        <v>1177</v>
      </c>
      <c r="C245" t="s">
        <v>717</v>
      </c>
      <c r="D245" s="8">
        <v>6881.5348772745856</v>
      </c>
      <c r="F245">
        <f t="shared" si="7"/>
        <v>239</v>
      </c>
      <c r="G245" t="s">
        <v>81</v>
      </c>
      <c r="H245" t="s">
        <v>80</v>
      </c>
      <c r="I245" s="8">
        <v>3744.5537423511059</v>
      </c>
    </row>
    <row r="246" spans="1:9" x14ac:dyDescent="0.35">
      <c r="A246">
        <f t="shared" si="6"/>
        <v>240</v>
      </c>
      <c r="B246" t="s">
        <v>771</v>
      </c>
      <c r="C246" t="s">
        <v>267</v>
      </c>
      <c r="D246" s="8">
        <v>1243.0380486862944</v>
      </c>
      <c r="F246">
        <f t="shared" si="7"/>
        <v>240</v>
      </c>
      <c r="H246" t="s">
        <v>972</v>
      </c>
      <c r="I246" s="8">
        <v>6182.8738144290273</v>
      </c>
    </row>
    <row r="247" spans="1:9" x14ac:dyDescent="0.35">
      <c r="A247">
        <f t="shared" si="6"/>
        <v>241</v>
      </c>
      <c r="B247" t="s">
        <v>1445</v>
      </c>
      <c r="C247" t="s">
        <v>1011</v>
      </c>
      <c r="D247" s="8">
        <v>875.06126339170009</v>
      </c>
      <c r="F247">
        <f t="shared" si="7"/>
        <v>241</v>
      </c>
      <c r="H247" t="s">
        <v>890</v>
      </c>
      <c r="I247" s="8">
        <v>4286.8900053927246</v>
      </c>
    </row>
    <row r="248" spans="1:9" x14ac:dyDescent="0.35">
      <c r="A248">
        <f t="shared" si="6"/>
        <v>242</v>
      </c>
      <c r="C248" t="s">
        <v>1746</v>
      </c>
      <c r="D248" s="8">
        <v>3124.4685619894653</v>
      </c>
      <c r="F248">
        <f t="shared" si="7"/>
        <v>242</v>
      </c>
      <c r="H248" t="s">
        <v>302</v>
      </c>
      <c r="I248" s="8">
        <v>13897.728752506902</v>
      </c>
    </row>
    <row r="249" spans="1:9" x14ac:dyDescent="0.35">
      <c r="A249">
        <f t="shared" si="6"/>
        <v>243</v>
      </c>
      <c r="B249" t="s">
        <v>260</v>
      </c>
      <c r="C249" t="s">
        <v>20</v>
      </c>
      <c r="D249" s="8">
        <v>2388.5008386660575</v>
      </c>
      <c r="F249">
        <f t="shared" si="7"/>
        <v>243</v>
      </c>
      <c r="H249" t="s">
        <v>656</v>
      </c>
      <c r="I249" s="8">
        <v>3360.9329387873904</v>
      </c>
    </row>
    <row r="250" spans="1:9" x14ac:dyDescent="0.35">
      <c r="A250">
        <f t="shared" si="6"/>
        <v>244</v>
      </c>
      <c r="B250" t="s">
        <v>437</v>
      </c>
      <c r="C250" t="s">
        <v>438</v>
      </c>
      <c r="D250" s="8">
        <v>676.09125905568123</v>
      </c>
      <c r="F250">
        <f t="shared" si="7"/>
        <v>244</v>
      </c>
      <c r="G250" t="s">
        <v>846</v>
      </c>
      <c r="H250" t="s">
        <v>80</v>
      </c>
      <c r="I250" s="8">
        <v>870.90530362054244</v>
      </c>
    </row>
    <row r="251" spans="1:9" x14ac:dyDescent="0.35">
      <c r="A251">
        <f t="shared" si="6"/>
        <v>245</v>
      </c>
      <c r="B251" t="s">
        <v>991</v>
      </c>
      <c r="C251" t="s">
        <v>64</v>
      </c>
      <c r="D251" s="8">
        <v>1799.3405494535816</v>
      </c>
      <c r="F251">
        <f t="shared" si="7"/>
        <v>245</v>
      </c>
      <c r="H251" t="s">
        <v>554</v>
      </c>
      <c r="I251" s="8">
        <v>1856.3549078751739</v>
      </c>
    </row>
    <row r="252" spans="1:9" x14ac:dyDescent="0.35">
      <c r="A252">
        <f t="shared" si="6"/>
        <v>246</v>
      </c>
      <c r="B252" t="s">
        <v>981</v>
      </c>
      <c r="C252" t="s">
        <v>982</v>
      </c>
      <c r="D252" s="8">
        <v>989.99571884483282</v>
      </c>
      <c r="F252">
        <f t="shared" si="7"/>
        <v>246</v>
      </c>
      <c r="G252" t="s">
        <v>489</v>
      </c>
      <c r="H252" t="s">
        <v>116</v>
      </c>
      <c r="I252" s="8">
        <v>6189.151872189148</v>
      </c>
    </row>
    <row r="253" spans="1:9" x14ac:dyDescent="0.35">
      <c r="A253">
        <f t="shared" si="6"/>
        <v>247</v>
      </c>
      <c r="B253" t="s">
        <v>55</v>
      </c>
      <c r="C253" t="s">
        <v>56</v>
      </c>
      <c r="D253" s="8">
        <v>5257.1442808408237</v>
      </c>
      <c r="F253">
        <f t="shared" si="7"/>
        <v>247</v>
      </c>
      <c r="G253" t="s">
        <v>38</v>
      </c>
      <c r="H253" t="s">
        <v>1042</v>
      </c>
      <c r="I253" s="8">
        <v>991.77966975330878</v>
      </c>
    </row>
    <row r="254" spans="1:9" x14ac:dyDescent="0.35">
      <c r="A254">
        <f t="shared" si="6"/>
        <v>248</v>
      </c>
      <c r="B254" t="s">
        <v>710</v>
      </c>
      <c r="C254" t="s">
        <v>11</v>
      </c>
      <c r="D254" s="8">
        <v>1314.3939572219626</v>
      </c>
      <c r="F254">
        <f t="shared" si="7"/>
        <v>248</v>
      </c>
      <c r="H254" t="s">
        <v>37</v>
      </c>
      <c r="I254" s="8">
        <v>23491.421136583132</v>
      </c>
    </row>
    <row r="255" spans="1:9" x14ac:dyDescent="0.35">
      <c r="A255">
        <f t="shared" si="6"/>
        <v>249</v>
      </c>
      <c r="B255" t="s">
        <v>1458</v>
      </c>
      <c r="C255" t="s">
        <v>67</v>
      </c>
      <c r="D255" s="8">
        <v>8036.2998265836923</v>
      </c>
      <c r="F255">
        <f t="shared" si="7"/>
        <v>249</v>
      </c>
      <c r="H255" t="s">
        <v>895</v>
      </c>
      <c r="I255" s="8">
        <v>1870.8531016273423</v>
      </c>
    </row>
    <row r="256" spans="1:9" x14ac:dyDescent="0.35">
      <c r="A256">
        <f t="shared" si="6"/>
        <v>250</v>
      </c>
      <c r="B256" t="s">
        <v>1384</v>
      </c>
      <c r="C256" t="s">
        <v>1385</v>
      </c>
      <c r="D256" s="8">
        <v>556.30250076728726</v>
      </c>
      <c r="F256">
        <f t="shared" si="7"/>
        <v>250</v>
      </c>
      <c r="G256" t="s">
        <v>520</v>
      </c>
      <c r="H256" t="s">
        <v>519</v>
      </c>
      <c r="I256" s="8">
        <v>2297.1219097082958</v>
      </c>
    </row>
    <row r="257" spans="1:9" x14ac:dyDescent="0.35">
      <c r="A257">
        <f t="shared" si="6"/>
        <v>251</v>
      </c>
      <c r="B257" t="s">
        <v>807</v>
      </c>
      <c r="C257" t="s">
        <v>808</v>
      </c>
      <c r="D257" s="8">
        <v>1921.686475483602</v>
      </c>
      <c r="F257">
        <f t="shared" si="7"/>
        <v>251</v>
      </c>
      <c r="G257" t="s">
        <v>2497</v>
      </c>
      <c r="H257" t="s">
        <v>2496</v>
      </c>
      <c r="I257" s="8">
        <v>2204.1199826559246</v>
      </c>
    </row>
    <row r="258" spans="1:9" x14ac:dyDescent="0.35">
      <c r="A258">
        <f t="shared" si="6"/>
        <v>252</v>
      </c>
      <c r="B258" t="s">
        <v>874</v>
      </c>
      <c r="C258" t="s">
        <v>136</v>
      </c>
      <c r="D258" s="8">
        <v>957.93865499928881</v>
      </c>
      <c r="F258">
        <f t="shared" si="7"/>
        <v>252</v>
      </c>
      <c r="G258" t="s">
        <v>1289</v>
      </c>
      <c r="H258" t="s">
        <v>1288</v>
      </c>
      <c r="I258" s="8">
        <v>123.23895173040556</v>
      </c>
    </row>
    <row r="259" spans="1:9" x14ac:dyDescent="0.35">
      <c r="A259">
        <f t="shared" si="6"/>
        <v>253</v>
      </c>
      <c r="B259" t="s">
        <v>1206</v>
      </c>
      <c r="C259" t="s">
        <v>159</v>
      </c>
      <c r="D259" s="8">
        <v>862.4721360836794</v>
      </c>
      <c r="F259">
        <f t="shared" si="7"/>
        <v>253</v>
      </c>
      <c r="G259" t="s">
        <v>644</v>
      </c>
      <c r="H259" t="s">
        <v>645</v>
      </c>
      <c r="I259" s="8">
        <v>3801.5157779472734</v>
      </c>
    </row>
    <row r="260" spans="1:9" x14ac:dyDescent="0.35">
      <c r="A260">
        <f t="shared" si="6"/>
        <v>254</v>
      </c>
      <c r="B260" t="s">
        <v>86</v>
      </c>
      <c r="C260" t="s">
        <v>393</v>
      </c>
      <c r="D260" s="8">
        <v>8910.971281754315</v>
      </c>
      <c r="F260">
        <f t="shared" si="7"/>
        <v>254</v>
      </c>
      <c r="H260" t="s">
        <v>804</v>
      </c>
      <c r="I260" s="8">
        <v>3661.8490753719557</v>
      </c>
    </row>
    <row r="261" spans="1:9" x14ac:dyDescent="0.35">
      <c r="A261">
        <f t="shared" si="6"/>
        <v>255</v>
      </c>
      <c r="C261" t="s">
        <v>271</v>
      </c>
      <c r="D261" s="8">
        <v>44452.487222497948</v>
      </c>
      <c r="F261">
        <f t="shared" si="7"/>
        <v>255</v>
      </c>
      <c r="G261" t="s">
        <v>534</v>
      </c>
      <c r="H261" t="s">
        <v>533</v>
      </c>
      <c r="I261" s="8">
        <v>6424.6026842905057</v>
      </c>
    </row>
    <row r="262" spans="1:9" x14ac:dyDescent="0.35">
      <c r="A262">
        <f t="shared" si="6"/>
        <v>256</v>
      </c>
      <c r="C262" t="s">
        <v>510</v>
      </c>
      <c r="D262" s="8">
        <v>10563.37508467095</v>
      </c>
      <c r="F262">
        <f t="shared" si="7"/>
        <v>256</v>
      </c>
      <c r="G262" t="s">
        <v>446</v>
      </c>
      <c r="H262" t="s">
        <v>445</v>
      </c>
      <c r="I262" s="8">
        <v>7630.5679142437311</v>
      </c>
    </row>
    <row r="263" spans="1:9" x14ac:dyDescent="0.35">
      <c r="A263">
        <f t="shared" si="6"/>
        <v>257</v>
      </c>
      <c r="C263" t="s">
        <v>87</v>
      </c>
      <c r="D263" s="8">
        <v>17772.034775191772</v>
      </c>
      <c r="F263">
        <f t="shared" si="7"/>
        <v>257</v>
      </c>
      <c r="G263" t="s">
        <v>1309</v>
      </c>
      <c r="H263" t="s">
        <v>1308</v>
      </c>
      <c r="I263" s="8">
        <v>782.40907352618501</v>
      </c>
    </row>
    <row r="264" spans="1:9" x14ac:dyDescent="0.35">
      <c r="A264">
        <f t="shared" si="6"/>
        <v>258</v>
      </c>
      <c r="B264" t="s">
        <v>545</v>
      </c>
      <c r="C264" t="s">
        <v>159</v>
      </c>
      <c r="D264" s="8">
        <v>1156.3472008599238</v>
      </c>
      <c r="F264">
        <f t="shared" si="7"/>
        <v>258</v>
      </c>
      <c r="G264" t="s">
        <v>2584</v>
      </c>
      <c r="H264" t="s">
        <v>2583</v>
      </c>
      <c r="I264" s="8">
        <v>970.03677662255677</v>
      </c>
    </row>
    <row r="265" spans="1:9" x14ac:dyDescent="0.35">
      <c r="A265">
        <f t="shared" ref="A265:A328" si="8">A264+1</f>
        <v>259</v>
      </c>
      <c r="C265" t="s">
        <v>425</v>
      </c>
      <c r="D265" s="8">
        <v>9729.5386658779644</v>
      </c>
      <c r="F265">
        <f t="shared" ref="F265:F328" si="9">F264+1</f>
        <v>259</v>
      </c>
      <c r="G265" t="s">
        <v>1050</v>
      </c>
      <c r="H265" t="s">
        <v>1504</v>
      </c>
      <c r="I265" s="8">
        <v>4371.1020842867965</v>
      </c>
    </row>
    <row r="266" spans="1:9" x14ac:dyDescent="0.35">
      <c r="A266">
        <f t="shared" si="8"/>
        <v>260</v>
      </c>
      <c r="B266" t="s">
        <v>398</v>
      </c>
      <c r="C266" t="s">
        <v>399</v>
      </c>
      <c r="D266" s="8">
        <v>7466.1678253094396</v>
      </c>
      <c r="F266">
        <f t="shared" si="9"/>
        <v>260</v>
      </c>
      <c r="G266" t="s">
        <v>1106</v>
      </c>
      <c r="H266" t="s">
        <v>1105</v>
      </c>
      <c r="I266" s="8">
        <v>7853.4528938548119</v>
      </c>
    </row>
    <row r="267" spans="1:9" x14ac:dyDescent="0.35">
      <c r="A267">
        <f t="shared" si="8"/>
        <v>261</v>
      </c>
      <c r="B267" t="s">
        <v>648</v>
      </c>
      <c r="C267" t="s">
        <v>649</v>
      </c>
      <c r="D267" s="8">
        <v>3611.7940918852432</v>
      </c>
      <c r="F267">
        <f t="shared" si="9"/>
        <v>261</v>
      </c>
      <c r="G267" t="s">
        <v>1226</v>
      </c>
      <c r="H267" t="s">
        <v>1225</v>
      </c>
      <c r="I267" s="8">
        <v>991.77966975330878</v>
      </c>
    </row>
    <row r="268" spans="1:9" x14ac:dyDescent="0.35">
      <c r="A268">
        <f t="shared" si="8"/>
        <v>262</v>
      </c>
      <c r="C268" t="s">
        <v>528</v>
      </c>
      <c r="D268" s="8">
        <v>714.0337507718948</v>
      </c>
      <c r="F268">
        <f t="shared" si="9"/>
        <v>262</v>
      </c>
      <c r="G268" t="s">
        <v>77</v>
      </c>
      <c r="H268" t="s">
        <v>789</v>
      </c>
      <c r="I268" s="8">
        <v>1672.097857935717</v>
      </c>
    </row>
    <row r="269" spans="1:9" x14ac:dyDescent="0.35">
      <c r="A269">
        <f t="shared" si="8"/>
        <v>263</v>
      </c>
      <c r="B269" t="s">
        <v>214</v>
      </c>
      <c r="C269" t="s">
        <v>215</v>
      </c>
      <c r="D269" s="8">
        <v>7101.6263720982543</v>
      </c>
      <c r="F269">
        <f t="shared" si="9"/>
        <v>263</v>
      </c>
      <c r="H269" t="s">
        <v>358</v>
      </c>
      <c r="I269" s="8">
        <v>2120.5739312058495</v>
      </c>
    </row>
    <row r="270" spans="1:9" x14ac:dyDescent="0.35">
      <c r="A270">
        <f t="shared" si="8"/>
        <v>264</v>
      </c>
      <c r="B270" t="s">
        <v>320</v>
      </c>
      <c r="C270" t="s">
        <v>321</v>
      </c>
      <c r="D270" s="8">
        <v>16481.576138013006</v>
      </c>
      <c r="F270">
        <f t="shared" si="9"/>
        <v>264</v>
      </c>
      <c r="H270" t="s">
        <v>76</v>
      </c>
      <c r="I270" s="8">
        <v>4313.9070831699337</v>
      </c>
    </row>
    <row r="271" spans="1:9" x14ac:dyDescent="0.35">
      <c r="A271">
        <f t="shared" si="8"/>
        <v>265</v>
      </c>
      <c r="B271" t="s">
        <v>357</v>
      </c>
      <c r="C271" t="s">
        <v>463</v>
      </c>
      <c r="D271" s="8">
        <v>2879.0171299594967</v>
      </c>
      <c r="F271">
        <f t="shared" si="9"/>
        <v>265</v>
      </c>
      <c r="H271" t="s">
        <v>2476</v>
      </c>
      <c r="I271" s="8">
        <v>8544.1558116074921</v>
      </c>
    </row>
    <row r="272" spans="1:9" x14ac:dyDescent="0.35">
      <c r="A272">
        <f t="shared" si="8"/>
        <v>266</v>
      </c>
      <c r="B272" t="s">
        <v>237</v>
      </c>
      <c r="C272" t="s">
        <v>13</v>
      </c>
      <c r="D272" s="8">
        <v>13844.594676401193</v>
      </c>
      <c r="F272">
        <f t="shared" si="9"/>
        <v>266</v>
      </c>
      <c r="H272" t="s">
        <v>412</v>
      </c>
      <c r="I272" s="8">
        <v>1672.0978579357172</v>
      </c>
    </row>
    <row r="273" spans="1:9" x14ac:dyDescent="0.35">
      <c r="A273">
        <f t="shared" si="8"/>
        <v>267</v>
      </c>
      <c r="B273" t="s">
        <v>600</v>
      </c>
      <c r="C273" t="s">
        <v>142</v>
      </c>
      <c r="D273" s="8">
        <v>6136.5753966887241</v>
      </c>
      <c r="F273">
        <f t="shared" si="9"/>
        <v>267</v>
      </c>
      <c r="H273" t="s">
        <v>1040</v>
      </c>
      <c r="I273" s="8">
        <v>1019.8083933535522</v>
      </c>
    </row>
    <row r="274" spans="1:9" x14ac:dyDescent="0.35">
      <c r="A274">
        <f t="shared" si="8"/>
        <v>268</v>
      </c>
      <c r="B274" t="s">
        <v>578</v>
      </c>
      <c r="C274" t="s">
        <v>480</v>
      </c>
      <c r="D274" s="8">
        <v>841.2029961307328</v>
      </c>
      <c r="F274">
        <f t="shared" si="9"/>
        <v>268</v>
      </c>
      <c r="G274" t="s">
        <v>502</v>
      </c>
      <c r="H274" t="s">
        <v>501</v>
      </c>
      <c r="I274" s="8">
        <v>1196.294645143968</v>
      </c>
    </row>
    <row r="275" spans="1:9" x14ac:dyDescent="0.35">
      <c r="A275">
        <f t="shared" si="8"/>
        <v>269</v>
      </c>
      <c r="B275" t="s">
        <v>625</v>
      </c>
      <c r="C275" t="s">
        <v>16</v>
      </c>
      <c r="D275" s="8">
        <v>2240.2639036718729</v>
      </c>
      <c r="F275">
        <f t="shared" si="9"/>
        <v>269</v>
      </c>
      <c r="G275" t="s">
        <v>516</v>
      </c>
      <c r="H275" t="s">
        <v>1459</v>
      </c>
      <c r="I275" s="8">
        <v>8527.3331406997422</v>
      </c>
    </row>
    <row r="276" spans="1:9" x14ac:dyDescent="0.35">
      <c r="A276">
        <f t="shared" si="8"/>
        <v>270</v>
      </c>
      <c r="C276" t="s">
        <v>662</v>
      </c>
      <c r="D276" s="8">
        <v>2124.2596207828128</v>
      </c>
      <c r="F276">
        <f t="shared" si="9"/>
        <v>270</v>
      </c>
      <c r="G276" t="s">
        <v>935</v>
      </c>
      <c r="H276" t="s">
        <v>799</v>
      </c>
      <c r="I276" s="8">
        <v>2081.6730008255013</v>
      </c>
    </row>
    <row r="277" spans="1:9" x14ac:dyDescent="0.35">
      <c r="A277">
        <f t="shared" si="8"/>
        <v>271</v>
      </c>
      <c r="B277" t="s">
        <v>366</v>
      </c>
      <c r="C277" t="s">
        <v>991</v>
      </c>
      <c r="D277" s="8">
        <v>1008.6001717619175</v>
      </c>
      <c r="F277">
        <f t="shared" si="9"/>
        <v>271</v>
      </c>
      <c r="G277" t="s">
        <v>1049</v>
      </c>
      <c r="H277" t="s">
        <v>1048</v>
      </c>
      <c r="I277" s="8">
        <v>1204.1199826559246</v>
      </c>
    </row>
    <row r="278" spans="1:9" x14ac:dyDescent="0.35">
      <c r="A278">
        <f t="shared" si="8"/>
        <v>272</v>
      </c>
      <c r="C278" t="s">
        <v>61</v>
      </c>
      <c r="D278" s="8">
        <v>32337.961505250343</v>
      </c>
      <c r="F278">
        <f t="shared" si="9"/>
        <v>272</v>
      </c>
      <c r="G278" t="s">
        <v>911</v>
      </c>
      <c r="H278" t="s">
        <v>910</v>
      </c>
      <c r="I278" s="8">
        <v>2531.5009395306297</v>
      </c>
    </row>
    <row r="279" spans="1:9" x14ac:dyDescent="0.35">
      <c r="A279">
        <f t="shared" si="8"/>
        <v>273</v>
      </c>
      <c r="B279" t="s">
        <v>1248</v>
      </c>
      <c r="C279" t="s">
        <v>864</v>
      </c>
      <c r="D279" s="8">
        <v>675.78526965726996</v>
      </c>
      <c r="F279">
        <f t="shared" si="9"/>
        <v>273</v>
      </c>
      <c r="G279" t="s">
        <v>353</v>
      </c>
      <c r="H279" t="s">
        <v>1210</v>
      </c>
      <c r="I279" s="8">
        <v>1410.1744650890494</v>
      </c>
    </row>
    <row r="280" spans="1:9" x14ac:dyDescent="0.35">
      <c r="A280">
        <f t="shared" si="8"/>
        <v>274</v>
      </c>
      <c r="B280" t="s">
        <v>2370</v>
      </c>
      <c r="C280" t="s">
        <v>139</v>
      </c>
      <c r="D280" s="8">
        <v>1263.2414347745814</v>
      </c>
      <c r="F280">
        <f t="shared" si="9"/>
        <v>274</v>
      </c>
      <c r="H280" t="s">
        <v>974</v>
      </c>
      <c r="I280" s="8">
        <v>6335.3592004449247</v>
      </c>
    </row>
    <row r="281" spans="1:9" x14ac:dyDescent="0.35">
      <c r="A281">
        <f t="shared" si="8"/>
        <v>275</v>
      </c>
      <c r="B281" t="s">
        <v>1186</v>
      </c>
      <c r="C281" t="s">
        <v>1187</v>
      </c>
      <c r="D281" s="8">
        <v>1194.3160791618805</v>
      </c>
      <c r="F281">
        <f t="shared" si="9"/>
        <v>275</v>
      </c>
      <c r="H281" t="s">
        <v>588</v>
      </c>
      <c r="I281" s="8">
        <v>9563.5866583308416</v>
      </c>
    </row>
    <row r="282" spans="1:9" x14ac:dyDescent="0.35">
      <c r="A282">
        <f t="shared" si="8"/>
        <v>276</v>
      </c>
      <c r="B282" t="s">
        <v>37</v>
      </c>
      <c r="C282" t="s">
        <v>38</v>
      </c>
      <c r="D282" s="8">
        <v>23491.421136583132</v>
      </c>
      <c r="F282">
        <f t="shared" si="9"/>
        <v>276</v>
      </c>
      <c r="H282" t="s">
        <v>1071</v>
      </c>
      <c r="I282" s="8">
        <v>1037.4264979406234</v>
      </c>
    </row>
    <row r="283" spans="1:9" x14ac:dyDescent="0.35">
      <c r="A283">
        <f t="shared" si="8"/>
        <v>277</v>
      </c>
      <c r="B283" t="s">
        <v>204</v>
      </c>
      <c r="C283" t="s">
        <v>205</v>
      </c>
      <c r="D283" s="8">
        <v>47276.272329439431</v>
      </c>
      <c r="F283">
        <f t="shared" si="9"/>
        <v>277</v>
      </c>
      <c r="H283" t="s">
        <v>1208</v>
      </c>
      <c r="I283" s="8">
        <v>1000</v>
      </c>
    </row>
    <row r="284" spans="1:9" x14ac:dyDescent="0.35">
      <c r="A284">
        <f t="shared" si="8"/>
        <v>278</v>
      </c>
      <c r="B284" t="s">
        <v>836</v>
      </c>
      <c r="C284" t="s">
        <v>136</v>
      </c>
      <c r="D284" s="8">
        <v>12068.458389461843</v>
      </c>
      <c r="F284">
        <f t="shared" si="9"/>
        <v>278</v>
      </c>
      <c r="H284" t="s">
        <v>566</v>
      </c>
      <c r="I284" s="8">
        <v>971.97127639975656</v>
      </c>
    </row>
    <row r="285" spans="1:9" x14ac:dyDescent="0.35">
      <c r="A285">
        <f t="shared" si="8"/>
        <v>279</v>
      </c>
      <c r="B285" t="s">
        <v>299</v>
      </c>
      <c r="C285" t="s">
        <v>300</v>
      </c>
      <c r="D285" s="8">
        <v>21012.448508421134</v>
      </c>
      <c r="F285">
        <f t="shared" si="9"/>
        <v>279</v>
      </c>
      <c r="H285" t="s">
        <v>352</v>
      </c>
      <c r="I285" s="8">
        <v>3298.0971731416439</v>
      </c>
    </row>
    <row r="286" spans="1:9" x14ac:dyDescent="0.35">
      <c r="A286">
        <f t="shared" si="8"/>
        <v>280</v>
      </c>
      <c r="B286" t="s">
        <v>1083</v>
      </c>
      <c r="C286" t="s">
        <v>927</v>
      </c>
      <c r="D286" s="8">
        <v>1635.6126868063086</v>
      </c>
      <c r="F286">
        <f t="shared" si="9"/>
        <v>280</v>
      </c>
      <c r="G286" t="s">
        <v>843</v>
      </c>
      <c r="H286" t="s">
        <v>277</v>
      </c>
      <c r="I286" s="8">
        <v>1531.478917042255</v>
      </c>
    </row>
    <row r="287" spans="1:9" x14ac:dyDescent="0.35">
      <c r="A287">
        <f t="shared" si="8"/>
        <v>281</v>
      </c>
      <c r="B287" t="s">
        <v>533</v>
      </c>
      <c r="C287" t="s">
        <v>534</v>
      </c>
      <c r="D287" s="8">
        <v>6424.6026842905057</v>
      </c>
      <c r="F287">
        <f t="shared" si="9"/>
        <v>281</v>
      </c>
      <c r="H287" t="s">
        <v>1127</v>
      </c>
      <c r="I287" s="8">
        <v>1241.6571429699088</v>
      </c>
    </row>
    <row r="288" spans="1:9" x14ac:dyDescent="0.35">
      <c r="A288">
        <f t="shared" si="8"/>
        <v>282</v>
      </c>
      <c r="B288" t="s">
        <v>158</v>
      </c>
      <c r="C288" t="s">
        <v>159</v>
      </c>
      <c r="D288" s="8">
        <v>5093.2522900129334</v>
      </c>
      <c r="F288">
        <f t="shared" si="9"/>
        <v>282</v>
      </c>
      <c r="G288" t="s">
        <v>1018</v>
      </c>
      <c r="H288" t="s">
        <v>1017</v>
      </c>
      <c r="I288" s="8">
        <v>3136.720567156407</v>
      </c>
    </row>
    <row r="289" spans="1:9" x14ac:dyDescent="0.35">
      <c r="A289">
        <f t="shared" si="8"/>
        <v>283</v>
      </c>
      <c r="C289" t="s">
        <v>451</v>
      </c>
      <c r="D289" s="8">
        <v>349.48500216800943</v>
      </c>
      <c r="F289">
        <f t="shared" si="9"/>
        <v>283</v>
      </c>
      <c r="G289" t="s">
        <v>2429</v>
      </c>
      <c r="H289" t="s">
        <v>2428</v>
      </c>
      <c r="I289" s="8">
        <v>1857.3324964312685</v>
      </c>
    </row>
    <row r="290" spans="1:9" x14ac:dyDescent="0.35">
      <c r="A290">
        <f t="shared" si="8"/>
        <v>284</v>
      </c>
      <c r="B290" t="s">
        <v>1389</v>
      </c>
      <c r="C290" t="s">
        <v>1390</v>
      </c>
      <c r="D290" s="8">
        <v>449.09253111941894</v>
      </c>
      <c r="F290">
        <f t="shared" si="9"/>
        <v>284</v>
      </c>
      <c r="G290" t="s">
        <v>190</v>
      </c>
      <c r="H290" t="s">
        <v>1296</v>
      </c>
      <c r="I290" s="8">
        <v>985.2767431792937</v>
      </c>
    </row>
    <row r="291" spans="1:9" x14ac:dyDescent="0.35">
      <c r="A291">
        <f t="shared" si="8"/>
        <v>285</v>
      </c>
      <c r="B291" t="s">
        <v>549</v>
      </c>
      <c r="C291" t="s">
        <v>44</v>
      </c>
      <c r="D291" s="8">
        <v>3010.2999566398121</v>
      </c>
      <c r="F291">
        <f t="shared" si="9"/>
        <v>285</v>
      </c>
      <c r="H291" t="s">
        <v>189</v>
      </c>
      <c r="I291" s="8">
        <v>4438.4685098105901</v>
      </c>
    </row>
    <row r="292" spans="1:9" x14ac:dyDescent="0.35">
      <c r="A292">
        <f t="shared" si="8"/>
        <v>286</v>
      </c>
      <c r="B292" t="s">
        <v>550</v>
      </c>
      <c r="C292" t="s">
        <v>44</v>
      </c>
      <c r="D292" s="8">
        <v>1896.3566043329752</v>
      </c>
      <c r="F292">
        <f t="shared" si="9"/>
        <v>286</v>
      </c>
      <c r="G292" t="s">
        <v>822</v>
      </c>
      <c r="H292" t="s">
        <v>821</v>
      </c>
      <c r="I292" s="8">
        <v>10817.458681304342</v>
      </c>
    </row>
    <row r="293" spans="1:9" x14ac:dyDescent="0.35">
      <c r="A293">
        <f t="shared" si="8"/>
        <v>287</v>
      </c>
      <c r="B293" t="s">
        <v>739</v>
      </c>
      <c r="C293" t="s">
        <v>740</v>
      </c>
      <c r="D293" s="8">
        <v>4601.7890662208574</v>
      </c>
      <c r="F293">
        <f t="shared" si="9"/>
        <v>287</v>
      </c>
      <c r="G293" t="s">
        <v>854</v>
      </c>
      <c r="H293" t="s">
        <v>853</v>
      </c>
      <c r="I293" s="8">
        <v>698.97000433601875</v>
      </c>
    </row>
    <row r="294" spans="1:9" x14ac:dyDescent="0.35">
      <c r="A294">
        <f t="shared" si="8"/>
        <v>288</v>
      </c>
      <c r="B294" t="s">
        <v>1090</v>
      </c>
      <c r="C294" t="s">
        <v>13</v>
      </c>
      <c r="D294" s="8">
        <v>1172.862288925483</v>
      </c>
      <c r="F294">
        <f t="shared" si="9"/>
        <v>288</v>
      </c>
      <c r="G294" t="s">
        <v>404</v>
      </c>
      <c r="H294" t="s">
        <v>1131</v>
      </c>
      <c r="I294" s="8">
        <v>2395.7726611733833</v>
      </c>
    </row>
    <row r="295" spans="1:9" x14ac:dyDescent="0.35">
      <c r="A295">
        <f t="shared" si="8"/>
        <v>289</v>
      </c>
      <c r="B295" t="s">
        <v>1115</v>
      </c>
      <c r="C295" t="s">
        <v>1116</v>
      </c>
      <c r="D295" s="8">
        <v>1718.7783976895712</v>
      </c>
      <c r="F295">
        <f t="shared" si="9"/>
        <v>289</v>
      </c>
      <c r="H295" t="s">
        <v>2670</v>
      </c>
      <c r="I295" s="8">
        <v>1439.3326938302625</v>
      </c>
    </row>
    <row r="296" spans="1:9" x14ac:dyDescent="0.35">
      <c r="A296">
        <f t="shared" si="8"/>
        <v>290</v>
      </c>
      <c r="B296" t="s">
        <v>428</v>
      </c>
      <c r="C296" t="s">
        <v>429</v>
      </c>
      <c r="D296" s="8">
        <v>1736.6557614654632</v>
      </c>
      <c r="F296">
        <f t="shared" si="9"/>
        <v>290</v>
      </c>
      <c r="H296" t="s">
        <v>405</v>
      </c>
      <c r="I296" s="8">
        <v>6394.5997560022097</v>
      </c>
    </row>
    <row r="297" spans="1:9" x14ac:dyDescent="0.35">
      <c r="A297">
        <f t="shared" si="8"/>
        <v>291</v>
      </c>
      <c r="C297" t="s">
        <v>729</v>
      </c>
      <c r="D297" s="8">
        <v>1602.0599913279623</v>
      </c>
      <c r="F297">
        <f t="shared" si="9"/>
        <v>291</v>
      </c>
      <c r="G297" t="s">
        <v>314</v>
      </c>
      <c r="H297" t="s">
        <v>2664</v>
      </c>
      <c r="I297" s="8">
        <v>1332.4384599156051</v>
      </c>
    </row>
    <row r="298" spans="1:9" x14ac:dyDescent="0.35">
      <c r="A298">
        <f t="shared" si="8"/>
        <v>292</v>
      </c>
      <c r="B298" t="s">
        <v>439</v>
      </c>
      <c r="C298" t="s">
        <v>136</v>
      </c>
      <c r="D298" s="8">
        <v>1887.8114799116738</v>
      </c>
      <c r="F298">
        <f t="shared" si="9"/>
        <v>292</v>
      </c>
      <c r="H298" t="s">
        <v>313</v>
      </c>
      <c r="I298" s="8">
        <v>13295.752633124466</v>
      </c>
    </row>
    <row r="299" spans="1:9" x14ac:dyDescent="0.35">
      <c r="A299">
        <f t="shared" si="8"/>
        <v>293</v>
      </c>
      <c r="B299" t="s">
        <v>2367</v>
      </c>
      <c r="C299" t="s">
        <v>232</v>
      </c>
      <c r="D299" s="8">
        <v>937.85209325115557</v>
      </c>
      <c r="F299">
        <f t="shared" si="9"/>
        <v>293</v>
      </c>
      <c r="G299" t="s">
        <v>571</v>
      </c>
      <c r="H299" t="s">
        <v>570</v>
      </c>
      <c r="I299" s="8">
        <v>1346.3529744506388</v>
      </c>
    </row>
    <row r="300" spans="1:9" x14ac:dyDescent="0.35">
      <c r="A300">
        <f t="shared" si="8"/>
        <v>294</v>
      </c>
      <c r="B300" t="s">
        <v>490</v>
      </c>
      <c r="C300" t="s">
        <v>480</v>
      </c>
      <c r="D300" s="8">
        <v>7807.8821226656</v>
      </c>
      <c r="F300">
        <f t="shared" si="9"/>
        <v>294</v>
      </c>
      <c r="G300" t="s">
        <v>991</v>
      </c>
      <c r="H300" t="s">
        <v>366</v>
      </c>
      <c r="I300" s="8">
        <v>1008.6001717619175</v>
      </c>
    </row>
    <row r="301" spans="1:9" x14ac:dyDescent="0.35">
      <c r="A301">
        <f t="shared" si="8"/>
        <v>295</v>
      </c>
      <c r="C301" t="s">
        <v>2308</v>
      </c>
      <c r="D301" s="8">
        <v>1099.3846321359117</v>
      </c>
      <c r="F301">
        <f t="shared" si="9"/>
        <v>295</v>
      </c>
      <c r="G301" t="s">
        <v>300</v>
      </c>
      <c r="H301" t="s">
        <v>299</v>
      </c>
      <c r="I301" s="8">
        <v>21012.448508421134</v>
      </c>
    </row>
    <row r="302" spans="1:9" x14ac:dyDescent="0.35">
      <c r="A302">
        <f t="shared" si="8"/>
        <v>296</v>
      </c>
      <c r="B302" t="s">
        <v>1026</v>
      </c>
      <c r="C302" t="s">
        <v>187</v>
      </c>
      <c r="D302" s="8">
        <v>2298.8530764097068</v>
      </c>
      <c r="F302">
        <f t="shared" si="9"/>
        <v>296</v>
      </c>
      <c r="G302" t="s">
        <v>568</v>
      </c>
      <c r="H302" t="s">
        <v>567</v>
      </c>
      <c r="I302" s="8">
        <v>2643.4415297263886</v>
      </c>
    </row>
    <row r="303" spans="1:9" x14ac:dyDescent="0.35">
      <c r="A303">
        <f t="shared" si="8"/>
        <v>297</v>
      </c>
      <c r="B303" t="s">
        <v>1333</v>
      </c>
      <c r="C303" t="s">
        <v>480</v>
      </c>
      <c r="D303" s="8">
        <v>2051.3699621770529</v>
      </c>
      <c r="F303">
        <f t="shared" si="9"/>
        <v>297</v>
      </c>
      <c r="G303" t="s">
        <v>654</v>
      </c>
      <c r="H303" t="s">
        <v>653</v>
      </c>
      <c r="I303" s="8">
        <v>2710.2477591526822</v>
      </c>
    </row>
    <row r="304" spans="1:9" x14ac:dyDescent="0.35">
      <c r="A304">
        <f t="shared" si="8"/>
        <v>298</v>
      </c>
      <c r="B304" t="s">
        <v>871</v>
      </c>
      <c r="C304" t="s">
        <v>872</v>
      </c>
      <c r="D304" s="8">
        <v>1030.4893221479003</v>
      </c>
      <c r="F304">
        <f t="shared" si="9"/>
        <v>298</v>
      </c>
      <c r="H304" t="s">
        <v>566</v>
      </c>
      <c r="I304" s="8">
        <v>1267.1717284030137</v>
      </c>
    </row>
    <row r="305" spans="1:9" x14ac:dyDescent="0.35">
      <c r="A305">
        <f t="shared" si="8"/>
        <v>299</v>
      </c>
      <c r="B305" t="s">
        <v>903</v>
      </c>
      <c r="C305" t="s">
        <v>71</v>
      </c>
      <c r="D305" s="8">
        <v>9186.6131565808719</v>
      </c>
      <c r="F305">
        <f t="shared" si="9"/>
        <v>299</v>
      </c>
      <c r="G305" t="s">
        <v>1197</v>
      </c>
      <c r="H305" t="s">
        <v>1196</v>
      </c>
      <c r="I305" s="8">
        <v>778.15125038364363</v>
      </c>
    </row>
    <row r="306" spans="1:9" x14ac:dyDescent="0.35">
      <c r="A306">
        <f t="shared" si="8"/>
        <v>300</v>
      </c>
      <c r="B306" t="s">
        <v>960</v>
      </c>
      <c r="C306" t="s">
        <v>136</v>
      </c>
      <c r="D306" s="8">
        <v>10508.740769543474</v>
      </c>
      <c r="F306">
        <f t="shared" si="9"/>
        <v>300</v>
      </c>
      <c r="G306" t="s">
        <v>1379</v>
      </c>
      <c r="H306" t="s">
        <v>799</v>
      </c>
      <c r="I306" s="8">
        <v>1073.8524125425581</v>
      </c>
    </row>
    <row r="307" spans="1:9" x14ac:dyDescent="0.35">
      <c r="A307">
        <f t="shared" si="8"/>
        <v>301</v>
      </c>
      <c r="B307" t="s">
        <v>1164</v>
      </c>
      <c r="C307" t="s">
        <v>139</v>
      </c>
      <c r="D307" s="8">
        <v>686.38087702799828</v>
      </c>
      <c r="F307">
        <f t="shared" si="9"/>
        <v>301</v>
      </c>
      <c r="G307" t="s">
        <v>1195</v>
      </c>
      <c r="H307" t="s">
        <v>1194</v>
      </c>
      <c r="I307" s="8">
        <v>5045.7296948243602</v>
      </c>
    </row>
    <row r="308" spans="1:9" x14ac:dyDescent="0.35">
      <c r="A308">
        <f t="shared" si="8"/>
        <v>302</v>
      </c>
      <c r="B308" t="s">
        <v>2432</v>
      </c>
      <c r="C308" t="s">
        <v>139</v>
      </c>
      <c r="D308" s="8">
        <v>7787.0068143798562</v>
      </c>
      <c r="F308">
        <f t="shared" si="9"/>
        <v>302</v>
      </c>
      <c r="G308" t="s">
        <v>471</v>
      </c>
      <c r="H308" t="s">
        <v>470</v>
      </c>
      <c r="I308" s="8">
        <v>903.08998699194365</v>
      </c>
    </row>
    <row r="309" spans="1:9" x14ac:dyDescent="0.35">
      <c r="A309">
        <f t="shared" si="8"/>
        <v>303</v>
      </c>
      <c r="B309" t="s">
        <v>2622</v>
      </c>
      <c r="C309" t="s">
        <v>2623</v>
      </c>
      <c r="D309" s="8">
        <v>1054.3576623225927</v>
      </c>
      <c r="F309">
        <f t="shared" si="9"/>
        <v>303</v>
      </c>
      <c r="H309" t="s">
        <v>660</v>
      </c>
      <c r="I309" s="8">
        <v>5095.9770909410781</v>
      </c>
    </row>
    <row r="310" spans="1:9" x14ac:dyDescent="0.35">
      <c r="A310">
        <f t="shared" si="8"/>
        <v>304</v>
      </c>
      <c r="B310" t="s">
        <v>1035</v>
      </c>
      <c r="C310" t="s">
        <v>142</v>
      </c>
      <c r="D310" s="8">
        <v>1292.80966541729</v>
      </c>
      <c r="F310">
        <f t="shared" si="9"/>
        <v>304</v>
      </c>
      <c r="H310" t="s">
        <v>820</v>
      </c>
      <c r="I310" s="8">
        <v>2425.9687322722812</v>
      </c>
    </row>
    <row r="311" spans="1:9" x14ac:dyDescent="0.35">
      <c r="A311">
        <f t="shared" si="8"/>
        <v>305</v>
      </c>
      <c r="B311" t="s">
        <v>1513</v>
      </c>
      <c r="C311" t="s">
        <v>1514</v>
      </c>
      <c r="D311" s="8">
        <v>2478.8412351139364</v>
      </c>
      <c r="F311">
        <f t="shared" si="9"/>
        <v>305</v>
      </c>
      <c r="H311" t="s">
        <v>1078</v>
      </c>
      <c r="I311" s="8">
        <v>3730.2871871675056</v>
      </c>
    </row>
    <row r="312" spans="1:9" x14ac:dyDescent="0.35">
      <c r="A312">
        <f t="shared" si="8"/>
        <v>306</v>
      </c>
      <c r="B312" t="s">
        <v>2543</v>
      </c>
      <c r="C312" t="s">
        <v>1141</v>
      </c>
      <c r="D312" s="8">
        <v>778.15125038364363</v>
      </c>
      <c r="F312">
        <f t="shared" si="9"/>
        <v>306</v>
      </c>
      <c r="G312" t="s">
        <v>661</v>
      </c>
      <c r="H312" t="s">
        <v>1221</v>
      </c>
      <c r="I312" s="8">
        <v>1894.8696567452523</v>
      </c>
    </row>
    <row r="313" spans="1:9" x14ac:dyDescent="0.35">
      <c r="A313">
        <f t="shared" si="8"/>
        <v>307</v>
      </c>
      <c r="B313" t="s">
        <v>1425</v>
      </c>
      <c r="C313" t="s">
        <v>388</v>
      </c>
      <c r="D313" s="8">
        <v>1000</v>
      </c>
      <c r="F313">
        <f t="shared" si="9"/>
        <v>307</v>
      </c>
      <c r="G313" t="s">
        <v>18</v>
      </c>
      <c r="H313" t="s">
        <v>17</v>
      </c>
      <c r="I313" s="8">
        <v>934.49845124356762</v>
      </c>
    </row>
    <row r="314" spans="1:9" x14ac:dyDescent="0.35">
      <c r="A314">
        <f t="shared" si="8"/>
        <v>308</v>
      </c>
      <c r="B314" t="s">
        <v>83</v>
      </c>
      <c r="C314" t="s">
        <v>36</v>
      </c>
      <c r="D314" s="8">
        <v>17812.068825189846</v>
      </c>
      <c r="F314">
        <f t="shared" si="9"/>
        <v>308</v>
      </c>
      <c r="G314" t="s">
        <v>524</v>
      </c>
      <c r="H314" t="s">
        <v>1719</v>
      </c>
      <c r="I314" s="8">
        <v>26036.075358099435</v>
      </c>
    </row>
    <row r="315" spans="1:9" x14ac:dyDescent="0.35">
      <c r="A315">
        <f t="shared" si="8"/>
        <v>309</v>
      </c>
      <c r="B315" t="s">
        <v>94</v>
      </c>
      <c r="C315" t="s">
        <v>16</v>
      </c>
      <c r="D315" s="8">
        <v>5382.8786493164471</v>
      </c>
      <c r="F315">
        <f t="shared" si="9"/>
        <v>309</v>
      </c>
      <c r="G315" t="s">
        <v>2452</v>
      </c>
      <c r="H315" t="s">
        <v>2451</v>
      </c>
      <c r="I315" s="8">
        <v>2526.339277389844</v>
      </c>
    </row>
    <row r="316" spans="1:9" x14ac:dyDescent="0.35">
      <c r="A316">
        <f t="shared" si="8"/>
        <v>310</v>
      </c>
      <c r="B316" t="s">
        <v>554</v>
      </c>
      <c r="C316" t="s">
        <v>846</v>
      </c>
      <c r="D316" s="8">
        <v>1856.3549078751739</v>
      </c>
      <c r="F316">
        <f t="shared" si="9"/>
        <v>310</v>
      </c>
      <c r="G316" t="s">
        <v>899</v>
      </c>
      <c r="H316" t="s">
        <v>898</v>
      </c>
      <c r="I316" s="8">
        <v>6487.143569641652</v>
      </c>
    </row>
    <row r="317" spans="1:9" x14ac:dyDescent="0.35">
      <c r="A317">
        <f t="shared" si="8"/>
        <v>311</v>
      </c>
      <c r="B317" t="s">
        <v>2305</v>
      </c>
      <c r="C317" t="s">
        <v>2306</v>
      </c>
      <c r="D317" s="8">
        <v>4573.126994434775</v>
      </c>
      <c r="F317">
        <f t="shared" si="9"/>
        <v>311</v>
      </c>
      <c r="G317" t="s">
        <v>979</v>
      </c>
      <c r="H317" t="s">
        <v>978</v>
      </c>
      <c r="I317" s="8">
        <v>1083.4182989908793</v>
      </c>
    </row>
    <row r="318" spans="1:9" x14ac:dyDescent="0.35">
      <c r="A318">
        <f t="shared" si="8"/>
        <v>312</v>
      </c>
      <c r="B318" t="s">
        <v>2336</v>
      </c>
      <c r="C318" t="s">
        <v>2337</v>
      </c>
      <c r="D318" s="8">
        <v>1721.5358322347602</v>
      </c>
      <c r="F318">
        <f t="shared" si="9"/>
        <v>312</v>
      </c>
      <c r="G318" t="s">
        <v>350</v>
      </c>
      <c r="H318" t="s">
        <v>2666</v>
      </c>
      <c r="I318" s="8">
        <v>1156.347200859924</v>
      </c>
    </row>
    <row r="319" spans="1:9" x14ac:dyDescent="0.35">
      <c r="A319">
        <f t="shared" si="8"/>
        <v>313</v>
      </c>
      <c r="B319" t="s">
        <v>574</v>
      </c>
      <c r="C319" t="s">
        <v>388</v>
      </c>
      <c r="D319" s="8">
        <v>2121.7113246501121</v>
      </c>
      <c r="F319">
        <f t="shared" si="9"/>
        <v>313</v>
      </c>
      <c r="H319" t="s">
        <v>57</v>
      </c>
      <c r="I319" s="8">
        <v>1511.5976408837682</v>
      </c>
    </row>
    <row r="320" spans="1:9" x14ac:dyDescent="0.35">
      <c r="A320">
        <f t="shared" si="8"/>
        <v>314</v>
      </c>
      <c r="C320" t="s">
        <v>2519</v>
      </c>
      <c r="D320" s="8">
        <v>867.76202465020071</v>
      </c>
      <c r="F320">
        <f t="shared" si="9"/>
        <v>314</v>
      </c>
      <c r="G320" t="s">
        <v>2548</v>
      </c>
      <c r="H320" t="s">
        <v>461</v>
      </c>
      <c r="I320" s="8">
        <v>1161.3680022349749</v>
      </c>
    </row>
    <row r="321" spans="1:9" x14ac:dyDescent="0.35">
      <c r="A321">
        <f t="shared" si="8"/>
        <v>315</v>
      </c>
      <c r="B321" t="s">
        <v>646</v>
      </c>
      <c r="C321" t="s">
        <v>451</v>
      </c>
      <c r="D321" s="8">
        <v>1414.9733479708179</v>
      </c>
      <c r="F321">
        <f t="shared" si="9"/>
        <v>315</v>
      </c>
      <c r="G321" t="s">
        <v>406</v>
      </c>
      <c r="H321" t="s">
        <v>407</v>
      </c>
      <c r="I321" s="8">
        <v>10399.853441045951</v>
      </c>
    </row>
    <row r="322" spans="1:9" x14ac:dyDescent="0.35">
      <c r="A322">
        <f t="shared" si="8"/>
        <v>316</v>
      </c>
      <c r="B322" t="s">
        <v>543</v>
      </c>
      <c r="C322" t="s">
        <v>67</v>
      </c>
      <c r="D322" s="8">
        <v>13084.120804055223</v>
      </c>
      <c r="F322">
        <f t="shared" si="9"/>
        <v>316</v>
      </c>
      <c r="H322" t="s">
        <v>953</v>
      </c>
      <c r="I322" s="8">
        <v>1342.4226808222061</v>
      </c>
    </row>
    <row r="323" spans="1:9" x14ac:dyDescent="0.35">
      <c r="A323">
        <f t="shared" si="8"/>
        <v>317</v>
      </c>
      <c r="B323" t="s">
        <v>1230</v>
      </c>
      <c r="C323" t="s">
        <v>71</v>
      </c>
      <c r="D323" s="8">
        <v>1308.2085802911047</v>
      </c>
      <c r="F323">
        <f t="shared" si="9"/>
        <v>317</v>
      </c>
      <c r="G323" t="s">
        <v>408</v>
      </c>
      <c r="H323" t="s">
        <v>409</v>
      </c>
      <c r="I323" s="8">
        <v>2149.2191126553798</v>
      </c>
    </row>
    <row r="324" spans="1:9" x14ac:dyDescent="0.35">
      <c r="A324">
        <f t="shared" si="8"/>
        <v>318</v>
      </c>
      <c r="B324" t="s">
        <v>1509</v>
      </c>
      <c r="C324" t="s">
        <v>1510</v>
      </c>
      <c r="D324" s="8">
        <v>975.17641627496778</v>
      </c>
      <c r="F324">
        <f t="shared" si="9"/>
        <v>318</v>
      </c>
      <c r="G324" t="s">
        <v>1393</v>
      </c>
      <c r="H324" t="s">
        <v>1392</v>
      </c>
      <c r="I324" s="8">
        <v>374.45891282251489</v>
      </c>
    </row>
    <row r="325" spans="1:9" x14ac:dyDescent="0.35">
      <c r="A325">
        <f t="shared" si="8"/>
        <v>319</v>
      </c>
      <c r="B325" t="s">
        <v>441</v>
      </c>
      <c r="C325" t="s">
        <v>58</v>
      </c>
      <c r="D325" s="8">
        <v>4248.223087941461</v>
      </c>
      <c r="F325">
        <f t="shared" si="9"/>
        <v>319</v>
      </c>
      <c r="H325" t="s">
        <v>2311</v>
      </c>
      <c r="I325" s="8">
        <v>2591.0646070264993</v>
      </c>
    </row>
    <row r="326" spans="1:9" x14ac:dyDescent="0.35">
      <c r="A326">
        <f t="shared" si="8"/>
        <v>320</v>
      </c>
      <c r="B326" t="s">
        <v>933</v>
      </c>
      <c r="C326" t="s">
        <v>119</v>
      </c>
      <c r="D326" s="8">
        <v>1022.77721484957</v>
      </c>
      <c r="F326">
        <f t="shared" si="9"/>
        <v>320</v>
      </c>
      <c r="G326" t="s">
        <v>694</v>
      </c>
      <c r="H326" t="s">
        <v>306</v>
      </c>
      <c r="I326" s="8">
        <v>23632.145602198703</v>
      </c>
    </row>
    <row r="327" spans="1:9" x14ac:dyDescent="0.35">
      <c r="A327">
        <f t="shared" si="8"/>
        <v>321</v>
      </c>
      <c r="B327" t="s">
        <v>929</v>
      </c>
      <c r="C327" t="s">
        <v>117</v>
      </c>
      <c r="D327" s="8">
        <v>1182.4780577170818</v>
      </c>
      <c r="F327">
        <f t="shared" si="9"/>
        <v>321</v>
      </c>
      <c r="G327" t="s">
        <v>1213</v>
      </c>
      <c r="H327" t="s">
        <v>1212</v>
      </c>
      <c r="I327" s="8">
        <v>1531.478917042255</v>
      </c>
    </row>
    <row r="328" spans="1:9" x14ac:dyDescent="0.35">
      <c r="A328">
        <f t="shared" si="8"/>
        <v>322</v>
      </c>
      <c r="B328" t="s">
        <v>2324</v>
      </c>
      <c r="C328" t="s">
        <v>2325</v>
      </c>
      <c r="D328" s="8">
        <v>331.37891584078699</v>
      </c>
      <c r="F328">
        <f t="shared" si="9"/>
        <v>322</v>
      </c>
      <c r="G328" t="s">
        <v>1269</v>
      </c>
      <c r="H328" t="s">
        <v>1335</v>
      </c>
      <c r="I328" s="8">
        <v>2297.54166781816</v>
      </c>
    </row>
    <row r="329" spans="1:9" x14ac:dyDescent="0.35">
      <c r="A329">
        <f t="shared" ref="A329:A392" si="10">A328+1</f>
        <v>323</v>
      </c>
      <c r="B329" t="s">
        <v>2323</v>
      </c>
      <c r="C329" t="s">
        <v>2383</v>
      </c>
      <c r="D329" s="8">
        <v>4914.2398998736126</v>
      </c>
      <c r="F329">
        <f t="shared" ref="F329:F392" si="11">F328+1</f>
        <v>323</v>
      </c>
      <c r="G329" t="s">
        <v>480</v>
      </c>
      <c r="H329" t="s">
        <v>707</v>
      </c>
      <c r="I329" s="8">
        <v>1998.5946233024715</v>
      </c>
    </row>
    <row r="330" spans="1:9" x14ac:dyDescent="0.35">
      <c r="A330">
        <f t="shared" si="10"/>
        <v>324</v>
      </c>
      <c r="B330" t="s">
        <v>2502</v>
      </c>
      <c r="C330" t="s">
        <v>1516</v>
      </c>
      <c r="D330" s="8">
        <v>713.21044345062899</v>
      </c>
      <c r="F330">
        <f t="shared" si="11"/>
        <v>324</v>
      </c>
      <c r="H330" t="s">
        <v>876</v>
      </c>
      <c r="I330" s="8">
        <v>925.75397162788749</v>
      </c>
    </row>
    <row r="331" spans="1:9" x14ac:dyDescent="0.35">
      <c r="A331">
        <f t="shared" si="10"/>
        <v>325</v>
      </c>
      <c r="B331" t="s">
        <v>2451</v>
      </c>
      <c r="C331" t="s">
        <v>2452</v>
      </c>
      <c r="D331" s="8">
        <v>2526.339277389844</v>
      </c>
      <c r="F331">
        <f t="shared" si="11"/>
        <v>325</v>
      </c>
      <c r="H331" t="s">
        <v>935</v>
      </c>
      <c r="I331" s="8">
        <v>1628.3889300503115</v>
      </c>
    </row>
    <row r="332" spans="1:9" x14ac:dyDescent="0.35">
      <c r="A332">
        <f t="shared" si="10"/>
        <v>326</v>
      </c>
      <c r="B332" t="s">
        <v>1191</v>
      </c>
      <c r="C332" t="s">
        <v>11</v>
      </c>
      <c r="D332" s="8">
        <v>621.51902434314718</v>
      </c>
      <c r="F332">
        <f t="shared" si="11"/>
        <v>326</v>
      </c>
      <c r="H332" t="s">
        <v>578</v>
      </c>
      <c r="I332" s="8">
        <v>841.2029961307328</v>
      </c>
    </row>
    <row r="333" spans="1:9" x14ac:dyDescent="0.35">
      <c r="A333">
        <f t="shared" si="10"/>
        <v>327</v>
      </c>
      <c r="B333" t="s">
        <v>355</v>
      </c>
      <c r="C333" t="s">
        <v>356</v>
      </c>
      <c r="D333" s="8">
        <v>422.54902000712843</v>
      </c>
      <c r="F333">
        <f t="shared" si="11"/>
        <v>327</v>
      </c>
      <c r="H333" t="s">
        <v>490</v>
      </c>
      <c r="I333" s="8">
        <v>7807.8821226656</v>
      </c>
    </row>
    <row r="334" spans="1:9" x14ac:dyDescent="0.35">
      <c r="A334">
        <f t="shared" si="10"/>
        <v>328</v>
      </c>
      <c r="B334" t="s">
        <v>2583</v>
      </c>
      <c r="C334" t="s">
        <v>2584</v>
      </c>
      <c r="D334" s="8">
        <v>970.03677662255677</v>
      </c>
      <c r="F334">
        <f t="shared" si="11"/>
        <v>328</v>
      </c>
      <c r="H334" t="s">
        <v>1333</v>
      </c>
      <c r="I334" s="8">
        <v>2051.3699621770529</v>
      </c>
    </row>
    <row r="335" spans="1:9" x14ac:dyDescent="0.35">
      <c r="A335">
        <f t="shared" si="10"/>
        <v>329</v>
      </c>
      <c r="B335" t="s">
        <v>789</v>
      </c>
      <c r="C335" t="s">
        <v>77</v>
      </c>
      <c r="D335" s="8">
        <v>1672.097857935717</v>
      </c>
      <c r="F335">
        <f t="shared" si="11"/>
        <v>329</v>
      </c>
      <c r="H335" t="s">
        <v>479</v>
      </c>
      <c r="I335" s="8">
        <v>2445.0850227193541</v>
      </c>
    </row>
    <row r="336" spans="1:9" x14ac:dyDescent="0.35">
      <c r="A336">
        <f t="shared" si="10"/>
        <v>330</v>
      </c>
      <c r="B336" t="s">
        <v>33</v>
      </c>
      <c r="C336" t="s">
        <v>34</v>
      </c>
      <c r="D336" s="8">
        <v>18011.946526032778</v>
      </c>
      <c r="F336">
        <f t="shared" si="11"/>
        <v>330</v>
      </c>
      <c r="H336" t="s">
        <v>57</v>
      </c>
      <c r="I336" s="8">
        <v>1138.3026981662815</v>
      </c>
    </row>
    <row r="337" spans="1:9" x14ac:dyDescent="0.35">
      <c r="A337">
        <f t="shared" si="10"/>
        <v>331</v>
      </c>
      <c r="B337" t="s">
        <v>616</v>
      </c>
      <c r="C337" t="s">
        <v>131</v>
      </c>
      <c r="D337" s="8">
        <v>1349.7630439879497</v>
      </c>
      <c r="F337">
        <f t="shared" si="11"/>
        <v>331</v>
      </c>
      <c r="H337" t="s">
        <v>774</v>
      </c>
      <c r="I337" s="8">
        <v>890.855530574932</v>
      </c>
    </row>
    <row r="338" spans="1:9" x14ac:dyDescent="0.35">
      <c r="A338">
        <f t="shared" si="10"/>
        <v>332</v>
      </c>
      <c r="B338" t="s">
        <v>406</v>
      </c>
      <c r="C338" t="s">
        <v>808</v>
      </c>
      <c r="D338" s="8">
        <v>1313.8672203691533</v>
      </c>
      <c r="F338">
        <f t="shared" si="11"/>
        <v>332</v>
      </c>
      <c r="H338" t="s">
        <v>1126</v>
      </c>
      <c r="I338" s="8">
        <v>1563.6513383919394</v>
      </c>
    </row>
    <row r="339" spans="1:9" x14ac:dyDescent="0.35">
      <c r="A339">
        <f t="shared" si="10"/>
        <v>333</v>
      </c>
      <c r="B339" t="s">
        <v>1118</v>
      </c>
      <c r="C339" t="s">
        <v>1119</v>
      </c>
      <c r="D339" s="8">
        <v>1593.8396610812711</v>
      </c>
      <c r="F339">
        <f t="shared" si="11"/>
        <v>333</v>
      </c>
      <c r="G339" t="s">
        <v>297</v>
      </c>
      <c r="H339" t="s">
        <v>296</v>
      </c>
      <c r="I339" s="8">
        <v>4234.7197046218753</v>
      </c>
    </row>
    <row r="340" spans="1:9" x14ac:dyDescent="0.35">
      <c r="A340">
        <f t="shared" si="10"/>
        <v>334</v>
      </c>
      <c r="B340" t="s">
        <v>1069</v>
      </c>
      <c r="C340" t="s">
        <v>16</v>
      </c>
      <c r="D340" s="8">
        <v>4941.7813334959919</v>
      </c>
      <c r="F340">
        <f t="shared" si="11"/>
        <v>334</v>
      </c>
      <c r="G340" t="s">
        <v>2320</v>
      </c>
      <c r="H340" t="s">
        <v>525</v>
      </c>
      <c r="I340" s="8">
        <v>13808.74557885516</v>
      </c>
    </row>
    <row r="341" spans="1:9" x14ac:dyDescent="0.35">
      <c r="A341">
        <f t="shared" si="10"/>
        <v>335</v>
      </c>
      <c r="B341" t="s">
        <v>1843</v>
      </c>
      <c r="C341" t="s">
        <v>282</v>
      </c>
      <c r="D341" s="8">
        <v>1146.1280356782381</v>
      </c>
      <c r="F341">
        <f t="shared" si="11"/>
        <v>335</v>
      </c>
      <c r="G341" t="s">
        <v>848</v>
      </c>
      <c r="H341" t="s">
        <v>1030</v>
      </c>
      <c r="I341" s="8">
        <v>1417.7484020255899</v>
      </c>
    </row>
    <row r="342" spans="1:9" x14ac:dyDescent="0.35">
      <c r="A342">
        <f t="shared" si="10"/>
        <v>336</v>
      </c>
      <c r="B342" t="s">
        <v>265</v>
      </c>
      <c r="C342" t="s">
        <v>122</v>
      </c>
      <c r="D342" s="8">
        <v>2643.4526764861876</v>
      </c>
      <c r="F342">
        <f t="shared" si="11"/>
        <v>336</v>
      </c>
      <c r="H342" t="s">
        <v>1143</v>
      </c>
      <c r="I342" s="8">
        <v>1120.5739312058499</v>
      </c>
    </row>
    <row r="343" spans="1:9" x14ac:dyDescent="0.35">
      <c r="A343">
        <f t="shared" si="10"/>
        <v>337</v>
      </c>
      <c r="C343" t="s">
        <v>139</v>
      </c>
      <c r="D343" s="8">
        <v>12961.154592237408</v>
      </c>
      <c r="F343">
        <f t="shared" si="11"/>
        <v>337</v>
      </c>
      <c r="H343" t="s">
        <v>43</v>
      </c>
      <c r="I343" s="8">
        <v>50.692708236187435</v>
      </c>
    </row>
    <row r="344" spans="1:9" x14ac:dyDescent="0.35">
      <c r="A344">
        <f t="shared" si="10"/>
        <v>338</v>
      </c>
      <c r="B344" t="s">
        <v>23</v>
      </c>
      <c r="C344" t="s">
        <v>13</v>
      </c>
      <c r="D344" s="8">
        <v>12336.643922639369</v>
      </c>
      <c r="F344">
        <f t="shared" si="11"/>
        <v>338</v>
      </c>
      <c r="H344" t="s">
        <v>2616</v>
      </c>
      <c r="I344" s="8">
        <v>1051.1525224473814</v>
      </c>
    </row>
    <row r="345" spans="1:9" x14ac:dyDescent="0.35">
      <c r="A345">
        <f t="shared" si="10"/>
        <v>339</v>
      </c>
      <c r="B345" t="s">
        <v>387</v>
      </c>
      <c r="C345" t="s">
        <v>521</v>
      </c>
      <c r="D345" s="8">
        <v>11357.62697450087</v>
      </c>
      <c r="F345">
        <f t="shared" si="11"/>
        <v>339</v>
      </c>
      <c r="H345" t="s">
        <v>847</v>
      </c>
      <c r="I345" s="8">
        <v>1163.5021317476608</v>
      </c>
    </row>
    <row r="346" spans="1:9" x14ac:dyDescent="0.35">
      <c r="A346">
        <f t="shared" si="10"/>
        <v>340</v>
      </c>
      <c r="B346" t="s">
        <v>1170</v>
      </c>
      <c r="C346" t="s">
        <v>1171</v>
      </c>
      <c r="D346" s="8">
        <v>2341.5758274854879</v>
      </c>
      <c r="F346">
        <f t="shared" si="11"/>
        <v>340</v>
      </c>
      <c r="G346" t="s">
        <v>927</v>
      </c>
      <c r="H346" t="s">
        <v>926</v>
      </c>
      <c r="I346" s="8">
        <v>1233.6305801644633</v>
      </c>
    </row>
    <row r="347" spans="1:9" x14ac:dyDescent="0.35">
      <c r="A347">
        <f t="shared" si="10"/>
        <v>341</v>
      </c>
      <c r="B347" t="s">
        <v>976</v>
      </c>
      <c r="C347" t="s">
        <v>218</v>
      </c>
      <c r="D347" s="8">
        <v>2387.653434530072</v>
      </c>
      <c r="F347">
        <f t="shared" si="11"/>
        <v>341</v>
      </c>
      <c r="H347" t="s">
        <v>1083</v>
      </c>
      <c r="I347" s="8">
        <v>1635.6126868063086</v>
      </c>
    </row>
    <row r="348" spans="1:9" x14ac:dyDescent="0.35">
      <c r="A348">
        <f t="shared" si="10"/>
        <v>342</v>
      </c>
      <c r="B348" t="s">
        <v>664</v>
      </c>
      <c r="C348" t="s">
        <v>665</v>
      </c>
      <c r="D348" s="8">
        <v>5557.5415728828357</v>
      </c>
      <c r="F348">
        <f t="shared" si="11"/>
        <v>342</v>
      </c>
      <c r="H348" t="s">
        <v>1028</v>
      </c>
      <c r="I348" s="8">
        <v>1496.9296480732148</v>
      </c>
    </row>
    <row r="349" spans="1:9" x14ac:dyDescent="0.35">
      <c r="A349">
        <f t="shared" si="10"/>
        <v>343</v>
      </c>
      <c r="B349" t="s">
        <v>127</v>
      </c>
      <c r="C349" t="s">
        <v>128</v>
      </c>
      <c r="D349" s="8">
        <v>3569.3739096150462</v>
      </c>
      <c r="F349">
        <f t="shared" si="11"/>
        <v>343</v>
      </c>
      <c r="H349" t="s">
        <v>2605</v>
      </c>
      <c r="I349" s="8">
        <v>1021.1892990699381</v>
      </c>
    </row>
    <row r="350" spans="1:9" x14ac:dyDescent="0.35">
      <c r="A350">
        <f t="shared" si="10"/>
        <v>344</v>
      </c>
      <c r="B350" t="s">
        <v>2610</v>
      </c>
      <c r="C350" t="s">
        <v>2611</v>
      </c>
      <c r="D350" s="8">
        <v>999.99999999999989</v>
      </c>
      <c r="F350">
        <f t="shared" si="11"/>
        <v>344</v>
      </c>
      <c r="G350" t="s">
        <v>2435</v>
      </c>
      <c r="H350" t="s">
        <v>2434</v>
      </c>
      <c r="I350" s="8">
        <v>2041.392685158225</v>
      </c>
    </row>
    <row r="351" spans="1:9" x14ac:dyDescent="0.35">
      <c r="A351">
        <f t="shared" si="10"/>
        <v>345</v>
      </c>
      <c r="B351" t="s">
        <v>72</v>
      </c>
      <c r="C351" t="s">
        <v>717</v>
      </c>
      <c r="D351" s="8">
        <v>853.87196432176188</v>
      </c>
      <c r="F351">
        <f t="shared" si="11"/>
        <v>345</v>
      </c>
      <c r="G351" t="s">
        <v>673</v>
      </c>
      <c r="H351" t="s">
        <v>672</v>
      </c>
      <c r="I351" s="8">
        <v>4842.9848254437293</v>
      </c>
    </row>
    <row r="352" spans="1:9" x14ac:dyDescent="0.35">
      <c r="A352">
        <f t="shared" si="10"/>
        <v>346</v>
      </c>
      <c r="C352" t="s">
        <v>73</v>
      </c>
      <c r="D352" s="8">
        <v>28302.220542175008</v>
      </c>
      <c r="F352">
        <f t="shared" si="11"/>
        <v>346</v>
      </c>
      <c r="G352" t="s">
        <v>59</v>
      </c>
      <c r="H352" t="s">
        <v>16</v>
      </c>
      <c r="I352" s="8">
        <v>26953.455571635175</v>
      </c>
    </row>
    <row r="353" spans="1:9" x14ac:dyDescent="0.35">
      <c r="A353">
        <f t="shared" si="10"/>
        <v>347</v>
      </c>
      <c r="B353" t="s">
        <v>512</v>
      </c>
      <c r="C353" t="s">
        <v>67</v>
      </c>
      <c r="D353" s="8">
        <v>5701.8059516040885</v>
      </c>
      <c r="F353">
        <f t="shared" si="11"/>
        <v>347</v>
      </c>
      <c r="G353" t="s">
        <v>384</v>
      </c>
      <c r="H353" t="s">
        <v>2669</v>
      </c>
      <c r="I353" s="8">
        <v>942.00805302231322</v>
      </c>
    </row>
    <row r="354" spans="1:9" x14ac:dyDescent="0.35">
      <c r="A354">
        <f t="shared" si="10"/>
        <v>348</v>
      </c>
      <c r="B354" t="s">
        <v>141</v>
      </c>
      <c r="C354" t="s">
        <v>142</v>
      </c>
      <c r="D354" s="8">
        <v>9460.5598470535951</v>
      </c>
      <c r="F354">
        <f t="shared" si="11"/>
        <v>348</v>
      </c>
      <c r="H354" t="s">
        <v>457</v>
      </c>
      <c r="I354" s="8">
        <v>1221.8487496163564</v>
      </c>
    </row>
    <row r="355" spans="1:9" x14ac:dyDescent="0.35">
      <c r="A355">
        <f t="shared" si="10"/>
        <v>349</v>
      </c>
      <c r="B355" t="s">
        <v>517</v>
      </c>
      <c r="C355" t="s">
        <v>413</v>
      </c>
      <c r="D355" s="8">
        <v>4428.890130894657</v>
      </c>
      <c r="F355">
        <f t="shared" si="11"/>
        <v>349</v>
      </c>
      <c r="H355" t="s">
        <v>2458</v>
      </c>
      <c r="I355" s="8">
        <v>1698.9700043360187</v>
      </c>
    </row>
    <row r="356" spans="1:9" x14ac:dyDescent="0.35">
      <c r="A356">
        <f t="shared" si="10"/>
        <v>350</v>
      </c>
      <c r="C356" t="s">
        <v>2383</v>
      </c>
      <c r="D356" s="8">
        <v>950.2025316375848</v>
      </c>
      <c r="F356">
        <f t="shared" si="11"/>
        <v>350</v>
      </c>
      <c r="H356" t="s">
        <v>731</v>
      </c>
      <c r="I356" s="8">
        <v>7781.7806774624278</v>
      </c>
    </row>
    <row r="357" spans="1:9" x14ac:dyDescent="0.35">
      <c r="A357">
        <f t="shared" si="10"/>
        <v>351</v>
      </c>
      <c r="B357" t="s">
        <v>407</v>
      </c>
      <c r="C357" t="s">
        <v>406</v>
      </c>
      <c r="D357" s="8">
        <v>10399.853441045951</v>
      </c>
      <c r="F357">
        <f t="shared" si="11"/>
        <v>351</v>
      </c>
      <c r="H357" t="s">
        <v>1301</v>
      </c>
      <c r="I357" s="8">
        <v>1060.6978403536116</v>
      </c>
    </row>
    <row r="358" spans="1:9" x14ac:dyDescent="0.35">
      <c r="A358">
        <f t="shared" si="10"/>
        <v>352</v>
      </c>
      <c r="B358" t="s">
        <v>420</v>
      </c>
      <c r="C358" t="s">
        <v>218</v>
      </c>
      <c r="D358" s="8">
        <v>1535.7159699855097</v>
      </c>
      <c r="F358">
        <f t="shared" si="11"/>
        <v>352</v>
      </c>
      <c r="H358" t="s">
        <v>383</v>
      </c>
      <c r="I358" s="8">
        <v>11561.231589310099</v>
      </c>
    </row>
    <row r="359" spans="1:9" x14ac:dyDescent="0.35">
      <c r="A359">
        <f t="shared" si="10"/>
        <v>353</v>
      </c>
      <c r="C359" t="s">
        <v>1022</v>
      </c>
      <c r="D359" s="8">
        <v>1755.0274515365059</v>
      </c>
      <c r="F359">
        <f t="shared" si="11"/>
        <v>353</v>
      </c>
      <c r="H359" t="s">
        <v>1058</v>
      </c>
      <c r="I359" s="8">
        <v>1944.4826721501686</v>
      </c>
    </row>
    <row r="360" spans="1:9" x14ac:dyDescent="0.35">
      <c r="A360">
        <f t="shared" si="10"/>
        <v>354</v>
      </c>
      <c r="C360" t="s">
        <v>1361</v>
      </c>
      <c r="D360" s="8">
        <v>1161.0433307430214</v>
      </c>
      <c r="F360">
        <f t="shared" si="11"/>
        <v>354</v>
      </c>
      <c r="H360" t="s">
        <v>1015</v>
      </c>
      <c r="I360" s="8">
        <v>1031.4084642516241</v>
      </c>
    </row>
    <row r="361" spans="1:9" x14ac:dyDescent="0.35">
      <c r="A361">
        <f t="shared" si="10"/>
        <v>355</v>
      </c>
      <c r="C361" t="s">
        <v>153</v>
      </c>
      <c r="D361" s="8">
        <v>5595.4005645602238</v>
      </c>
      <c r="F361">
        <f t="shared" si="11"/>
        <v>355</v>
      </c>
      <c r="H361" t="s">
        <v>1439</v>
      </c>
      <c r="I361" s="8">
        <v>3074.8164406451747</v>
      </c>
    </row>
    <row r="362" spans="1:9" x14ac:dyDescent="0.35">
      <c r="A362">
        <f t="shared" si="10"/>
        <v>356</v>
      </c>
      <c r="B362" t="s">
        <v>1006</v>
      </c>
      <c r="C362" t="s">
        <v>131</v>
      </c>
      <c r="D362" s="8">
        <v>2153.6243425244506</v>
      </c>
      <c r="F362">
        <f t="shared" si="11"/>
        <v>356</v>
      </c>
      <c r="H362" t="s">
        <v>2541</v>
      </c>
      <c r="I362" s="8">
        <v>914.98921029165137</v>
      </c>
    </row>
    <row r="363" spans="1:9" x14ac:dyDescent="0.35">
      <c r="A363">
        <f t="shared" si="10"/>
        <v>357</v>
      </c>
      <c r="B363" t="s">
        <v>2635</v>
      </c>
      <c r="C363" t="s">
        <v>463</v>
      </c>
      <c r="D363" s="8">
        <v>1763.4279935629374</v>
      </c>
      <c r="F363">
        <f t="shared" si="11"/>
        <v>357</v>
      </c>
      <c r="H363" t="s">
        <v>1240</v>
      </c>
      <c r="I363" s="8">
        <v>1167.7391846909154</v>
      </c>
    </row>
    <row r="364" spans="1:9" x14ac:dyDescent="0.35">
      <c r="A364">
        <f t="shared" si="10"/>
        <v>358</v>
      </c>
      <c r="C364" t="s">
        <v>955</v>
      </c>
      <c r="D364" s="8">
        <v>2311.9051568182681</v>
      </c>
      <c r="F364">
        <f t="shared" si="11"/>
        <v>358</v>
      </c>
      <c r="H364" t="s">
        <v>831</v>
      </c>
      <c r="I364" s="8">
        <v>1868.40576013434</v>
      </c>
    </row>
    <row r="365" spans="1:9" x14ac:dyDescent="0.35">
      <c r="A365">
        <f t="shared" si="10"/>
        <v>359</v>
      </c>
      <c r="B365" t="s">
        <v>1320</v>
      </c>
      <c r="C365" t="s">
        <v>58</v>
      </c>
      <c r="D365" s="8">
        <v>1740.3626894942438</v>
      </c>
      <c r="F365">
        <f t="shared" si="11"/>
        <v>359</v>
      </c>
      <c r="G365" t="s">
        <v>920</v>
      </c>
      <c r="H365" t="s">
        <v>39</v>
      </c>
      <c r="I365" s="8">
        <v>1052.5290512761844</v>
      </c>
    </row>
    <row r="366" spans="1:9" x14ac:dyDescent="0.35">
      <c r="A366">
        <f t="shared" si="10"/>
        <v>360</v>
      </c>
      <c r="B366" t="s">
        <v>2571</v>
      </c>
      <c r="C366" t="s">
        <v>2489</v>
      </c>
      <c r="D366" s="8">
        <v>1311.7538610557542</v>
      </c>
      <c r="F366">
        <f t="shared" si="11"/>
        <v>360</v>
      </c>
      <c r="G366" t="s">
        <v>1005</v>
      </c>
      <c r="H366" t="s">
        <v>1004</v>
      </c>
      <c r="I366" s="8">
        <v>946.12461921714532</v>
      </c>
    </row>
    <row r="367" spans="1:9" x14ac:dyDescent="0.35">
      <c r="A367">
        <f t="shared" si="10"/>
        <v>361</v>
      </c>
      <c r="B367" t="s">
        <v>384</v>
      </c>
      <c r="C367" t="s">
        <v>425</v>
      </c>
      <c r="D367" s="8">
        <v>732.3937598229686</v>
      </c>
      <c r="F367">
        <f t="shared" si="11"/>
        <v>361</v>
      </c>
      <c r="H367" t="s">
        <v>1517</v>
      </c>
      <c r="I367" s="8">
        <v>2149.2191126553798</v>
      </c>
    </row>
    <row r="368" spans="1:9" x14ac:dyDescent="0.35">
      <c r="A368">
        <f t="shared" si="10"/>
        <v>362</v>
      </c>
      <c r="B368" t="s">
        <v>2664</v>
      </c>
      <c r="C368" t="s">
        <v>314</v>
      </c>
      <c r="D368" s="8">
        <v>1332.4384599156051</v>
      </c>
      <c r="F368">
        <f t="shared" si="11"/>
        <v>362</v>
      </c>
      <c r="G368" t="s">
        <v>2425</v>
      </c>
      <c r="H368" t="s">
        <v>2424</v>
      </c>
      <c r="I368" s="8">
        <v>1096.9100130080562</v>
      </c>
    </row>
    <row r="369" spans="1:9" x14ac:dyDescent="0.35">
      <c r="A369">
        <f t="shared" si="10"/>
        <v>363</v>
      </c>
      <c r="B369" t="s">
        <v>713</v>
      </c>
      <c r="C369" t="s">
        <v>28</v>
      </c>
      <c r="D369" s="8">
        <v>8875.9230153292392</v>
      </c>
      <c r="F369">
        <f t="shared" si="11"/>
        <v>363</v>
      </c>
      <c r="G369" t="s">
        <v>1085</v>
      </c>
      <c r="H369" t="s">
        <v>394</v>
      </c>
      <c r="I369" s="8">
        <v>1369.6498905602766</v>
      </c>
    </row>
    <row r="370" spans="1:9" x14ac:dyDescent="0.35">
      <c r="A370">
        <f t="shared" si="10"/>
        <v>364</v>
      </c>
      <c r="B370" t="s">
        <v>1208</v>
      </c>
      <c r="C370" t="s">
        <v>353</v>
      </c>
      <c r="D370" s="8">
        <v>1000</v>
      </c>
      <c r="F370">
        <f t="shared" si="11"/>
        <v>364</v>
      </c>
      <c r="G370" t="s">
        <v>901</v>
      </c>
      <c r="H370" t="s">
        <v>764</v>
      </c>
      <c r="I370" s="8">
        <v>20165.82076108591</v>
      </c>
    </row>
    <row r="371" spans="1:9" x14ac:dyDescent="0.35">
      <c r="A371">
        <f t="shared" si="10"/>
        <v>365</v>
      </c>
      <c r="B371" t="s">
        <v>2283</v>
      </c>
      <c r="C371" t="s">
        <v>2284</v>
      </c>
      <c r="D371" s="8">
        <v>845.09804001425687</v>
      </c>
      <c r="F371">
        <f t="shared" si="11"/>
        <v>365</v>
      </c>
      <c r="G371" t="s">
        <v>982</v>
      </c>
      <c r="H371" t="s">
        <v>1438</v>
      </c>
      <c r="I371" s="8">
        <v>1255.272505103306</v>
      </c>
    </row>
    <row r="372" spans="1:9" x14ac:dyDescent="0.35">
      <c r="A372">
        <f t="shared" si="10"/>
        <v>366</v>
      </c>
      <c r="B372" t="s">
        <v>1202</v>
      </c>
      <c r="C372" t="s">
        <v>65</v>
      </c>
      <c r="D372" s="8">
        <v>3236.7204308216087</v>
      </c>
      <c r="F372">
        <f t="shared" si="11"/>
        <v>366</v>
      </c>
      <c r="H372" t="s">
        <v>981</v>
      </c>
      <c r="I372" s="8">
        <v>989.99571884483282</v>
      </c>
    </row>
    <row r="373" spans="1:9" x14ac:dyDescent="0.35">
      <c r="A373">
        <f t="shared" si="10"/>
        <v>367</v>
      </c>
      <c r="B373" t="s">
        <v>880</v>
      </c>
      <c r="C373" t="s">
        <v>687</v>
      </c>
      <c r="D373" s="8">
        <v>770.85201164214425</v>
      </c>
      <c r="F373">
        <f t="shared" si="11"/>
        <v>367</v>
      </c>
      <c r="G373" t="s">
        <v>2366</v>
      </c>
      <c r="H373" t="s">
        <v>2365</v>
      </c>
      <c r="I373" s="8">
        <v>17266.892581867694</v>
      </c>
    </row>
    <row r="374" spans="1:9" x14ac:dyDescent="0.35">
      <c r="A374">
        <f t="shared" si="10"/>
        <v>368</v>
      </c>
      <c r="C374" t="s">
        <v>252</v>
      </c>
      <c r="D374" s="8">
        <v>3687.707279624819</v>
      </c>
      <c r="F374">
        <f t="shared" si="11"/>
        <v>368</v>
      </c>
      <c r="G374" t="s">
        <v>375</v>
      </c>
      <c r="H374" t="s">
        <v>238</v>
      </c>
      <c r="I374" s="8">
        <v>9243.7954441527272</v>
      </c>
    </row>
    <row r="375" spans="1:9" x14ac:dyDescent="0.35">
      <c r="A375">
        <f t="shared" si="10"/>
        <v>369</v>
      </c>
      <c r="B375" t="s">
        <v>461</v>
      </c>
      <c r="C375" t="s">
        <v>1448</v>
      </c>
      <c r="D375" s="8">
        <v>21639.049039586611</v>
      </c>
      <c r="F375">
        <f t="shared" si="11"/>
        <v>369</v>
      </c>
      <c r="G375" t="s">
        <v>58</v>
      </c>
      <c r="H375" t="s">
        <v>525</v>
      </c>
      <c r="I375" s="8">
        <v>10389.831646250377</v>
      </c>
    </row>
    <row r="376" spans="1:9" x14ac:dyDescent="0.35">
      <c r="A376">
        <f t="shared" si="10"/>
        <v>370</v>
      </c>
      <c r="C376" t="s">
        <v>2548</v>
      </c>
      <c r="D376" s="8">
        <v>1161.3680022349749</v>
      </c>
      <c r="F376">
        <f t="shared" si="11"/>
        <v>370</v>
      </c>
      <c r="H376" t="s">
        <v>601</v>
      </c>
      <c r="I376" s="8">
        <v>12049.506193462215</v>
      </c>
    </row>
    <row r="377" spans="1:9" x14ac:dyDescent="0.35">
      <c r="A377">
        <f t="shared" si="10"/>
        <v>371</v>
      </c>
      <c r="C377" t="s">
        <v>128</v>
      </c>
      <c r="D377" s="8">
        <v>958.60731484177484</v>
      </c>
      <c r="F377">
        <f t="shared" si="11"/>
        <v>371</v>
      </c>
      <c r="H377" t="s">
        <v>1293</v>
      </c>
      <c r="I377" s="8">
        <v>72.086429283024117</v>
      </c>
    </row>
    <row r="378" spans="1:9" x14ac:dyDescent="0.35">
      <c r="A378">
        <f t="shared" si="10"/>
        <v>372</v>
      </c>
      <c r="C378" t="s">
        <v>665</v>
      </c>
      <c r="D378" s="8">
        <v>9238.6795839702318</v>
      </c>
      <c r="F378">
        <f t="shared" si="11"/>
        <v>372</v>
      </c>
      <c r="H378" t="s">
        <v>441</v>
      </c>
      <c r="I378" s="8">
        <v>4248.223087941461</v>
      </c>
    </row>
    <row r="379" spans="1:9" x14ac:dyDescent="0.35">
      <c r="A379">
        <f t="shared" si="10"/>
        <v>373</v>
      </c>
      <c r="B379" t="s">
        <v>908</v>
      </c>
      <c r="C379" t="s">
        <v>11</v>
      </c>
      <c r="D379" s="8">
        <v>1290.0346113625178</v>
      </c>
      <c r="F379">
        <f t="shared" si="11"/>
        <v>373</v>
      </c>
      <c r="H379" t="s">
        <v>1320</v>
      </c>
      <c r="I379" s="8">
        <v>1740.3626894942438</v>
      </c>
    </row>
    <row r="380" spans="1:9" x14ac:dyDescent="0.35">
      <c r="A380">
        <f t="shared" si="10"/>
        <v>374</v>
      </c>
      <c r="B380" t="s">
        <v>470</v>
      </c>
      <c r="C380" t="s">
        <v>471</v>
      </c>
      <c r="D380" s="8">
        <v>903.08998699194365</v>
      </c>
      <c r="F380">
        <f t="shared" si="11"/>
        <v>374</v>
      </c>
      <c r="H380" t="s">
        <v>1216</v>
      </c>
      <c r="I380" s="8">
        <v>778.15125038364363</v>
      </c>
    </row>
    <row r="381" spans="1:9" x14ac:dyDescent="0.35">
      <c r="A381">
        <f t="shared" si="10"/>
        <v>375</v>
      </c>
      <c r="B381" t="s">
        <v>1111</v>
      </c>
      <c r="C381" t="s">
        <v>1112</v>
      </c>
      <c r="D381" s="8">
        <v>10421.010809458608</v>
      </c>
      <c r="F381">
        <f t="shared" si="11"/>
        <v>375</v>
      </c>
      <c r="H381" t="s">
        <v>1291</v>
      </c>
      <c r="I381" s="8">
        <v>103.34412301346619</v>
      </c>
    </row>
    <row r="382" spans="1:9" x14ac:dyDescent="0.35">
      <c r="A382">
        <f t="shared" si="10"/>
        <v>376</v>
      </c>
      <c r="B382" t="s">
        <v>1236</v>
      </c>
      <c r="C382" t="s">
        <v>159</v>
      </c>
      <c r="D382" s="8">
        <v>1272.474535210928</v>
      </c>
      <c r="F382">
        <f t="shared" si="11"/>
        <v>376</v>
      </c>
      <c r="H382" t="s">
        <v>57</v>
      </c>
      <c r="I382" s="8">
        <v>7385.9481355826956</v>
      </c>
    </row>
    <row r="383" spans="1:9" x14ac:dyDescent="0.35">
      <c r="A383">
        <f t="shared" si="10"/>
        <v>377</v>
      </c>
      <c r="B383" t="s">
        <v>968</v>
      </c>
      <c r="C383" t="s">
        <v>701</v>
      </c>
      <c r="D383" s="8">
        <v>8936.938312108523</v>
      </c>
      <c r="F383">
        <f t="shared" si="11"/>
        <v>377</v>
      </c>
      <c r="H383" t="s">
        <v>1241</v>
      </c>
      <c r="I383" s="8">
        <v>1109.7472377132285</v>
      </c>
    </row>
    <row r="384" spans="1:9" x14ac:dyDescent="0.35">
      <c r="A384">
        <f t="shared" si="10"/>
        <v>378</v>
      </c>
      <c r="B384" t="s">
        <v>46</v>
      </c>
      <c r="C384" t="s">
        <v>47</v>
      </c>
      <c r="D384" s="8">
        <v>3380.4309167411211</v>
      </c>
      <c r="F384">
        <f t="shared" si="11"/>
        <v>378</v>
      </c>
      <c r="G384" t="s">
        <v>2611</v>
      </c>
      <c r="H384" t="s">
        <v>2610</v>
      </c>
      <c r="I384" s="8">
        <v>999.99999999999989</v>
      </c>
    </row>
    <row r="385" spans="1:9" x14ac:dyDescent="0.35">
      <c r="A385">
        <f t="shared" si="10"/>
        <v>379</v>
      </c>
      <c r="B385" t="s">
        <v>811</v>
      </c>
      <c r="C385" t="s">
        <v>812</v>
      </c>
      <c r="D385" s="8">
        <v>1222.7164711475832</v>
      </c>
      <c r="F385">
        <f t="shared" si="11"/>
        <v>379</v>
      </c>
      <c r="G385" t="s">
        <v>740</v>
      </c>
      <c r="H385" t="s">
        <v>739</v>
      </c>
      <c r="I385" s="8">
        <v>4601.7890662208574</v>
      </c>
    </row>
    <row r="386" spans="1:9" x14ac:dyDescent="0.35">
      <c r="A386">
        <f t="shared" si="10"/>
        <v>380</v>
      </c>
      <c r="B386" t="s">
        <v>396</v>
      </c>
      <c r="C386" t="s">
        <v>397</v>
      </c>
      <c r="D386" s="8">
        <v>8082.4884751185818</v>
      </c>
      <c r="F386">
        <f t="shared" si="11"/>
        <v>380</v>
      </c>
      <c r="G386" t="s">
        <v>942</v>
      </c>
      <c r="H386" t="s">
        <v>941</v>
      </c>
      <c r="I386" s="8">
        <v>2906.2716457781326</v>
      </c>
    </row>
    <row r="387" spans="1:9" x14ac:dyDescent="0.35">
      <c r="A387">
        <f t="shared" si="10"/>
        <v>381</v>
      </c>
      <c r="B387" t="s">
        <v>2646</v>
      </c>
      <c r="C387" t="s">
        <v>826</v>
      </c>
      <c r="D387" s="8">
        <v>1822.8216453031046</v>
      </c>
      <c r="F387">
        <f t="shared" si="11"/>
        <v>381</v>
      </c>
      <c r="H387" t="s">
        <v>1075</v>
      </c>
      <c r="I387" s="8">
        <v>2053.8310621384226</v>
      </c>
    </row>
    <row r="388" spans="1:9" x14ac:dyDescent="0.35">
      <c r="A388">
        <f t="shared" si="10"/>
        <v>382</v>
      </c>
      <c r="B388" t="s">
        <v>953</v>
      </c>
      <c r="C388" t="s">
        <v>406</v>
      </c>
      <c r="D388" s="8">
        <v>1342.4226808222061</v>
      </c>
      <c r="F388">
        <f t="shared" si="11"/>
        <v>382</v>
      </c>
      <c r="G388" t="s">
        <v>416</v>
      </c>
      <c r="H388" t="s">
        <v>417</v>
      </c>
      <c r="I388" s="8">
        <v>1035.2757603485429</v>
      </c>
    </row>
    <row r="389" spans="1:9" x14ac:dyDescent="0.35">
      <c r="A389">
        <f t="shared" si="10"/>
        <v>383</v>
      </c>
      <c r="B389" t="s">
        <v>793</v>
      </c>
      <c r="C389" t="s">
        <v>448</v>
      </c>
      <c r="D389" s="8">
        <v>918.77019127710582</v>
      </c>
      <c r="F389">
        <f t="shared" si="11"/>
        <v>383</v>
      </c>
      <c r="G389" t="s">
        <v>187</v>
      </c>
      <c r="H389" t="s">
        <v>2460</v>
      </c>
      <c r="I389" s="8">
        <v>2452.2976709946302</v>
      </c>
    </row>
    <row r="390" spans="1:9" x14ac:dyDescent="0.35">
      <c r="A390">
        <f t="shared" si="10"/>
        <v>384</v>
      </c>
      <c r="B390" t="s">
        <v>448</v>
      </c>
      <c r="C390" t="s">
        <v>421</v>
      </c>
      <c r="D390" s="8">
        <v>2076.1550948162608</v>
      </c>
      <c r="F390">
        <f t="shared" si="11"/>
        <v>384</v>
      </c>
      <c r="H390" t="s">
        <v>1026</v>
      </c>
      <c r="I390" s="8">
        <v>2298.8530764097068</v>
      </c>
    </row>
    <row r="391" spans="1:9" x14ac:dyDescent="0.35">
      <c r="A391">
        <f t="shared" si="10"/>
        <v>385</v>
      </c>
      <c r="B391" t="s">
        <v>332</v>
      </c>
      <c r="C391" t="s">
        <v>451</v>
      </c>
      <c r="D391" s="8">
        <v>4363.2892412449564</v>
      </c>
      <c r="F391">
        <f t="shared" si="11"/>
        <v>385</v>
      </c>
      <c r="H391" t="s">
        <v>211</v>
      </c>
      <c r="I391" s="8">
        <v>12109.915527173198</v>
      </c>
    </row>
    <row r="392" spans="1:9" x14ac:dyDescent="0.35">
      <c r="A392">
        <f t="shared" si="10"/>
        <v>386</v>
      </c>
      <c r="B392" t="s">
        <v>862</v>
      </c>
      <c r="C392" t="s">
        <v>117</v>
      </c>
      <c r="D392" s="8">
        <v>2485.0676164380302</v>
      </c>
      <c r="F392">
        <f t="shared" si="11"/>
        <v>386</v>
      </c>
      <c r="H392" t="s">
        <v>114</v>
      </c>
      <c r="I392" s="8">
        <v>9653.7340134900478</v>
      </c>
    </row>
    <row r="393" spans="1:9" x14ac:dyDescent="0.35">
      <c r="A393">
        <f t="shared" ref="A393:A456" si="12">A392+1</f>
        <v>387</v>
      </c>
      <c r="B393" t="s">
        <v>826</v>
      </c>
      <c r="C393" t="s">
        <v>67</v>
      </c>
      <c r="D393" s="8">
        <v>1049.7716167309957</v>
      </c>
      <c r="F393">
        <f t="shared" ref="F393:F456" si="13">F392+1</f>
        <v>387</v>
      </c>
      <c r="H393" t="s">
        <v>2573</v>
      </c>
      <c r="I393" s="8">
        <v>3335.5247615134563</v>
      </c>
    </row>
    <row r="394" spans="1:9" x14ac:dyDescent="0.35">
      <c r="A394">
        <f t="shared" si="12"/>
        <v>388</v>
      </c>
      <c r="B394" t="s">
        <v>151</v>
      </c>
      <c r="C394" t="s">
        <v>16</v>
      </c>
      <c r="D394" s="8">
        <v>4728.7150961228581</v>
      </c>
      <c r="F394">
        <f t="shared" si="13"/>
        <v>388</v>
      </c>
      <c r="G394" t="s">
        <v>341</v>
      </c>
      <c r="H394" t="s">
        <v>340</v>
      </c>
      <c r="I394" s="8">
        <v>692.23662167705049</v>
      </c>
    </row>
    <row r="395" spans="1:9" x14ac:dyDescent="0.35">
      <c r="A395">
        <f t="shared" si="12"/>
        <v>389</v>
      </c>
      <c r="B395" t="s">
        <v>99</v>
      </c>
      <c r="C395" t="s">
        <v>2500</v>
      </c>
      <c r="D395" s="8">
        <v>20189.903790375658</v>
      </c>
      <c r="F395">
        <f t="shared" si="13"/>
        <v>389</v>
      </c>
      <c r="G395" t="s">
        <v>136</v>
      </c>
      <c r="H395" t="s">
        <v>2413</v>
      </c>
      <c r="I395" s="8">
        <v>2401.4005407815439</v>
      </c>
    </row>
    <row r="396" spans="1:9" x14ac:dyDescent="0.35">
      <c r="A396">
        <f t="shared" si="12"/>
        <v>390</v>
      </c>
      <c r="C396" t="s">
        <v>101</v>
      </c>
      <c r="D396" s="8">
        <v>33135.173248237967</v>
      </c>
      <c r="F396">
        <f t="shared" si="13"/>
        <v>390</v>
      </c>
      <c r="H396" t="s">
        <v>525</v>
      </c>
      <c r="I396" s="8">
        <v>962.21143911060005</v>
      </c>
    </row>
    <row r="397" spans="1:9" x14ac:dyDescent="0.35">
      <c r="A397">
        <f t="shared" si="12"/>
        <v>391</v>
      </c>
      <c r="B397" t="s">
        <v>553</v>
      </c>
      <c r="C397" t="s">
        <v>410</v>
      </c>
      <c r="D397" s="8">
        <v>629.07218143356545</v>
      </c>
      <c r="F397">
        <f t="shared" si="13"/>
        <v>391</v>
      </c>
      <c r="H397" t="s">
        <v>1159</v>
      </c>
      <c r="I397" s="8">
        <v>2677.750544879812</v>
      </c>
    </row>
    <row r="398" spans="1:9" x14ac:dyDescent="0.35">
      <c r="A398">
        <f t="shared" si="12"/>
        <v>392</v>
      </c>
      <c r="B398" t="s">
        <v>1136</v>
      </c>
      <c r="C398" t="s">
        <v>119</v>
      </c>
      <c r="D398" s="8">
        <v>1019.8083933535522</v>
      </c>
      <c r="F398">
        <f t="shared" si="13"/>
        <v>392</v>
      </c>
      <c r="H398" t="s">
        <v>459</v>
      </c>
      <c r="I398" s="8">
        <v>4585.8707314099966</v>
      </c>
    </row>
    <row r="399" spans="1:9" x14ac:dyDescent="0.35">
      <c r="A399">
        <f t="shared" si="12"/>
        <v>393</v>
      </c>
      <c r="B399" t="s">
        <v>2666</v>
      </c>
      <c r="C399" t="s">
        <v>350</v>
      </c>
      <c r="D399" s="8">
        <v>1156.347200859924</v>
      </c>
      <c r="F399">
        <f t="shared" si="13"/>
        <v>393</v>
      </c>
      <c r="H399" t="s">
        <v>1518</v>
      </c>
      <c r="I399" s="8">
        <v>1547.1591213274171</v>
      </c>
    </row>
    <row r="400" spans="1:9" x14ac:dyDescent="0.35">
      <c r="A400">
        <f t="shared" si="12"/>
        <v>394</v>
      </c>
      <c r="B400" t="s">
        <v>1028</v>
      </c>
      <c r="C400" t="s">
        <v>927</v>
      </c>
      <c r="D400" s="8">
        <v>1496.9296480732148</v>
      </c>
      <c r="F400">
        <f t="shared" si="13"/>
        <v>394</v>
      </c>
      <c r="H400" t="s">
        <v>784</v>
      </c>
      <c r="I400" s="8">
        <v>2550.0535514902858</v>
      </c>
    </row>
    <row r="401" spans="1:9" x14ac:dyDescent="0.35">
      <c r="A401">
        <f t="shared" si="12"/>
        <v>395</v>
      </c>
      <c r="B401" t="s">
        <v>1404</v>
      </c>
      <c r="C401" t="s">
        <v>142</v>
      </c>
      <c r="D401" s="8">
        <v>134.69857389745621</v>
      </c>
      <c r="F401">
        <f t="shared" si="13"/>
        <v>395</v>
      </c>
      <c r="H401" t="s">
        <v>878</v>
      </c>
      <c r="I401" s="8">
        <v>1683.2375980576567</v>
      </c>
    </row>
    <row r="402" spans="1:9" x14ac:dyDescent="0.35">
      <c r="A402">
        <f t="shared" si="12"/>
        <v>396</v>
      </c>
      <c r="B402" t="s">
        <v>711</v>
      </c>
      <c r="C402" t="s">
        <v>85</v>
      </c>
      <c r="D402" s="8">
        <v>9951.6470040308632</v>
      </c>
      <c r="F402">
        <f t="shared" si="13"/>
        <v>396</v>
      </c>
      <c r="H402" t="s">
        <v>1301</v>
      </c>
      <c r="I402" s="8">
        <v>4275.5416884013093</v>
      </c>
    </row>
    <row r="403" spans="1:9" x14ac:dyDescent="0.35">
      <c r="A403">
        <f t="shared" si="12"/>
        <v>397</v>
      </c>
      <c r="B403" t="s">
        <v>479</v>
      </c>
      <c r="C403" t="s">
        <v>480</v>
      </c>
      <c r="D403" s="8">
        <v>2445.0850227193541</v>
      </c>
      <c r="F403">
        <f t="shared" si="13"/>
        <v>397</v>
      </c>
      <c r="H403" t="s">
        <v>642</v>
      </c>
      <c r="I403" s="8">
        <v>6651.7985282164691</v>
      </c>
    </row>
    <row r="404" spans="1:9" x14ac:dyDescent="0.35">
      <c r="A404">
        <f t="shared" si="12"/>
        <v>398</v>
      </c>
      <c r="B404" t="s">
        <v>742</v>
      </c>
      <c r="C404" t="s">
        <v>16</v>
      </c>
      <c r="D404" s="8">
        <v>1874.8587478916893</v>
      </c>
      <c r="F404">
        <f t="shared" si="13"/>
        <v>398</v>
      </c>
      <c r="H404" t="s">
        <v>1150</v>
      </c>
      <c r="I404" s="8">
        <v>508.15548845963121</v>
      </c>
    </row>
    <row r="405" spans="1:9" x14ac:dyDescent="0.35">
      <c r="A405">
        <f t="shared" si="12"/>
        <v>399</v>
      </c>
      <c r="B405" t="s">
        <v>1400</v>
      </c>
      <c r="C405" t="s">
        <v>232</v>
      </c>
      <c r="D405" s="8">
        <v>168.91267442855784</v>
      </c>
      <c r="F405">
        <f t="shared" si="13"/>
        <v>399</v>
      </c>
      <c r="H405" t="s">
        <v>885</v>
      </c>
      <c r="I405" s="8">
        <v>1681.2412373755872</v>
      </c>
    </row>
    <row r="406" spans="1:9" x14ac:dyDescent="0.35">
      <c r="A406">
        <f t="shared" si="12"/>
        <v>400</v>
      </c>
      <c r="B406" t="s">
        <v>43</v>
      </c>
      <c r="C406" t="s">
        <v>848</v>
      </c>
      <c r="D406" s="8">
        <v>50.692708236187435</v>
      </c>
      <c r="F406">
        <f t="shared" si="13"/>
        <v>400</v>
      </c>
      <c r="H406" t="s">
        <v>678</v>
      </c>
      <c r="I406" s="8">
        <v>2262.1543391333671</v>
      </c>
    </row>
    <row r="407" spans="1:9" x14ac:dyDescent="0.35">
      <c r="A407">
        <f t="shared" si="12"/>
        <v>401</v>
      </c>
      <c r="C407" t="s">
        <v>218</v>
      </c>
      <c r="D407" s="8">
        <v>18416.862303211055</v>
      </c>
      <c r="F407">
        <f t="shared" si="13"/>
        <v>401</v>
      </c>
      <c r="H407" t="s">
        <v>1222</v>
      </c>
      <c r="I407" s="8">
        <v>2097.4684662806444</v>
      </c>
    </row>
    <row r="408" spans="1:9" x14ac:dyDescent="0.35">
      <c r="A408">
        <f t="shared" si="12"/>
        <v>402</v>
      </c>
      <c r="B408" t="s">
        <v>2456</v>
      </c>
      <c r="C408" t="s">
        <v>463</v>
      </c>
      <c r="D408" s="8">
        <v>1056.9048513364728</v>
      </c>
      <c r="F408">
        <f t="shared" si="13"/>
        <v>402</v>
      </c>
      <c r="H408" t="s">
        <v>614</v>
      </c>
      <c r="I408" s="8">
        <v>1553.8830266438745</v>
      </c>
    </row>
    <row r="409" spans="1:9" x14ac:dyDescent="0.35">
      <c r="A409">
        <f t="shared" si="12"/>
        <v>403</v>
      </c>
      <c r="B409" t="s">
        <v>326</v>
      </c>
      <c r="C409" t="s">
        <v>327</v>
      </c>
      <c r="D409" s="8">
        <v>3992.0862153331673</v>
      </c>
      <c r="F409">
        <f t="shared" si="13"/>
        <v>403</v>
      </c>
      <c r="H409" t="s">
        <v>874</v>
      </c>
      <c r="I409" s="8">
        <v>957.93865499928881</v>
      </c>
    </row>
    <row r="410" spans="1:9" x14ac:dyDescent="0.35">
      <c r="A410">
        <f t="shared" si="12"/>
        <v>404</v>
      </c>
      <c r="B410" t="s">
        <v>15</v>
      </c>
      <c r="C410" t="s">
        <v>28</v>
      </c>
      <c r="D410" s="8">
        <v>12974.237045263415</v>
      </c>
      <c r="F410">
        <f t="shared" si="13"/>
        <v>404</v>
      </c>
      <c r="H410" t="s">
        <v>836</v>
      </c>
      <c r="I410" s="8">
        <v>12068.458389461843</v>
      </c>
    </row>
    <row r="411" spans="1:9" x14ac:dyDescent="0.35">
      <c r="A411">
        <f t="shared" si="12"/>
        <v>405</v>
      </c>
      <c r="C411" t="s">
        <v>16</v>
      </c>
      <c r="D411" s="8">
        <v>29861.317902178045</v>
      </c>
      <c r="F411">
        <f t="shared" si="13"/>
        <v>405</v>
      </c>
      <c r="H411" t="s">
        <v>439</v>
      </c>
      <c r="I411" s="8">
        <v>1887.8114799116738</v>
      </c>
    </row>
    <row r="412" spans="1:9" x14ac:dyDescent="0.35">
      <c r="A412">
        <f t="shared" si="12"/>
        <v>406</v>
      </c>
      <c r="B412" t="s">
        <v>78</v>
      </c>
      <c r="C412" t="s">
        <v>79</v>
      </c>
      <c r="D412" s="8">
        <v>9988.7544630263837</v>
      </c>
      <c r="F412">
        <f t="shared" si="13"/>
        <v>406</v>
      </c>
      <c r="H412" t="s">
        <v>960</v>
      </c>
      <c r="I412" s="8">
        <v>10508.740769543474</v>
      </c>
    </row>
    <row r="413" spans="1:9" x14ac:dyDescent="0.35">
      <c r="A413">
        <f t="shared" si="12"/>
        <v>407</v>
      </c>
      <c r="B413" t="s">
        <v>1087</v>
      </c>
      <c r="C413" t="s">
        <v>1088</v>
      </c>
      <c r="D413" s="8">
        <v>2127.1047983648077</v>
      </c>
      <c r="F413">
        <f t="shared" si="13"/>
        <v>407</v>
      </c>
      <c r="H413" t="s">
        <v>477</v>
      </c>
      <c r="I413" s="8">
        <v>6412.1965505671233</v>
      </c>
    </row>
    <row r="414" spans="1:9" x14ac:dyDescent="0.35">
      <c r="A414">
        <f t="shared" si="12"/>
        <v>408</v>
      </c>
      <c r="B414" t="s">
        <v>343</v>
      </c>
      <c r="C414" t="s">
        <v>344</v>
      </c>
      <c r="D414" s="8">
        <v>2315.4859120749506</v>
      </c>
      <c r="F414">
        <f t="shared" si="13"/>
        <v>408</v>
      </c>
      <c r="H414" t="s">
        <v>547</v>
      </c>
      <c r="I414" s="8">
        <v>2227.1763725427827</v>
      </c>
    </row>
    <row r="415" spans="1:9" x14ac:dyDescent="0.35">
      <c r="A415">
        <f t="shared" si="12"/>
        <v>409</v>
      </c>
      <c r="B415" t="s">
        <v>2578</v>
      </c>
      <c r="C415" t="s">
        <v>28</v>
      </c>
      <c r="D415" s="8">
        <v>1028.0287236002437</v>
      </c>
      <c r="F415">
        <f t="shared" si="13"/>
        <v>409</v>
      </c>
      <c r="H415" t="s">
        <v>2405</v>
      </c>
      <c r="I415" s="8">
        <v>1056.9048513364728</v>
      </c>
    </row>
    <row r="416" spans="1:9" x14ac:dyDescent="0.35">
      <c r="A416">
        <f t="shared" si="12"/>
        <v>410</v>
      </c>
      <c r="B416" t="s">
        <v>1313</v>
      </c>
      <c r="C416" t="s">
        <v>139</v>
      </c>
      <c r="D416" s="8">
        <v>1778.1512503836436</v>
      </c>
      <c r="F416">
        <f t="shared" si="13"/>
        <v>410</v>
      </c>
      <c r="H416" t="s">
        <v>585</v>
      </c>
      <c r="I416" s="8">
        <v>15999.43399612065</v>
      </c>
    </row>
    <row r="417" spans="1:9" x14ac:dyDescent="0.35">
      <c r="A417">
        <f t="shared" si="12"/>
        <v>411</v>
      </c>
      <c r="B417" t="s">
        <v>275</v>
      </c>
      <c r="C417" t="s">
        <v>463</v>
      </c>
      <c r="D417" s="8">
        <v>6364.0217073682652</v>
      </c>
      <c r="F417">
        <f t="shared" si="13"/>
        <v>411</v>
      </c>
      <c r="H417" t="s">
        <v>526</v>
      </c>
      <c r="I417" s="8">
        <v>12205.23391176529</v>
      </c>
    </row>
    <row r="418" spans="1:9" x14ac:dyDescent="0.35">
      <c r="A418">
        <f t="shared" si="12"/>
        <v>412</v>
      </c>
      <c r="B418" t="s">
        <v>19</v>
      </c>
      <c r="C418" t="s">
        <v>20</v>
      </c>
      <c r="D418" s="8">
        <v>26140.993070830158</v>
      </c>
      <c r="F418">
        <f t="shared" si="13"/>
        <v>412</v>
      </c>
      <c r="H418" t="s">
        <v>1103</v>
      </c>
      <c r="I418" s="8">
        <v>3018.7004986662432</v>
      </c>
    </row>
    <row r="419" spans="1:9" x14ac:dyDescent="0.35">
      <c r="A419">
        <f t="shared" si="12"/>
        <v>413</v>
      </c>
      <c r="B419" t="s">
        <v>1198</v>
      </c>
      <c r="C419" t="s">
        <v>65</v>
      </c>
      <c r="D419" s="8">
        <v>726.9987279362623</v>
      </c>
      <c r="F419">
        <f t="shared" si="13"/>
        <v>413</v>
      </c>
      <c r="H419" t="s">
        <v>168</v>
      </c>
      <c r="I419" s="8">
        <v>483.0708663695163</v>
      </c>
    </row>
    <row r="420" spans="1:9" x14ac:dyDescent="0.35">
      <c r="A420">
        <f t="shared" si="12"/>
        <v>414</v>
      </c>
      <c r="B420" t="s">
        <v>116</v>
      </c>
      <c r="C420" t="s">
        <v>489</v>
      </c>
      <c r="D420" s="8">
        <v>6189.151872189148</v>
      </c>
      <c r="F420">
        <f t="shared" si="13"/>
        <v>414</v>
      </c>
      <c r="H420" t="s">
        <v>135</v>
      </c>
      <c r="I420" s="8">
        <v>7888.1254534226691</v>
      </c>
    </row>
    <row r="421" spans="1:9" x14ac:dyDescent="0.35">
      <c r="A421">
        <f t="shared" si="12"/>
        <v>415</v>
      </c>
      <c r="C421" t="s">
        <v>153</v>
      </c>
      <c r="D421" s="8">
        <v>1454.8448600085103</v>
      </c>
      <c r="F421">
        <f t="shared" si="13"/>
        <v>415</v>
      </c>
      <c r="H421" t="s">
        <v>455</v>
      </c>
      <c r="I421" s="8">
        <v>6248.2811749626107</v>
      </c>
    </row>
    <row r="422" spans="1:9" x14ac:dyDescent="0.35">
      <c r="A422">
        <f t="shared" si="12"/>
        <v>416</v>
      </c>
      <c r="C422" t="s">
        <v>117</v>
      </c>
      <c r="D422" s="8">
        <v>6314.4711553437228</v>
      </c>
      <c r="F422">
        <f t="shared" si="13"/>
        <v>416</v>
      </c>
      <c r="H422" t="s">
        <v>245</v>
      </c>
      <c r="I422" s="8">
        <v>994.53710429849787</v>
      </c>
    </row>
    <row r="423" spans="1:9" x14ac:dyDescent="0.35">
      <c r="A423">
        <f t="shared" si="12"/>
        <v>417</v>
      </c>
      <c r="B423" t="s">
        <v>414</v>
      </c>
      <c r="C423" t="s">
        <v>413</v>
      </c>
      <c r="D423" s="8">
        <v>16367.578544010526</v>
      </c>
      <c r="F423">
        <f t="shared" si="13"/>
        <v>417</v>
      </c>
      <c r="H423" t="s">
        <v>254</v>
      </c>
      <c r="I423" s="8">
        <v>2556.3025007672873</v>
      </c>
    </row>
    <row r="424" spans="1:9" x14ac:dyDescent="0.35">
      <c r="A424">
        <f t="shared" si="12"/>
        <v>418</v>
      </c>
      <c r="C424" t="s">
        <v>1022</v>
      </c>
      <c r="D424" s="8">
        <v>2531.6917543324271</v>
      </c>
      <c r="F424">
        <f t="shared" si="13"/>
        <v>418</v>
      </c>
      <c r="H424" t="s">
        <v>1346</v>
      </c>
      <c r="I424" s="8">
        <v>274.70105694163215</v>
      </c>
    </row>
    <row r="425" spans="1:9" x14ac:dyDescent="0.35">
      <c r="A425">
        <f t="shared" si="12"/>
        <v>419</v>
      </c>
      <c r="B425" t="s">
        <v>597</v>
      </c>
      <c r="C425" t="s">
        <v>598</v>
      </c>
      <c r="D425" s="8">
        <v>10857.834275123152</v>
      </c>
      <c r="F425">
        <f t="shared" si="13"/>
        <v>419</v>
      </c>
      <c r="G425" t="s">
        <v>1402</v>
      </c>
      <c r="H425" t="s">
        <v>656</v>
      </c>
      <c r="I425" s="8">
        <v>141.32915279646951</v>
      </c>
    </row>
    <row r="426" spans="1:9" x14ac:dyDescent="0.35">
      <c r="A426">
        <f t="shared" si="12"/>
        <v>420</v>
      </c>
      <c r="B426" t="s">
        <v>88</v>
      </c>
      <c r="C426" t="s">
        <v>89</v>
      </c>
      <c r="D426" s="8">
        <v>29971.927802834889</v>
      </c>
      <c r="F426">
        <f t="shared" si="13"/>
        <v>420</v>
      </c>
      <c r="G426" t="s">
        <v>361</v>
      </c>
      <c r="H426" t="s">
        <v>360</v>
      </c>
      <c r="I426" s="8">
        <v>1923.5162698957283</v>
      </c>
    </row>
    <row r="427" spans="1:9" x14ac:dyDescent="0.35">
      <c r="A427">
        <f t="shared" si="12"/>
        <v>421</v>
      </c>
      <c r="B427" t="s">
        <v>608</v>
      </c>
      <c r="C427" t="s">
        <v>267</v>
      </c>
      <c r="D427" s="8">
        <v>7825.2381823257165</v>
      </c>
      <c r="F427">
        <f t="shared" si="13"/>
        <v>421</v>
      </c>
      <c r="H427" t="s">
        <v>2641</v>
      </c>
      <c r="I427" s="8">
        <v>1322.2192947339192</v>
      </c>
    </row>
    <row r="428" spans="1:9" x14ac:dyDescent="0.35">
      <c r="A428">
        <f t="shared" si="12"/>
        <v>422</v>
      </c>
      <c r="B428" t="s">
        <v>1008</v>
      </c>
      <c r="C428" t="s">
        <v>768</v>
      </c>
      <c r="D428" s="8">
        <v>2645.0946235531637</v>
      </c>
      <c r="F428">
        <f t="shared" si="13"/>
        <v>422</v>
      </c>
      <c r="G428" t="s">
        <v>662</v>
      </c>
      <c r="H428" t="s">
        <v>580</v>
      </c>
      <c r="I428" s="8">
        <v>176.09125905568135</v>
      </c>
    </row>
    <row r="429" spans="1:9" x14ac:dyDescent="0.35">
      <c r="A429">
        <f t="shared" si="12"/>
        <v>423</v>
      </c>
      <c r="B429" t="s">
        <v>1063</v>
      </c>
      <c r="C429" t="s">
        <v>324</v>
      </c>
      <c r="D429" s="8">
        <v>714.0337507718948</v>
      </c>
      <c r="F429">
        <f t="shared" si="13"/>
        <v>423</v>
      </c>
      <c r="H429" t="s">
        <v>625</v>
      </c>
      <c r="I429" s="8">
        <v>2124.2596207828128</v>
      </c>
    </row>
    <row r="430" spans="1:9" x14ac:dyDescent="0.35">
      <c r="A430">
        <f t="shared" si="12"/>
        <v>424</v>
      </c>
      <c r="B430" t="s">
        <v>238</v>
      </c>
      <c r="C430" t="s">
        <v>16</v>
      </c>
      <c r="D430" s="8">
        <v>27456.608999814332</v>
      </c>
      <c r="F430">
        <f t="shared" si="13"/>
        <v>424</v>
      </c>
      <c r="G430" t="s">
        <v>1180</v>
      </c>
      <c r="H430" t="s">
        <v>1179</v>
      </c>
      <c r="I430" s="8">
        <v>1495.3460748258615</v>
      </c>
    </row>
    <row r="431" spans="1:9" x14ac:dyDescent="0.35">
      <c r="A431">
        <f t="shared" si="12"/>
        <v>425</v>
      </c>
      <c r="C431" t="s">
        <v>375</v>
      </c>
      <c r="D431" s="8">
        <v>9243.7954441527272</v>
      </c>
      <c r="F431">
        <f t="shared" si="13"/>
        <v>425</v>
      </c>
      <c r="G431" t="s">
        <v>908</v>
      </c>
      <c r="H431" t="s">
        <v>1000</v>
      </c>
      <c r="I431" s="8">
        <v>2169.2124409490498</v>
      </c>
    </row>
    <row r="432" spans="1:9" x14ac:dyDescent="0.35">
      <c r="A432">
        <f t="shared" si="12"/>
        <v>426</v>
      </c>
      <c r="B432" t="s">
        <v>734</v>
      </c>
      <c r="C432" t="s">
        <v>735</v>
      </c>
      <c r="D432" s="8">
        <v>1124.9387366082999</v>
      </c>
      <c r="F432">
        <f t="shared" si="13"/>
        <v>426</v>
      </c>
      <c r="G432" t="s">
        <v>604</v>
      </c>
      <c r="H432" t="s">
        <v>603</v>
      </c>
      <c r="I432" s="8">
        <v>9964.4732559003205</v>
      </c>
    </row>
    <row r="433" spans="1:9" x14ac:dyDescent="0.35">
      <c r="A433">
        <f t="shared" si="12"/>
        <v>427</v>
      </c>
      <c r="B433" t="s">
        <v>198</v>
      </c>
      <c r="C433" t="s">
        <v>149</v>
      </c>
      <c r="D433" s="8">
        <v>3404.0592013332193</v>
      </c>
      <c r="F433">
        <f t="shared" si="13"/>
        <v>427</v>
      </c>
      <c r="G433" t="s">
        <v>115</v>
      </c>
      <c r="H433" t="s">
        <v>865</v>
      </c>
      <c r="I433" s="8">
        <v>349.48500216800937</v>
      </c>
    </row>
    <row r="434" spans="1:9" x14ac:dyDescent="0.35">
      <c r="A434">
        <f t="shared" si="12"/>
        <v>428</v>
      </c>
      <c r="B434" t="s">
        <v>1058</v>
      </c>
      <c r="C434" t="s">
        <v>384</v>
      </c>
      <c r="D434" s="8">
        <v>1944.4826721501686</v>
      </c>
      <c r="F434">
        <f t="shared" si="13"/>
        <v>428</v>
      </c>
      <c r="G434" t="s">
        <v>391</v>
      </c>
      <c r="H434" t="s">
        <v>627</v>
      </c>
      <c r="I434" s="8">
        <v>997.58052587658733</v>
      </c>
    </row>
    <row r="435" spans="1:9" x14ac:dyDescent="0.35">
      <c r="A435">
        <f t="shared" si="12"/>
        <v>429</v>
      </c>
      <c r="B435" t="s">
        <v>74</v>
      </c>
      <c r="C435" t="s">
        <v>75</v>
      </c>
      <c r="D435" s="8">
        <v>42975.869375552364</v>
      </c>
      <c r="F435">
        <f t="shared" si="13"/>
        <v>429</v>
      </c>
      <c r="H435" t="s">
        <v>390</v>
      </c>
      <c r="I435" s="8">
        <v>3880.9385768181442</v>
      </c>
    </row>
    <row r="436" spans="1:9" x14ac:dyDescent="0.35">
      <c r="A436">
        <f t="shared" si="12"/>
        <v>430</v>
      </c>
      <c r="C436" t="s">
        <v>153</v>
      </c>
      <c r="D436" s="8">
        <v>6987.7905189928861</v>
      </c>
      <c r="F436">
        <f t="shared" si="13"/>
        <v>430</v>
      </c>
      <c r="H436" t="s">
        <v>1387</v>
      </c>
      <c r="I436" s="8">
        <v>462.88081560505236</v>
      </c>
    </row>
    <row r="437" spans="1:9" x14ac:dyDescent="0.35">
      <c r="A437">
        <f t="shared" si="12"/>
        <v>431</v>
      </c>
      <c r="B437" t="s">
        <v>169</v>
      </c>
      <c r="C437" t="s">
        <v>368</v>
      </c>
      <c r="D437" s="8">
        <v>1814.8271015770943</v>
      </c>
      <c r="F437">
        <f t="shared" si="13"/>
        <v>431</v>
      </c>
      <c r="G437" t="s">
        <v>779</v>
      </c>
      <c r="H437" t="s">
        <v>1133</v>
      </c>
      <c r="I437" s="8">
        <v>2234.2446444854531</v>
      </c>
    </row>
    <row r="438" spans="1:9" x14ac:dyDescent="0.35">
      <c r="A438">
        <f t="shared" si="12"/>
        <v>432</v>
      </c>
      <c r="B438" t="s">
        <v>411</v>
      </c>
      <c r="C438" t="s">
        <v>737</v>
      </c>
      <c r="D438" s="8">
        <v>8253.8453329767581</v>
      </c>
      <c r="F438">
        <f t="shared" si="13"/>
        <v>432</v>
      </c>
      <c r="H438" t="s">
        <v>211</v>
      </c>
      <c r="I438" s="8">
        <v>1246.1291256634361</v>
      </c>
    </row>
    <row r="439" spans="1:9" x14ac:dyDescent="0.35">
      <c r="A439">
        <f t="shared" si="12"/>
        <v>433</v>
      </c>
      <c r="B439" t="s">
        <v>1772</v>
      </c>
      <c r="C439" t="s">
        <v>122</v>
      </c>
      <c r="D439" s="8">
        <v>753.32766665861152</v>
      </c>
      <c r="F439">
        <f t="shared" si="13"/>
        <v>433</v>
      </c>
      <c r="G439" t="s">
        <v>54</v>
      </c>
      <c r="H439" t="s">
        <v>53</v>
      </c>
      <c r="I439" s="8">
        <v>7671.6056288774398</v>
      </c>
    </row>
    <row r="440" spans="1:9" x14ac:dyDescent="0.35">
      <c r="A440">
        <f t="shared" si="12"/>
        <v>434</v>
      </c>
      <c r="B440" t="s">
        <v>1192</v>
      </c>
      <c r="C440" t="s">
        <v>1193</v>
      </c>
      <c r="D440" s="8">
        <v>3780.6258695114993</v>
      </c>
      <c r="F440">
        <f t="shared" si="13"/>
        <v>434</v>
      </c>
      <c r="G440" t="s">
        <v>438</v>
      </c>
      <c r="H440" t="s">
        <v>437</v>
      </c>
      <c r="I440" s="8">
        <v>676.09125905568123</v>
      </c>
    </row>
    <row r="441" spans="1:9" x14ac:dyDescent="0.35">
      <c r="A441">
        <f t="shared" si="12"/>
        <v>435</v>
      </c>
      <c r="B441" t="s">
        <v>66</v>
      </c>
      <c r="C441" t="s">
        <v>67</v>
      </c>
      <c r="D441" s="8">
        <v>27914.377019401309</v>
      </c>
      <c r="F441">
        <f t="shared" si="13"/>
        <v>435</v>
      </c>
      <c r="G441" t="s">
        <v>2308</v>
      </c>
      <c r="H441" t="s">
        <v>490</v>
      </c>
      <c r="I441" s="8">
        <v>1099.3846321359117</v>
      </c>
    </row>
    <row r="442" spans="1:9" x14ac:dyDescent="0.35">
      <c r="A442">
        <f t="shared" si="12"/>
        <v>436</v>
      </c>
      <c r="B442" t="s">
        <v>277</v>
      </c>
      <c r="C442" t="s">
        <v>16</v>
      </c>
      <c r="D442" s="8">
        <v>34486.590646732024</v>
      </c>
      <c r="F442">
        <f t="shared" si="13"/>
        <v>436</v>
      </c>
      <c r="G442" t="s">
        <v>82</v>
      </c>
      <c r="H442" t="s">
        <v>80</v>
      </c>
      <c r="I442" s="8">
        <v>6383.3365407038091</v>
      </c>
    </row>
    <row r="443" spans="1:9" x14ac:dyDescent="0.35">
      <c r="A443">
        <f t="shared" si="12"/>
        <v>437</v>
      </c>
      <c r="C443" t="s">
        <v>843</v>
      </c>
      <c r="D443" s="8">
        <v>1531.478917042255</v>
      </c>
      <c r="F443">
        <f t="shared" si="13"/>
        <v>437</v>
      </c>
      <c r="G443" t="s">
        <v>2284</v>
      </c>
      <c r="H443" t="s">
        <v>2283</v>
      </c>
      <c r="I443" s="8">
        <v>845.09804001425687</v>
      </c>
    </row>
    <row r="444" spans="1:9" x14ac:dyDescent="0.35">
      <c r="A444">
        <f t="shared" si="12"/>
        <v>438</v>
      </c>
      <c r="B444" t="s">
        <v>1184</v>
      </c>
      <c r="C444" t="s">
        <v>737</v>
      </c>
      <c r="D444" s="8">
        <v>1299.0514296818933</v>
      </c>
      <c r="F444">
        <f t="shared" si="13"/>
        <v>438</v>
      </c>
      <c r="G444" t="s">
        <v>42</v>
      </c>
      <c r="H444" t="s">
        <v>41</v>
      </c>
      <c r="I444" s="8">
        <v>1134.7564721089582</v>
      </c>
    </row>
    <row r="445" spans="1:9" x14ac:dyDescent="0.35">
      <c r="A445">
        <f t="shared" si="12"/>
        <v>439</v>
      </c>
      <c r="B445" t="s">
        <v>954</v>
      </c>
      <c r="C445" t="s">
        <v>955</v>
      </c>
      <c r="D445" s="8">
        <v>1817.6094357646687</v>
      </c>
      <c r="F445">
        <f t="shared" si="13"/>
        <v>439</v>
      </c>
      <c r="G445" t="s">
        <v>1276</v>
      </c>
      <c r="H445" t="s">
        <v>1275</v>
      </c>
      <c r="I445" s="8">
        <v>230.44892137827389</v>
      </c>
    </row>
    <row r="446" spans="1:9" x14ac:dyDescent="0.35">
      <c r="A446">
        <f t="shared" si="12"/>
        <v>440</v>
      </c>
      <c r="B446" t="s">
        <v>128</v>
      </c>
      <c r="C446" t="s">
        <v>16</v>
      </c>
      <c r="D446" s="8">
        <v>1982.2712330395684</v>
      </c>
      <c r="F446">
        <f t="shared" si="13"/>
        <v>440</v>
      </c>
      <c r="G446" t="s">
        <v>2017</v>
      </c>
      <c r="H446" t="s">
        <v>2401</v>
      </c>
      <c r="I446" s="8">
        <v>11604.669478022655</v>
      </c>
    </row>
    <row r="447" spans="1:9" x14ac:dyDescent="0.35">
      <c r="A447">
        <f t="shared" si="12"/>
        <v>441</v>
      </c>
      <c r="C447" t="s">
        <v>443</v>
      </c>
      <c r="D447" s="8">
        <v>10571.220133690535</v>
      </c>
      <c r="F447">
        <f t="shared" si="13"/>
        <v>441</v>
      </c>
      <c r="G447" t="s">
        <v>40</v>
      </c>
      <c r="H447" t="s">
        <v>39</v>
      </c>
      <c r="I447" s="8">
        <v>13492.686144148882</v>
      </c>
    </row>
    <row r="448" spans="1:9" x14ac:dyDescent="0.35">
      <c r="A448">
        <f t="shared" si="12"/>
        <v>442</v>
      </c>
      <c r="C448" t="s">
        <v>395</v>
      </c>
      <c r="D448" s="8">
        <v>1818.3083885295619</v>
      </c>
      <c r="F448">
        <f t="shared" si="13"/>
        <v>442</v>
      </c>
      <c r="G448" t="s">
        <v>448</v>
      </c>
      <c r="H448" t="s">
        <v>793</v>
      </c>
      <c r="I448" s="8">
        <v>918.77019127710582</v>
      </c>
    </row>
    <row r="449" spans="1:9" x14ac:dyDescent="0.35">
      <c r="A449">
        <f t="shared" si="12"/>
        <v>443</v>
      </c>
      <c r="B449" t="s">
        <v>1216</v>
      </c>
      <c r="C449" t="s">
        <v>58</v>
      </c>
      <c r="D449" s="8">
        <v>778.15125038364363</v>
      </c>
      <c r="F449">
        <f t="shared" si="13"/>
        <v>443</v>
      </c>
      <c r="G449" t="s">
        <v>269</v>
      </c>
      <c r="H449" t="s">
        <v>268</v>
      </c>
      <c r="I449" s="8">
        <v>18139.089343644398</v>
      </c>
    </row>
    <row r="450" spans="1:9" x14ac:dyDescent="0.35">
      <c r="A450">
        <f t="shared" si="12"/>
        <v>444</v>
      </c>
      <c r="B450" t="s">
        <v>491</v>
      </c>
      <c r="C450" t="s">
        <v>492</v>
      </c>
      <c r="D450" s="8">
        <v>1152.2883443830563</v>
      </c>
      <c r="F450">
        <f t="shared" si="13"/>
        <v>444</v>
      </c>
      <c r="H450" t="s">
        <v>316</v>
      </c>
      <c r="I450" s="8">
        <v>14085.973593332181</v>
      </c>
    </row>
    <row r="451" spans="1:9" x14ac:dyDescent="0.35">
      <c r="A451">
        <f t="shared" si="12"/>
        <v>445</v>
      </c>
      <c r="B451" t="s">
        <v>752</v>
      </c>
      <c r="C451" t="s">
        <v>753</v>
      </c>
      <c r="D451" s="8">
        <v>2099.1025311309277</v>
      </c>
      <c r="F451">
        <f t="shared" si="13"/>
        <v>445</v>
      </c>
      <c r="H451" t="s">
        <v>1204</v>
      </c>
      <c r="I451" s="8">
        <v>1113.9433523068367</v>
      </c>
    </row>
    <row r="452" spans="1:9" x14ac:dyDescent="0.35">
      <c r="A452">
        <f t="shared" si="12"/>
        <v>446</v>
      </c>
      <c r="B452" t="s">
        <v>1453</v>
      </c>
      <c r="C452" t="s">
        <v>1454</v>
      </c>
      <c r="D452" s="8">
        <v>1234.6859743215284</v>
      </c>
      <c r="F452">
        <f t="shared" si="13"/>
        <v>446</v>
      </c>
      <c r="G452" t="s">
        <v>826</v>
      </c>
      <c r="H452" t="s">
        <v>2646</v>
      </c>
      <c r="I452" s="8">
        <v>1822.8216453031046</v>
      </c>
    </row>
    <row r="453" spans="1:9" x14ac:dyDescent="0.35">
      <c r="A453">
        <f t="shared" si="12"/>
        <v>447</v>
      </c>
      <c r="B453" t="s">
        <v>351</v>
      </c>
      <c r="C453" t="s">
        <v>2279</v>
      </c>
      <c r="D453" s="8">
        <v>1826.0748027008265</v>
      </c>
      <c r="F453">
        <f t="shared" si="13"/>
        <v>447</v>
      </c>
      <c r="H453" t="s">
        <v>825</v>
      </c>
      <c r="I453" s="8">
        <v>1000</v>
      </c>
    </row>
    <row r="454" spans="1:9" x14ac:dyDescent="0.35">
      <c r="A454">
        <f t="shared" si="12"/>
        <v>448</v>
      </c>
      <c r="C454" t="s">
        <v>153</v>
      </c>
      <c r="D454" s="8">
        <v>16695.523586694089</v>
      </c>
      <c r="F454">
        <f t="shared" si="13"/>
        <v>448</v>
      </c>
      <c r="G454" t="s">
        <v>89</v>
      </c>
      <c r="H454" t="s">
        <v>88</v>
      </c>
      <c r="I454" s="8">
        <v>29971.927802834889</v>
      </c>
    </row>
    <row r="455" spans="1:9" x14ac:dyDescent="0.35">
      <c r="A455">
        <f t="shared" si="12"/>
        <v>449</v>
      </c>
      <c r="B455" t="s">
        <v>251</v>
      </c>
      <c r="C455" t="s">
        <v>252</v>
      </c>
      <c r="D455" s="8">
        <v>32468.915902200584</v>
      </c>
      <c r="F455">
        <f t="shared" si="13"/>
        <v>449</v>
      </c>
      <c r="H455" t="s">
        <v>748</v>
      </c>
      <c r="I455" s="8">
        <v>3809.63340874797</v>
      </c>
    </row>
    <row r="456" spans="1:9" x14ac:dyDescent="0.35">
      <c r="A456">
        <f t="shared" si="12"/>
        <v>450</v>
      </c>
      <c r="C456" t="s">
        <v>71</v>
      </c>
      <c r="D456" s="8">
        <v>4518.5139398778874</v>
      </c>
      <c r="F456">
        <f t="shared" si="13"/>
        <v>450</v>
      </c>
      <c r="H456" t="s">
        <v>1423</v>
      </c>
      <c r="I456" s="8">
        <v>1024.8235837250322</v>
      </c>
    </row>
    <row r="457" spans="1:9" x14ac:dyDescent="0.35">
      <c r="A457">
        <f t="shared" ref="A457:A520" si="14">A456+1</f>
        <v>451</v>
      </c>
      <c r="C457" t="s">
        <v>510</v>
      </c>
      <c r="D457" s="8">
        <v>4569.999919203804</v>
      </c>
      <c r="F457">
        <f t="shared" ref="F457:F520" si="15">F456+1</f>
        <v>451</v>
      </c>
      <c r="G457" t="s">
        <v>562</v>
      </c>
      <c r="H457" t="s">
        <v>561</v>
      </c>
      <c r="I457" s="8">
        <v>1096.9100130080565</v>
      </c>
    </row>
    <row r="458" spans="1:9" x14ac:dyDescent="0.35">
      <c r="A458">
        <f t="shared" si="14"/>
        <v>452</v>
      </c>
      <c r="C458" t="s">
        <v>492</v>
      </c>
      <c r="D458" s="8">
        <v>1267.171728403014</v>
      </c>
      <c r="F458">
        <f t="shared" si="15"/>
        <v>452</v>
      </c>
      <c r="G458" t="s">
        <v>106</v>
      </c>
      <c r="H458" t="s">
        <v>105</v>
      </c>
      <c r="I458" s="8">
        <v>37260.501966626347</v>
      </c>
    </row>
    <row r="459" spans="1:9" x14ac:dyDescent="0.35">
      <c r="A459">
        <f t="shared" si="14"/>
        <v>453</v>
      </c>
      <c r="B459" t="s">
        <v>2438</v>
      </c>
      <c r="C459" t="s">
        <v>65</v>
      </c>
      <c r="D459" s="8">
        <v>539.59062302381233</v>
      </c>
      <c r="F459">
        <f t="shared" si="15"/>
        <v>453</v>
      </c>
      <c r="G459" t="s">
        <v>151</v>
      </c>
      <c r="H459" t="s">
        <v>2395</v>
      </c>
      <c r="I459" s="8">
        <v>1537.1191843949478</v>
      </c>
    </row>
    <row r="460" spans="1:9" x14ac:dyDescent="0.35">
      <c r="A460">
        <f t="shared" si="14"/>
        <v>454</v>
      </c>
      <c r="B460" t="s">
        <v>1179</v>
      </c>
      <c r="C460" t="s">
        <v>1180</v>
      </c>
      <c r="D460" s="8">
        <v>1495.3460748258615</v>
      </c>
      <c r="F460">
        <f t="shared" si="15"/>
        <v>454</v>
      </c>
      <c r="G460" t="s">
        <v>2279</v>
      </c>
      <c r="H460" t="s">
        <v>351</v>
      </c>
      <c r="I460" s="8">
        <v>1826.0748027008265</v>
      </c>
    </row>
    <row r="461" spans="1:9" x14ac:dyDescent="0.35">
      <c r="A461">
        <f t="shared" si="14"/>
        <v>455</v>
      </c>
      <c r="B461" t="s">
        <v>1015</v>
      </c>
      <c r="C461" t="s">
        <v>384</v>
      </c>
      <c r="D461" s="8">
        <v>1031.4084642516241</v>
      </c>
      <c r="F461">
        <f t="shared" si="15"/>
        <v>455</v>
      </c>
      <c r="G461" t="s">
        <v>1746</v>
      </c>
      <c r="H461" t="s">
        <v>1445</v>
      </c>
      <c r="I461" s="8">
        <v>3124.4685619894653</v>
      </c>
    </row>
    <row r="462" spans="1:9" x14ac:dyDescent="0.35">
      <c r="A462">
        <f t="shared" si="14"/>
        <v>456</v>
      </c>
      <c r="B462" t="s">
        <v>1097</v>
      </c>
      <c r="C462" t="s">
        <v>16</v>
      </c>
      <c r="D462" s="8">
        <v>4746.7392574750183</v>
      </c>
      <c r="F462">
        <f t="shared" si="15"/>
        <v>456</v>
      </c>
      <c r="G462" t="s">
        <v>79</v>
      </c>
      <c r="H462" t="s">
        <v>558</v>
      </c>
      <c r="I462" s="8">
        <v>9395.953195710812</v>
      </c>
    </row>
    <row r="463" spans="1:9" x14ac:dyDescent="0.35">
      <c r="A463">
        <f t="shared" si="14"/>
        <v>457</v>
      </c>
      <c r="B463" t="s">
        <v>612</v>
      </c>
      <c r="C463" t="s">
        <v>181</v>
      </c>
      <c r="D463" s="8">
        <v>7029.5186275075712</v>
      </c>
      <c r="F463">
        <f t="shared" si="15"/>
        <v>457</v>
      </c>
      <c r="H463" t="s">
        <v>78</v>
      </c>
      <c r="I463" s="8">
        <v>9988.7544630263837</v>
      </c>
    </row>
    <row r="464" spans="1:9" x14ac:dyDescent="0.35">
      <c r="A464">
        <f t="shared" si="14"/>
        <v>458</v>
      </c>
      <c r="B464" t="s">
        <v>798</v>
      </c>
      <c r="C464" t="s">
        <v>799</v>
      </c>
      <c r="D464" s="8">
        <v>1113.9433523068367</v>
      </c>
      <c r="F464">
        <f t="shared" si="15"/>
        <v>458</v>
      </c>
      <c r="H464" t="s">
        <v>273</v>
      </c>
      <c r="I464" s="8">
        <v>589.61936615231866</v>
      </c>
    </row>
    <row r="465" spans="1:9" x14ac:dyDescent="0.35">
      <c r="A465">
        <f t="shared" si="14"/>
        <v>459</v>
      </c>
      <c r="B465" t="s">
        <v>477</v>
      </c>
      <c r="C465" t="s">
        <v>136</v>
      </c>
      <c r="D465" s="8">
        <v>6412.1965505671233</v>
      </c>
      <c r="F465">
        <f t="shared" si="15"/>
        <v>459</v>
      </c>
      <c r="H465" t="s">
        <v>1146</v>
      </c>
      <c r="I465" s="8">
        <v>3626.7522794118413</v>
      </c>
    </row>
    <row r="466" spans="1:9" x14ac:dyDescent="0.35">
      <c r="A466">
        <f t="shared" si="14"/>
        <v>460</v>
      </c>
      <c r="C466" t="s">
        <v>1510</v>
      </c>
      <c r="D466" s="8">
        <v>970.03677662255677</v>
      </c>
      <c r="F466">
        <f t="shared" si="15"/>
        <v>460</v>
      </c>
      <c r="H466" t="s">
        <v>2665</v>
      </c>
      <c r="I466" s="8">
        <v>679.2259461402615</v>
      </c>
    </row>
    <row r="467" spans="1:9" x14ac:dyDescent="0.35">
      <c r="A467">
        <f t="shared" si="14"/>
        <v>461</v>
      </c>
      <c r="B467" t="s">
        <v>177</v>
      </c>
      <c r="C467" t="s">
        <v>178</v>
      </c>
      <c r="D467" s="8">
        <v>3667.2661193822746</v>
      </c>
      <c r="F467">
        <f t="shared" si="15"/>
        <v>461</v>
      </c>
      <c r="G467" t="s">
        <v>93</v>
      </c>
      <c r="H467" t="s">
        <v>92</v>
      </c>
      <c r="I467" s="8">
        <v>7491.3079874325513</v>
      </c>
    </row>
    <row r="468" spans="1:9" x14ac:dyDescent="0.35">
      <c r="A468">
        <f t="shared" si="14"/>
        <v>462</v>
      </c>
      <c r="B468" t="s">
        <v>1367</v>
      </c>
      <c r="C468" t="s">
        <v>1368</v>
      </c>
      <c r="D468" s="8">
        <v>736.66484002016409</v>
      </c>
      <c r="F468">
        <f t="shared" si="15"/>
        <v>462</v>
      </c>
      <c r="G468" t="s">
        <v>859</v>
      </c>
      <c r="H468" t="s">
        <v>858</v>
      </c>
      <c r="I468" s="8">
        <v>548.45500650402812</v>
      </c>
    </row>
    <row r="469" spans="1:9" x14ac:dyDescent="0.35">
      <c r="A469">
        <f t="shared" si="14"/>
        <v>463</v>
      </c>
      <c r="B469" t="s">
        <v>829</v>
      </c>
      <c r="C469" t="s">
        <v>830</v>
      </c>
      <c r="D469" s="8">
        <v>3845.7440480957039</v>
      </c>
      <c r="F469">
        <f t="shared" si="15"/>
        <v>463</v>
      </c>
      <c r="G469" t="s">
        <v>108</v>
      </c>
      <c r="H469" t="s">
        <v>2671</v>
      </c>
      <c r="I469" s="8">
        <v>559.30801090701254</v>
      </c>
    </row>
    <row r="470" spans="1:9" x14ac:dyDescent="0.35">
      <c r="A470">
        <f t="shared" si="14"/>
        <v>464</v>
      </c>
      <c r="B470" t="s">
        <v>1298</v>
      </c>
      <c r="C470" t="s">
        <v>271</v>
      </c>
      <c r="D470" s="8">
        <v>3129.1901211951554</v>
      </c>
      <c r="F470">
        <f t="shared" si="15"/>
        <v>464</v>
      </c>
      <c r="H470" t="s">
        <v>107</v>
      </c>
      <c r="I470" s="8">
        <v>22535.744860951374</v>
      </c>
    </row>
    <row r="471" spans="1:9" x14ac:dyDescent="0.35">
      <c r="A471">
        <f t="shared" si="14"/>
        <v>465</v>
      </c>
      <c r="B471" t="s">
        <v>211</v>
      </c>
      <c r="C471" t="s">
        <v>187</v>
      </c>
      <c r="D471" s="8">
        <v>12109.915527173198</v>
      </c>
      <c r="F471">
        <f t="shared" si="15"/>
        <v>465</v>
      </c>
      <c r="G471" t="s">
        <v>410</v>
      </c>
      <c r="H471" t="s">
        <v>482</v>
      </c>
      <c r="I471" s="8">
        <v>13677.379602313837</v>
      </c>
    </row>
    <row r="472" spans="1:9" x14ac:dyDescent="0.35">
      <c r="A472">
        <f t="shared" si="14"/>
        <v>466</v>
      </c>
      <c r="C472" t="s">
        <v>779</v>
      </c>
      <c r="D472" s="8">
        <v>1246.1291256634361</v>
      </c>
      <c r="F472">
        <f t="shared" si="15"/>
        <v>466</v>
      </c>
      <c r="H472" t="s">
        <v>553</v>
      </c>
      <c r="I472" s="8">
        <v>629.07218143356545</v>
      </c>
    </row>
    <row r="473" spans="1:9" x14ac:dyDescent="0.35">
      <c r="A473">
        <f t="shared" si="14"/>
        <v>467</v>
      </c>
      <c r="B473" t="s">
        <v>507</v>
      </c>
      <c r="C473" t="s">
        <v>25</v>
      </c>
      <c r="D473" s="8">
        <v>927.44933285138825</v>
      </c>
      <c r="F473">
        <f t="shared" si="15"/>
        <v>467</v>
      </c>
      <c r="H473" t="s">
        <v>1057</v>
      </c>
      <c r="I473" s="8">
        <v>1255.272505103306</v>
      </c>
    </row>
    <row r="474" spans="1:9" x14ac:dyDescent="0.35">
      <c r="A474">
        <f t="shared" si="14"/>
        <v>468</v>
      </c>
      <c r="B474" t="s">
        <v>566</v>
      </c>
      <c r="C474" t="s">
        <v>353</v>
      </c>
      <c r="D474" s="8">
        <v>971.97127639975656</v>
      </c>
      <c r="F474">
        <f t="shared" si="15"/>
        <v>468</v>
      </c>
      <c r="H474" t="s">
        <v>640</v>
      </c>
      <c r="I474" s="8">
        <v>1571.4379574526624</v>
      </c>
    </row>
    <row r="475" spans="1:9" x14ac:dyDescent="0.35">
      <c r="A475">
        <f t="shared" si="14"/>
        <v>469</v>
      </c>
      <c r="C475" t="s">
        <v>654</v>
      </c>
      <c r="D475" s="8">
        <v>1267.1717284030137</v>
      </c>
      <c r="F475">
        <f t="shared" si="15"/>
        <v>469</v>
      </c>
      <c r="H475" t="s">
        <v>719</v>
      </c>
      <c r="I475" s="8">
        <v>2439.6221270178521</v>
      </c>
    </row>
    <row r="476" spans="1:9" x14ac:dyDescent="0.35">
      <c r="A476">
        <f t="shared" si="14"/>
        <v>470</v>
      </c>
      <c r="B476" t="s">
        <v>1410</v>
      </c>
      <c r="C476" t="s">
        <v>1411</v>
      </c>
      <c r="D476" s="8">
        <v>1337.4592612906563</v>
      </c>
      <c r="F476">
        <f t="shared" si="15"/>
        <v>470</v>
      </c>
      <c r="G476" t="s">
        <v>732</v>
      </c>
      <c r="H476" t="s">
        <v>731</v>
      </c>
      <c r="I476" s="8">
        <v>5724.6650514530083</v>
      </c>
    </row>
    <row r="477" spans="1:9" x14ac:dyDescent="0.35">
      <c r="A477">
        <f t="shared" si="14"/>
        <v>471</v>
      </c>
      <c r="B477" t="s">
        <v>294</v>
      </c>
      <c r="C477" t="s">
        <v>16</v>
      </c>
      <c r="D477" s="8">
        <v>31924.859663546231</v>
      </c>
      <c r="F477">
        <f t="shared" si="15"/>
        <v>471</v>
      </c>
      <c r="G477" t="s">
        <v>2630</v>
      </c>
      <c r="H477" t="s">
        <v>2629</v>
      </c>
      <c r="I477" s="8">
        <v>1894.7906150702861</v>
      </c>
    </row>
    <row r="478" spans="1:9" x14ac:dyDescent="0.35">
      <c r="A478">
        <f t="shared" si="14"/>
        <v>472</v>
      </c>
      <c r="B478" t="s">
        <v>978</v>
      </c>
      <c r="C478" t="s">
        <v>979</v>
      </c>
      <c r="D478" s="8">
        <v>1083.4182989908793</v>
      </c>
      <c r="F478">
        <f t="shared" si="15"/>
        <v>472</v>
      </c>
      <c r="G478" t="s">
        <v>737</v>
      </c>
      <c r="H478" t="s">
        <v>411</v>
      </c>
      <c r="I478" s="8">
        <v>8253.8453329767581</v>
      </c>
    </row>
    <row r="479" spans="1:9" x14ac:dyDescent="0.35">
      <c r="A479">
        <f t="shared" si="14"/>
        <v>473</v>
      </c>
      <c r="B479" t="s">
        <v>2474</v>
      </c>
      <c r="C479" t="s">
        <v>717</v>
      </c>
      <c r="D479" s="8">
        <v>2557.2063397655315</v>
      </c>
      <c r="F479">
        <f t="shared" si="15"/>
        <v>473</v>
      </c>
      <c r="H479" t="s">
        <v>1184</v>
      </c>
      <c r="I479" s="8">
        <v>1299.0514296818933</v>
      </c>
    </row>
    <row r="480" spans="1:9" x14ac:dyDescent="0.35">
      <c r="A480">
        <f t="shared" si="14"/>
        <v>474</v>
      </c>
      <c r="B480" t="s">
        <v>1057</v>
      </c>
      <c r="C480" t="s">
        <v>410</v>
      </c>
      <c r="D480" s="8">
        <v>1255.272505103306</v>
      </c>
      <c r="F480">
        <f t="shared" si="15"/>
        <v>474</v>
      </c>
      <c r="H480" t="s">
        <v>1442</v>
      </c>
      <c r="I480" s="8">
        <v>1348.9535479811641</v>
      </c>
    </row>
    <row r="481" spans="1:9" x14ac:dyDescent="0.35">
      <c r="A481">
        <f t="shared" si="14"/>
        <v>475</v>
      </c>
      <c r="B481" t="s">
        <v>759</v>
      </c>
      <c r="C481" t="s">
        <v>760</v>
      </c>
      <c r="D481" s="8">
        <v>3447.232703885415</v>
      </c>
      <c r="F481">
        <f t="shared" si="15"/>
        <v>475</v>
      </c>
      <c r="G481" t="s">
        <v>128</v>
      </c>
      <c r="H481" t="s">
        <v>1053</v>
      </c>
      <c r="I481" s="8">
        <v>5987.1690481163005</v>
      </c>
    </row>
    <row r="482" spans="1:9" x14ac:dyDescent="0.35">
      <c r="A482">
        <f t="shared" si="14"/>
        <v>476</v>
      </c>
      <c r="B482" t="s">
        <v>1059</v>
      </c>
      <c r="C482" t="s">
        <v>64</v>
      </c>
      <c r="D482" s="8">
        <v>1643.4526764861873</v>
      </c>
      <c r="F482">
        <f t="shared" si="15"/>
        <v>476</v>
      </c>
      <c r="H482" t="s">
        <v>127</v>
      </c>
      <c r="I482" s="8">
        <v>3569.3739096150462</v>
      </c>
    </row>
    <row r="483" spans="1:9" x14ac:dyDescent="0.35">
      <c r="A483">
        <f t="shared" si="14"/>
        <v>477</v>
      </c>
      <c r="B483" t="s">
        <v>202</v>
      </c>
      <c r="C483" t="s">
        <v>205</v>
      </c>
      <c r="D483" s="8">
        <v>15644.501304805866</v>
      </c>
      <c r="F483">
        <f t="shared" si="15"/>
        <v>477</v>
      </c>
      <c r="H483" t="s">
        <v>461</v>
      </c>
      <c r="I483" s="8">
        <v>958.60731484177484</v>
      </c>
    </row>
    <row r="484" spans="1:9" x14ac:dyDescent="0.35">
      <c r="A484">
        <f t="shared" si="14"/>
        <v>478</v>
      </c>
      <c r="B484" t="s">
        <v>1156</v>
      </c>
      <c r="C484" t="s">
        <v>1157</v>
      </c>
      <c r="D484" s="8">
        <v>2036.6288953621611</v>
      </c>
      <c r="F484">
        <f t="shared" si="15"/>
        <v>478</v>
      </c>
      <c r="G484" t="s">
        <v>61</v>
      </c>
      <c r="H484" t="s">
        <v>689</v>
      </c>
      <c r="I484" s="8">
        <v>6029.5547559325505</v>
      </c>
    </row>
    <row r="485" spans="1:9" x14ac:dyDescent="0.35">
      <c r="A485">
        <f t="shared" si="14"/>
        <v>479</v>
      </c>
      <c r="B485" t="s">
        <v>1013</v>
      </c>
      <c r="C485" t="s">
        <v>1456</v>
      </c>
      <c r="D485" s="8">
        <v>2244.6658144774319</v>
      </c>
      <c r="F485">
        <f t="shared" si="15"/>
        <v>479</v>
      </c>
      <c r="H485" t="s">
        <v>366</v>
      </c>
      <c r="I485" s="8">
        <v>32337.961505250343</v>
      </c>
    </row>
    <row r="486" spans="1:9" x14ac:dyDescent="0.35">
      <c r="A486">
        <f t="shared" si="14"/>
        <v>480</v>
      </c>
      <c r="B486" t="s">
        <v>895</v>
      </c>
      <c r="C486" t="s">
        <v>67</v>
      </c>
      <c r="D486" s="8">
        <v>3196.5117381161981</v>
      </c>
      <c r="F486">
        <f t="shared" si="15"/>
        <v>480</v>
      </c>
      <c r="H486" t="s">
        <v>1279</v>
      </c>
      <c r="I486" s="8">
        <v>507.44958487094482</v>
      </c>
    </row>
    <row r="487" spans="1:9" x14ac:dyDescent="0.35">
      <c r="A487">
        <f t="shared" si="14"/>
        <v>481</v>
      </c>
      <c r="C487" t="s">
        <v>38</v>
      </c>
      <c r="D487" s="8">
        <v>1870.8531016273423</v>
      </c>
      <c r="F487">
        <f t="shared" si="15"/>
        <v>481</v>
      </c>
      <c r="H487" t="s">
        <v>60</v>
      </c>
      <c r="I487" s="8">
        <v>1874.8957863533469</v>
      </c>
    </row>
    <row r="488" spans="1:9" x14ac:dyDescent="0.35">
      <c r="A488">
        <f t="shared" si="14"/>
        <v>482</v>
      </c>
      <c r="B488" t="s">
        <v>2369</v>
      </c>
      <c r="C488" t="s">
        <v>139</v>
      </c>
      <c r="D488" s="8">
        <v>2344.1465625148207</v>
      </c>
      <c r="F488">
        <f t="shared" si="15"/>
        <v>482</v>
      </c>
      <c r="G488" t="s">
        <v>2004</v>
      </c>
      <c r="H488" t="s">
        <v>1714</v>
      </c>
      <c r="I488" s="8">
        <v>1892.0946026904803</v>
      </c>
    </row>
    <row r="489" spans="1:9" x14ac:dyDescent="0.35">
      <c r="A489">
        <f t="shared" si="14"/>
        <v>483</v>
      </c>
      <c r="B489" t="s">
        <v>1279</v>
      </c>
      <c r="C489" t="s">
        <v>61</v>
      </c>
      <c r="D489" s="8">
        <v>507.44958487094482</v>
      </c>
      <c r="F489">
        <f t="shared" si="15"/>
        <v>483</v>
      </c>
      <c r="G489" t="s">
        <v>450</v>
      </c>
      <c r="H489" t="s">
        <v>449</v>
      </c>
      <c r="I489" s="8">
        <v>404.05723688054348</v>
      </c>
    </row>
    <row r="490" spans="1:9" x14ac:dyDescent="0.35">
      <c r="A490">
        <f t="shared" si="14"/>
        <v>484</v>
      </c>
      <c r="C490" t="s">
        <v>429</v>
      </c>
      <c r="D490" s="8">
        <v>728.02180139384132</v>
      </c>
      <c r="F490">
        <f t="shared" si="15"/>
        <v>484</v>
      </c>
      <c r="G490" t="s">
        <v>530</v>
      </c>
      <c r="H490" t="s">
        <v>529</v>
      </c>
      <c r="I490" s="8">
        <v>1525.0448070368452</v>
      </c>
    </row>
    <row r="491" spans="1:9" x14ac:dyDescent="0.35">
      <c r="A491">
        <f t="shared" si="14"/>
        <v>485</v>
      </c>
      <c r="B491" t="s">
        <v>360</v>
      </c>
      <c r="C491" t="s">
        <v>361</v>
      </c>
      <c r="D491" s="8">
        <v>1923.5162698957283</v>
      </c>
      <c r="F491">
        <f t="shared" si="15"/>
        <v>485</v>
      </c>
      <c r="G491" t="s">
        <v>564</v>
      </c>
      <c r="H491" t="s">
        <v>563</v>
      </c>
      <c r="I491" s="8">
        <v>4016.3155205666262</v>
      </c>
    </row>
    <row r="492" spans="1:9" x14ac:dyDescent="0.35">
      <c r="A492">
        <f t="shared" si="14"/>
        <v>486</v>
      </c>
      <c r="B492" t="s">
        <v>1505</v>
      </c>
      <c r="C492" t="s">
        <v>52</v>
      </c>
      <c r="D492" s="8">
        <v>2973.1278535996989</v>
      </c>
      <c r="F492">
        <f t="shared" si="15"/>
        <v>486</v>
      </c>
      <c r="H492" t="s">
        <v>716</v>
      </c>
      <c r="I492" s="8">
        <v>2418.3987869946195</v>
      </c>
    </row>
    <row r="493" spans="1:9" x14ac:dyDescent="0.35">
      <c r="A493">
        <f t="shared" si="14"/>
        <v>487</v>
      </c>
      <c r="B493" t="s">
        <v>1374</v>
      </c>
      <c r="C493" t="s">
        <v>71</v>
      </c>
      <c r="D493" s="8">
        <v>984.20573281676843</v>
      </c>
      <c r="F493">
        <f t="shared" si="15"/>
        <v>487</v>
      </c>
      <c r="G493" t="s">
        <v>252</v>
      </c>
      <c r="H493" t="s">
        <v>880</v>
      </c>
      <c r="I493" s="8">
        <v>3687.707279624819</v>
      </c>
    </row>
    <row r="494" spans="1:9" x14ac:dyDescent="0.35">
      <c r="A494">
        <f t="shared" si="14"/>
        <v>488</v>
      </c>
      <c r="B494" t="s">
        <v>2616</v>
      </c>
      <c r="C494" t="s">
        <v>848</v>
      </c>
      <c r="D494" s="8">
        <v>1051.1525224473814</v>
      </c>
      <c r="F494">
        <f t="shared" si="15"/>
        <v>488</v>
      </c>
      <c r="H494" t="s">
        <v>251</v>
      </c>
      <c r="I494" s="8">
        <v>32468.915902200584</v>
      </c>
    </row>
    <row r="495" spans="1:9" x14ac:dyDescent="0.35">
      <c r="A495">
        <f t="shared" si="14"/>
        <v>489</v>
      </c>
      <c r="B495" t="s">
        <v>1415</v>
      </c>
      <c r="C495" t="s">
        <v>196</v>
      </c>
      <c r="D495" s="8">
        <v>1410.1744650890491</v>
      </c>
      <c r="F495">
        <f t="shared" si="15"/>
        <v>489</v>
      </c>
      <c r="G495" t="s">
        <v>757</v>
      </c>
      <c r="H495" t="s">
        <v>756</v>
      </c>
      <c r="I495" s="8">
        <v>1102.6623418971481</v>
      </c>
    </row>
    <row r="496" spans="1:9" x14ac:dyDescent="0.35">
      <c r="A496">
        <f t="shared" si="14"/>
        <v>490</v>
      </c>
      <c r="B496" t="s">
        <v>799</v>
      </c>
      <c r="C496" t="s">
        <v>1149</v>
      </c>
      <c r="D496" s="8">
        <v>763.42799356293722</v>
      </c>
      <c r="F496">
        <f t="shared" si="15"/>
        <v>490</v>
      </c>
      <c r="G496" t="s">
        <v>1516</v>
      </c>
      <c r="H496" t="s">
        <v>2502</v>
      </c>
      <c r="I496" s="8">
        <v>713.21044345062899</v>
      </c>
    </row>
    <row r="497" spans="1:9" x14ac:dyDescent="0.35">
      <c r="A497">
        <f t="shared" si="14"/>
        <v>491</v>
      </c>
      <c r="C497" t="s">
        <v>935</v>
      </c>
      <c r="D497" s="8">
        <v>2081.6730008255013</v>
      </c>
      <c r="F497">
        <f t="shared" si="15"/>
        <v>491</v>
      </c>
      <c r="H497" t="s">
        <v>394</v>
      </c>
      <c r="I497" s="8">
        <v>5431.2786340975163</v>
      </c>
    </row>
    <row r="498" spans="1:9" x14ac:dyDescent="0.35">
      <c r="A498">
        <f t="shared" si="14"/>
        <v>492</v>
      </c>
      <c r="C498" t="s">
        <v>1379</v>
      </c>
      <c r="D498" s="8">
        <v>1073.8524125425581</v>
      </c>
      <c r="F498">
        <f t="shared" si="15"/>
        <v>492</v>
      </c>
      <c r="G498" t="s">
        <v>598</v>
      </c>
      <c r="H498" t="s">
        <v>597</v>
      </c>
      <c r="I498" s="8">
        <v>10857.834275123152</v>
      </c>
    </row>
    <row r="499" spans="1:9" x14ac:dyDescent="0.35">
      <c r="A499">
        <f t="shared" si="14"/>
        <v>493</v>
      </c>
      <c r="B499" t="s">
        <v>2638</v>
      </c>
      <c r="C499" t="s">
        <v>2639</v>
      </c>
      <c r="D499" s="8">
        <v>1946.1498315176318</v>
      </c>
      <c r="F499">
        <f t="shared" si="15"/>
        <v>493</v>
      </c>
      <c r="G499" t="s">
        <v>26</v>
      </c>
      <c r="H499" t="s">
        <v>25</v>
      </c>
      <c r="I499" s="8">
        <v>1644.3481302951279</v>
      </c>
    </row>
    <row r="500" spans="1:9" x14ac:dyDescent="0.35">
      <c r="A500">
        <f t="shared" si="14"/>
        <v>494</v>
      </c>
      <c r="B500" t="s">
        <v>306</v>
      </c>
      <c r="C500" t="s">
        <v>694</v>
      </c>
      <c r="D500" s="8">
        <v>23632.145602198703</v>
      </c>
      <c r="F500">
        <f t="shared" si="15"/>
        <v>494</v>
      </c>
      <c r="G500" t="s">
        <v>649</v>
      </c>
      <c r="H500" t="s">
        <v>648</v>
      </c>
      <c r="I500" s="8">
        <v>3611.7940918852432</v>
      </c>
    </row>
    <row r="501" spans="1:9" x14ac:dyDescent="0.35">
      <c r="A501">
        <f t="shared" si="14"/>
        <v>495</v>
      </c>
      <c r="B501" t="s">
        <v>442</v>
      </c>
      <c r="C501" t="s">
        <v>429</v>
      </c>
      <c r="D501" s="8">
        <v>9100.8459190632366</v>
      </c>
      <c r="F501">
        <f t="shared" si="15"/>
        <v>495</v>
      </c>
      <c r="G501" t="s">
        <v>2383</v>
      </c>
      <c r="H501" t="s">
        <v>2323</v>
      </c>
      <c r="I501" s="8">
        <v>4914.2398998736126</v>
      </c>
    </row>
    <row r="502" spans="1:9" x14ac:dyDescent="0.35">
      <c r="A502">
        <f t="shared" si="14"/>
        <v>496</v>
      </c>
      <c r="B502" t="s">
        <v>868</v>
      </c>
      <c r="C502" t="s">
        <v>63</v>
      </c>
      <c r="D502" s="8">
        <v>9041.5737628101542</v>
      </c>
      <c r="F502">
        <f t="shared" si="15"/>
        <v>496</v>
      </c>
      <c r="H502" t="s">
        <v>517</v>
      </c>
      <c r="I502" s="8">
        <v>950.2025316375848</v>
      </c>
    </row>
    <row r="503" spans="1:9" x14ac:dyDescent="0.35">
      <c r="A503">
        <f t="shared" si="14"/>
        <v>497</v>
      </c>
      <c r="B503" t="s">
        <v>2411</v>
      </c>
      <c r="C503" t="s">
        <v>44</v>
      </c>
      <c r="D503" s="8">
        <v>1213.0748253088514</v>
      </c>
      <c r="F503">
        <f t="shared" si="15"/>
        <v>497</v>
      </c>
      <c r="G503" t="s">
        <v>1253</v>
      </c>
      <c r="H503" t="s">
        <v>1252</v>
      </c>
      <c r="I503" s="8">
        <v>265.70203332223821</v>
      </c>
    </row>
    <row r="504" spans="1:9" x14ac:dyDescent="0.35">
      <c r="A504">
        <f t="shared" si="14"/>
        <v>498</v>
      </c>
      <c r="B504" t="s">
        <v>1151</v>
      </c>
      <c r="C504" t="s">
        <v>634</v>
      </c>
      <c r="D504" s="8">
        <v>1462.3979978989562</v>
      </c>
      <c r="F504">
        <f t="shared" si="15"/>
        <v>498</v>
      </c>
      <c r="G504" t="s">
        <v>167</v>
      </c>
      <c r="H504" t="s">
        <v>166</v>
      </c>
      <c r="I504" s="8">
        <v>483.0708663695163</v>
      </c>
    </row>
    <row r="505" spans="1:9" x14ac:dyDescent="0.35">
      <c r="A505">
        <f t="shared" si="14"/>
        <v>499</v>
      </c>
      <c r="B505" t="s">
        <v>866</v>
      </c>
      <c r="C505" t="s">
        <v>421</v>
      </c>
      <c r="D505" s="8">
        <v>1128.0647339808954</v>
      </c>
      <c r="F505">
        <f t="shared" si="15"/>
        <v>499</v>
      </c>
      <c r="G505" t="s">
        <v>808</v>
      </c>
      <c r="H505" t="s">
        <v>807</v>
      </c>
      <c r="I505" s="8">
        <v>1921.686475483602</v>
      </c>
    </row>
    <row r="506" spans="1:9" x14ac:dyDescent="0.35">
      <c r="A506">
        <f t="shared" si="14"/>
        <v>500</v>
      </c>
      <c r="C506" t="s">
        <v>142</v>
      </c>
      <c r="D506" s="8">
        <v>3531.2420375272604</v>
      </c>
      <c r="F506">
        <f t="shared" si="15"/>
        <v>500</v>
      </c>
      <c r="H506" t="s">
        <v>406</v>
      </c>
      <c r="I506" s="8">
        <v>1313.8672203691533</v>
      </c>
    </row>
    <row r="507" spans="1:9" x14ac:dyDescent="0.35">
      <c r="A507">
        <f t="shared" si="14"/>
        <v>501</v>
      </c>
      <c r="C507" t="s">
        <v>247</v>
      </c>
      <c r="D507" s="8">
        <v>361.21720164729766</v>
      </c>
      <c r="F507">
        <f t="shared" si="15"/>
        <v>501</v>
      </c>
      <c r="H507" t="s">
        <v>1283</v>
      </c>
      <c r="I507" s="8">
        <v>165.99093215135531</v>
      </c>
    </row>
    <row r="508" spans="1:9" x14ac:dyDescent="0.35">
      <c r="A508">
        <f t="shared" si="14"/>
        <v>502</v>
      </c>
      <c r="B508" t="s">
        <v>670</v>
      </c>
      <c r="C508" t="s">
        <v>16</v>
      </c>
      <c r="D508" s="8">
        <v>1380.2112417116059</v>
      </c>
      <c r="F508">
        <f t="shared" si="15"/>
        <v>502</v>
      </c>
      <c r="G508" t="s">
        <v>487</v>
      </c>
      <c r="H508" t="s">
        <v>1100</v>
      </c>
      <c r="I508" s="8">
        <v>309.33583025305779</v>
      </c>
    </row>
    <row r="509" spans="1:9" x14ac:dyDescent="0.35">
      <c r="A509">
        <f t="shared" si="14"/>
        <v>503</v>
      </c>
      <c r="B509" t="s">
        <v>537</v>
      </c>
      <c r="C509" t="s">
        <v>538</v>
      </c>
      <c r="D509" s="8">
        <v>11587.516988550782</v>
      </c>
      <c r="F509">
        <f t="shared" si="15"/>
        <v>503</v>
      </c>
      <c r="H509" t="s">
        <v>486</v>
      </c>
      <c r="I509" s="8">
        <v>3195.8047231711371</v>
      </c>
    </row>
    <row r="510" spans="1:9" x14ac:dyDescent="0.35">
      <c r="A510">
        <f t="shared" si="14"/>
        <v>504</v>
      </c>
      <c r="B510" t="s">
        <v>273</v>
      </c>
      <c r="C510" t="s">
        <v>79</v>
      </c>
      <c r="D510" s="8">
        <v>589.61936615231866</v>
      </c>
      <c r="F510">
        <f t="shared" si="15"/>
        <v>504</v>
      </c>
      <c r="G510" t="s">
        <v>872</v>
      </c>
      <c r="H510" t="s">
        <v>871</v>
      </c>
      <c r="I510" s="8">
        <v>1030.4893221479003</v>
      </c>
    </row>
    <row r="511" spans="1:9" x14ac:dyDescent="0.35">
      <c r="A511">
        <f t="shared" si="14"/>
        <v>505</v>
      </c>
      <c r="C511" t="s">
        <v>218</v>
      </c>
      <c r="D511" s="8">
        <v>20220.138162676059</v>
      </c>
      <c r="F511">
        <f t="shared" si="15"/>
        <v>505</v>
      </c>
      <c r="G511" t="s">
        <v>1331</v>
      </c>
      <c r="H511" t="s">
        <v>1330</v>
      </c>
      <c r="I511" s="8">
        <v>1565.1479079951914</v>
      </c>
    </row>
    <row r="512" spans="1:9" x14ac:dyDescent="0.35">
      <c r="A512">
        <f t="shared" si="14"/>
        <v>506</v>
      </c>
      <c r="B512" t="s">
        <v>1254</v>
      </c>
      <c r="C512" t="s">
        <v>44</v>
      </c>
      <c r="D512" s="8">
        <v>523.02310110081339</v>
      </c>
      <c r="F512">
        <f t="shared" si="15"/>
        <v>506</v>
      </c>
      <c r="G512" t="s">
        <v>139</v>
      </c>
      <c r="H512" t="s">
        <v>1064</v>
      </c>
      <c r="I512" s="8">
        <v>714.0337507718948</v>
      </c>
    </row>
    <row r="513" spans="1:9" x14ac:dyDescent="0.35">
      <c r="A513">
        <f t="shared" si="14"/>
        <v>507</v>
      </c>
      <c r="B513" t="s">
        <v>965</v>
      </c>
      <c r="C513" t="s">
        <v>44</v>
      </c>
      <c r="D513" s="8">
        <v>11510.505774747771</v>
      </c>
      <c r="F513">
        <f t="shared" si="15"/>
        <v>507</v>
      </c>
      <c r="H513" t="s">
        <v>2370</v>
      </c>
      <c r="I513" s="8">
        <v>1263.2414347745814</v>
      </c>
    </row>
    <row r="514" spans="1:9" x14ac:dyDescent="0.35">
      <c r="A514">
        <f t="shared" si="14"/>
        <v>508</v>
      </c>
      <c r="B514" t="s">
        <v>180</v>
      </c>
      <c r="C514" t="s">
        <v>181</v>
      </c>
      <c r="D514" s="8">
        <v>1317.0181010481117</v>
      </c>
      <c r="F514">
        <f t="shared" si="15"/>
        <v>508</v>
      </c>
      <c r="H514" t="s">
        <v>1164</v>
      </c>
      <c r="I514" s="8">
        <v>686.38087702799828</v>
      </c>
    </row>
    <row r="515" spans="1:9" x14ac:dyDescent="0.35">
      <c r="A515">
        <f t="shared" si="14"/>
        <v>509</v>
      </c>
      <c r="C515" t="s">
        <v>218</v>
      </c>
      <c r="D515" s="8">
        <v>2856.9835037829262</v>
      </c>
      <c r="F515">
        <f t="shared" si="15"/>
        <v>509</v>
      </c>
      <c r="H515" t="s">
        <v>2432</v>
      </c>
      <c r="I515" s="8">
        <v>7787.0068143798562</v>
      </c>
    </row>
    <row r="516" spans="1:9" x14ac:dyDescent="0.35">
      <c r="A516">
        <f t="shared" si="14"/>
        <v>510</v>
      </c>
      <c r="B516" t="s">
        <v>2496</v>
      </c>
      <c r="C516" t="s">
        <v>2497</v>
      </c>
      <c r="D516" s="8">
        <v>2204.1199826559246</v>
      </c>
      <c r="F516">
        <f t="shared" si="15"/>
        <v>510</v>
      </c>
      <c r="H516" t="s">
        <v>265</v>
      </c>
      <c r="I516" s="8">
        <v>12961.154592237408</v>
      </c>
    </row>
    <row r="517" spans="1:9" x14ac:dyDescent="0.35">
      <c r="A517">
        <f t="shared" si="14"/>
        <v>511</v>
      </c>
      <c r="B517" t="s">
        <v>1421</v>
      </c>
      <c r="C517" t="s">
        <v>13</v>
      </c>
      <c r="D517" s="8">
        <v>1051.1525224473812</v>
      </c>
      <c r="F517">
        <f t="shared" si="15"/>
        <v>511</v>
      </c>
      <c r="H517" t="s">
        <v>1313</v>
      </c>
      <c r="I517" s="8">
        <v>1778.1512503836436</v>
      </c>
    </row>
    <row r="518" spans="1:9" x14ac:dyDescent="0.35">
      <c r="A518">
        <f t="shared" si="14"/>
        <v>512</v>
      </c>
      <c r="B518" t="s">
        <v>1781</v>
      </c>
      <c r="C518" t="s">
        <v>528</v>
      </c>
      <c r="D518" s="8">
        <v>2144.0134657861981</v>
      </c>
      <c r="F518">
        <f t="shared" si="15"/>
        <v>512</v>
      </c>
      <c r="H518" t="s">
        <v>2369</v>
      </c>
      <c r="I518" s="8">
        <v>2344.1465625148207</v>
      </c>
    </row>
    <row r="519" spans="1:9" x14ac:dyDescent="0.35">
      <c r="A519">
        <f t="shared" si="14"/>
        <v>513</v>
      </c>
      <c r="B519" t="s">
        <v>2418</v>
      </c>
      <c r="C519" t="s">
        <v>782</v>
      </c>
      <c r="D519" s="8">
        <v>3033.4237554869496</v>
      </c>
      <c r="F519">
        <f t="shared" si="15"/>
        <v>513</v>
      </c>
      <c r="H519" t="s">
        <v>144</v>
      </c>
      <c r="I519" s="8">
        <v>1204.1199826559248</v>
      </c>
    </row>
    <row r="520" spans="1:9" x14ac:dyDescent="0.35">
      <c r="A520">
        <f t="shared" si="14"/>
        <v>514</v>
      </c>
      <c r="B520" t="s">
        <v>667</v>
      </c>
      <c r="C520" t="s">
        <v>668</v>
      </c>
      <c r="D520" s="8">
        <v>1778.1512503836434</v>
      </c>
      <c r="F520">
        <f t="shared" si="15"/>
        <v>514</v>
      </c>
      <c r="H520" t="s">
        <v>1076</v>
      </c>
      <c r="I520" s="8">
        <v>3438.4546341898913</v>
      </c>
    </row>
    <row r="521" spans="1:9" x14ac:dyDescent="0.35">
      <c r="A521">
        <f t="shared" ref="A521:A584" si="16">A520+1</f>
        <v>515</v>
      </c>
      <c r="B521" t="s">
        <v>999</v>
      </c>
      <c r="C521" t="s">
        <v>815</v>
      </c>
      <c r="D521" s="8">
        <v>10873.056638007001</v>
      </c>
      <c r="F521">
        <f t="shared" ref="F521:F584" si="17">F520+1</f>
        <v>515</v>
      </c>
      <c r="H521" t="s">
        <v>841</v>
      </c>
      <c r="I521" s="8">
        <v>2008.6001717619174</v>
      </c>
    </row>
    <row r="522" spans="1:9" x14ac:dyDescent="0.35">
      <c r="A522">
        <f t="shared" si="16"/>
        <v>516</v>
      </c>
      <c r="B522" t="s">
        <v>296</v>
      </c>
      <c r="C522" t="s">
        <v>297</v>
      </c>
      <c r="D522" s="8">
        <v>4234.7197046218753</v>
      </c>
      <c r="F522">
        <f t="shared" si="17"/>
        <v>516</v>
      </c>
      <c r="H522" t="s">
        <v>775</v>
      </c>
      <c r="I522" s="8">
        <v>5775.1205542401067</v>
      </c>
    </row>
    <row r="523" spans="1:9" x14ac:dyDescent="0.35">
      <c r="A523">
        <f t="shared" si="16"/>
        <v>517</v>
      </c>
      <c r="B523" t="s">
        <v>1352</v>
      </c>
      <c r="C523" t="s">
        <v>528</v>
      </c>
      <c r="D523" s="8">
        <v>236.08918873096661</v>
      </c>
      <c r="F523">
        <f t="shared" si="17"/>
        <v>517</v>
      </c>
      <c r="H523" t="s">
        <v>896</v>
      </c>
      <c r="I523" s="8">
        <v>2885.8877396629655</v>
      </c>
    </row>
    <row r="524" spans="1:9" x14ac:dyDescent="0.35">
      <c r="A524">
        <f t="shared" si="16"/>
        <v>518</v>
      </c>
      <c r="B524" t="s">
        <v>536</v>
      </c>
      <c r="C524" t="s">
        <v>52</v>
      </c>
      <c r="D524" s="8">
        <v>3085.7121132065831</v>
      </c>
      <c r="F524">
        <f t="shared" si="17"/>
        <v>518</v>
      </c>
      <c r="H524" t="s">
        <v>2287</v>
      </c>
      <c r="I524" s="8">
        <v>1724.2758696007888</v>
      </c>
    </row>
    <row r="525" spans="1:9" x14ac:dyDescent="0.35">
      <c r="A525">
        <f t="shared" si="16"/>
        <v>519</v>
      </c>
      <c r="B525" t="s">
        <v>318</v>
      </c>
      <c r="C525" t="s">
        <v>44</v>
      </c>
      <c r="D525" s="8">
        <v>4853.1080035241157</v>
      </c>
      <c r="F525">
        <f t="shared" si="17"/>
        <v>519</v>
      </c>
      <c r="H525" t="s">
        <v>334</v>
      </c>
      <c r="I525" s="8">
        <v>974.44589552761204</v>
      </c>
    </row>
    <row r="526" spans="1:9" x14ac:dyDescent="0.35">
      <c r="A526">
        <f t="shared" si="16"/>
        <v>520</v>
      </c>
      <c r="B526" t="s">
        <v>14</v>
      </c>
      <c r="C526" t="s">
        <v>11</v>
      </c>
      <c r="D526" s="8">
        <v>25616.707886438948</v>
      </c>
      <c r="F526">
        <f t="shared" si="17"/>
        <v>520</v>
      </c>
      <c r="H526" t="s">
        <v>593</v>
      </c>
      <c r="I526" s="8">
        <v>7583.1253716892334</v>
      </c>
    </row>
    <row r="527" spans="1:9" x14ac:dyDescent="0.35">
      <c r="A527">
        <f t="shared" si="16"/>
        <v>521</v>
      </c>
      <c r="B527" t="s">
        <v>1174</v>
      </c>
      <c r="C527" t="s">
        <v>196</v>
      </c>
      <c r="D527" s="8">
        <v>2855.5904098897654</v>
      </c>
      <c r="F527">
        <f t="shared" si="17"/>
        <v>521</v>
      </c>
      <c r="H527" t="s">
        <v>138</v>
      </c>
      <c r="I527" s="8">
        <v>2064.4579892269185</v>
      </c>
    </row>
    <row r="528" spans="1:9" x14ac:dyDescent="0.35">
      <c r="A528">
        <f t="shared" si="16"/>
        <v>522</v>
      </c>
      <c r="B528" t="s">
        <v>727</v>
      </c>
      <c r="C528" t="s">
        <v>73</v>
      </c>
      <c r="D528" s="8">
        <v>1041.3926851582253</v>
      </c>
      <c r="F528">
        <f t="shared" si="17"/>
        <v>522</v>
      </c>
      <c r="H528" t="s">
        <v>777</v>
      </c>
      <c r="I528" s="8">
        <v>1450.2491083193609</v>
      </c>
    </row>
    <row r="529" spans="1:9" x14ac:dyDescent="0.35">
      <c r="A529">
        <f t="shared" si="16"/>
        <v>523</v>
      </c>
      <c r="B529" t="s">
        <v>246</v>
      </c>
      <c r="C529" t="s">
        <v>247</v>
      </c>
      <c r="D529" s="8">
        <v>1778.0171881872084</v>
      </c>
      <c r="F529">
        <f t="shared" si="17"/>
        <v>523</v>
      </c>
      <c r="G529" t="s">
        <v>243</v>
      </c>
      <c r="H529" t="s">
        <v>118</v>
      </c>
      <c r="I529" s="8">
        <v>3232.5180429990892</v>
      </c>
    </row>
    <row r="530" spans="1:9" x14ac:dyDescent="0.35">
      <c r="A530">
        <f t="shared" si="16"/>
        <v>524</v>
      </c>
      <c r="B530" t="s">
        <v>266</v>
      </c>
      <c r="C530" t="s">
        <v>28</v>
      </c>
      <c r="D530" s="8">
        <v>30760.907780554346</v>
      </c>
      <c r="F530">
        <f t="shared" si="17"/>
        <v>524</v>
      </c>
      <c r="G530" t="s">
        <v>799</v>
      </c>
      <c r="H530" t="s">
        <v>2317</v>
      </c>
      <c r="I530" s="8">
        <v>935.75910374531168</v>
      </c>
    </row>
    <row r="531" spans="1:9" x14ac:dyDescent="0.35">
      <c r="A531">
        <f t="shared" si="16"/>
        <v>525</v>
      </c>
      <c r="B531" t="s">
        <v>1278</v>
      </c>
      <c r="C531" t="s">
        <v>16</v>
      </c>
      <c r="D531" s="8">
        <v>221.84874961635637</v>
      </c>
      <c r="F531">
        <f t="shared" si="17"/>
        <v>525</v>
      </c>
      <c r="H531" t="s">
        <v>798</v>
      </c>
      <c r="I531" s="8">
        <v>1113.9433523068367</v>
      </c>
    </row>
    <row r="532" spans="1:9" x14ac:dyDescent="0.35">
      <c r="A532">
        <f t="shared" si="16"/>
        <v>526</v>
      </c>
      <c r="B532" t="s">
        <v>1127</v>
      </c>
      <c r="C532" t="s">
        <v>843</v>
      </c>
      <c r="D532" s="8">
        <v>1241.6571429699088</v>
      </c>
      <c r="F532">
        <f t="shared" si="17"/>
        <v>526</v>
      </c>
      <c r="G532" t="s">
        <v>1190</v>
      </c>
      <c r="H532" t="s">
        <v>1189</v>
      </c>
      <c r="I532" s="8">
        <v>1977.1898870883083</v>
      </c>
    </row>
    <row r="533" spans="1:9" x14ac:dyDescent="0.35">
      <c r="A533">
        <f t="shared" si="16"/>
        <v>527</v>
      </c>
      <c r="B533" t="s">
        <v>1024</v>
      </c>
      <c r="C533" t="s">
        <v>271</v>
      </c>
      <c r="D533" s="8">
        <v>2037.537160313984</v>
      </c>
      <c r="F533">
        <f t="shared" si="17"/>
        <v>527</v>
      </c>
      <c r="G533" t="s">
        <v>1355</v>
      </c>
      <c r="H533" t="s">
        <v>1354</v>
      </c>
      <c r="I533" s="8">
        <v>734.39974252056697</v>
      </c>
    </row>
    <row r="534" spans="1:9" x14ac:dyDescent="0.35">
      <c r="A534">
        <f t="shared" si="16"/>
        <v>528</v>
      </c>
      <c r="B534" t="s">
        <v>185</v>
      </c>
      <c r="C534" t="s">
        <v>20</v>
      </c>
      <c r="D534" s="8">
        <v>3354.0016673012819</v>
      </c>
      <c r="F534">
        <f t="shared" si="17"/>
        <v>528</v>
      </c>
      <c r="G534" t="s">
        <v>429</v>
      </c>
      <c r="H534" t="s">
        <v>428</v>
      </c>
      <c r="I534" s="8">
        <v>1736.6557614654632</v>
      </c>
    </row>
    <row r="535" spans="1:9" x14ac:dyDescent="0.35">
      <c r="A535">
        <f t="shared" si="16"/>
        <v>529</v>
      </c>
      <c r="C535" t="s">
        <v>2280</v>
      </c>
      <c r="D535" s="8">
        <v>1525.0448070368452</v>
      </c>
      <c r="F535">
        <f t="shared" si="17"/>
        <v>529</v>
      </c>
      <c r="H535" t="s">
        <v>1279</v>
      </c>
      <c r="I535" s="8">
        <v>728.02180139384132</v>
      </c>
    </row>
    <row r="536" spans="1:9" x14ac:dyDescent="0.35">
      <c r="A536">
        <f t="shared" si="16"/>
        <v>530</v>
      </c>
      <c r="B536" t="s">
        <v>937</v>
      </c>
      <c r="C536" t="s">
        <v>11</v>
      </c>
      <c r="D536" s="8">
        <v>960.62930810072532</v>
      </c>
      <c r="F536">
        <f t="shared" si="17"/>
        <v>530</v>
      </c>
      <c r="H536" t="s">
        <v>442</v>
      </c>
      <c r="I536" s="8">
        <v>9100.8459190632366</v>
      </c>
    </row>
    <row r="537" spans="1:9" x14ac:dyDescent="0.35">
      <c r="A537">
        <f t="shared" si="16"/>
        <v>531</v>
      </c>
      <c r="B537" t="s">
        <v>2281</v>
      </c>
      <c r="C537" t="s">
        <v>2282</v>
      </c>
      <c r="D537" s="8">
        <v>3970.0910600401517</v>
      </c>
      <c r="F537">
        <f t="shared" si="17"/>
        <v>531</v>
      </c>
      <c r="H537" t="s">
        <v>2322</v>
      </c>
      <c r="I537" s="8">
        <v>1024.6090113350911</v>
      </c>
    </row>
    <row r="538" spans="1:9" x14ac:dyDescent="0.35">
      <c r="A538">
        <f t="shared" si="16"/>
        <v>532</v>
      </c>
      <c r="B538" t="s">
        <v>1221</v>
      </c>
      <c r="C538" t="s">
        <v>661</v>
      </c>
      <c r="D538" s="8">
        <v>1894.8696567452523</v>
      </c>
      <c r="F538">
        <f t="shared" si="17"/>
        <v>532</v>
      </c>
      <c r="G538" t="s">
        <v>2280</v>
      </c>
      <c r="H538" t="s">
        <v>185</v>
      </c>
      <c r="I538" s="8">
        <v>1525.0448070368452</v>
      </c>
    </row>
    <row r="539" spans="1:9" x14ac:dyDescent="0.35">
      <c r="A539">
        <f t="shared" si="16"/>
        <v>533</v>
      </c>
      <c r="B539" t="s">
        <v>1319</v>
      </c>
      <c r="C539" t="s">
        <v>119</v>
      </c>
      <c r="D539" s="8">
        <v>384.00423072874526</v>
      </c>
      <c r="F539">
        <f t="shared" si="17"/>
        <v>533</v>
      </c>
      <c r="G539" t="s">
        <v>104</v>
      </c>
      <c r="H539" t="s">
        <v>103</v>
      </c>
      <c r="I539" s="8">
        <v>8600.3253803258867</v>
      </c>
    </row>
    <row r="540" spans="1:9" x14ac:dyDescent="0.35">
      <c r="A540">
        <f t="shared" si="16"/>
        <v>534</v>
      </c>
      <c r="B540" t="s">
        <v>394</v>
      </c>
      <c r="C540" t="s">
        <v>1085</v>
      </c>
      <c r="D540" s="8">
        <v>1369.6498905602766</v>
      </c>
      <c r="F540">
        <f t="shared" si="17"/>
        <v>534</v>
      </c>
      <c r="G540" t="s">
        <v>142</v>
      </c>
      <c r="H540" t="s">
        <v>600</v>
      </c>
      <c r="I540" s="8">
        <v>6136.5753966887241</v>
      </c>
    </row>
    <row r="541" spans="1:9" x14ac:dyDescent="0.35">
      <c r="A541">
        <f t="shared" si="16"/>
        <v>535</v>
      </c>
      <c r="C541" t="s">
        <v>1516</v>
      </c>
      <c r="D541" s="8">
        <v>5431.2786340975163</v>
      </c>
      <c r="F541">
        <f t="shared" si="17"/>
        <v>535</v>
      </c>
      <c r="H541" t="s">
        <v>1035</v>
      </c>
      <c r="I541" s="8">
        <v>1292.80966541729</v>
      </c>
    </row>
    <row r="542" spans="1:9" x14ac:dyDescent="0.35">
      <c r="A542">
        <f t="shared" si="16"/>
        <v>536</v>
      </c>
      <c r="C542" t="s">
        <v>44</v>
      </c>
      <c r="D542" s="8">
        <v>5438.4813908967699</v>
      </c>
      <c r="F542">
        <f t="shared" si="17"/>
        <v>536</v>
      </c>
      <c r="H542" t="s">
        <v>141</v>
      </c>
      <c r="I542" s="8">
        <v>9460.5598470535951</v>
      </c>
    </row>
    <row r="543" spans="1:9" x14ac:dyDescent="0.35">
      <c r="A543">
        <f t="shared" si="16"/>
        <v>537</v>
      </c>
      <c r="C543" t="s">
        <v>395</v>
      </c>
      <c r="D543" s="8">
        <v>1122.2158782728266</v>
      </c>
      <c r="F543">
        <f t="shared" si="17"/>
        <v>537</v>
      </c>
      <c r="H543" t="s">
        <v>1404</v>
      </c>
      <c r="I543" s="8">
        <v>134.69857389745621</v>
      </c>
    </row>
    <row r="544" spans="1:9" x14ac:dyDescent="0.35">
      <c r="A544">
        <f t="shared" si="16"/>
        <v>538</v>
      </c>
      <c r="B544" t="s">
        <v>1504</v>
      </c>
      <c r="C544" t="s">
        <v>1050</v>
      </c>
      <c r="D544" s="8">
        <v>4371.1020842867965</v>
      </c>
      <c r="F544">
        <f t="shared" si="17"/>
        <v>538</v>
      </c>
      <c r="H544" t="s">
        <v>866</v>
      </c>
      <c r="I544" s="8">
        <v>3531.2420375272604</v>
      </c>
    </row>
    <row r="545" spans="1:9" x14ac:dyDescent="0.35">
      <c r="A545">
        <f t="shared" si="16"/>
        <v>539</v>
      </c>
      <c r="C545" t="s">
        <v>85</v>
      </c>
      <c r="D545" s="8">
        <v>22491.605313212538</v>
      </c>
      <c r="F545">
        <f t="shared" si="17"/>
        <v>539</v>
      </c>
      <c r="H545" t="s">
        <v>1066</v>
      </c>
      <c r="I545" s="8">
        <v>1259.2752475569798</v>
      </c>
    </row>
    <row r="546" spans="1:9" x14ac:dyDescent="0.35">
      <c r="A546">
        <f t="shared" si="16"/>
        <v>540</v>
      </c>
      <c r="B546" t="s">
        <v>107</v>
      </c>
      <c r="C546" t="s">
        <v>108</v>
      </c>
      <c r="D546" s="8">
        <v>22535.744860951374</v>
      </c>
      <c r="F546">
        <f t="shared" si="17"/>
        <v>540</v>
      </c>
      <c r="H546" t="s">
        <v>950</v>
      </c>
      <c r="I546" s="8">
        <v>5869.4253394756333</v>
      </c>
    </row>
    <row r="547" spans="1:9" x14ac:dyDescent="0.35">
      <c r="A547">
        <f t="shared" si="16"/>
        <v>541</v>
      </c>
      <c r="B547" t="s">
        <v>660</v>
      </c>
      <c r="C547" t="s">
        <v>471</v>
      </c>
      <c r="D547" s="8">
        <v>5095.9770909410781</v>
      </c>
      <c r="F547">
        <f t="shared" si="17"/>
        <v>541</v>
      </c>
      <c r="H547" t="s">
        <v>422</v>
      </c>
      <c r="I547" s="8">
        <v>2885.3612200315119</v>
      </c>
    </row>
    <row r="548" spans="1:9" x14ac:dyDescent="0.35">
      <c r="A548">
        <f t="shared" si="16"/>
        <v>542</v>
      </c>
      <c r="B548" t="s">
        <v>1052</v>
      </c>
      <c r="C548" t="s">
        <v>28</v>
      </c>
      <c r="D548" s="8">
        <v>2750.6048083231381</v>
      </c>
      <c r="F548">
        <f t="shared" si="17"/>
        <v>542</v>
      </c>
      <c r="G548" t="s">
        <v>768</v>
      </c>
      <c r="H548" t="s">
        <v>1008</v>
      </c>
      <c r="I548" s="8">
        <v>2645.0946235531637</v>
      </c>
    </row>
    <row r="549" spans="1:9" x14ac:dyDescent="0.35">
      <c r="A549">
        <f t="shared" si="16"/>
        <v>543</v>
      </c>
      <c r="B549" t="s">
        <v>1861</v>
      </c>
      <c r="C549" t="s">
        <v>200</v>
      </c>
      <c r="D549" s="8">
        <v>1732.3937598229686</v>
      </c>
      <c r="F549">
        <f t="shared" si="17"/>
        <v>543</v>
      </c>
      <c r="H549" t="s">
        <v>2581</v>
      </c>
      <c r="I549" s="8">
        <v>880.81359228079123</v>
      </c>
    </row>
    <row r="550" spans="1:9" x14ac:dyDescent="0.35">
      <c r="A550">
        <f t="shared" si="16"/>
        <v>544</v>
      </c>
      <c r="B550" t="s">
        <v>692</v>
      </c>
      <c r="C550" t="s">
        <v>200</v>
      </c>
      <c r="D550" s="8">
        <v>19622.900061489065</v>
      </c>
      <c r="F550">
        <f t="shared" si="17"/>
        <v>544</v>
      </c>
      <c r="G550" t="s">
        <v>1514</v>
      </c>
      <c r="H550" t="s">
        <v>1513</v>
      </c>
      <c r="I550" s="8">
        <v>2478.8412351139364</v>
      </c>
    </row>
    <row r="551" spans="1:9" x14ac:dyDescent="0.35">
      <c r="A551">
        <f t="shared" si="16"/>
        <v>545</v>
      </c>
      <c r="B551" t="s">
        <v>705</v>
      </c>
      <c r="C551" t="s">
        <v>706</v>
      </c>
      <c r="D551" s="8">
        <v>1093.4216851622352</v>
      </c>
      <c r="F551">
        <f t="shared" si="17"/>
        <v>545</v>
      </c>
      <c r="H551" t="s">
        <v>2398</v>
      </c>
      <c r="I551" s="8">
        <v>1064.4579892269187</v>
      </c>
    </row>
    <row r="552" spans="1:9" x14ac:dyDescent="0.35">
      <c r="A552">
        <f t="shared" si="16"/>
        <v>546</v>
      </c>
      <c r="B552" t="s">
        <v>1342</v>
      </c>
      <c r="C552" t="s">
        <v>1343</v>
      </c>
      <c r="D552" s="8">
        <v>391.20662601306935</v>
      </c>
      <c r="F552">
        <f t="shared" si="17"/>
        <v>546</v>
      </c>
      <c r="G552" t="s">
        <v>34</v>
      </c>
      <c r="H552" t="s">
        <v>33</v>
      </c>
      <c r="I552" s="8">
        <v>18011.946526032778</v>
      </c>
    </row>
    <row r="553" spans="1:9" x14ac:dyDescent="0.35">
      <c r="A553">
        <f t="shared" si="16"/>
        <v>547</v>
      </c>
      <c r="B553" t="s">
        <v>1154</v>
      </c>
      <c r="C553" t="s">
        <v>952</v>
      </c>
      <c r="D553" s="8">
        <v>2032.0812676114404</v>
      </c>
      <c r="F553">
        <f t="shared" si="17"/>
        <v>547</v>
      </c>
      <c r="G553" t="s">
        <v>725</v>
      </c>
      <c r="H553" t="s">
        <v>724</v>
      </c>
      <c r="I553" s="8">
        <v>2442.4922121410746</v>
      </c>
    </row>
    <row r="554" spans="1:9" x14ac:dyDescent="0.35">
      <c r="A554">
        <f t="shared" si="16"/>
        <v>548</v>
      </c>
      <c r="B554" t="s">
        <v>576</v>
      </c>
      <c r="C554" t="s">
        <v>218</v>
      </c>
      <c r="D554" s="8">
        <v>869.23171973097624</v>
      </c>
      <c r="F554">
        <f t="shared" si="17"/>
        <v>548</v>
      </c>
      <c r="G554" t="s">
        <v>218</v>
      </c>
      <c r="H554" t="s">
        <v>638</v>
      </c>
      <c r="I554" s="8">
        <v>692.23662167705049</v>
      </c>
    </row>
    <row r="555" spans="1:9" x14ac:dyDescent="0.35">
      <c r="A555">
        <f t="shared" si="16"/>
        <v>549</v>
      </c>
      <c r="B555" t="s">
        <v>114</v>
      </c>
      <c r="C555" t="s">
        <v>187</v>
      </c>
      <c r="D555" s="8">
        <v>9653.7340134900478</v>
      </c>
      <c r="F555">
        <f t="shared" si="17"/>
        <v>549</v>
      </c>
      <c r="H555" t="s">
        <v>750</v>
      </c>
      <c r="I555" s="8">
        <v>2483.7209877447394</v>
      </c>
    </row>
    <row r="556" spans="1:9" x14ac:dyDescent="0.35">
      <c r="A556">
        <f t="shared" si="16"/>
        <v>550</v>
      </c>
      <c r="B556" t="s">
        <v>1515</v>
      </c>
      <c r="C556" t="s">
        <v>815</v>
      </c>
      <c r="D556" s="8">
        <v>2590.2071645329625</v>
      </c>
      <c r="F556">
        <f t="shared" si="17"/>
        <v>550</v>
      </c>
      <c r="H556" t="s">
        <v>2514</v>
      </c>
      <c r="I556" s="8">
        <v>1064.4579892269187</v>
      </c>
    </row>
    <row r="557" spans="1:9" x14ac:dyDescent="0.35">
      <c r="A557">
        <f t="shared" si="16"/>
        <v>551</v>
      </c>
      <c r="B557" t="s">
        <v>547</v>
      </c>
      <c r="C557" t="s">
        <v>136</v>
      </c>
      <c r="D557" s="8">
        <v>2227.1763725427827</v>
      </c>
      <c r="F557">
        <f t="shared" si="17"/>
        <v>551</v>
      </c>
      <c r="H557" t="s">
        <v>496</v>
      </c>
      <c r="I557" s="8">
        <v>1740.3626894942436</v>
      </c>
    </row>
    <row r="558" spans="1:9" x14ac:dyDescent="0.35">
      <c r="A558">
        <f t="shared" si="16"/>
        <v>552</v>
      </c>
      <c r="B558" t="s">
        <v>170</v>
      </c>
      <c r="C558" t="s">
        <v>171</v>
      </c>
      <c r="D558" s="8">
        <v>10145.999670942783</v>
      </c>
      <c r="F558">
        <f t="shared" si="17"/>
        <v>552</v>
      </c>
      <c r="H558" t="s">
        <v>1727</v>
      </c>
      <c r="I558" s="8">
        <v>1275.4758911915931</v>
      </c>
    </row>
    <row r="559" spans="1:9" x14ac:dyDescent="0.35">
      <c r="A559">
        <f t="shared" si="16"/>
        <v>553</v>
      </c>
      <c r="B559" t="s">
        <v>2322</v>
      </c>
      <c r="C559" t="s">
        <v>429</v>
      </c>
      <c r="D559" s="8">
        <v>1024.6090113350911</v>
      </c>
      <c r="F559">
        <f t="shared" si="17"/>
        <v>553</v>
      </c>
      <c r="H559" t="s">
        <v>976</v>
      </c>
      <c r="I559" s="8">
        <v>2387.653434530072</v>
      </c>
    </row>
    <row r="560" spans="1:9" x14ac:dyDescent="0.35">
      <c r="A560">
        <f t="shared" si="16"/>
        <v>554</v>
      </c>
      <c r="B560" t="s">
        <v>865</v>
      </c>
      <c r="C560" t="s">
        <v>115</v>
      </c>
      <c r="D560" s="8">
        <v>349.48500216800937</v>
      </c>
      <c r="F560">
        <f t="shared" si="17"/>
        <v>554</v>
      </c>
      <c r="H560" t="s">
        <v>420</v>
      </c>
      <c r="I560" s="8">
        <v>1535.7159699855097</v>
      </c>
    </row>
    <row r="561" spans="1:9" x14ac:dyDescent="0.35">
      <c r="A561">
        <f t="shared" si="16"/>
        <v>555</v>
      </c>
      <c r="B561" t="s">
        <v>144</v>
      </c>
      <c r="C561" t="s">
        <v>139</v>
      </c>
      <c r="D561" s="8">
        <v>1204.1199826559248</v>
      </c>
      <c r="F561">
        <f t="shared" si="17"/>
        <v>555</v>
      </c>
      <c r="H561" t="s">
        <v>43</v>
      </c>
      <c r="I561" s="8">
        <v>18416.862303211055</v>
      </c>
    </row>
    <row r="562" spans="1:9" x14ac:dyDescent="0.35">
      <c r="A562">
        <f t="shared" si="16"/>
        <v>556</v>
      </c>
      <c r="B562" t="s">
        <v>2405</v>
      </c>
      <c r="C562" t="s">
        <v>136</v>
      </c>
      <c r="D562" s="8">
        <v>1056.9048513364728</v>
      </c>
      <c r="F562">
        <f t="shared" si="17"/>
        <v>556</v>
      </c>
      <c r="H562" t="s">
        <v>273</v>
      </c>
      <c r="I562" s="8">
        <v>20220.138162676059</v>
      </c>
    </row>
    <row r="563" spans="1:9" x14ac:dyDescent="0.35">
      <c r="A563">
        <f t="shared" si="16"/>
        <v>557</v>
      </c>
      <c r="B563" t="s">
        <v>475</v>
      </c>
      <c r="C563" t="s">
        <v>887</v>
      </c>
      <c r="D563" s="8">
        <v>21699.348477211493</v>
      </c>
      <c r="F563">
        <f t="shared" si="17"/>
        <v>557</v>
      </c>
      <c r="H563" t="s">
        <v>180</v>
      </c>
      <c r="I563" s="8">
        <v>2856.9835037829262</v>
      </c>
    </row>
    <row r="564" spans="1:9" x14ac:dyDescent="0.35">
      <c r="A564">
        <f t="shared" si="16"/>
        <v>558</v>
      </c>
      <c r="B564" t="s">
        <v>1303</v>
      </c>
      <c r="C564" t="s">
        <v>510</v>
      </c>
      <c r="D564" s="8">
        <v>959.57134294439174</v>
      </c>
      <c r="F564">
        <f t="shared" si="17"/>
        <v>558</v>
      </c>
      <c r="H564" t="s">
        <v>576</v>
      </c>
      <c r="I564" s="8">
        <v>869.23171973097624</v>
      </c>
    </row>
    <row r="565" spans="1:9" x14ac:dyDescent="0.35">
      <c r="A565">
        <f t="shared" si="16"/>
        <v>559</v>
      </c>
      <c r="B565" t="s">
        <v>941</v>
      </c>
      <c r="C565" t="s">
        <v>942</v>
      </c>
      <c r="D565" s="8">
        <v>2906.2716457781326</v>
      </c>
      <c r="F565">
        <f t="shared" si="17"/>
        <v>559</v>
      </c>
      <c r="H565" t="s">
        <v>217</v>
      </c>
      <c r="I565" s="8">
        <v>18481.082368621504</v>
      </c>
    </row>
    <row r="566" spans="1:9" x14ac:dyDescent="0.35">
      <c r="A566">
        <f t="shared" si="16"/>
        <v>560</v>
      </c>
      <c r="B566" t="s">
        <v>1199</v>
      </c>
      <c r="C566" t="s">
        <v>16</v>
      </c>
      <c r="D566" s="8">
        <v>3395.2265150761777</v>
      </c>
      <c r="F566">
        <f t="shared" si="17"/>
        <v>560</v>
      </c>
      <c r="H566" t="s">
        <v>2470</v>
      </c>
      <c r="I566" s="8">
        <v>966.14173273903259</v>
      </c>
    </row>
    <row r="567" spans="1:9" x14ac:dyDescent="0.35">
      <c r="A567">
        <f t="shared" si="16"/>
        <v>561</v>
      </c>
      <c r="B567" t="s">
        <v>847</v>
      </c>
      <c r="C567" t="s">
        <v>848</v>
      </c>
      <c r="D567" s="8">
        <v>1163.5021317476608</v>
      </c>
      <c r="F567">
        <f t="shared" si="17"/>
        <v>561</v>
      </c>
      <c r="H567" t="s">
        <v>702</v>
      </c>
      <c r="I567" s="8">
        <v>3813.6359243069164</v>
      </c>
    </row>
    <row r="568" spans="1:9" x14ac:dyDescent="0.35">
      <c r="A568">
        <f t="shared" si="16"/>
        <v>562</v>
      </c>
      <c r="B568" t="s">
        <v>567</v>
      </c>
      <c r="C568" t="s">
        <v>568</v>
      </c>
      <c r="D568" s="8">
        <v>2643.4415297263886</v>
      </c>
      <c r="F568">
        <f t="shared" si="17"/>
        <v>562</v>
      </c>
      <c r="G568" t="s">
        <v>765</v>
      </c>
      <c r="H568" t="s">
        <v>764</v>
      </c>
      <c r="I568" s="8">
        <v>13601.785232439332</v>
      </c>
    </row>
    <row r="569" spans="1:9" x14ac:dyDescent="0.35">
      <c r="A569">
        <f t="shared" si="16"/>
        <v>563</v>
      </c>
      <c r="B569" t="s">
        <v>2618</v>
      </c>
      <c r="C569" t="s">
        <v>1271</v>
      </c>
      <c r="D569" s="8">
        <v>999.99999999999989</v>
      </c>
      <c r="F569">
        <f t="shared" si="17"/>
        <v>563</v>
      </c>
      <c r="G569" t="s">
        <v>44</v>
      </c>
      <c r="H569" t="s">
        <v>161</v>
      </c>
      <c r="I569" s="8">
        <v>804.98081680627433</v>
      </c>
    </row>
    <row r="570" spans="1:9" x14ac:dyDescent="0.35">
      <c r="A570">
        <f t="shared" si="16"/>
        <v>564</v>
      </c>
      <c r="B570" t="s">
        <v>818</v>
      </c>
      <c r="C570" t="s">
        <v>65</v>
      </c>
      <c r="D570" s="8">
        <v>5815.138845323896</v>
      </c>
      <c r="F570">
        <f t="shared" si="17"/>
        <v>564</v>
      </c>
      <c r="H570" t="s">
        <v>431</v>
      </c>
      <c r="I570" s="8">
        <v>868.32788073273161</v>
      </c>
    </row>
    <row r="571" spans="1:9" x14ac:dyDescent="0.35">
      <c r="A571">
        <f t="shared" si="16"/>
        <v>565</v>
      </c>
      <c r="B571" t="s">
        <v>2330</v>
      </c>
      <c r="C571" t="s">
        <v>109</v>
      </c>
      <c r="D571" s="8">
        <v>1003.0910769771417</v>
      </c>
      <c r="F571">
        <f t="shared" si="17"/>
        <v>565</v>
      </c>
      <c r="H571" t="s">
        <v>1512</v>
      </c>
      <c r="I571" s="8">
        <v>1759.6678446896306</v>
      </c>
    </row>
    <row r="572" spans="1:9" x14ac:dyDescent="0.35">
      <c r="A572">
        <f t="shared" si="16"/>
        <v>566</v>
      </c>
      <c r="B572" t="s">
        <v>2331</v>
      </c>
      <c r="C572" t="s">
        <v>109</v>
      </c>
      <c r="D572" s="8">
        <v>973.12785359969837</v>
      </c>
      <c r="F572">
        <f t="shared" si="17"/>
        <v>566</v>
      </c>
      <c r="H572" t="s">
        <v>1301</v>
      </c>
      <c r="I572" s="8">
        <v>1439.3326938302625</v>
      </c>
    </row>
    <row r="573" spans="1:9" x14ac:dyDescent="0.35">
      <c r="A573">
        <f t="shared" si="16"/>
        <v>567</v>
      </c>
      <c r="B573" t="s">
        <v>2332</v>
      </c>
      <c r="C573" t="s">
        <v>109</v>
      </c>
      <c r="D573" s="8">
        <v>945.09912999945493</v>
      </c>
      <c r="F573">
        <f t="shared" si="17"/>
        <v>567</v>
      </c>
      <c r="H573" t="s">
        <v>1397</v>
      </c>
      <c r="I573" s="8">
        <v>206.05448243312452</v>
      </c>
    </row>
    <row r="574" spans="1:9" x14ac:dyDescent="0.35">
      <c r="A574">
        <f t="shared" si="16"/>
        <v>568</v>
      </c>
      <c r="B574" t="s">
        <v>531</v>
      </c>
      <c r="C574" t="s">
        <v>271</v>
      </c>
      <c r="D574" s="8">
        <v>18017.887190741225</v>
      </c>
      <c r="F574">
        <f t="shared" si="17"/>
        <v>568</v>
      </c>
      <c r="H574" t="s">
        <v>1437</v>
      </c>
      <c r="I574" s="8">
        <v>12598.202722185211</v>
      </c>
    </row>
    <row r="575" spans="1:9" x14ac:dyDescent="0.35">
      <c r="A575">
        <f t="shared" si="16"/>
        <v>569</v>
      </c>
      <c r="B575" t="s">
        <v>287</v>
      </c>
      <c r="C575" t="s">
        <v>125</v>
      </c>
      <c r="D575" s="8">
        <v>8045.1122162023275</v>
      </c>
      <c r="F575">
        <f t="shared" si="17"/>
        <v>569</v>
      </c>
      <c r="H575" t="s">
        <v>549</v>
      </c>
      <c r="I575" s="8">
        <v>3010.2999566398121</v>
      </c>
    </row>
    <row r="576" spans="1:9" x14ac:dyDescent="0.35">
      <c r="A576">
        <f t="shared" si="16"/>
        <v>570</v>
      </c>
      <c r="B576" t="s">
        <v>2539</v>
      </c>
      <c r="C576" t="s">
        <v>28</v>
      </c>
      <c r="D576" s="8">
        <v>27717.537376317894</v>
      </c>
      <c r="F576">
        <f t="shared" si="17"/>
        <v>570</v>
      </c>
      <c r="H576" t="s">
        <v>550</v>
      </c>
      <c r="I576" s="8">
        <v>1896.3566043329752</v>
      </c>
    </row>
    <row r="577" spans="1:9" x14ac:dyDescent="0.35">
      <c r="A577">
        <f t="shared" si="16"/>
        <v>571</v>
      </c>
      <c r="B577" t="s">
        <v>1231</v>
      </c>
      <c r="C577" t="s">
        <v>56</v>
      </c>
      <c r="D577" s="8">
        <v>1086.3598306747483</v>
      </c>
      <c r="F577">
        <f t="shared" si="17"/>
        <v>571</v>
      </c>
      <c r="H577" t="s">
        <v>2411</v>
      </c>
      <c r="I577" s="8">
        <v>1213.0748253088514</v>
      </c>
    </row>
    <row r="578" spans="1:9" x14ac:dyDescent="0.35">
      <c r="A578">
        <f t="shared" si="16"/>
        <v>572</v>
      </c>
      <c r="B578" t="s">
        <v>857</v>
      </c>
      <c r="C578" t="s">
        <v>13</v>
      </c>
      <c r="D578" s="8">
        <v>4508.1574124557856</v>
      </c>
      <c r="F578">
        <f t="shared" si="17"/>
        <v>572</v>
      </c>
      <c r="H578" t="s">
        <v>1254</v>
      </c>
      <c r="I578" s="8">
        <v>523.02310110081339</v>
      </c>
    </row>
    <row r="579" spans="1:9" x14ac:dyDescent="0.35">
      <c r="A579">
        <f t="shared" si="16"/>
        <v>573</v>
      </c>
      <c r="B579" t="s">
        <v>2434</v>
      </c>
      <c r="C579" t="s">
        <v>2435</v>
      </c>
      <c r="D579" s="8">
        <v>2041.392685158225</v>
      </c>
      <c r="F579">
        <f t="shared" si="17"/>
        <v>573</v>
      </c>
      <c r="H579" t="s">
        <v>965</v>
      </c>
      <c r="I579" s="8">
        <v>11510.505774747771</v>
      </c>
    </row>
    <row r="580" spans="1:9" x14ac:dyDescent="0.35">
      <c r="A580">
        <f t="shared" si="16"/>
        <v>574</v>
      </c>
      <c r="B580" t="s">
        <v>542</v>
      </c>
      <c r="C580" t="s">
        <v>159</v>
      </c>
      <c r="D580" s="8">
        <v>1826.0748027008265</v>
      </c>
      <c r="F580">
        <f t="shared" si="17"/>
        <v>574</v>
      </c>
      <c r="H580" t="s">
        <v>318</v>
      </c>
      <c r="I580" s="8">
        <v>4853.1080035241157</v>
      </c>
    </row>
    <row r="581" spans="1:9" x14ac:dyDescent="0.35">
      <c r="A581">
        <f t="shared" si="16"/>
        <v>575</v>
      </c>
      <c r="C581" t="s">
        <v>196</v>
      </c>
      <c r="D581" s="8">
        <v>5211.4308837180379</v>
      </c>
      <c r="F581">
        <f t="shared" si="17"/>
        <v>575</v>
      </c>
      <c r="H581" t="s">
        <v>394</v>
      </c>
      <c r="I581" s="8">
        <v>5438.4813908967699</v>
      </c>
    </row>
    <row r="582" spans="1:9" x14ac:dyDescent="0.35">
      <c r="A582">
        <f t="shared" si="16"/>
        <v>576</v>
      </c>
      <c r="B582" t="s">
        <v>307</v>
      </c>
      <c r="C582" t="s">
        <v>67</v>
      </c>
      <c r="D582" s="8">
        <v>18922.565504964456</v>
      </c>
      <c r="F582">
        <f t="shared" si="17"/>
        <v>576</v>
      </c>
      <c r="H582" t="s">
        <v>906</v>
      </c>
      <c r="I582" s="8">
        <v>4384.0562889967478</v>
      </c>
    </row>
    <row r="583" spans="1:9" x14ac:dyDescent="0.35">
      <c r="A583">
        <f t="shared" si="16"/>
        <v>577</v>
      </c>
      <c r="B583" t="s">
        <v>403</v>
      </c>
      <c r="C583" t="s">
        <v>98</v>
      </c>
      <c r="D583" s="8">
        <v>1158.3624920952498</v>
      </c>
      <c r="F583">
        <f t="shared" si="17"/>
        <v>577</v>
      </c>
      <c r="H583" t="s">
        <v>2555</v>
      </c>
      <c r="I583" s="8">
        <v>1225.3092817258628</v>
      </c>
    </row>
    <row r="584" spans="1:9" x14ac:dyDescent="0.35">
      <c r="A584">
        <f t="shared" si="16"/>
        <v>578</v>
      </c>
      <c r="B584" t="s">
        <v>1076</v>
      </c>
      <c r="C584" t="s">
        <v>139</v>
      </c>
      <c r="D584" s="8">
        <v>3438.4546341898913</v>
      </c>
      <c r="F584">
        <f t="shared" si="17"/>
        <v>578</v>
      </c>
      <c r="H584" t="s">
        <v>1144</v>
      </c>
      <c r="I584" s="8">
        <v>1427.8851548998227</v>
      </c>
    </row>
    <row r="585" spans="1:9" x14ac:dyDescent="0.35">
      <c r="A585">
        <f t="shared" ref="A585:A648" si="18">A584+1</f>
        <v>579</v>
      </c>
      <c r="B585" t="s">
        <v>1233</v>
      </c>
      <c r="C585" t="s">
        <v>196</v>
      </c>
      <c r="D585" s="8">
        <v>1556.3025007672873</v>
      </c>
      <c r="F585">
        <f t="shared" ref="F585:F648" si="19">F584+1</f>
        <v>579</v>
      </c>
      <c r="H585" t="s">
        <v>915</v>
      </c>
      <c r="I585" s="8">
        <v>1091.0804693473326</v>
      </c>
    </row>
    <row r="586" spans="1:9" x14ac:dyDescent="0.35">
      <c r="A586">
        <f t="shared" si="18"/>
        <v>580</v>
      </c>
      <c r="B586" t="s">
        <v>906</v>
      </c>
      <c r="C586" t="s">
        <v>1299</v>
      </c>
      <c r="D586" s="8">
        <v>587.33673450725598</v>
      </c>
      <c r="F586">
        <f t="shared" si="19"/>
        <v>580</v>
      </c>
      <c r="H586" t="s">
        <v>1200</v>
      </c>
      <c r="I586" s="8">
        <v>1130.3337684950061</v>
      </c>
    </row>
    <row r="587" spans="1:9" x14ac:dyDescent="0.35">
      <c r="A587">
        <f t="shared" si="18"/>
        <v>581</v>
      </c>
      <c r="C587" t="s">
        <v>44</v>
      </c>
      <c r="D587" s="8">
        <v>4384.0562889967478</v>
      </c>
      <c r="F587">
        <f t="shared" si="19"/>
        <v>581</v>
      </c>
      <c r="G587" t="s">
        <v>443</v>
      </c>
      <c r="H587" t="s">
        <v>128</v>
      </c>
      <c r="I587" s="8">
        <v>10571.220133690535</v>
      </c>
    </row>
    <row r="588" spans="1:9" x14ac:dyDescent="0.35">
      <c r="A588">
        <f t="shared" si="18"/>
        <v>582</v>
      </c>
      <c r="B588" t="s">
        <v>92</v>
      </c>
      <c r="C588" t="s">
        <v>93</v>
      </c>
      <c r="D588" s="8">
        <v>7491.3079874325513</v>
      </c>
      <c r="F588">
        <f t="shared" si="19"/>
        <v>582</v>
      </c>
      <c r="G588" t="s">
        <v>1022</v>
      </c>
      <c r="H588" t="s">
        <v>1021</v>
      </c>
      <c r="I588" s="8">
        <v>3345.2788848668051</v>
      </c>
    </row>
    <row r="589" spans="1:9" x14ac:dyDescent="0.35">
      <c r="A589">
        <f t="shared" si="18"/>
        <v>583</v>
      </c>
      <c r="B589" t="s">
        <v>709</v>
      </c>
      <c r="C589" t="s">
        <v>13</v>
      </c>
      <c r="D589" s="8">
        <v>5443.2361576272224</v>
      </c>
      <c r="F589">
        <f t="shared" si="19"/>
        <v>583</v>
      </c>
      <c r="H589" t="s">
        <v>420</v>
      </c>
      <c r="I589" s="8">
        <v>1755.0274515365059</v>
      </c>
    </row>
    <row r="590" spans="1:9" x14ac:dyDescent="0.35">
      <c r="A590">
        <f t="shared" si="18"/>
        <v>584</v>
      </c>
      <c r="B590" t="s">
        <v>2443</v>
      </c>
      <c r="C590" t="s">
        <v>2444</v>
      </c>
      <c r="D590" s="8">
        <v>852.7848686805479</v>
      </c>
      <c r="F590">
        <f t="shared" si="19"/>
        <v>584</v>
      </c>
      <c r="H590" t="s">
        <v>414</v>
      </c>
      <c r="I590" s="8">
        <v>2531.6917543324271</v>
      </c>
    </row>
    <row r="591" spans="1:9" x14ac:dyDescent="0.35">
      <c r="A591">
        <f t="shared" si="18"/>
        <v>585</v>
      </c>
      <c r="B591" t="s">
        <v>1000</v>
      </c>
      <c r="C591" t="s">
        <v>908</v>
      </c>
      <c r="D591" s="8">
        <v>2169.2124409490498</v>
      </c>
      <c r="F591">
        <f t="shared" si="19"/>
        <v>585</v>
      </c>
      <c r="G591" t="s">
        <v>381</v>
      </c>
      <c r="H591" t="s">
        <v>380</v>
      </c>
      <c r="I591" s="8">
        <v>5446.4493498625488</v>
      </c>
    </row>
    <row r="592" spans="1:9" x14ac:dyDescent="0.35">
      <c r="A592">
        <f t="shared" si="18"/>
        <v>586</v>
      </c>
      <c r="B592" t="s">
        <v>390</v>
      </c>
      <c r="C592" t="s">
        <v>391</v>
      </c>
      <c r="D592" s="8">
        <v>3880.9385768181442</v>
      </c>
      <c r="F592">
        <f t="shared" si="19"/>
        <v>586</v>
      </c>
      <c r="G592" t="s">
        <v>851</v>
      </c>
      <c r="H592" t="s">
        <v>850</v>
      </c>
      <c r="I592" s="8">
        <v>8412.0280898110086</v>
      </c>
    </row>
    <row r="593" spans="1:9" x14ac:dyDescent="0.35">
      <c r="A593">
        <f t="shared" si="18"/>
        <v>587</v>
      </c>
      <c r="B593" t="s">
        <v>1439</v>
      </c>
      <c r="C593" t="s">
        <v>384</v>
      </c>
      <c r="D593" s="8">
        <v>3074.8164406451747</v>
      </c>
      <c r="F593">
        <f t="shared" si="19"/>
        <v>587</v>
      </c>
      <c r="G593" t="s">
        <v>830</v>
      </c>
      <c r="H593" t="s">
        <v>829</v>
      </c>
      <c r="I593" s="8">
        <v>3845.7440480957039</v>
      </c>
    </row>
    <row r="594" spans="1:9" x14ac:dyDescent="0.35">
      <c r="A594">
        <f t="shared" si="18"/>
        <v>588</v>
      </c>
      <c r="B594" t="s">
        <v>1283</v>
      </c>
      <c r="C594" t="s">
        <v>808</v>
      </c>
      <c r="D594" s="8">
        <v>165.99093215135531</v>
      </c>
      <c r="F594">
        <f t="shared" si="19"/>
        <v>588</v>
      </c>
      <c r="G594" t="s">
        <v>1955</v>
      </c>
      <c r="H594" t="s">
        <v>2398</v>
      </c>
      <c r="I594" s="8">
        <v>5793.2284508097628</v>
      </c>
    </row>
    <row r="595" spans="1:9" x14ac:dyDescent="0.35">
      <c r="A595">
        <f t="shared" si="18"/>
        <v>589</v>
      </c>
      <c r="B595" t="s">
        <v>445</v>
      </c>
      <c r="C595" t="s">
        <v>446</v>
      </c>
      <c r="D595" s="8">
        <v>7630.5679142437311</v>
      </c>
      <c r="F595">
        <f t="shared" si="19"/>
        <v>589</v>
      </c>
      <c r="G595" t="s">
        <v>1510</v>
      </c>
      <c r="H595" t="s">
        <v>1509</v>
      </c>
      <c r="I595" s="8">
        <v>975.17641627496778</v>
      </c>
    </row>
    <row r="596" spans="1:9" x14ac:dyDescent="0.35">
      <c r="A596">
        <f t="shared" si="18"/>
        <v>590</v>
      </c>
      <c r="B596" t="s">
        <v>820</v>
      </c>
      <c r="C596" t="s">
        <v>471</v>
      </c>
      <c r="D596" s="8">
        <v>2425.9687322722812</v>
      </c>
      <c r="F596">
        <f t="shared" si="19"/>
        <v>590</v>
      </c>
      <c r="H596" t="s">
        <v>477</v>
      </c>
      <c r="I596" s="8">
        <v>970.03677662255677</v>
      </c>
    </row>
    <row r="597" spans="1:9" x14ac:dyDescent="0.35">
      <c r="A597">
        <f t="shared" si="18"/>
        <v>591</v>
      </c>
      <c r="B597" t="s">
        <v>2483</v>
      </c>
      <c r="C597" t="s">
        <v>2484</v>
      </c>
      <c r="D597" s="8">
        <v>653.21251377534361</v>
      </c>
      <c r="F597">
        <f t="shared" si="19"/>
        <v>591</v>
      </c>
      <c r="G597" t="s">
        <v>2325</v>
      </c>
      <c r="H597" t="s">
        <v>2324</v>
      </c>
      <c r="I597" s="8">
        <v>331.37891584078699</v>
      </c>
    </row>
    <row r="598" spans="1:9" x14ac:dyDescent="0.35">
      <c r="A598">
        <f t="shared" si="18"/>
        <v>592</v>
      </c>
      <c r="B598" t="s">
        <v>60</v>
      </c>
      <c r="C598" t="s">
        <v>61</v>
      </c>
      <c r="D598" s="8">
        <v>1874.8957863533469</v>
      </c>
      <c r="F598">
        <f t="shared" si="19"/>
        <v>592</v>
      </c>
      <c r="G598" t="s">
        <v>1162</v>
      </c>
      <c r="H598" t="s">
        <v>1161</v>
      </c>
      <c r="I598" s="8">
        <v>753.32766665861152</v>
      </c>
    </row>
    <row r="599" spans="1:9" x14ac:dyDescent="0.35">
      <c r="A599">
        <f t="shared" si="18"/>
        <v>593</v>
      </c>
      <c r="B599" t="s">
        <v>217</v>
      </c>
      <c r="C599" t="s">
        <v>218</v>
      </c>
      <c r="D599" s="8">
        <v>18481.082368621504</v>
      </c>
      <c r="F599">
        <f t="shared" si="19"/>
        <v>593</v>
      </c>
      <c r="G599" t="s">
        <v>1368</v>
      </c>
      <c r="H599" t="s">
        <v>1367</v>
      </c>
      <c r="I599" s="8">
        <v>736.66484002016409</v>
      </c>
    </row>
    <row r="600" spans="1:9" x14ac:dyDescent="0.35">
      <c r="A600">
        <f t="shared" si="18"/>
        <v>594</v>
      </c>
      <c r="B600" t="s">
        <v>633</v>
      </c>
      <c r="C600" t="s">
        <v>634</v>
      </c>
      <c r="D600" s="8">
        <v>903.08998699194365</v>
      </c>
      <c r="F600">
        <f t="shared" si="19"/>
        <v>594</v>
      </c>
      <c r="G600" t="s">
        <v>247</v>
      </c>
      <c r="H600" t="s">
        <v>866</v>
      </c>
      <c r="I600" s="8">
        <v>361.21720164729766</v>
      </c>
    </row>
    <row r="601" spans="1:9" x14ac:dyDescent="0.35">
      <c r="A601">
        <f t="shared" si="18"/>
        <v>595</v>
      </c>
      <c r="B601" t="s">
        <v>2512</v>
      </c>
      <c r="C601" t="s">
        <v>659</v>
      </c>
      <c r="D601" s="8">
        <v>7979.3728576399244</v>
      </c>
      <c r="F601">
        <f t="shared" si="19"/>
        <v>595</v>
      </c>
      <c r="H601" t="s">
        <v>246</v>
      </c>
      <c r="I601" s="8">
        <v>1778.0171881872084</v>
      </c>
    </row>
    <row r="602" spans="1:9" x14ac:dyDescent="0.35">
      <c r="A602">
        <f t="shared" si="18"/>
        <v>596</v>
      </c>
      <c r="B602" t="s">
        <v>2285</v>
      </c>
      <c r="C602" t="s">
        <v>2286</v>
      </c>
      <c r="D602" s="8">
        <v>2162.0805446128666</v>
      </c>
      <c r="F602">
        <f t="shared" si="19"/>
        <v>596</v>
      </c>
      <c r="G602" t="s">
        <v>207</v>
      </c>
      <c r="H602" t="s">
        <v>206</v>
      </c>
      <c r="I602" s="8">
        <v>11865.733089775475</v>
      </c>
    </row>
    <row r="603" spans="1:9" x14ac:dyDescent="0.35">
      <c r="A603">
        <f t="shared" si="18"/>
        <v>597</v>
      </c>
      <c r="B603" t="s">
        <v>860</v>
      </c>
      <c r="C603" t="s">
        <v>861</v>
      </c>
      <c r="D603" s="8">
        <v>1619.4758409067977</v>
      </c>
      <c r="F603">
        <f t="shared" si="19"/>
        <v>597</v>
      </c>
      <c r="G603" t="s">
        <v>1286</v>
      </c>
      <c r="H603" t="s">
        <v>1285</v>
      </c>
      <c r="I603" s="8">
        <v>137.02723621603874</v>
      </c>
    </row>
    <row r="604" spans="1:9" x14ac:dyDescent="0.35">
      <c r="A604">
        <f t="shared" si="18"/>
        <v>598</v>
      </c>
      <c r="B604" t="s">
        <v>2470</v>
      </c>
      <c r="C604" t="s">
        <v>218</v>
      </c>
      <c r="D604" s="8">
        <v>966.14173273903259</v>
      </c>
      <c r="F604">
        <f t="shared" si="19"/>
        <v>598</v>
      </c>
      <c r="G604" t="s">
        <v>473</v>
      </c>
      <c r="H604" t="s">
        <v>472</v>
      </c>
      <c r="I604" s="8">
        <v>2918.0577008125074</v>
      </c>
    </row>
    <row r="605" spans="1:9" x14ac:dyDescent="0.35">
      <c r="A605">
        <f t="shared" si="18"/>
        <v>599</v>
      </c>
      <c r="B605" t="s">
        <v>890</v>
      </c>
      <c r="C605" t="s">
        <v>81</v>
      </c>
      <c r="D605" s="8">
        <v>4286.8900053927246</v>
      </c>
      <c r="F605">
        <f t="shared" si="19"/>
        <v>599</v>
      </c>
      <c r="H605" t="s">
        <v>636</v>
      </c>
      <c r="I605" s="8">
        <v>692.23662167705049</v>
      </c>
    </row>
    <row r="606" spans="1:9" x14ac:dyDescent="0.35">
      <c r="A606">
        <f t="shared" si="18"/>
        <v>600</v>
      </c>
      <c r="C606" t="s">
        <v>2335</v>
      </c>
      <c r="D606" s="8">
        <v>2425.192513152504</v>
      </c>
      <c r="F606">
        <f t="shared" si="19"/>
        <v>600</v>
      </c>
      <c r="G606" t="s">
        <v>1119</v>
      </c>
      <c r="H606" t="s">
        <v>1118</v>
      </c>
      <c r="I606" s="8">
        <v>1593.8396610812711</v>
      </c>
    </row>
    <row r="607" spans="1:9" x14ac:dyDescent="0.35">
      <c r="A607">
        <f t="shared" si="18"/>
        <v>601</v>
      </c>
      <c r="B607" t="s">
        <v>715</v>
      </c>
      <c r="C607" t="s">
        <v>11</v>
      </c>
      <c r="D607" s="8">
        <v>4074.8164406451751</v>
      </c>
      <c r="F607">
        <f t="shared" si="19"/>
        <v>601</v>
      </c>
      <c r="G607" t="s">
        <v>36</v>
      </c>
      <c r="H607" t="s">
        <v>35</v>
      </c>
      <c r="I607" s="8">
        <v>32122.078368092782</v>
      </c>
    </row>
    <row r="608" spans="1:9" x14ac:dyDescent="0.35">
      <c r="A608">
        <f t="shared" si="18"/>
        <v>602</v>
      </c>
      <c r="B608" t="s">
        <v>313</v>
      </c>
      <c r="C608" t="s">
        <v>314</v>
      </c>
      <c r="D608" s="8">
        <v>13295.752633124466</v>
      </c>
      <c r="F608">
        <f t="shared" si="19"/>
        <v>602</v>
      </c>
      <c r="H608" t="s">
        <v>83</v>
      </c>
      <c r="I608" s="8">
        <v>17812.068825189846</v>
      </c>
    </row>
    <row r="609" spans="1:9" x14ac:dyDescent="0.35">
      <c r="A609">
        <f t="shared" si="18"/>
        <v>603</v>
      </c>
      <c r="B609" t="s">
        <v>1100</v>
      </c>
      <c r="C609" t="s">
        <v>1101</v>
      </c>
      <c r="D609" s="8">
        <v>1301.029995663981</v>
      </c>
      <c r="F609">
        <f t="shared" si="19"/>
        <v>603</v>
      </c>
      <c r="G609" t="s">
        <v>1385</v>
      </c>
      <c r="H609" t="s">
        <v>1384</v>
      </c>
      <c r="I609" s="8">
        <v>556.30250076728726</v>
      </c>
    </row>
    <row r="610" spans="1:9" x14ac:dyDescent="0.35">
      <c r="A610">
        <f t="shared" si="18"/>
        <v>604</v>
      </c>
      <c r="C610" t="s">
        <v>487</v>
      </c>
      <c r="D610" s="8">
        <v>309.33583025305779</v>
      </c>
      <c r="F610">
        <f t="shared" si="19"/>
        <v>604</v>
      </c>
      <c r="G610" t="s">
        <v>1112</v>
      </c>
      <c r="H610" t="s">
        <v>2173</v>
      </c>
      <c r="I610" s="8">
        <v>903.08998699194353</v>
      </c>
    </row>
    <row r="611" spans="1:9" x14ac:dyDescent="0.35">
      <c r="A611">
        <f t="shared" si="18"/>
        <v>605</v>
      </c>
      <c r="B611" t="s">
        <v>585</v>
      </c>
      <c r="C611" t="s">
        <v>676</v>
      </c>
      <c r="D611" s="8">
        <v>3543.031592342948</v>
      </c>
      <c r="F611">
        <f t="shared" si="19"/>
        <v>605</v>
      </c>
      <c r="H611" t="s">
        <v>1111</v>
      </c>
      <c r="I611" s="8">
        <v>10421.010809458608</v>
      </c>
    </row>
    <row r="612" spans="1:9" x14ac:dyDescent="0.35">
      <c r="A612">
        <f t="shared" si="18"/>
        <v>606</v>
      </c>
      <c r="C612" t="s">
        <v>136</v>
      </c>
      <c r="D612" s="8">
        <v>15999.43399612065</v>
      </c>
      <c r="F612">
        <f t="shared" si="19"/>
        <v>606</v>
      </c>
      <c r="G612" t="s">
        <v>1033</v>
      </c>
      <c r="H612" t="s">
        <v>1032</v>
      </c>
      <c r="I612" s="8">
        <v>1350.8016123949767</v>
      </c>
    </row>
    <row r="613" spans="1:9" x14ac:dyDescent="0.35">
      <c r="A613">
        <f t="shared" si="18"/>
        <v>607</v>
      </c>
      <c r="B613" t="s">
        <v>304</v>
      </c>
      <c r="C613" t="s">
        <v>1003</v>
      </c>
      <c r="D613" s="8">
        <v>3574.0055890520061</v>
      </c>
      <c r="F613">
        <f t="shared" si="19"/>
        <v>607</v>
      </c>
      <c r="G613" t="s">
        <v>401</v>
      </c>
      <c r="H613" t="s">
        <v>402</v>
      </c>
      <c r="I613" s="8">
        <v>2739.5723444500918</v>
      </c>
    </row>
    <row r="614" spans="1:9" x14ac:dyDescent="0.35">
      <c r="A614">
        <f t="shared" si="18"/>
        <v>608</v>
      </c>
      <c r="C614" t="s">
        <v>1411</v>
      </c>
      <c r="D614" s="8">
        <v>1240.5492482825996</v>
      </c>
      <c r="F614">
        <f t="shared" si="19"/>
        <v>608</v>
      </c>
      <c r="G614" t="s">
        <v>85</v>
      </c>
      <c r="H614" t="s">
        <v>711</v>
      </c>
      <c r="I614" s="8">
        <v>9951.6470040308632</v>
      </c>
    </row>
    <row r="615" spans="1:9" x14ac:dyDescent="0.35">
      <c r="A615">
        <f t="shared" si="18"/>
        <v>609</v>
      </c>
      <c r="C615" t="s">
        <v>65</v>
      </c>
      <c r="D615" s="8">
        <v>9978.5163355604818</v>
      </c>
      <c r="F615">
        <f t="shared" si="19"/>
        <v>609</v>
      </c>
      <c r="H615" t="s">
        <v>1504</v>
      </c>
      <c r="I615" s="8">
        <v>22491.605313212538</v>
      </c>
    </row>
    <row r="616" spans="1:9" x14ac:dyDescent="0.35">
      <c r="A616">
        <f t="shared" si="18"/>
        <v>610</v>
      </c>
      <c r="B616" t="s">
        <v>486</v>
      </c>
      <c r="C616" t="s">
        <v>487</v>
      </c>
      <c r="D616" s="8">
        <v>3195.8047231711371</v>
      </c>
      <c r="F616">
        <f t="shared" si="19"/>
        <v>610</v>
      </c>
      <c r="G616" t="s">
        <v>227</v>
      </c>
      <c r="H616" t="s">
        <v>226</v>
      </c>
      <c r="I616" s="8">
        <v>27115.407146318466</v>
      </c>
    </row>
    <row r="617" spans="1:9" x14ac:dyDescent="0.35">
      <c r="A617">
        <f t="shared" si="18"/>
        <v>611</v>
      </c>
      <c r="B617" t="s">
        <v>1392</v>
      </c>
      <c r="C617" t="s">
        <v>1393</v>
      </c>
      <c r="D617" s="8">
        <v>374.45891282251489</v>
      </c>
      <c r="F617">
        <f t="shared" si="19"/>
        <v>611</v>
      </c>
      <c r="G617" t="s">
        <v>11</v>
      </c>
      <c r="H617" t="s">
        <v>10</v>
      </c>
      <c r="I617" s="8">
        <v>9585.2664809122216</v>
      </c>
    </row>
    <row r="618" spans="1:9" x14ac:dyDescent="0.35">
      <c r="A618">
        <f t="shared" si="18"/>
        <v>612</v>
      </c>
      <c r="B618" t="s">
        <v>529</v>
      </c>
      <c r="C618" t="s">
        <v>530</v>
      </c>
      <c r="D618" s="8">
        <v>1525.0448070368452</v>
      </c>
      <c r="F618">
        <f t="shared" si="19"/>
        <v>612</v>
      </c>
      <c r="H618" t="s">
        <v>291</v>
      </c>
      <c r="I618" s="8">
        <v>1392.1104650113139</v>
      </c>
    </row>
    <row r="619" spans="1:9" x14ac:dyDescent="0.35">
      <c r="A619">
        <f t="shared" si="18"/>
        <v>613</v>
      </c>
      <c r="B619" t="s">
        <v>970</v>
      </c>
      <c r="C619" t="s">
        <v>971</v>
      </c>
      <c r="D619" s="8">
        <v>1153.8148643445288</v>
      </c>
      <c r="F619">
        <f t="shared" si="19"/>
        <v>613</v>
      </c>
      <c r="H619" t="s">
        <v>710</v>
      </c>
      <c r="I619" s="8">
        <v>1314.3939572219626</v>
      </c>
    </row>
    <row r="620" spans="1:9" x14ac:dyDescent="0.35">
      <c r="A620">
        <f t="shared" si="18"/>
        <v>614</v>
      </c>
      <c r="B620" t="s">
        <v>1308</v>
      </c>
      <c r="C620" t="s">
        <v>1309</v>
      </c>
      <c r="D620" s="8">
        <v>782.40907352618501</v>
      </c>
      <c r="F620">
        <f t="shared" si="19"/>
        <v>614</v>
      </c>
      <c r="H620" t="s">
        <v>1191</v>
      </c>
      <c r="I620" s="8">
        <v>621.51902434314718</v>
      </c>
    </row>
    <row r="621" spans="1:9" x14ac:dyDescent="0.35">
      <c r="A621">
        <f t="shared" si="18"/>
        <v>615</v>
      </c>
      <c r="B621" t="s">
        <v>248</v>
      </c>
      <c r="C621" t="s">
        <v>249</v>
      </c>
      <c r="D621" s="8">
        <v>23860.164877792366</v>
      </c>
      <c r="F621">
        <f t="shared" si="19"/>
        <v>615</v>
      </c>
      <c r="H621" t="s">
        <v>908</v>
      </c>
      <c r="I621" s="8">
        <v>1290.0346113625178</v>
      </c>
    </row>
    <row r="622" spans="1:9" x14ac:dyDescent="0.35">
      <c r="A622">
        <f t="shared" si="18"/>
        <v>616</v>
      </c>
      <c r="B622" t="s">
        <v>1225</v>
      </c>
      <c r="C622" t="s">
        <v>1226</v>
      </c>
      <c r="D622" s="8">
        <v>991.77966975330878</v>
      </c>
      <c r="F622">
        <f t="shared" si="19"/>
        <v>616</v>
      </c>
      <c r="H622" t="s">
        <v>14</v>
      </c>
      <c r="I622" s="8">
        <v>25616.707886438948</v>
      </c>
    </row>
    <row r="623" spans="1:9" x14ac:dyDescent="0.35">
      <c r="A623">
        <f t="shared" si="18"/>
        <v>617</v>
      </c>
      <c r="B623" t="s">
        <v>1219</v>
      </c>
      <c r="C623" t="s">
        <v>1220</v>
      </c>
      <c r="D623" s="8">
        <v>3708.8076712571365</v>
      </c>
      <c r="F623">
        <f t="shared" si="19"/>
        <v>617</v>
      </c>
      <c r="H623" t="s">
        <v>937</v>
      </c>
      <c r="I623" s="8">
        <v>960.62930810072532</v>
      </c>
    </row>
    <row r="624" spans="1:9" x14ac:dyDescent="0.35">
      <c r="A624">
        <f t="shared" si="18"/>
        <v>618</v>
      </c>
      <c r="B624" t="s">
        <v>409</v>
      </c>
      <c r="C624" t="s">
        <v>408</v>
      </c>
      <c r="D624" s="8">
        <v>2149.2191126553798</v>
      </c>
      <c r="F624">
        <f t="shared" si="19"/>
        <v>618</v>
      </c>
      <c r="H624" t="s">
        <v>715</v>
      </c>
      <c r="I624" s="8">
        <v>4074.8164406451751</v>
      </c>
    </row>
    <row r="625" spans="1:9" x14ac:dyDescent="0.35">
      <c r="A625">
        <f t="shared" si="18"/>
        <v>619</v>
      </c>
      <c r="B625" t="s">
        <v>2581</v>
      </c>
      <c r="C625" t="s">
        <v>768</v>
      </c>
      <c r="D625" s="8">
        <v>880.81359228079123</v>
      </c>
      <c r="F625">
        <f t="shared" si="19"/>
        <v>619</v>
      </c>
      <c r="H625" t="s">
        <v>465</v>
      </c>
      <c r="I625" s="8">
        <v>4500.5710591338966</v>
      </c>
    </row>
    <row r="626" spans="1:9" x14ac:dyDescent="0.35">
      <c r="A626">
        <f t="shared" si="18"/>
        <v>620</v>
      </c>
      <c r="B626" t="s">
        <v>2553</v>
      </c>
      <c r="C626" t="s">
        <v>415</v>
      </c>
      <c r="D626" s="8">
        <v>1723.2503803830987</v>
      </c>
      <c r="F626">
        <f t="shared" si="19"/>
        <v>620</v>
      </c>
      <c r="H626" t="s">
        <v>527</v>
      </c>
      <c r="I626" s="8">
        <v>14089.383467956319</v>
      </c>
    </row>
    <row r="627" spans="1:9" x14ac:dyDescent="0.35">
      <c r="A627">
        <f t="shared" si="18"/>
        <v>621</v>
      </c>
      <c r="C627" t="s">
        <v>2559</v>
      </c>
      <c r="D627" s="8">
        <v>1146.1280356782379</v>
      </c>
      <c r="F627">
        <f t="shared" si="19"/>
        <v>621</v>
      </c>
      <c r="H627" t="s">
        <v>1807</v>
      </c>
      <c r="I627" s="8">
        <v>937.85209325115557</v>
      </c>
    </row>
    <row r="628" spans="1:9" x14ac:dyDescent="0.35">
      <c r="A628">
        <f t="shared" si="18"/>
        <v>622</v>
      </c>
      <c r="B628" t="s">
        <v>323</v>
      </c>
      <c r="C628" t="s">
        <v>324</v>
      </c>
      <c r="D628" s="8">
        <v>18093.030984747973</v>
      </c>
      <c r="F628">
        <f t="shared" si="19"/>
        <v>622</v>
      </c>
      <c r="H628" t="s">
        <v>183</v>
      </c>
      <c r="I628" s="8">
        <v>1213.879819945081</v>
      </c>
    </row>
    <row r="629" spans="1:9" x14ac:dyDescent="0.35">
      <c r="A629">
        <f t="shared" si="18"/>
        <v>623</v>
      </c>
      <c r="B629" t="s">
        <v>772</v>
      </c>
      <c r="C629" t="s">
        <v>463</v>
      </c>
      <c r="D629" s="8">
        <v>1066.9467896306132</v>
      </c>
      <c r="F629">
        <f t="shared" si="19"/>
        <v>623</v>
      </c>
      <c r="H629" t="s">
        <v>1172</v>
      </c>
      <c r="I629" s="8">
        <v>4446.6061958398868</v>
      </c>
    </row>
    <row r="630" spans="1:9" x14ac:dyDescent="0.35">
      <c r="A630">
        <f t="shared" si="18"/>
        <v>624</v>
      </c>
      <c r="B630" t="s">
        <v>1281</v>
      </c>
      <c r="C630" t="s">
        <v>16</v>
      </c>
      <c r="D630" s="8">
        <v>197.02516589132401</v>
      </c>
      <c r="F630">
        <f t="shared" si="19"/>
        <v>624</v>
      </c>
      <c r="G630" t="s">
        <v>1349</v>
      </c>
      <c r="H630" t="s">
        <v>821</v>
      </c>
      <c r="I630" s="8">
        <v>1683.2472200731859</v>
      </c>
    </row>
    <row r="631" spans="1:9" x14ac:dyDescent="0.35">
      <c r="A631">
        <f t="shared" si="18"/>
        <v>625</v>
      </c>
      <c r="B631" t="s">
        <v>2555</v>
      </c>
      <c r="C631" t="s">
        <v>44</v>
      </c>
      <c r="D631" s="8">
        <v>1225.3092817258628</v>
      </c>
      <c r="F631">
        <f t="shared" si="19"/>
        <v>625</v>
      </c>
      <c r="G631" t="s">
        <v>890</v>
      </c>
      <c r="H631" t="s">
        <v>1234</v>
      </c>
      <c r="I631" s="8">
        <v>4568.7374146684206</v>
      </c>
    </row>
    <row r="632" spans="1:9" x14ac:dyDescent="0.35">
      <c r="A632">
        <f t="shared" si="18"/>
        <v>626</v>
      </c>
      <c r="B632" t="s">
        <v>2298</v>
      </c>
      <c r="C632" t="s">
        <v>28</v>
      </c>
      <c r="D632" s="8">
        <v>3324.6939138617745</v>
      </c>
      <c r="F632">
        <f t="shared" si="19"/>
        <v>626</v>
      </c>
      <c r="H632" t="s">
        <v>889</v>
      </c>
      <c r="I632" s="8">
        <v>5744.8091345854018</v>
      </c>
    </row>
    <row r="633" spans="1:9" x14ac:dyDescent="0.35">
      <c r="A633">
        <f t="shared" si="18"/>
        <v>627</v>
      </c>
      <c r="B633" t="s">
        <v>1291</v>
      </c>
      <c r="C633" t="s">
        <v>58</v>
      </c>
      <c r="D633" s="8">
        <v>103.34412301346619</v>
      </c>
      <c r="F633">
        <f t="shared" si="19"/>
        <v>627</v>
      </c>
      <c r="G633" t="s">
        <v>415</v>
      </c>
      <c r="H633" t="s">
        <v>2553</v>
      </c>
      <c r="I633" s="8">
        <v>1723.2503803830987</v>
      </c>
    </row>
    <row r="634" spans="1:9" x14ac:dyDescent="0.35">
      <c r="A634">
        <f t="shared" si="18"/>
        <v>628</v>
      </c>
      <c r="B634" t="s">
        <v>858</v>
      </c>
      <c r="C634" t="s">
        <v>859</v>
      </c>
      <c r="D634" s="8">
        <v>548.45500650402812</v>
      </c>
      <c r="F634">
        <f t="shared" si="19"/>
        <v>628</v>
      </c>
      <c r="H634" t="s">
        <v>118</v>
      </c>
      <c r="I634" s="8">
        <v>30045.731492232528</v>
      </c>
    </row>
    <row r="635" spans="1:9" x14ac:dyDescent="0.35">
      <c r="A635">
        <f t="shared" si="18"/>
        <v>629</v>
      </c>
      <c r="B635" t="s">
        <v>841</v>
      </c>
      <c r="C635" t="s">
        <v>139</v>
      </c>
      <c r="D635" s="8">
        <v>2008.6001717619174</v>
      </c>
      <c r="F635">
        <f t="shared" si="19"/>
        <v>629</v>
      </c>
      <c r="G635" t="s">
        <v>119</v>
      </c>
      <c r="H635" t="s">
        <v>310</v>
      </c>
      <c r="I635" s="8">
        <v>7695.0795473712287</v>
      </c>
    </row>
    <row r="636" spans="1:9" x14ac:dyDescent="0.35">
      <c r="A636">
        <f t="shared" si="18"/>
        <v>630</v>
      </c>
      <c r="B636" t="s">
        <v>1038</v>
      </c>
      <c r="C636" t="s">
        <v>28</v>
      </c>
      <c r="D636" s="8">
        <v>3645.1040086371763</v>
      </c>
      <c r="F636">
        <f t="shared" si="19"/>
        <v>630</v>
      </c>
      <c r="H636" t="s">
        <v>984</v>
      </c>
      <c r="I636" s="8">
        <v>3145.3940951965415</v>
      </c>
    </row>
    <row r="637" spans="1:9" x14ac:dyDescent="0.35">
      <c r="A637">
        <f t="shared" si="18"/>
        <v>631</v>
      </c>
      <c r="B637" t="s">
        <v>1459</v>
      </c>
      <c r="C637" t="s">
        <v>516</v>
      </c>
      <c r="D637" s="8">
        <v>8527.3331406997422</v>
      </c>
      <c r="F637">
        <f t="shared" si="19"/>
        <v>631</v>
      </c>
      <c r="H637" t="s">
        <v>1376</v>
      </c>
      <c r="I637" s="8">
        <v>291.30987619294268</v>
      </c>
    </row>
    <row r="638" spans="1:9" x14ac:dyDescent="0.35">
      <c r="A638">
        <f t="shared" si="18"/>
        <v>632</v>
      </c>
      <c r="B638" t="s">
        <v>2467</v>
      </c>
      <c r="C638" t="s">
        <v>196</v>
      </c>
      <c r="D638" s="8">
        <v>804.48018910599274</v>
      </c>
      <c r="F638">
        <f t="shared" si="19"/>
        <v>632</v>
      </c>
      <c r="H638" t="s">
        <v>933</v>
      </c>
      <c r="I638" s="8">
        <v>1022.77721484957</v>
      </c>
    </row>
    <row r="639" spans="1:9" x14ac:dyDescent="0.35">
      <c r="A639">
        <f t="shared" si="18"/>
        <v>633</v>
      </c>
      <c r="B639" t="s">
        <v>1078</v>
      </c>
      <c r="C639" t="s">
        <v>471</v>
      </c>
      <c r="D639" s="8">
        <v>3730.2871871675056</v>
      </c>
      <c r="F639">
        <f t="shared" si="19"/>
        <v>633</v>
      </c>
      <c r="H639" t="s">
        <v>1136</v>
      </c>
      <c r="I639" s="8">
        <v>1019.8083933535522</v>
      </c>
    </row>
    <row r="640" spans="1:9" x14ac:dyDescent="0.35">
      <c r="A640">
        <f t="shared" si="18"/>
        <v>634</v>
      </c>
      <c r="B640" t="s">
        <v>2333</v>
      </c>
      <c r="C640" t="s">
        <v>109</v>
      </c>
      <c r="D640" s="8">
        <v>1079.1812460476247</v>
      </c>
      <c r="F640">
        <f t="shared" si="19"/>
        <v>634</v>
      </c>
      <c r="H640" t="s">
        <v>1319</v>
      </c>
      <c r="I640" s="8">
        <v>384.00423072874526</v>
      </c>
    </row>
    <row r="641" spans="1:9" x14ac:dyDescent="0.35">
      <c r="A641">
        <f t="shared" si="18"/>
        <v>635</v>
      </c>
      <c r="B641" t="s">
        <v>2334</v>
      </c>
      <c r="C641" t="s">
        <v>399</v>
      </c>
      <c r="D641" s="8">
        <v>1457.3771965239052</v>
      </c>
      <c r="F641">
        <f t="shared" si="19"/>
        <v>635</v>
      </c>
      <c r="H641" t="s">
        <v>285</v>
      </c>
      <c r="I641" s="8">
        <v>24467.524854899177</v>
      </c>
    </row>
    <row r="642" spans="1:9" x14ac:dyDescent="0.35">
      <c r="A642">
        <f t="shared" si="18"/>
        <v>636</v>
      </c>
      <c r="B642" t="s">
        <v>2534</v>
      </c>
      <c r="C642" t="s">
        <v>495</v>
      </c>
      <c r="D642" s="8">
        <v>1133.5389083702173</v>
      </c>
      <c r="F642">
        <f t="shared" si="19"/>
        <v>636</v>
      </c>
      <c r="H642" t="s">
        <v>377</v>
      </c>
      <c r="I642" s="8">
        <v>7746.5765523897162</v>
      </c>
    </row>
    <row r="643" spans="1:9" x14ac:dyDescent="0.35">
      <c r="A643">
        <f t="shared" si="18"/>
        <v>637</v>
      </c>
      <c r="B643" t="s">
        <v>526</v>
      </c>
      <c r="C643" t="s">
        <v>136</v>
      </c>
      <c r="D643" s="8">
        <v>12205.23391176529</v>
      </c>
      <c r="F643">
        <f t="shared" si="19"/>
        <v>637</v>
      </c>
      <c r="G643" t="s">
        <v>1267</v>
      </c>
      <c r="H643" t="s">
        <v>1406</v>
      </c>
      <c r="I643" s="8">
        <v>45.757490560675237</v>
      </c>
    </row>
    <row r="644" spans="1:9" x14ac:dyDescent="0.35">
      <c r="A644">
        <f t="shared" si="18"/>
        <v>638</v>
      </c>
      <c r="B644" t="s">
        <v>2415</v>
      </c>
      <c r="C644" t="s">
        <v>159</v>
      </c>
      <c r="D644" s="8">
        <v>1255.2725051033062</v>
      </c>
      <c r="F644">
        <f t="shared" si="19"/>
        <v>638</v>
      </c>
      <c r="H644" t="s">
        <v>1266</v>
      </c>
      <c r="I644" s="8">
        <v>1014.4297154226414</v>
      </c>
    </row>
    <row r="645" spans="1:9" x14ac:dyDescent="0.35">
      <c r="A645">
        <f t="shared" si="18"/>
        <v>639</v>
      </c>
      <c r="B645" t="s">
        <v>1103</v>
      </c>
      <c r="C645" t="s">
        <v>136</v>
      </c>
      <c r="D645" s="8">
        <v>3018.7004986662432</v>
      </c>
      <c r="F645">
        <f t="shared" si="19"/>
        <v>639</v>
      </c>
      <c r="G645" t="s">
        <v>1444</v>
      </c>
      <c r="H645" t="s">
        <v>1442</v>
      </c>
      <c r="I645" s="8">
        <v>1352.1825181113625</v>
      </c>
    </row>
    <row r="646" spans="1:9" x14ac:dyDescent="0.35">
      <c r="A646">
        <f t="shared" si="18"/>
        <v>640</v>
      </c>
      <c r="B646" t="s">
        <v>2641</v>
      </c>
      <c r="C646" t="s">
        <v>361</v>
      </c>
      <c r="D646" s="8">
        <v>1322.2192947339192</v>
      </c>
      <c r="F646">
        <f t="shared" si="19"/>
        <v>640</v>
      </c>
      <c r="G646" t="s">
        <v>812</v>
      </c>
      <c r="H646" t="s">
        <v>811</v>
      </c>
      <c r="I646" s="8">
        <v>1222.7164711475832</v>
      </c>
    </row>
    <row r="647" spans="1:9" x14ac:dyDescent="0.35">
      <c r="A647">
        <f t="shared" si="18"/>
        <v>641</v>
      </c>
      <c r="B647" t="s">
        <v>2632</v>
      </c>
      <c r="C647" t="s">
        <v>2633</v>
      </c>
      <c r="D647" s="8">
        <v>1707.5701760979362</v>
      </c>
      <c r="F647">
        <f t="shared" si="19"/>
        <v>641</v>
      </c>
      <c r="G647" t="s">
        <v>1229</v>
      </c>
      <c r="H647" t="s">
        <v>1228</v>
      </c>
      <c r="I647" s="8">
        <v>1484.2998393467858</v>
      </c>
    </row>
    <row r="648" spans="1:9" x14ac:dyDescent="0.35">
      <c r="A648">
        <f t="shared" si="18"/>
        <v>642</v>
      </c>
      <c r="B648" t="s">
        <v>1066</v>
      </c>
      <c r="C648" t="s">
        <v>142</v>
      </c>
      <c r="D648" s="8">
        <v>1259.2752475569798</v>
      </c>
      <c r="F648">
        <f t="shared" si="19"/>
        <v>642</v>
      </c>
      <c r="G648" t="s">
        <v>2306</v>
      </c>
      <c r="H648" t="s">
        <v>2305</v>
      </c>
      <c r="I648" s="8">
        <v>4573.126994434775</v>
      </c>
    </row>
    <row r="649" spans="1:9" x14ac:dyDescent="0.35">
      <c r="A649">
        <f t="shared" ref="A649:A712" si="20">A648+1</f>
        <v>643</v>
      </c>
      <c r="B649" t="s">
        <v>22</v>
      </c>
      <c r="C649" t="s">
        <v>181</v>
      </c>
      <c r="D649" s="8">
        <v>1094.4212126043617</v>
      </c>
      <c r="F649">
        <f t="shared" ref="F649:F712" si="21">F648+1</f>
        <v>643</v>
      </c>
      <c r="G649" t="s">
        <v>2337</v>
      </c>
      <c r="H649" t="s">
        <v>2336</v>
      </c>
      <c r="I649" s="8">
        <v>1721.5358322347602</v>
      </c>
    </row>
    <row r="650" spans="1:9" x14ac:dyDescent="0.35">
      <c r="A650">
        <f t="shared" si="20"/>
        <v>644</v>
      </c>
      <c r="B650" t="s">
        <v>27</v>
      </c>
      <c r="C650" t="s">
        <v>192</v>
      </c>
      <c r="D650" s="8">
        <v>877.68540721784882</v>
      </c>
      <c r="F650">
        <f t="shared" si="21"/>
        <v>644</v>
      </c>
      <c r="G650" t="s">
        <v>282</v>
      </c>
      <c r="H650" t="s">
        <v>281</v>
      </c>
      <c r="I650" s="8">
        <v>17140.233636002653</v>
      </c>
    </row>
    <row r="651" spans="1:9" x14ac:dyDescent="0.35">
      <c r="A651">
        <f t="shared" si="20"/>
        <v>645</v>
      </c>
      <c r="C651" t="s">
        <v>28</v>
      </c>
      <c r="D651" s="8">
        <v>9112.3374248073924</v>
      </c>
      <c r="F651">
        <f t="shared" si="21"/>
        <v>645</v>
      </c>
      <c r="H651" t="s">
        <v>1843</v>
      </c>
      <c r="I651" s="8">
        <v>1146.1280356782381</v>
      </c>
    </row>
    <row r="652" spans="1:9" x14ac:dyDescent="0.35">
      <c r="A652">
        <f t="shared" si="20"/>
        <v>646</v>
      </c>
      <c r="B652" t="s">
        <v>775</v>
      </c>
      <c r="C652" t="s">
        <v>139</v>
      </c>
      <c r="D652" s="8">
        <v>5775.1205542401067</v>
      </c>
      <c r="F652">
        <f t="shared" si="21"/>
        <v>646</v>
      </c>
      <c r="H652" t="s">
        <v>505</v>
      </c>
      <c r="I652" s="8">
        <v>1041.3926851582248</v>
      </c>
    </row>
    <row r="653" spans="1:9" x14ac:dyDescent="0.35">
      <c r="A653">
        <f t="shared" si="20"/>
        <v>647</v>
      </c>
      <c r="B653" t="s">
        <v>1244</v>
      </c>
      <c r="C653" t="s">
        <v>324</v>
      </c>
      <c r="D653" s="8">
        <v>2009.2234661869857</v>
      </c>
      <c r="F653">
        <f t="shared" si="21"/>
        <v>647</v>
      </c>
      <c r="G653" t="s">
        <v>946</v>
      </c>
      <c r="H653" t="s">
        <v>945</v>
      </c>
      <c r="I653" s="8">
        <v>6223.1639904161129</v>
      </c>
    </row>
    <row r="654" spans="1:9" x14ac:dyDescent="0.35">
      <c r="A654">
        <f t="shared" si="20"/>
        <v>648</v>
      </c>
      <c r="B654" t="s">
        <v>302</v>
      </c>
      <c r="C654" t="s">
        <v>81</v>
      </c>
      <c r="D654" s="8">
        <v>13897.728752506902</v>
      </c>
      <c r="F654">
        <f t="shared" si="21"/>
        <v>648</v>
      </c>
      <c r="G654" t="s">
        <v>49</v>
      </c>
      <c r="H654" t="s">
        <v>48</v>
      </c>
      <c r="I654" s="8">
        <v>13549.750683489243</v>
      </c>
    </row>
    <row r="655" spans="1:9" x14ac:dyDescent="0.35">
      <c r="A655">
        <f t="shared" si="20"/>
        <v>649</v>
      </c>
      <c r="B655" t="s">
        <v>2541</v>
      </c>
      <c r="C655" t="s">
        <v>384</v>
      </c>
      <c r="D655" s="8">
        <v>914.98921029165137</v>
      </c>
      <c r="F655">
        <f t="shared" si="21"/>
        <v>649</v>
      </c>
      <c r="G655" t="s">
        <v>22</v>
      </c>
      <c r="H655" t="s">
        <v>804</v>
      </c>
      <c r="I655" s="8">
        <v>1678.4834302771219</v>
      </c>
    </row>
    <row r="656" spans="1:9" x14ac:dyDescent="0.35">
      <c r="A656">
        <f t="shared" si="20"/>
        <v>650</v>
      </c>
      <c r="B656" t="s">
        <v>2398</v>
      </c>
      <c r="C656" t="s">
        <v>1514</v>
      </c>
      <c r="D656" s="8">
        <v>1064.4579892269187</v>
      </c>
      <c r="F656">
        <f t="shared" si="21"/>
        <v>650</v>
      </c>
      <c r="H656" t="s">
        <v>90</v>
      </c>
      <c r="I656" s="8">
        <v>17291.152680243536</v>
      </c>
    </row>
    <row r="657" spans="1:9" x14ac:dyDescent="0.35">
      <c r="A657">
        <f t="shared" si="20"/>
        <v>651</v>
      </c>
      <c r="C657" t="s">
        <v>1955</v>
      </c>
      <c r="D657" s="8">
        <v>5793.2284508097628</v>
      </c>
      <c r="F657">
        <f t="shared" si="21"/>
        <v>651</v>
      </c>
      <c r="H657" t="s">
        <v>2536</v>
      </c>
      <c r="I657" s="8">
        <v>3929.2451731687047</v>
      </c>
    </row>
    <row r="658" spans="1:9" x14ac:dyDescent="0.35">
      <c r="A658">
        <f t="shared" si="20"/>
        <v>652</v>
      </c>
      <c r="B658" t="s">
        <v>640</v>
      </c>
      <c r="C658" t="s">
        <v>410</v>
      </c>
      <c r="D658" s="8">
        <v>1571.4379574526624</v>
      </c>
      <c r="F658">
        <f t="shared" si="21"/>
        <v>652</v>
      </c>
      <c r="G658" t="s">
        <v>463</v>
      </c>
      <c r="H658" t="s">
        <v>791</v>
      </c>
      <c r="I658" s="8">
        <v>945.09912999945493</v>
      </c>
    </row>
    <row r="659" spans="1:9" x14ac:dyDescent="0.35">
      <c r="A659">
        <f t="shared" si="20"/>
        <v>653</v>
      </c>
      <c r="B659" t="s">
        <v>2300</v>
      </c>
      <c r="C659" t="s">
        <v>2301</v>
      </c>
      <c r="D659" s="8">
        <v>916.45394854992526</v>
      </c>
      <c r="F659">
        <f t="shared" si="21"/>
        <v>653</v>
      </c>
      <c r="H659" t="s">
        <v>21</v>
      </c>
      <c r="I659" s="8">
        <v>77674.663680084239</v>
      </c>
    </row>
    <row r="660" spans="1:9" x14ac:dyDescent="0.35">
      <c r="A660">
        <f t="shared" si="20"/>
        <v>654</v>
      </c>
      <c r="B660" t="s">
        <v>1239</v>
      </c>
      <c r="C660" t="s">
        <v>196</v>
      </c>
      <c r="D660" s="8">
        <v>1199.9238680623166</v>
      </c>
      <c r="F660">
        <f t="shared" si="21"/>
        <v>654</v>
      </c>
      <c r="H660" t="s">
        <v>769</v>
      </c>
      <c r="I660" s="8">
        <v>1049.2180226701814</v>
      </c>
    </row>
    <row r="661" spans="1:9" x14ac:dyDescent="0.35">
      <c r="A661">
        <f t="shared" si="20"/>
        <v>655</v>
      </c>
      <c r="B661" t="s">
        <v>57</v>
      </c>
      <c r="C661" t="s">
        <v>350</v>
      </c>
      <c r="D661" s="8">
        <v>1511.5976408837682</v>
      </c>
      <c r="F661">
        <f t="shared" si="21"/>
        <v>655</v>
      </c>
      <c r="H661" t="s">
        <v>810</v>
      </c>
      <c r="I661" s="8">
        <v>7114.5947078908912</v>
      </c>
    </row>
    <row r="662" spans="1:9" x14ac:dyDescent="0.35">
      <c r="A662">
        <f t="shared" si="20"/>
        <v>656</v>
      </c>
      <c r="C662" t="s">
        <v>480</v>
      </c>
      <c r="D662" s="8">
        <v>1138.3026981662815</v>
      </c>
      <c r="F662">
        <f t="shared" si="21"/>
        <v>656</v>
      </c>
      <c r="H662" t="s">
        <v>357</v>
      </c>
      <c r="I662" s="8">
        <v>2879.0171299594967</v>
      </c>
    </row>
    <row r="663" spans="1:9" x14ac:dyDescent="0.35">
      <c r="A663">
        <f t="shared" si="20"/>
        <v>657</v>
      </c>
      <c r="C663" t="s">
        <v>58</v>
      </c>
      <c r="D663" s="8">
        <v>7385.9481355826956</v>
      </c>
      <c r="F663">
        <f t="shared" si="21"/>
        <v>657</v>
      </c>
      <c r="H663" t="s">
        <v>2635</v>
      </c>
      <c r="I663" s="8">
        <v>1763.4279935629374</v>
      </c>
    </row>
    <row r="664" spans="1:9" x14ac:dyDescent="0.35">
      <c r="A664">
        <f t="shared" si="20"/>
        <v>658</v>
      </c>
      <c r="C664" t="s">
        <v>370</v>
      </c>
      <c r="D664" s="8">
        <v>3330.8194664958369</v>
      </c>
      <c r="F664">
        <f t="shared" si="21"/>
        <v>658</v>
      </c>
      <c r="H664" t="s">
        <v>2456</v>
      </c>
      <c r="I664" s="8">
        <v>1056.9048513364728</v>
      </c>
    </row>
    <row r="665" spans="1:9" x14ac:dyDescent="0.35">
      <c r="A665">
        <f t="shared" si="20"/>
        <v>659</v>
      </c>
      <c r="B665" t="s">
        <v>1507</v>
      </c>
      <c r="C665" t="s">
        <v>153</v>
      </c>
      <c r="D665" s="8">
        <v>2840.7332346118069</v>
      </c>
      <c r="F665">
        <f t="shared" si="21"/>
        <v>659</v>
      </c>
      <c r="H665" t="s">
        <v>275</v>
      </c>
      <c r="I665" s="8">
        <v>6364.0217073682652</v>
      </c>
    </row>
    <row r="666" spans="1:9" x14ac:dyDescent="0.35">
      <c r="A666">
        <f t="shared" si="20"/>
        <v>660</v>
      </c>
      <c r="B666" t="s">
        <v>2373</v>
      </c>
      <c r="C666" t="s">
        <v>2374</v>
      </c>
      <c r="D666" s="8">
        <v>7622.7469148090859</v>
      </c>
      <c r="F666">
        <f t="shared" si="21"/>
        <v>660</v>
      </c>
      <c r="H666" t="s">
        <v>772</v>
      </c>
      <c r="I666" s="8">
        <v>1066.9467896306132</v>
      </c>
    </row>
    <row r="667" spans="1:9" x14ac:dyDescent="0.35">
      <c r="A667">
        <f t="shared" si="20"/>
        <v>661</v>
      </c>
      <c r="B667" t="s">
        <v>358</v>
      </c>
      <c r="C667" t="s">
        <v>359</v>
      </c>
      <c r="D667" s="8">
        <v>1874.5298092048547</v>
      </c>
      <c r="F667">
        <f t="shared" si="21"/>
        <v>661</v>
      </c>
      <c r="G667" t="s">
        <v>200</v>
      </c>
      <c r="H667" t="s">
        <v>161</v>
      </c>
      <c r="I667" s="8">
        <v>24835.283147975933</v>
      </c>
    </row>
    <row r="668" spans="1:9" x14ac:dyDescent="0.35">
      <c r="A668">
        <f t="shared" si="20"/>
        <v>662</v>
      </c>
      <c r="C668" t="s">
        <v>77</v>
      </c>
      <c r="D668" s="8">
        <v>2120.5739312058495</v>
      </c>
      <c r="F668">
        <f t="shared" si="21"/>
        <v>662</v>
      </c>
      <c r="H668" t="s">
        <v>697</v>
      </c>
      <c r="I668" s="8">
        <v>7252.9477405212911</v>
      </c>
    </row>
    <row r="669" spans="1:9" x14ac:dyDescent="0.35">
      <c r="A669">
        <f t="shared" si="20"/>
        <v>663</v>
      </c>
      <c r="B669" t="s">
        <v>76</v>
      </c>
      <c r="C669" t="s">
        <v>77</v>
      </c>
      <c r="D669" s="8">
        <v>4313.9070831699337</v>
      </c>
      <c r="F669">
        <f t="shared" si="21"/>
        <v>663</v>
      </c>
      <c r="H669" t="s">
        <v>388</v>
      </c>
      <c r="I669" s="8">
        <v>6993.221312833688</v>
      </c>
    </row>
    <row r="670" spans="1:9" x14ac:dyDescent="0.35">
      <c r="A670">
        <f t="shared" si="20"/>
        <v>664</v>
      </c>
      <c r="B670" t="s">
        <v>51</v>
      </c>
      <c r="C670" t="s">
        <v>153</v>
      </c>
      <c r="D670" s="8">
        <v>10304.45336359465</v>
      </c>
      <c r="F670">
        <f t="shared" si="21"/>
        <v>664</v>
      </c>
      <c r="H670" t="s">
        <v>801</v>
      </c>
      <c r="I670" s="8">
        <v>2799.3405494535818</v>
      </c>
    </row>
    <row r="671" spans="1:9" x14ac:dyDescent="0.35">
      <c r="A671">
        <f t="shared" si="20"/>
        <v>665</v>
      </c>
      <c r="B671" t="s">
        <v>1080</v>
      </c>
      <c r="C671" t="s">
        <v>25</v>
      </c>
      <c r="D671" s="8">
        <v>1620.8417883847869</v>
      </c>
      <c r="F671">
        <f t="shared" si="21"/>
        <v>665</v>
      </c>
      <c r="H671" t="s">
        <v>1861</v>
      </c>
      <c r="I671" s="8">
        <v>1732.3937598229686</v>
      </c>
    </row>
    <row r="672" spans="1:9" x14ac:dyDescent="0.35">
      <c r="A672">
        <f t="shared" si="20"/>
        <v>666</v>
      </c>
      <c r="B672" t="s">
        <v>168</v>
      </c>
      <c r="C672" t="s">
        <v>136</v>
      </c>
      <c r="D672" s="8">
        <v>483.0708663695163</v>
      </c>
      <c r="F672">
        <f t="shared" si="21"/>
        <v>666</v>
      </c>
      <c r="H672" t="s">
        <v>692</v>
      </c>
      <c r="I672" s="8">
        <v>19622.900061489065</v>
      </c>
    </row>
    <row r="673" spans="1:9" x14ac:dyDescent="0.35">
      <c r="A673">
        <f t="shared" si="20"/>
        <v>667</v>
      </c>
      <c r="B673" t="s">
        <v>17</v>
      </c>
      <c r="C673" t="s">
        <v>18</v>
      </c>
      <c r="D673" s="8">
        <v>934.49845124356762</v>
      </c>
      <c r="F673">
        <f t="shared" si="21"/>
        <v>667</v>
      </c>
      <c r="H673" t="s">
        <v>346</v>
      </c>
      <c r="I673" s="8">
        <v>1613.0553756294257</v>
      </c>
    </row>
    <row r="674" spans="1:9" x14ac:dyDescent="0.35">
      <c r="A674">
        <f t="shared" si="20"/>
        <v>668</v>
      </c>
      <c r="B674" t="s">
        <v>25</v>
      </c>
      <c r="C674" t="s">
        <v>16</v>
      </c>
      <c r="D674" s="8">
        <v>1166.331421766525</v>
      </c>
      <c r="F674">
        <f t="shared" si="21"/>
        <v>668</v>
      </c>
      <c r="G674" t="s">
        <v>861</v>
      </c>
      <c r="H674" t="s">
        <v>860</v>
      </c>
      <c r="I674" s="8">
        <v>1619.4758409067977</v>
      </c>
    </row>
    <row r="675" spans="1:9" x14ac:dyDescent="0.35">
      <c r="A675">
        <f t="shared" si="20"/>
        <v>669</v>
      </c>
      <c r="C675" t="s">
        <v>26</v>
      </c>
      <c r="D675" s="8">
        <v>1644.3481302951279</v>
      </c>
      <c r="F675">
        <f t="shared" si="21"/>
        <v>669</v>
      </c>
      <c r="G675" t="s">
        <v>1019</v>
      </c>
      <c r="H675" t="s">
        <v>1114</v>
      </c>
      <c r="I675" s="8">
        <v>1198.6570869544225</v>
      </c>
    </row>
    <row r="676" spans="1:9" x14ac:dyDescent="0.35">
      <c r="A676">
        <f t="shared" si="20"/>
        <v>670</v>
      </c>
      <c r="B676" t="s">
        <v>2667</v>
      </c>
      <c r="C676" t="s">
        <v>2668</v>
      </c>
      <c r="D676" s="8">
        <v>1113.9433523068369</v>
      </c>
      <c r="F676">
        <f t="shared" si="21"/>
        <v>670</v>
      </c>
      <c r="H676" t="s">
        <v>1215</v>
      </c>
      <c r="I676" s="8">
        <v>1079.1812460476249</v>
      </c>
    </row>
    <row r="677" spans="1:9" x14ac:dyDescent="0.35">
      <c r="A677">
        <f t="shared" si="20"/>
        <v>671</v>
      </c>
      <c r="B677" t="s">
        <v>1082</v>
      </c>
      <c r="C677" t="s">
        <v>52</v>
      </c>
      <c r="D677" s="8">
        <v>481.10571955530014</v>
      </c>
      <c r="F677">
        <f t="shared" si="21"/>
        <v>671</v>
      </c>
      <c r="G677" t="s">
        <v>665</v>
      </c>
      <c r="H677" t="s">
        <v>773</v>
      </c>
      <c r="I677" s="8">
        <v>2424.8816366310666</v>
      </c>
    </row>
    <row r="678" spans="1:9" x14ac:dyDescent="0.35">
      <c r="A678">
        <f t="shared" si="20"/>
        <v>672</v>
      </c>
      <c r="B678" t="s">
        <v>1073</v>
      </c>
      <c r="C678" t="s">
        <v>744</v>
      </c>
      <c r="D678" s="8">
        <v>1970.5518898646847</v>
      </c>
      <c r="F678">
        <f t="shared" si="21"/>
        <v>672</v>
      </c>
      <c r="H678" t="s">
        <v>2388</v>
      </c>
      <c r="I678" s="8">
        <v>1290.0346113625178</v>
      </c>
    </row>
    <row r="679" spans="1:9" x14ac:dyDescent="0.35">
      <c r="A679">
        <f t="shared" si="20"/>
        <v>673</v>
      </c>
      <c r="B679" t="s">
        <v>95</v>
      </c>
      <c r="C679" t="s">
        <v>71</v>
      </c>
      <c r="D679" s="8">
        <v>24267.607659747155</v>
      </c>
      <c r="F679">
        <f t="shared" si="21"/>
        <v>673</v>
      </c>
      <c r="H679" t="s">
        <v>813</v>
      </c>
      <c r="I679" s="8">
        <v>1181.3237859893582</v>
      </c>
    </row>
    <row r="680" spans="1:9" x14ac:dyDescent="0.35">
      <c r="A680">
        <f t="shared" si="20"/>
        <v>674</v>
      </c>
      <c r="B680" t="s">
        <v>363</v>
      </c>
      <c r="C680" t="s">
        <v>364</v>
      </c>
      <c r="D680" s="8">
        <v>18756.692573328775</v>
      </c>
      <c r="F680">
        <f t="shared" si="21"/>
        <v>674</v>
      </c>
      <c r="H680" t="s">
        <v>784</v>
      </c>
      <c r="I680" s="8">
        <v>1070.0378666077547</v>
      </c>
    </row>
    <row r="681" spans="1:9" x14ac:dyDescent="0.35">
      <c r="A681">
        <f t="shared" si="20"/>
        <v>675</v>
      </c>
      <c r="B681" t="s">
        <v>2573</v>
      </c>
      <c r="C681" t="s">
        <v>187</v>
      </c>
      <c r="D681" s="8">
        <v>3335.5247615134563</v>
      </c>
      <c r="F681">
        <f t="shared" si="21"/>
        <v>675</v>
      </c>
      <c r="H681" t="s">
        <v>340</v>
      </c>
      <c r="I681" s="8">
        <v>6566.1070589678975</v>
      </c>
    </row>
    <row r="682" spans="1:9" x14ac:dyDescent="0.35">
      <c r="A682">
        <f t="shared" si="20"/>
        <v>676</v>
      </c>
      <c r="B682" t="s">
        <v>1363</v>
      </c>
      <c r="C682" t="s">
        <v>1364</v>
      </c>
      <c r="D682" s="8">
        <v>950.08654966816744</v>
      </c>
      <c r="F682">
        <f t="shared" si="21"/>
        <v>676</v>
      </c>
      <c r="H682" t="s">
        <v>664</v>
      </c>
      <c r="I682" s="8">
        <v>5557.5415728828357</v>
      </c>
    </row>
    <row r="683" spans="1:9" x14ac:dyDescent="0.35">
      <c r="A683">
        <f t="shared" si="20"/>
        <v>677</v>
      </c>
      <c r="B683" t="s">
        <v>2428</v>
      </c>
      <c r="C683" t="s">
        <v>2429</v>
      </c>
      <c r="D683" s="8">
        <v>1857.3324964312685</v>
      </c>
      <c r="F683">
        <f t="shared" si="21"/>
        <v>677</v>
      </c>
      <c r="H683" t="s">
        <v>461</v>
      </c>
      <c r="I683" s="8">
        <v>9238.6795839702318</v>
      </c>
    </row>
    <row r="684" spans="1:9" x14ac:dyDescent="0.35">
      <c r="A684">
        <f t="shared" si="20"/>
        <v>678</v>
      </c>
      <c r="B684" t="s">
        <v>1237</v>
      </c>
      <c r="C684" t="s">
        <v>1238</v>
      </c>
      <c r="D684" s="8">
        <v>1234.6859743215284</v>
      </c>
      <c r="F684">
        <f t="shared" si="21"/>
        <v>678</v>
      </c>
      <c r="H684" t="s">
        <v>1316</v>
      </c>
      <c r="I684" s="8">
        <v>583.57658563394921</v>
      </c>
    </row>
    <row r="685" spans="1:9" x14ac:dyDescent="0.35">
      <c r="A685">
        <f t="shared" si="20"/>
        <v>679</v>
      </c>
      <c r="B685" t="s">
        <v>993</v>
      </c>
      <c r="C685" t="s">
        <v>205</v>
      </c>
      <c r="D685" s="8">
        <v>894.65681945508084</v>
      </c>
      <c r="F685">
        <f t="shared" si="21"/>
        <v>679</v>
      </c>
      <c r="G685" t="s">
        <v>1361</v>
      </c>
      <c r="H685" t="s">
        <v>420</v>
      </c>
      <c r="I685" s="8">
        <v>1161.0433307430214</v>
      </c>
    </row>
    <row r="686" spans="1:9" x14ac:dyDescent="0.35">
      <c r="A686">
        <f t="shared" si="20"/>
        <v>680</v>
      </c>
      <c r="B686" t="s">
        <v>1121</v>
      </c>
      <c r="C686" t="s">
        <v>13</v>
      </c>
      <c r="D686" s="8">
        <v>1496.9296480732148</v>
      </c>
      <c r="F686">
        <f t="shared" si="21"/>
        <v>680</v>
      </c>
      <c r="G686" t="s">
        <v>855</v>
      </c>
      <c r="H686" t="s">
        <v>716</v>
      </c>
      <c r="I686" s="8">
        <v>1770.8520116421441</v>
      </c>
    </row>
    <row r="687" spans="1:9" x14ac:dyDescent="0.35">
      <c r="A687">
        <f t="shared" si="20"/>
        <v>681</v>
      </c>
      <c r="B687" t="s">
        <v>882</v>
      </c>
      <c r="C687" t="s">
        <v>388</v>
      </c>
      <c r="D687" s="8">
        <v>1093.4216851622352</v>
      </c>
      <c r="F687">
        <f t="shared" si="21"/>
        <v>681</v>
      </c>
      <c r="G687" t="s">
        <v>552</v>
      </c>
      <c r="H687" t="s">
        <v>551</v>
      </c>
      <c r="I687" s="8">
        <v>471.00402651115661</v>
      </c>
    </row>
    <row r="688" spans="1:9" x14ac:dyDescent="0.35">
      <c r="A688">
        <f t="shared" si="20"/>
        <v>682</v>
      </c>
      <c r="B688" t="s">
        <v>1224</v>
      </c>
      <c r="C688" t="s">
        <v>782</v>
      </c>
      <c r="D688" s="8">
        <v>1019.8083933535522</v>
      </c>
      <c r="F688">
        <f t="shared" si="21"/>
        <v>682</v>
      </c>
      <c r="G688" t="s">
        <v>337</v>
      </c>
      <c r="H688" t="s">
        <v>336</v>
      </c>
      <c r="I688" s="8">
        <v>982.27123303956841</v>
      </c>
    </row>
    <row r="689" spans="1:9" x14ac:dyDescent="0.35">
      <c r="A689">
        <f t="shared" si="20"/>
        <v>683</v>
      </c>
      <c r="B689" t="s">
        <v>551</v>
      </c>
      <c r="C689" t="s">
        <v>552</v>
      </c>
      <c r="D689" s="8">
        <v>471.00402651115661</v>
      </c>
      <c r="F689">
        <f t="shared" si="21"/>
        <v>683</v>
      </c>
      <c r="G689" t="s">
        <v>221</v>
      </c>
      <c r="H689" t="s">
        <v>220</v>
      </c>
      <c r="I689" s="8">
        <v>11335.862797850299</v>
      </c>
    </row>
    <row r="690" spans="1:9" x14ac:dyDescent="0.35">
      <c r="A690">
        <f t="shared" si="20"/>
        <v>684</v>
      </c>
      <c r="B690" t="s">
        <v>1169</v>
      </c>
      <c r="C690" t="s">
        <v>56</v>
      </c>
      <c r="D690" s="8">
        <v>1502.4271199844325</v>
      </c>
      <c r="F690">
        <f t="shared" si="21"/>
        <v>684</v>
      </c>
      <c r="G690" t="s">
        <v>1264</v>
      </c>
      <c r="H690" t="s">
        <v>1263</v>
      </c>
      <c r="I690" s="8">
        <v>1151.2676753306489</v>
      </c>
    </row>
    <row r="691" spans="1:9" x14ac:dyDescent="0.35">
      <c r="A691">
        <f t="shared" si="20"/>
        <v>685</v>
      </c>
      <c r="B691" t="s">
        <v>135</v>
      </c>
      <c r="C691" t="s">
        <v>136</v>
      </c>
      <c r="D691" s="8">
        <v>7888.1254534226691</v>
      </c>
      <c r="F691">
        <f t="shared" si="21"/>
        <v>685</v>
      </c>
      <c r="G691" t="s">
        <v>205</v>
      </c>
      <c r="H691" t="s">
        <v>204</v>
      </c>
      <c r="I691" s="8">
        <v>47276.272329439431</v>
      </c>
    </row>
    <row r="692" spans="1:9" x14ac:dyDescent="0.35">
      <c r="A692">
        <f t="shared" si="20"/>
        <v>686</v>
      </c>
      <c r="C692" t="s">
        <v>1073</v>
      </c>
      <c r="D692" s="8">
        <v>5495.1023255870923</v>
      </c>
      <c r="F692">
        <f t="shared" si="21"/>
        <v>686</v>
      </c>
      <c r="H692" t="s">
        <v>202</v>
      </c>
      <c r="I692" s="8">
        <v>15644.501304805866</v>
      </c>
    </row>
    <row r="693" spans="1:9" x14ac:dyDescent="0.35">
      <c r="A693">
        <f t="shared" si="20"/>
        <v>687</v>
      </c>
      <c r="B693" t="s">
        <v>563</v>
      </c>
      <c r="C693" t="s">
        <v>564</v>
      </c>
      <c r="D693" s="8">
        <v>4016.3155205666262</v>
      </c>
      <c r="F693">
        <f t="shared" si="21"/>
        <v>687</v>
      </c>
      <c r="H693" t="s">
        <v>993</v>
      </c>
      <c r="I693" s="8">
        <v>894.65681945508084</v>
      </c>
    </row>
    <row r="694" spans="1:9" x14ac:dyDescent="0.35">
      <c r="A694">
        <f t="shared" si="20"/>
        <v>688</v>
      </c>
      <c r="B694" t="s">
        <v>1387</v>
      </c>
      <c r="C694" t="s">
        <v>391</v>
      </c>
      <c r="D694" s="8">
        <v>462.88081560505236</v>
      </c>
      <c r="F694">
        <f t="shared" si="21"/>
        <v>688</v>
      </c>
      <c r="H694" t="s">
        <v>1020</v>
      </c>
      <c r="I694" s="8">
        <v>188.32571547269293</v>
      </c>
    </row>
    <row r="695" spans="1:9" x14ac:dyDescent="0.35">
      <c r="A695">
        <f t="shared" si="20"/>
        <v>689</v>
      </c>
      <c r="B695" t="s">
        <v>1144</v>
      </c>
      <c r="C695" t="s">
        <v>44</v>
      </c>
      <c r="D695" s="8">
        <v>1427.8851548998227</v>
      </c>
      <c r="F695">
        <f t="shared" si="21"/>
        <v>689</v>
      </c>
      <c r="G695" t="s">
        <v>125</v>
      </c>
      <c r="H695" t="s">
        <v>124</v>
      </c>
      <c r="I695" s="8">
        <v>4582.1390911098497</v>
      </c>
    </row>
    <row r="696" spans="1:9" x14ac:dyDescent="0.35">
      <c r="A696">
        <f t="shared" si="20"/>
        <v>690</v>
      </c>
      <c r="B696" t="s">
        <v>2476</v>
      </c>
      <c r="C696" t="s">
        <v>77</v>
      </c>
      <c r="D696" s="8">
        <v>8544.1558116074921</v>
      </c>
      <c r="F696">
        <f t="shared" si="21"/>
        <v>690</v>
      </c>
      <c r="H696" t="s">
        <v>287</v>
      </c>
      <c r="I696" s="8">
        <v>8045.1122162023275</v>
      </c>
    </row>
    <row r="697" spans="1:9" x14ac:dyDescent="0.35">
      <c r="A697">
        <f t="shared" si="20"/>
        <v>691</v>
      </c>
      <c r="B697" t="s">
        <v>724</v>
      </c>
      <c r="C697" t="s">
        <v>725</v>
      </c>
      <c r="D697" s="8">
        <v>2442.4922121410746</v>
      </c>
      <c r="F697">
        <f t="shared" si="21"/>
        <v>691</v>
      </c>
      <c r="G697" t="s">
        <v>249</v>
      </c>
      <c r="H697" t="s">
        <v>248</v>
      </c>
      <c r="I697" s="8">
        <v>23860.164877792366</v>
      </c>
    </row>
    <row r="698" spans="1:9" x14ac:dyDescent="0.35">
      <c r="A698">
        <f t="shared" si="20"/>
        <v>692</v>
      </c>
      <c r="B698" t="s">
        <v>850</v>
      </c>
      <c r="C698" t="s">
        <v>851</v>
      </c>
      <c r="D698" s="8">
        <v>8412.0280898110086</v>
      </c>
      <c r="F698">
        <f t="shared" si="21"/>
        <v>692</v>
      </c>
      <c r="G698" t="s">
        <v>2489</v>
      </c>
      <c r="H698" t="s">
        <v>1978</v>
      </c>
      <c r="I698" s="8">
        <v>1149.5612115166321</v>
      </c>
    </row>
    <row r="699" spans="1:9" x14ac:dyDescent="0.35">
      <c r="A699">
        <f t="shared" si="20"/>
        <v>693</v>
      </c>
      <c r="B699" t="s">
        <v>285</v>
      </c>
      <c r="C699" t="s">
        <v>119</v>
      </c>
      <c r="D699" s="8">
        <v>24467.524854899177</v>
      </c>
      <c r="F699">
        <f t="shared" si="21"/>
        <v>693</v>
      </c>
      <c r="H699" t="s">
        <v>2571</v>
      </c>
      <c r="I699" s="8">
        <v>1311.7538610557542</v>
      </c>
    </row>
    <row r="700" spans="1:9" x14ac:dyDescent="0.35">
      <c r="A700">
        <f t="shared" si="20"/>
        <v>694</v>
      </c>
      <c r="B700" t="s">
        <v>118</v>
      </c>
      <c r="C700" t="s">
        <v>243</v>
      </c>
      <c r="D700" s="8">
        <v>3232.5180429990892</v>
      </c>
      <c r="F700">
        <f t="shared" si="21"/>
        <v>694</v>
      </c>
      <c r="G700" t="s">
        <v>25</v>
      </c>
      <c r="H700" t="s">
        <v>2408</v>
      </c>
      <c r="I700" s="8">
        <v>2049.2180226701817</v>
      </c>
    </row>
    <row r="701" spans="1:9" x14ac:dyDescent="0.35">
      <c r="A701">
        <f t="shared" si="20"/>
        <v>695</v>
      </c>
      <c r="C701" t="s">
        <v>415</v>
      </c>
      <c r="D701" s="8">
        <v>30045.731492232528</v>
      </c>
      <c r="F701">
        <f t="shared" si="21"/>
        <v>695</v>
      </c>
      <c r="H701" t="s">
        <v>50</v>
      </c>
      <c r="I701" s="8">
        <v>50794.681010475331</v>
      </c>
    </row>
    <row r="702" spans="1:9" x14ac:dyDescent="0.35">
      <c r="A702">
        <f t="shared" si="20"/>
        <v>696</v>
      </c>
      <c r="B702" t="s">
        <v>455</v>
      </c>
      <c r="C702" t="s">
        <v>136</v>
      </c>
      <c r="D702" s="8">
        <v>6248.2811749626107</v>
      </c>
      <c r="F702">
        <f t="shared" si="21"/>
        <v>696</v>
      </c>
      <c r="H702" t="s">
        <v>507</v>
      </c>
      <c r="I702" s="8">
        <v>927.44933285138825</v>
      </c>
    </row>
    <row r="703" spans="1:9" x14ac:dyDescent="0.35">
      <c r="A703">
        <f t="shared" si="20"/>
        <v>697</v>
      </c>
      <c r="B703" t="s">
        <v>501</v>
      </c>
      <c r="C703" t="s">
        <v>502</v>
      </c>
      <c r="D703" s="8">
        <v>1196.294645143968</v>
      </c>
      <c r="F703">
        <f t="shared" si="21"/>
        <v>697</v>
      </c>
      <c r="H703" t="s">
        <v>1080</v>
      </c>
      <c r="I703" s="8">
        <v>1620.8417883847869</v>
      </c>
    </row>
    <row r="704" spans="1:9" x14ac:dyDescent="0.35">
      <c r="A704">
        <f t="shared" si="20"/>
        <v>698</v>
      </c>
      <c r="B704" t="s">
        <v>412</v>
      </c>
      <c r="C704" t="s">
        <v>77</v>
      </c>
      <c r="D704" s="8">
        <v>1672.0978579357172</v>
      </c>
      <c r="F704">
        <f t="shared" si="21"/>
        <v>698</v>
      </c>
      <c r="G704" t="s">
        <v>2559</v>
      </c>
      <c r="H704" t="s">
        <v>2553</v>
      </c>
      <c r="I704" s="8">
        <v>1146.1280356782379</v>
      </c>
    </row>
    <row r="705" spans="1:9" x14ac:dyDescent="0.35">
      <c r="A705">
        <f t="shared" si="20"/>
        <v>699</v>
      </c>
      <c r="B705" t="s">
        <v>1517</v>
      </c>
      <c r="C705" t="s">
        <v>1005</v>
      </c>
      <c r="D705" s="8">
        <v>2149.2191126553798</v>
      </c>
      <c r="F705">
        <f t="shared" si="21"/>
        <v>699</v>
      </c>
      <c r="G705" t="s">
        <v>98</v>
      </c>
      <c r="H705" t="s">
        <v>2368</v>
      </c>
      <c r="I705" s="8">
        <v>1021.1892990699382</v>
      </c>
    </row>
    <row r="706" spans="1:9" x14ac:dyDescent="0.35">
      <c r="A706">
        <f t="shared" si="20"/>
        <v>700</v>
      </c>
      <c r="B706" t="s">
        <v>1075</v>
      </c>
      <c r="C706" t="s">
        <v>232</v>
      </c>
      <c r="D706" s="8">
        <v>631.62071738729071</v>
      </c>
      <c r="F706">
        <f t="shared" si="21"/>
        <v>700</v>
      </c>
      <c r="H706" t="s">
        <v>939</v>
      </c>
      <c r="I706" s="8">
        <v>932.60058450048189</v>
      </c>
    </row>
    <row r="707" spans="1:9" x14ac:dyDescent="0.35">
      <c r="A707">
        <f t="shared" si="20"/>
        <v>701</v>
      </c>
      <c r="C707" t="s">
        <v>942</v>
      </c>
      <c r="D707" s="8">
        <v>2053.8310621384226</v>
      </c>
      <c r="F707">
        <f t="shared" si="21"/>
        <v>701</v>
      </c>
      <c r="H707" t="s">
        <v>403</v>
      </c>
      <c r="I707" s="8">
        <v>1158.3624920952498</v>
      </c>
    </row>
    <row r="708" spans="1:9" x14ac:dyDescent="0.35">
      <c r="A708">
        <f t="shared" si="20"/>
        <v>702</v>
      </c>
      <c r="B708" t="s">
        <v>105</v>
      </c>
      <c r="C708" t="s">
        <v>106</v>
      </c>
      <c r="D708" s="8">
        <v>37260.501966626347</v>
      </c>
      <c r="F708">
        <f t="shared" si="21"/>
        <v>702</v>
      </c>
      <c r="H708" t="s">
        <v>97</v>
      </c>
      <c r="I708" s="8">
        <v>7368.234158785498</v>
      </c>
    </row>
    <row r="709" spans="1:9" x14ac:dyDescent="0.35">
      <c r="A709">
        <f t="shared" si="20"/>
        <v>703</v>
      </c>
      <c r="B709" t="s">
        <v>1114</v>
      </c>
      <c r="C709" t="s">
        <v>1019</v>
      </c>
      <c r="D709" s="8">
        <v>1198.6570869544225</v>
      </c>
      <c r="F709">
        <f t="shared" si="21"/>
        <v>703</v>
      </c>
      <c r="G709" t="s">
        <v>1251</v>
      </c>
      <c r="H709" t="s">
        <v>1250</v>
      </c>
      <c r="I709" s="8">
        <v>409.12417562455141</v>
      </c>
    </row>
    <row r="710" spans="1:9" x14ac:dyDescent="0.35">
      <c r="A710">
        <f t="shared" si="20"/>
        <v>704</v>
      </c>
      <c r="B710" t="s">
        <v>2672</v>
      </c>
      <c r="C710" t="s">
        <v>16</v>
      </c>
      <c r="D710" s="8">
        <v>845.09804001425687</v>
      </c>
      <c r="F710">
        <f t="shared" si="21"/>
        <v>704</v>
      </c>
      <c r="G710" t="s">
        <v>75</v>
      </c>
      <c r="H710" t="s">
        <v>74</v>
      </c>
      <c r="I710" s="8">
        <v>42975.869375552364</v>
      </c>
    </row>
    <row r="711" spans="1:9" x14ac:dyDescent="0.35">
      <c r="A711">
        <f t="shared" si="20"/>
        <v>705</v>
      </c>
      <c r="B711" t="s">
        <v>540</v>
      </c>
      <c r="C711" t="s">
        <v>65</v>
      </c>
      <c r="D711" s="8">
        <v>2666.3173671945174</v>
      </c>
      <c r="F711">
        <f t="shared" si="21"/>
        <v>705</v>
      </c>
      <c r="G711" t="s">
        <v>1454</v>
      </c>
      <c r="H711" t="s">
        <v>1453</v>
      </c>
      <c r="I711" s="8">
        <v>1234.6859743215284</v>
      </c>
    </row>
    <row r="712" spans="1:9" x14ac:dyDescent="0.35">
      <c r="A712">
        <f t="shared" si="20"/>
        <v>706</v>
      </c>
      <c r="B712" t="s">
        <v>714</v>
      </c>
      <c r="C712" t="s">
        <v>528</v>
      </c>
      <c r="D712" s="8">
        <v>9788.8969724949475</v>
      </c>
      <c r="F712">
        <f t="shared" si="21"/>
        <v>706</v>
      </c>
      <c r="G712" t="s">
        <v>884</v>
      </c>
      <c r="H712" t="s">
        <v>883</v>
      </c>
      <c r="I712" s="8">
        <v>5640.2341566253763</v>
      </c>
    </row>
    <row r="713" spans="1:9" x14ac:dyDescent="0.35">
      <c r="A713">
        <f t="shared" ref="A713:A776" si="22">A712+1</f>
        <v>707</v>
      </c>
      <c r="B713" t="s">
        <v>748</v>
      </c>
      <c r="C713" t="s">
        <v>89</v>
      </c>
      <c r="D713" s="8">
        <v>3809.63340874797</v>
      </c>
      <c r="F713">
        <f t="shared" ref="F713:F776" si="23">F712+1</f>
        <v>707</v>
      </c>
      <c r="G713" t="s">
        <v>370</v>
      </c>
      <c r="H713" t="s">
        <v>57</v>
      </c>
      <c r="I713" s="8">
        <v>3330.8194664958369</v>
      </c>
    </row>
    <row r="714" spans="1:9" x14ac:dyDescent="0.35">
      <c r="A714">
        <f t="shared" si="22"/>
        <v>708</v>
      </c>
      <c r="B714" t="s">
        <v>1240</v>
      </c>
      <c r="C714" t="s">
        <v>384</v>
      </c>
      <c r="D714" s="8">
        <v>1167.7391846909154</v>
      </c>
      <c r="F714">
        <f t="shared" si="23"/>
        <v>708</v>
      </c>
      <c r="G714" t="s">
        <v>1073</v>
      </c>
      <c r="H714" t="s">
        <v>2463</v>
      </c>
      <c r="I714" s="8">
        <v>1707.5701760979362</v>
      </c>
    </row>
    <row r="715" spans="1:9" x14ac:dyDescent="0.35">
      <c r="A715">
        <f t="shared" si="22"/>
        <v>709</v>
      </c>
      <c r="B715" t="s">
        <v>465</v>
      </c>
      <c r="C715" t="s">
        <v>11</v>
      </c>
      <c r="D715" s="8">
        <v>4500.5710591338966</v>
      </c>
      <c r="F715">
        <f t="shared" si="23"/>
        <v>709</v>
      </c>
      <c r="H715" t="s">
        <v>2586</v>
      </c>
      <c r="I715" s="8">
        <v>875.06126339169998</v>
      </c>
    </row>
    <row r="716" spans="1:9" x14ac:dyDescent="0.35">
      <c r="A716">
        <f t="shared" si="22"/>
        <v>710</v>
      </c>
      <c r="B716" t="s">
        <v>2363</v>
      </c>
      <c r="C716" t="s">
        <v>2364</v>
      </c>
      <c r="D716" s="8">
        <v>6524.0856561419077</v>
      </c>
      <c r="F716">
        <f t="shared" si="23"/>
        <v>710</v>
      </c>
      <c r="H716" t="s">
        <v>135</v>
      </c>
      <c r="I716" s="8">
        <v>5495.1023255870923</v>
      </c>
    </row>
    <row r="717" spans="1:9" x14ac:dyDescent="0.35">
      <c r="A717">
        <f t="shared" si="22"/>
        <v>711</v>
      </c>
      <c r="B717" t="s">
        <v>1533</v>
      </c>
      <c r="C717" t="s">
        <v>71</v>
      </c>
      <c r="D717" s="8">
        <v>50.692708236187435</v>
      </c>
      <c r="F717">
        <f t="shared" si="23"/>
        <v>711</v>
      </c>
      <c r="G717" t="s">
        <v>330</v>
      </c>
      <c r="H717" t="s">
        <v>658</v>
      </c>
      <c r="I717" s="8">
        <v>3692.4613448498085</v>
      </c>
    </row>
    <row r="718" spans="1:9" x14ac:dyDescent="0.35">
      <c r="A718">
        <f t="shared" si="22"/>
        <v>712</v>
      </c>
      <c r="B718" t="s">
        <v>702</v>
      </c>
      <c r="C718" t="s">
        <v>703</v>
      </c>
      <c r="D718" s="8">
        <v>1752.5971459112554</v>
      </c>
      <c r="F718">
        <f t="shared" si="23"/>
        <v>712</v>
      </c>
      <c r="H718" t="s">
        <v>329</v>
      </c>
      <c r="I718" s="8">
        <v>2061.4524790871933</v>
      </c>
    </row>
    <row r="719" spans="1:9" x14ac:dyDescent="0.35">
      <c r="A719">
        <f t="shared" si="22"/>
        <v>713</v>
      </c>
      <c r="C719" t="s">
        <v>218</v>
      </c>
      <c r="D719" s="8">
        <v>3813.6359243069164</v>
      </c>
      <c r="F719">
        <f t="shared" si="23"/>
        <v>713</v>
      </c>
      <c r="G719" t="s">
        <v>1168</v>
      </c>
      <c r="H719" t="s">
        <v>1167</v>
      </c>
      <c r="I719" s="8">
        <v>1397.9400086720375</v>
      </c>
    </row>
    <row r="720" spans="1:9" x14ac:dyDescent="0.35">
      <c r="A720">
        <f t="shared" si="22"/>
        <v>714</v>
      </c>
      <c r="B720" t="s">
        <v>1002</v>
      </c>
      <c r="C720" t="s">
        <v>28</v>
      </c>
      <c r="D720" s="8">
        <v>1423.2458739368076</v>
      </c>
      <c r="F720">
        <f t="shared" si="23"/>
        <v>714</v>
      </c>
      <c r="G720" t="s">
        <v>1238</v>
      </c>
      <c r="H720" t="s">
        <v>1237</v>
      </c>
      <c r="I720" s="8">
        <v>1234.6859743215284</v>
      </c>
    </row>
    <row r="721" spans="1:9" x14ac:dyDescent="0.35">
      <c r="A721">
        <f t="shared" si="22"/>
        <v>715</v>
      </c>
      <c r="B721" t="s">
        <v>896</v>
      </c>
      <c r="C721" t="s">
        <v>139</v>
      </c>
      <c r="D721" s="8">
        <v>2885.8877396629655</v>
      </c>
      <c r="F721">
        <f t="shared" si="23"/>
        <v>715</v>
      </c>
      <c r="G721" t="s">
        <v>71</v>
      </c>
      <c r="H721" t="s">
        <v>1182</v>
      </c>
      <c r="I721" s="8">
        <v>1386.2016054007938</v>
      </c>
    </row>
    <row r="722" spans="1:9" x14ac:dyDescent="0.35">
      <c r="A722">
        <f t="shared" si="22"/>
        <v>716</v>
      </c>
      <c r="B722" t="s">
        <v>2605</v>
      </c>
      <c r="C722" t="s">
        <v>927</v>
      </c>
      <c r="D722" s="8">
        <v>1021.1892990699381</v>
      </c>
      <c r="F722">
        <f t="shared" si="23"/>
        <v>716</v>
      </c>
      <c r="H722" t="s">
        <v>70</v>
      </c>
      <c r="I722" s="8">
        <v>37619.18550303884</v>
      </c>
    </row>
    <row r="723" spans="1:9" x14ac:dyDescent="0.35">
      <c r="A723">
        <f t="shared" si="22"/>
        <v>717</v>
      </c>
      <c r="B723" t="s">
        <v>1335</v>
      </c>
      <c r="C723" t="s">
        <v>1269</v>
      </c>
      <c r="D723" s="8">
        <v>2297.54166781816</v>
      </c>
      <c r="F723">
        <f t="shared" si="23"/>
        <v>717</v>
      </c>
      <c r="H723" t="s">
        <v>2545</v>
      </c>
      <c r="I723" s="8">
        <v>1342.4226808222061</v>
      </c>
    </row>
    <row r="724" spans="1:9" x14ac:dyDescent="0.35">
      <c r="A724">
        <f t="shared" si="22"/>
        <v>718</v>
      </c>
      <c r="B724" t="s">
        <v>774</v>
      </c>
      <c r="C724" t="s">
        <v>480</v>
      </c>
      <c r="D724" s="8">
        <v>890.855530574932</v>
      </c>
      <c r="F724">
        <f t="shared" si="23"/>
        <v>718</v>
      </c>
      <c r="H724" t="s">
        <v>1138</v>
      </c>
      <c r="I724" s="8">
        <v>991.77966975330878</v>
      </c>
    </row>
    <row r="725" spans="1:9" x14ac:dyDescent="0.35">
      <c r="A725">
        <f t="shared" si="22"/>
        <v>719</v>
      </c>
      <c r="B725" t="s">
        <v>2629</v>
      </c>
      <c r="C725" t="s">
        <v>2630</v>
      </c>
      <c r="D725" s="8">
        <v>1894.7906150702861</v>
      </c>
      <c r="F725">
        <f t="shared" si="23"/>
        <v>719</v>
      </c>
      <c r="H725" t="s">
        <v>903</v>
      </c>
      <c r="I725" s="8">
        <v>9186.6131565808719</v>
      </c>
    </row>
    <row r="726" spans="1:9" x14ac:dyDescent="0.35">
      <c r="A726">
        <f t="shared" si="22"/>
        <v>720</v>
      </c>
      <c r="B726" t="s">
        <v>700</v>
      </c>
      <c r="C726" t="s">
        <v>701</v>
      </c>
      <c r="D726" s="8">
        <v>2704.0467551664105</v>
      </c>
      <c r="F726">
        <f t="shared" si="23"/>
        <v>720</v>
      </c>
      <c r="H726" t="s">
        <v>1230</v>
      </c>
      <c r="I726" s="8">
        <v>1308.2085802911047</v>
      </c>
    </row>
    <row r="727" spans="1:9" x14ac:dyDescent="0.35">
      <c r="A727">
        <f t="shared" si="22"/>
        <v>721</v>
      </c>
      <c r="B727" t="s">
        <v>821</v>
      </c>
      <c r="C727" t="s">
        <v>267</v>
      </c>
      <c r="D727" s="8">
        <v>1452.2976709946302</v>
      </c>
      <c r="F727">
        <f t="shared" si="23"/>
        <v>721</v>
      </c>
      <c r="H727" t="s">
        <v>251</v>
      </c>
      <c r="I727" s="8">
        <v>4518.5139398778874</v>
      </c>
    </row>
    <row r="728" spans="1:9" x14ac:dyDescent="0.35">
      <c r="A728">
        <f t="shared" si="22"/>
        <v>722</v>
      </c>
      <c r="C728" t="s">
        <v>822</v>
      </c>
      <c r="D728" s="8">
        <v>10817.458681304342</v>
      </c>
      <c r="F728">
        <f t="shared" si="23"/>
        <v>722</v>
      </c>
      <c r="H728" t="s">
        <v>1374</v>
      </c>
      <c r="I728" s="8">
        <v>984.20573281676843</v>
      </c>
    </row>
    <row r="729" spans="1:9" x14ac:dyDescent="0.35">
      <c r="A729">
        <f t="shared" si="22"/>
        <v>723</v>
      </c>
      <c r="C729" t="s">
        <v>1349</v>
      </c>
      <c r="D729" s="8">
        <v>1683.2472200731859</v>
      </c>
      <c r="F729">
        <f t="shared" si="23"/>
        <v>723</v>
      </c>
      <c r="H729" t="s">
        <v>95</v>
      </c>
      <c r="I729" s="8">
        <v>24267.607659747155</v>
      </c>
    </row>
    <row r="730" spans="1:9" x14ac:dyDescent="0.35">
      <c r="A730">
        <f t="shared" si="22"/>
        <v>724</v>
      </c>
      <c r="B730" t="s">
        <v>1257</v>
      </c>
      <c r="C730" t="s">
        <v>13</v>
      </c>
      <c r="D730" s="8">
        <v>1617.5298805425919</v>
      </c>
      <c r="F730">
        <f t="shared" si="23"/>
        <v>724</v>
      </c>
      <c r="H730" t="s">
        <v>1533</v>
      </c>
      <c r="I730" s="8">
        <v>50.692708236187435</v>
      </c>
    </row>
    <row r="731" spans="1:9" x14ac:dyDescent="0.35">
      <c r="A731">
        <f t="shared" si="22"/>
        <v>725</v>
      </c>
      <c r="B731" t="s">
        <v>2287</v>
      </c>
      <c r="C731" t="s">
        <v>139</v>
      </c>
      <c r="D731" s="8">
        <v>1724.2758696007888</v>
      </c>
      <c r="F731">
        <f t="shared" si="23"/>
        <v>725</v>
      </c>
      <c r="H731" t="s">
        <v>931</v>
      </c>
      <c r="I731" s="8">
        <v>2969.0082396734961</v>
      </c>
    </row>
    <row r="732" spans="1:9" x14ac:dyDescent="0.35">
      <c r="A732">
        <f t="shared" si="22"/>
        <v>726</v>
      </c>
      <c r="B732" t="s">
        <v>352</v>
      </c>
      <c r="C732" t="s">
        <v>353</v>
      </c>
      <c r="D732" s="8">
        <v>3298.0971731416439</v>
      </c>
      <c r="F732">
        <f t="shared" si="23"/>
        <v>726</v>
      </c>
      <c r="G732" t="s">
        <v>815</v>
      </c>
      <c r="H732" t="s">
        <v>999</v>
      </c>
      <c r="I732" s="8">
        <v>10873.056638007001</v>
      </c>
    </row>
    <row r="733" spans="1:9" x14ac:dyDescent="0.35">
      <c r="A733">
        <f t="shared" si="22"/>
        <v>727</v>
      </c>
      <c r="B733" t="s">
        <v>931</v>
      </c>
      <c r="C733" t="s">
        <v>71</v>
      </c>
      <c r="D733" s="8">
        <v>2969.0082396734961</v>
      </c>
      <c r="F733">
        <f t="shared" si="23"/>
        <v>727</v>
      </c>
      <c r="H733" t="s">
        <v>1515</v>
      </c>
      <c r="I733" s="8">
        <v>2590.2071645329625</v>
      </c>
    </row>
    <row r="734" spans="1:9" x14ac:dyDescent="0.35">
      <c r="A734">
        <f t="shared" si="22"/>
        <v>728</v>
      </c>
      <c r="B734" t="s">
        <v>279</v>
      </c>
      <c r="C734" t="s">
        <v>16</v>
      </c>
      <c r="D734" s="8">
        <v>5938.9702970436201</v>
      </c>
      <c r="F734">
        <f t="shared" si="23"/>
        <v>728</v>
      </c>
      <c r="G734" t="s">
        <v>706</v>
      </c>
      <c r="H734" t="s">
        <v>705</v>
      </c>
      <c r="I734" s="8">
        <v>1093.4216851622352</v>
      </c>
    </row>
    <row r="735" spans="1:9" x14ac:dyDescent="0.35">
      <c r="A735">
        <f t="shared" si="22"/>
        <v>729</v>
      </c>
      <c r="B735" t="s">
        <v>2472</v>
      </c>
      <c r="C735" t="s">
        <v>16</v>
      </c>
      <c r="D735" s="8">
        <v>1591.0646070264991</v>
      </c>
      <c r="F735">
        <f t="shared" si="23"/>
        <v>729</v>
      </c>
      <c r="G735" t="s">
        <v>1088</v>
      </c>
      <c r="H735" t="s">
        <v>1087</v>
      </c>
      <c r="I735" s="8">
        <v>2127.1047983648077</v>
      </c>
    </row>
    <row r="736" spans="1:9" x14ac:dyDescent="0.35">
      <c r="A736">
        <f t="shared" si="22"/>
        <v>730</v>
      </c>
      <c r="B736" t="s">
        <v>682</v>
      </c>
      <c r="C736" t="s">
        <v>56</v>
      </c>
      <c r="D736" s="8">
        <v>1832.5089127062363</v>
      </c>
      <c r="F736">
        <f t="shared" si="23"/>
        <v>730</v>
      </c>
      <c r="G736" t="s">
        <v>1271</v>
      </c>
      <c r="H736" t="s">
        <v>1270</v>
      </c>
      <c r="I736" s="8">
        <v>498.05516155530529</v>
      </c>
    </row>
    <row r="737" spans="1:9" x14ac:dyDescent="0.35">
      <c r="A737">
        <f t="shared" si="22"/>
        <v>731</v>
      </c>
      <c r="B737" t="s">
        <v>485</v>
      </c>
      <c r="C737" t="s">
        <v>196</v>
      </c>
      <c r="D737" s="8">
        <v>1963.247995726138</v>
      </c>
      <c r="F737">
        <f t="shared" si="23"/>
        <v>731</v>
      </c>
      <c r="H737" t="s">
        <v>2618</v>
      </c>
      <c r="I737" s="8">
        <v>999.99999999999989</v>
      </c>
    </row>
    <row r="738" spans="1:9" x14ac:dyDescent="0.35">
      <c r="A738">
        <f t="shared" si="22"/>
        <v>732</v>
      </c>
      <c r="B738" t="s">
        <v>889</v>
      </c>
      <c r="C738" t="s">
        <v>890</v>
      </c>
      <c r="D738" s="8">
        <v>5744.8091345854018</v>
      </c>
      <c r="F738">
        <f t="shared" si="23"/>
        <v>732</v>
      </c>
      <c r="G738" t="s">
        <v>1157</v>
      </c>
      <c r="H738" t="s">
        <v>1156</v>
      </c>
      <c r="I738" s="8">
        <v>2036.6288953621611</v>
      </c>
    </row>
    <row r="739" spans="1:9" x14ac:dyDescent="0.35">
      <c r="A739">
        <f t="shared" si="22"/>
        <v>733</v>
      </c>
      <c r="B739" t="s">
        <v>825</v>
      </c>
      <c r="C739" t="s">
        <v>826</v>
      </c>
      <c r="D739" s="8">
        <v>1000</v>
      </c>
      <c r="F739">
        <f t="shared" si="23"/>
        <v>733</v>
      </c>
      <c r="G739" t="s">
        <v>2364</v>
      </c>
      <c r="H739" t="s">
        <v>2363</v>
      </c>
      <c r="I739" s="8">
        <v>6524.0856561419077</v>
      </c>
    </row>
    <row r="740" spans="1:9" x14ac:dyDescent="0.35">
      <c r="A740">
        <f t="shared" si="22"/>
        <v>734</v>
      </c>
      <c r="B740" t="s">
        <v>1340</v>
      </c>
      <c r="C740" t="s">
        <v>1341</v>
      </c>
      <c r="D740" s="8">
        <v>425.96873227228116</v>
      </c>
      <c r="F740">
        <f t="shared" si="23"/>
        <v>734</v>
      </c>
      <c r="G740" t="s">
        <v>510</v>
      </c>
      <c r="H740" t="s">
        <v>86</v>
      </c>
      <c r="I740" s="8">
        <v>10563.37508467095</v>
      </c>
    </row>
    <row r="741" spans="1:9" x14ac:dyDescent="0.35">
      <c r="A741">
        <f t="shared" si="22"/>
        <v>735</v>
      </c>
      <c r="B741" t="s">
        <v>514</v>
      </c>
      <c r="C741" t="s">
        <v>515</v>
      </c>
      <c r="D741" s="8">
        <v>5467.6284608866499</v>
      </c>
      <c r="F741">
        <f t="shared" si="23"/>
        <v>735</v>
      </c>
      <c r="H741" t="s">
        <v>251</v>
      </c>
      <c r="I741" s="8">
        <v>4569.999919203804</v>
      </c>
    </row>
    <row r="742" spans="1:9" x14ac:dyDescent="0.35">
      <c r="A742">
        <f t="shared" si="22"/>
        <v>736</v>
      </c>
      <c r="B742" t="s">
        <v>2608</v>
      </c>
      <c r="C742" t="s">
        <v>356</v>
      </c>
      <c r="D742" s="8">
        <v>2375.6636139608854</v>
      </c>
      <c r="F742">
        <f t="shared" si="23"/>
        <v>736</v>
      </c>
      <c r="H742" t="s">
        <v>1303</v>
      </c>
      <c r="I742" s="8">
        <v>959.57134294439174</v>
      </c>
    </row>
    <row r="743" spans="1:9" x14ac:dyDescent="0.35">
      <c r="A743">
        <f t="shared" si="22"/>
        <v>737</v>
      </c>
      <c r="B743" t="s">
        <v>2673</v>
      </c>
      <c r="C743" t="s">
        <v>388</v>
      </c>
      <c r="D743" s="8">
        <v>884.60658129793046</v>
      </c>
      <c r="F743">
        <f t="shared" si="23"/>
        <v>737</v>
      </c>
      <c r="G743" t="s">
        <v>1193</v>
      </c>
      <c r="H743" t="s">
        <v>1192</v>
      </c>
      <c r="I743" s="8">
        <v>3780.6258695114993</v>
      </c>
    </row>
    <row r="744" spans="1:9" x14ac:dyDescent="0.35">
      <c r="A744">
        <f t="shared" si="22"/>
        <v>738</v>
      </c>
      <c r="B744" t="s">
        <v>1105</v>
      </c>
      <c r="C744" t="s">
        <v>1106</v>
      </c>
      <c r="D744" s="8">
        <v>7853.4528938548119</v>
      </c>
      <c r="F744">
        <f t="shared" si="23"/>
        <v>738</v>
      </c>
      <c r="G744" t="s">
        <v>1456</v>
      </c>
      <c r="H744" t="s">
        <v>1013</v>
      </c>
      <c r="I744" s="8">
        <v>2244.6658144774319</v>
      </c>
    </row>
    <row r="745" spans="1:9" x14ac:dyDescent="0.35">
      <c r="A745">
        <f t="shared" si="22"/>
        <v>739</v>
      </c>
      <c r="B745" t="s">
        <v>189</v>
      </c>
      <c r="C745" t="s">
        <v>190</v>
      </c>
      <c r="D745" s="8">
        <v>4438.4685098105901</v>
      </c>
      <c r="F745">
        <f t="shared" si="23"/>
        <v>739</v>
      </c>
      <c r="G745" t="s">
        <v>2649</v>
      </c>
      <c r="H745" t="s">
        <v>2648</v>
      </c>
      <c r="I745" s="8">
        <v>1292.256071356476</v>
      </c>
    </row>
    <row r="746" spans="1:9" x14ac:dyDescent="0.35">
      <c r="A746">
        <f t="shared" si="22"/>
        <v>740</v>
      </c>
      <c r="B746" t="s">
        <v>377</v>
      </c>
      <c r="C746" t="s">
        <v>119</v>
      </c>
      <c r="D746" s="8">
        <v>7746.5765523897162</v>
      </c>
      <c r="F746">
        <f t="shared" si="23"/>
        <v>740</v>
      </c>
      <c r="G746" t="s">
        <v>1411</v>
      </c>
      <c r="H746" t="s">
        <v>1410</v>
      </c>
      <c r="I746" s="8">
        <v>1337.4592612906563</v>
      </c>
    </row>
    <row r="747" spans="1:9" x14ac:dyDescent="0.35">
      <c r="A747">
        <f t="shared" si="22"/>
        <v>741</v>
      </c>
      <c r="B747" t="s">
        <v>2465</v>
      </c>
      <c r="C747" t="s">
        <v>2173</v>
      </c>
      <c r="D747" s="8">
        <v>862.4721360836794</v>
      </c>
      <c r="F747">
        <f t="shared" si="23"/>
        <v>741</v>
      </c>
      <c r="H747" t="s">
        <v>304</v>
      </c>
      <c r="I747" s="8">
        <v>1240.5492482825996</v>
      </c>
    </row>
    <row r="748" spans="1:9" x14ac:dyDescent="0.35">
      <c r="A748">
        <f t="shared" si="22"/>
        <v>742</v>
      </c>
      <c r="B748" t="s">
        <v>245</v>
      </c>
      <c r="C748" t="s">
        <v>2550</v>
      </c>
      <c r="D748" s="8">
        <v>2349.6937177076679</v>
      </c>
      <c r="F748">
        <f t="shared" si="23"/>
        <v>742</v>
      </c>
      <c r="G748" t="s">
        <v>2008</v>
      </c>
      <c r="H748" t="s">
        <v>974</v>
      </c>
      <c r="I748" s="8">
        <v>903.08998699194353</v>
      </c>
    </row>
    <row r="749" spans="1:9" x14ac:dyDescent="0.35">
      <c r="A749">
        <f t="shared" si="22"/>
        <v>743</v>
      </c>
      <c r="C749" t="s">
        <v>136</v>
      </c>
      <c r="D749" s="8">
        <v>994.53710429849787</v>
      </c>
      <c r="F749">
        <f t="shared" si="23"/>
        <v>743</v>
      </c>
      <c r="G749" t="s">
        <v>2623</v>
      </c>
      <c r="H749" t="s">
        <v>2622</v>
      </c>
      <c r="I749" s="8">
        <v>1054.3576623225927</v>
      </c>
    </row>
    <row r="750" spans="1:9" x14ac:dyDescent="0.35">
      <c r="A750">
        <f t="shared" si="22"/>
        <v>744</v>
      </c>
      <c r="B750" t="s">
        <v>1189</v>
      </c>
      <c r="C750" t="s">
        <v>1190</v>
      </c>
      <c r="D750" s="8">
        <v>1977.1898870883083</v>
      </c>
      <c r="F750">
        <f t="shared" si="23"/>
        <v>744</v>
      </c>
      <c r="G750" t="s">
        <v>2448</v>
      </c>
      <c r="H750" t="s">
        <v>484</v>
      </c>
      <c r="I750" s="8">
        <v>4696.7712606900768</v>
      </c>
    </row>
    <row r="751" spans="1:9" x14ac:dyDescent="0.35">
      <c r="A751">
        <f t="shared" si="22"/>
        <v>745</v>
      </c>
      <c r="B751" t="s">
        <v>2627</v>
      </c>
      <c r="C751" t="s">
        <v>388</v>
      </c>
      <c r="D751" s="8">
        <v>1010.723865391773</v>
      </c>
      <c r="F751">
        <f t="shared" si="23"/>
        <v>745</v>
      </c>
      <c r="G751" t="s">
        <v>1124</v>
      </c>
      <c r="H751" t="s">
        <v>1123</v>
      </c>
      <c r="I751" s="8">
        <v>1350.8016123949767</v>
      </c>
    </row>
    <row r="752" spans="1:9" x14ac:dyDescent="0.35">
      <c r="A752">
        <f t="shared" si="22"/>
        <v>746</v>
      </c>
      <c r="B752" t="s">
        <v>2648</v>
      </c>
      <c r="C752" t="s">
        <v>2649</v>
      </c>
      <c r="D752" s="8">
        <v>1292.256071356476</v>
      </c>
      <c r="F752">
        <f t="shared" si="23"/>
        <v>746</v>
      </c>
      <c r="G752" t="s">
        <v>1382</v>
      </c>
      <c r="H752" t="s">
        <v>80</v>
      </c>
      <c r="I752" s="8">
        <v>912.84982428109981</v>
      </c>
    </row>
    <row r="753" spans="1:9" x14ac:dyDescent="0.35">
      <c r="A753">
        <f t="shared" si="22"/>
        <v>747</v>
      </c>
      <c r="B753" t="s">
        <v>527</v>
      </c>
      <c r="C753" t="s">
        <v>11</v>
      </c>
      <c r="D753" s="8">
        <v>14089.383467956319</v>
      </c>
      <c r="F753">
        <f t="shared" si="23"/>
        <v>747</v>
      </c>
      <c r="G753" t="s">
        <v>257</v>
      </c>
      <c r="H753" t="s">
        <v>256</v>
      </c>
      <c r="I753" s="8">
        <v>15642.28488143303</v>
      </c>
    </row>
    <row r="754" spans="1:9" x14ac:dyDescent="0.35">
      <c r="A754">
        <f t="shared" si="22"/>
        <v>748</v>
      </c>
      <c r="C754" t="s">
        <v>528</v>
      </c>
      <c r="D754" s="8">
        <v>3989.2361776778453</v>
      </c>
      <c r="F754">
        <f t="shared" si="23"/>
        <v>748</v>
      </c>
      <c r="G754" t="s">
        <v>153</v>
      </c>
      <c r="H754" t="s">
        <v>1227</v>
      </c>
      <c r="I754" s="8">
        <v>1351.49151640329</v>
      </c>
    </row>
    <row r="755" spans="1:9" x14ac:dyDescent="0.35">
      <c r="A755">
        <f t="shared" si="22"/>
        <v>749</v>
      </c>
      <c r="B755" t="s">
        <v>719</v>
      </c>
      <c r="C755" t="s">
        <v>410</v>
      </c>
      <c r="D755" s="8">
        <v>2439.6221270178521</v>
      </c>
      <c r="F755">
        <f t="shared" si="23"/>
        <v>749</v>
      </c>
      <c r="H755" t="s">
        <v>1519</v>
      </c>
      <c r="I755" s="8">
        <v>6890.2529591782013</v>
      </c>
    </row>
    <row r="756" spans="1:9" x14ac:dyDescent="0.35">
      <c r="A756">
        <f t="shared" si="22"/>
        <v>750</v>
      </c>
      <c r="B756" t="s">
        <v>595</v>
      </c>
      <c r="C756" t="s">
        <v>28</v>
      </c>
      <c r="D756" s="8">
        <v>7022.9608953980887</v>
      </c>
      <c r="F756">
        <f t="shared" si="23"/>
        <v>750</v>
      </c>
      <c r="H756" t="s">
        <v>1201</v>
      </c>
      <c r="I756" s="8">
        <v>829.30377283102507</v>
      </c>
    </row>
    <row r="757" spans="1:9" x14ac:dyDescent="0.35">
      <c r="A757">
        <f t="shared" si="22"/>
        <v>751</v>
      </c>
      <c r="B757" t="s">
        <v>1250</v>
      </c>
      <c r="C757" t="s">
        <v>1251</v>
      </c>
      <c r="D757" s="8">
        <v>409.12417562455141</v>
      </c>
      <c r="F757">
        <f t="shared" si="23"/>
        <v>751</v>
      </c>
      <c r="H757" t="s">
        <v>762</v>
      </c>
      <c r="I757" s="8">
        <v>1811.2631787740393</v>
      </c>
    </row>
    <row r="758" spans="1:9" x14ac:dyDescent="0.35">
      <c r="A758">
        <f t="shared" si="22"/>
        <v>752</v>
      </c>
      <c r="B758" t="s">
        <v>90</v>
      </c>
      <c r="C758" t="s">
        <v>22</v>
      </c>
      <c r="D758" s="8">
        <v>17291.152680243536</v>
      </c>
      <c r="F758">
        <f t="shared" si="23"/>
        <v>752</v>
      </c>
      <c r="H758" t="s">
        <v>580</v>
      </c>
      <c r="I758" s="8">
        <v>4847.9497612875475</v>
      </c>
    </row>
    <row r="759" spans="1:9" x14ac:dyDescent="0.35">
      <c r="A759">
        <f t="shared" si="22"/>
        <v>753</v>
      </c>
      <c r="B759" t="s">
        <v>2670</v>
      </c>
      <c r="C759" t="s">
        <v>404</v>
      </c>
      <c r="D759" s="8">
        <v>1439.3326938302625</v>
      </c>
      <c r="F759">
        <f t="shared" si="23"/>
        <v>753</v>
      </c>
      <c r="H759" t="s">
        <v>420</v>
      </c>
      <c r="I759" s="8">
        <v>5595.4005645602238</v>
      </c>
    </row>
    <row r="760" spans="1:9" x14ac:dyDescent="0.35">
      <c r="A760">
        <f t="shared" si="22"/>
        <v>754</v>
      </c>
      <c r="B760" t="s">
        <v>130</v>
      </c>
      <c r="C760" t="s">
        <v>131</v>
      </c>
      <c r="D760" s="8">
        <v>16857.218025604212</v>
      </c>
      <c r="F760">
        <f t="shared" si="23"/>
        <v>754</v>
      </c>
      <c r="H760" t="s">
        <v>116</v>
      </c>
      <c r="I760" s="8">
        <v>1454.8448600085103</v>
      </c>
    </row>
    <row r="761" spans="1:9" x14ac:dyDescent="0.35">
      <c r="A761">
        <f t="shared" si="22"/>
        <v>755</v>
      </c>
      <c r="B761" t="s">
        <v>2557</v>
      </c>
      <c r="C761" t="s">
        <v>324</v>
      </c>
      <c r="D761" s="8">
        <v>1146.1280356782379</v>
      </c>
      <c r="F761">
        <f t="shared" si="23"/>
        <v>755</v>
      </c>
      <c r="H761" t="s">
        <v>74</v>
      </c>
      <c r="I761" s="8">
        <v>6987.7905189928861</v>
      </c>
    </row>
    <row r="762" spans="1:9" x14ac:dyDescent="0.35">
      <c r="A762">
        <f t="shared" si="22"/>
        <v>756</v>
      </c>
      <c r="B762" t="s">
        <v>1146</v>
      </c>
      <c r="C762" t="s">
        <v>79</v>
      </c>
      <c r="D762" s="8">
        <v>3626.7522794118413</v>
      </c>
      <c r="F762">
        <f t="shared" si="23"/>
        <v>756</v>
      </c>
      <c r="H762" t="s">
        <v>351</v>
      </c>
      <c r="I762" s="8">
        <v>16695.523586694089</v>
      </c>
    </row>
    <row r="763" spans="1:9" x14ac:dyDescent="0.35">
      <c r="A763">
        <f t="shared" si="22"/>
        <v>757</v>
      </c>
      <c r="B763" t="s">
        <v>1196</v>
      </c>
      <c r="C763" t="s">
        <v>1197</v>
      </c>
      <c r="D763" s="8">
        <v>778.15125038364363</v>
      </c>
      <c r="F763">
        <f t="shared" si="23"/>
        <v>757</v>
      </c>
      <c r="H763" t="s">
        <v>1507</v>
      </c>
      <c r="I763" s="8">
        <v>2840.7332346118069</v>
      </c>
    </row>
    <row r="764" spans="1:9" x14ac:dyDescent="0.35">
      <c r="A764">
        <f t="shared" si="22"/>
        <v>758</v>
      </c>
      <c r="B764" t="s">
        <v>1807</v>
      </c>
      <c r="C764" t="s">
        <v>11</v>
      </c>
      <c r="D764" s="8">
        <v>937.85209325115557</v>
      </c>
      <c r="F764">
        <f t="shared" si="23"/>
        <v>758</v>
      </c>
      <c r="H764" t="s">
        <v>51</v>
      </c>
      <c r="I764" s="8">
        <v>10304.45336359465</v>
      </c>
    </row>
    <row r="765" spans="1:9" x14ac:dyDescent="0.35">
      <c r="A765">
        <f t="shared" si="22"/>
        <v>759</v>
      </c>
      <c r="B765" t="s">
        <v>346</v>
      </c>
      <c r="C765" t="s">
        <v>200</v>
      </c>
      <c r="D765" s="8">
        <v>1613.0553756294257</v>
      </c>
      <c r="F765">
        <f t="shared" si="23"/>
        <v>759</v>
      </c>
      <c r="H765" t="s">
        <v>2625</v>
      </c>
      <c r="I765" s="8">
        <v>686.38087702799828</v>
      </c>
    </row>
    <row r="766" spans="1:9" x14ac:dyDescent="0.35">
      <c r="A766">
        <f t="shared" si="22"/>
        <v>760</v>
      </c>
      <c r="B766" t="s">
        <v>195</v>
      </c>
      <c r="C766" t="s">
        <v>196</v>
      </c>
      <c r="D766" s="8">
        <v>18933.865035691553</v>
      </c>
      <c r="F766">
        <f t="shared" si="23"/>
        <v>760</v>
      </c>
      <c r="H766" t="s">
        <v>605</v>
      </c>
      <c r="I766" s="8">
        <v>2857.9185324475807</v>
      </c>
    </row>
    <row r="767" spans="1:9" x14ac:dyDescent="0.35">
      <c r="A767">
        <f t="shared" si="22"/>
        <v>761</v>
      </c>
      <c r="B767" t="s">
        <v>721</v>
      </c>
      <c r="C767" t="s">
        <v>196</v>
      </c>
      <c r="D767" s="8">
        <v>1116.0263034551294</v>
      </c>
      <c r="F767">
        <f t="shared" si="23"/>
        <v>761</v>
      </c>
      <c r="G767" t="s">
        <v>87</v>
      </c>
      <c r="H767" t="s">
        <v>86</v>
      </c>
      <c r="I767" s="8">
        <v>17772.034775191772</v>
      </c>
    </row>
    <row r="768" spans="1:9" x14ac:dyDescent="0.35">
      <c r="A768">
        <f t="shared" si="22"/>
        <v>762</v>
      </c>
      <c r="B768" t="s">
        <v>853</v>
      </c>
      <c r="C768" t="s">
        <v>854</v>
      </c>
      <c r="D768" s="8">
        <v>698.97000433601875</v>
      </c>
      <c r="F768">
        <f t="shared" si="23"/>
        <v>762</v>
      </c>
      <c r="G768" t="s">
        <v>65</v>
      </c>
      <c r="H768" t="s">
        <v>699</v>
      </c>
      <c r="I768" s="8">
        <v>1431.3637641589874</v>
      </c>
    </row>
    <row r="769" spans="1:9" x14ac:dyDescent="0.35">
      <c r="A769">
        <f t="shared" si="22"/>
        <v>763</v>
      </c>
      <c r="B769" t="s">
        <v>629</v>
      </c>
      <c r="C769" t="s">
        <v>20</v>
      </c>
      <c r="D769" s="8">
        <v>7805.555446177601</v>
      </c>
      <c r="F769">
        <f t="shared" si="23"/>
        <v>763</v>
      </c>
      <c r="H769" t="s">
        <v>1214</v>
      </c>
      <c r="I769" s="8">
        <v>3155.9612598906424</v>
      </c>
    </row>
    <row r="770" spans="1:9" x14ac:dyDescent="0.35">
      <c r="A770">
        <f t="shared" si="22"/>
        <v>764</v>
      </c>
      <c r="C770" t="s">
        <v>630</v>
      </c>
      <c r="D770" s="8">
        <v>4236.2122078912571</v>
      </c>
      <c r="F770">
        <f t="shared" si="23"/>
        <v>764</v>
      </c>
      <c r="H770" t="s">
        <v>824</v>
      </c>
      <c r="I770" s="8">
        <v>2390.4304068932925</v>
      </c>
    </row>
    <row r="771" spans="1:9" x14ac:dyDescent="0.35">
      <c r="A771">
        <f t="shared" si="22"/>
        <v>765</v>
      </c>
      <c r="B771" t="s">
        <v>915</v>
      </c>
      <c r="C771" t="s">
        <v>44</v>
      </c>
      <c r="D771" s="8">
        <v>1091.0804693473326</v>
      </c>
      <c r="F771">
        <f t="shared" si="23"/>
        <v>765</v>
      </c>
      <c r="H771" t="s">
        <v>64</v>
      </c>
      <c r="I771" s="8">
        <v>48605.527471418216</v>
      </c>
    </row>
    <row r="772" spans="1:9" x14ac:dyDescent="0.35">
      <c r="A772">
        <f t="shared" si="22"/>
        <v>766</v>
      </c>
      <c r="B772" t="s">
        <v>656</v>
      </c>
      <c r="C772" t="s">
        <v>16</v>
      </c>
      <c r="D772" s="8">
        <v>3553.3634002644803</v>
      </c>
      <c r="F772">
        <f t="shared" si="23"/>
        <v>766</v>
      </c>
      <c r="H772" t="s">
        <v>1175</v>
      </c>
      <c r="I772" s="8">
        <v>2595.7166199434246</v>
      </c>
    </row>
    <row r="773" spans="1:9" x14ac:dyDescent="0.35">
      <c r="A773">
        <f t="shared" si="22"/>
        <v>767</v>
      </c>
      <c r="C773" t="s">
        <v>81</v>
      </c>
      <c r="D773" s="8">
        <v>3360.9329387873904</v>
      </c>
      <c r="F773">
        <f t="shared" si="23"/>
        <v>767</v>
      </c>
      <c r="H773" t="s">
        <v>623</v>
      </c>
      <c r="I773" s="8">
        <v>8179.2232925653334</v>
      </c>
    </row>
    <row r="774" spans="1:9" x14ac:dyDescent="0.35">
      <c r="A774">
        <f t="shared" si="22"/>
        <v>768</v>
      </c>
      <c r="C774" t="s">
        <v>1402</v>
      </c>
      <c r="D774" s="8">
        <v>141.32915279646951</v>
      </c>
      <c r="F774">
        <f t="shared" si="23"/>
        <v>768</v>
      </c>
      <c r="H774" t="s">
        <v>1202</v>
      </c>
      <c r="I774" s="8">
        <v>3236.7204308216087</v>
      </c>
    </row>
    <row r="775" spans="1:9" x14ac:dyDescent="0.35">
      <c r="A775">
        <f t="shared" si="22"/>
        <v>769</v>
      </c>
      <c r="B775" t="s">
        <v>1275</v>
      </c>
      <c r="C775" t="s">
        <v>1276</v>
      </c>
      <c r="D775" s="8">
        <v>230.44892137827389</v>
      </c>
      <c r="F775">
        <f t="shared" si="23"/>
        <v>769</v>
      </c>
      <c r="H775" t="s">
        <v>1198</v>
      </c>
      <c r="I775" s="8">
        <v>726.9987279362623</v>
      </c>
    </row>
    <row r="776" spans="1:9" x14ac:dyDescent="0.35">
      <c r="A776">
        <f t="shared" si="22"/>
        <v>770</v>
      </c>
      <c r="B776" t="s">
        <v>2424</v>
      </c>
      <c r="C776" t="s">
        <v>2425</v>
      </c>
      <c r="D776" s="8">
        <v>1096.9100130080562</v>
      </c>
      <c r="F776">
        <f t="shared" si="23"/>
        <v>770</v>
      </c>
      <c r="H776" t="s">
        <v>2438</v>
      </c>
      <c r="I776" s="8">
        <v>539.59062302381233</v>
      </c>
    </row>
    <row r="777" spans="1:9" x14ac:dyDescent="0.35">
      <c r="A777">
        <f t="shared" ref="A777:A840" si="24">A776+1</f>
        <v>771</v>
      </c>
      <c r="B777" t="s">
        <v>923</v>
      </c>
      <c r="C777" t="s">
        <v>924</v>
      </c>
      <c r="D777" s="8">
        <v>1358.5693167727632</v>
      </c>
      <c r="F777">
        <f t="shared" ref="F777:F840" si="25">F776+1</f>
        <v>771</v>
      </c>
      <c r="H777" t="s">
        <v>818</v>
      </c>
      <c r="I777" s="8">
        <v>5815.138845323896</v>
      </c>
    </row>
    <row r="778" spans="1:9" x14ac:dyDescent="0.35">
      <c r="A778">
        <f t="shared" si="24"/>
        <v>772</v>
      </c>
      <c r="B778" t="s">
        <v>329</v>
      </c>
      <c r="C778" t="s">
        <v>330</v>
      </c>
      <c r="D778" s="8">
        <v>2061.4524790871933</v>
      </c>
      <c r="F778">
        <f t="shared" si="25"/>
        <v>772</v>
      </c>
      <c r="H778" t="s">
        <v>304</v>
      </c>
      <c r="I778" s="8">
        <v>9978.5163355604818</v>
      </c>
    </row>
    <row r="779" spans="1:9" x14ac:dyDescent="0.35">
      <c r="A779">
        <f t="shared" si="24"/>
        <v>773</v>
      </c>
      <c r="B779" t="s">
        <v>2575</v>
      </c>
      <c r="C779" t="s">
        <v>165</v>
      </c>
      <c r="D779" s="8">
        <v>2139.8790864012362</v>
      </c>
      <c r="F779">
        <f t="shared" si="25"/>
        <v>773</v>
      </c>
      <c r="H779" t="s">
        <v>540</v>
      </c>
      <c r="I779" s="8">
        <v>2666.3173671945174</v>
      </c>
    </row>
    <row r="780" spans="1:9" x14ac:dyDescent="0.35">
      <c r="A780">
        <f t="shared" si="24"/>
        <v>774</v>
      </c>
      <c r="B780" t="s">
        <v>2420</v>
      </c>
      <c r="C780" t="s">
        <v>2421</v>
      </c>
      <c r="D780" s="8">
        <v>1079.1812460476249</v>
      </c>
      <c r="F780">
        <f t="shared" si="25"/>
        <v>774</v>
      </c>
      <c r="H780" t="s">
        <v>2620</v>
      </c>
      <c r="I780" s="8">
        <v>1146.1280356782379</v>
      </c>
    </row>
    <row r="781" spans="1:9" x14ac:dyDescent="0.35">
      <c r="A781">
        <f t="shared" si="24"/>
        <v>775</v>
      </c>
      <c r="B781" t="s">
        <v>636</v>
      </c>
      <c r="C781" t="s">
        <v>473</v>
      </c>
      <c r="D781" s="8">
        <v>692.23662167705049</v>
      </c>
      <c r="F781">
        <f t="shared" si="25"/>
        <v>775</v>
      </c>
      <c r="H781" t="s">
        <v>216</v>
      </c>
      <c r="I781" s="8">
        <v>7180.3674982665189</v>
      </c>
    </row>
    <row r="782" spans="1:9" x14ac:dyDescent="0.35">
      <c r="A782">
        <f t="shared" si="24"/>
        <v>776</v>
      </c>
      <c r="B782" t="s">
        <v>1235</v>
      </c>
      <c r="C782" t="s">
        <v>131</v>
      </c>
      <c r="D782" s="8">
        <v>3712.7789607470027</v>
      </c>
      <c r="F782">
        <f t="shared" si="25"/>
        <v>776</v>
      </c>
      <c r="H782" t="s">
        <v>1223</v>
      </c>
      <c r="I782" s="8">
        <v>2213.7949880373399</v>
      </c>
    </row>
    <row r="783" spans="1:9" x14ac:dyDescent="0.35">
      <c r="A783">
        <f t="shared" si="24"/>
        <v>777</v>
      </c>
      <c r="B783" t="s">
        <v>1358</v>
      </c>
      <c r="C783" t="s">
        <v>1359</v>
      </c>
      <c r="D783" s="8">
        <v>367.97678529459432</v>
      </c>
      <c r="F783">
        <f t="shared" si="25"/>
        <v>777</v>
      </c>
      <c r="G783" t="s">
        <v>52</v>
      </c>
      <c r="H783" t="s">
        <v>864</v>
      </c>
      <c r="I783" s="8">
        <v>349.48500216800937</v>
      </c>
    </row>
    <row r="784" spans="1:9" x14ac:dyDescent="0.35">
      <c r="A784">
        <f t="shared" si="24"/>
        <v>778</v>
      </c>
      <c r="B784" t="s">
        <v>254</v>
      </c>
      <c r="C784" t="s">
        <v>136</v>
      </c>
      <c r="D784" s="8">
        <v>2556.3025007672873</v>
      </c>
      <c r="F784">
        <f t="shared" si="25"/>
        <v>778</v>
      </c>
      <c r="H784" t="s">
        <v>100</v>
      </c>
      <c r="I784" s="8">
        <v>23576.975795510854</v>
      </c>
    </row>
    <row r="785" spans="1:9" x14ac:dyDescent="0.35">
      <c r="A785">
        <f t="shared" si="24"/>
        <v>779</v>
      </c>
      <c r="B785" t="s">
        <v>334</v>
      </c>
      <c r="C785" t="s">
        <v>139</v>
      </c>
      <c r="D785" s="8">
        <v>974.44589552761204</v>
      </c>
      <c r="F785">
        <f t="shared" si="25"/>
        <v>779</v>
      </c>
      <c r="H785" t="s">
        <v>827</v>
      </c>
      <c r="I785" s="8">
        <v>1872.5649336759861</v>
      </c>
    </row>
    <row r="786" spans="1:9" x14ac:dyDescent="0.35">
      <c r="A786">
        <f t="shared" si="24"/>
        <v>780</v>
      </c>
      <c r="B786" t="s">
        <v>1371</v>
      </c>
      <c r="C786" t="s">
        <v>1372</v>
      </c>
      <c r="D786" s="8">
        <v>1811.5750058705935</v>
      </c>
      <c r="F786">
        <f t="shared" si="25"/>
        <v>780</v>
      </c>
      <c r="H786" t="s">
        <v>1505</v>
      </c>
      <c r="I786" s="8">
        <v>2973.1278535996989</v>
      </c>
    </row>
    <row r="787" spans="1:9" x14ac:dyDescent="0.35">
      <c r="A787">
        <f t="shared" si="24"/>
        <v>781</v>
      </c>
      <c r="B787" t="s">
        <v>1126</v>
      </c>
      <c r="C787" t="s">
        <v>480</v>
      </c>
      <c r="D787" s="8">
        <v>1563.6513383919394</v>
      </c>
      <c r="F787">
        <f t="shared" si="25"/>
        <v>781</v>
      </c>
      <c r="H787" t="s">
        <v>536</v>
      </c>
      <c r="I787" s="8">
        <v>3085.7121132065831</v>
      </c>
    </row>
    <row r="788" spans="1:9" x14ac:dyDescent="0.35">
      <c r="A788">
        <f t="shared" si="24"/>
        <v>782</v>
      </c>
      <c r="B788" t="s">
        <v>1452</v>
      </c>
      <c r="C788" t="s">
        <v>16</v>
      </c>
      <c r="D788" s="8">
        <v>2954.8452777274852</v>
      </c>
      <c r="F788">
        <f t="shared" si="25"/>
        <v>782</v>
      </c>
      <c r="H788" t="s">
        <v>1082</v>
      </c>
      <c r="I788" s="8">
        <v>481.10571955530014</v>
      </c>
    </row>
    <row r="789" spans="1:9" x14ac:dyDescent="0.35">
      <c r="A789">
        <f t="shared" si="24"/>
        <v>783</v>
      </c>
      <c r="B789" t="s">
        <v>963</v>
      </c>
      <c r="C789" t="s">
        <v>964</v>
      </c>
      <c r="D789" s="8">
        <v>1452.2976709946302</v>
      </c>
      <c r="F789">
        <f t="shared" si="25"/>
        <v>783</v>
      </c>
      <c r="G789" t="s">
        <v>1962</v>
      </c>
      <c r="H789" t="s">
        <v>1060</v>
      </c>
      <c r="I789" s="8">
        <v>1361.7278360175928</v>
      </c>
    </row>
    <row r="790" spans="1:9" x14ac:dyDescent="0.35">
      <c r="A790">
        <f t="shared" si="24"/>
        <v>784</v>
      </c>
      <c r="B790" t="s">
        <v>950</v>
      </c>
      <c r="C790" t="s">
        <v>142</v>
      </c>
      <c r="D790" s="8">
        <v>5869.4253394756333</v>
      </c>
      <c r="F790">
        <f t="shared" si="25"/>
        <v>784</v>
      </c>
      <c r="G790" t="s">
        <v>1450</v>
      </c>
      <c r="H790" t="s">
        <v>1449</v>
      </c>
      <c r="I790" s="8">
        <v>767.68581670547871</v>
      </c>
    </row>
    <row r="791" spans="1:9" x14ac:dyDescent="0.35">
      <c r="A791">
        <f t="shared" si="24"/>
        <v>785</v>
      </c>
      <c r="B791" t="s">
        <v>621</v>
      </c>
      <c r="C791" t="s">
        <v>16</v>
      </c>
      <c r="D791" s="8">
        <v>5271.2116382874574</v>
      </c>
      <c r="F791">
        <f t="shared" si="25"/>
        <v>785</v>
      </c>
      <c r="G791" t="s">
        <v>2335</v>
      </c>
      <c r="H791" t="s">
        <v>890</v>
      </c>
      <c r="I791" s="8">
        <v>2425.192513152504</v>
      </c>
    </row>
    <row r="792" spans="1:9" x14ac:dyDescent="0.35">
      <c r="A792">
        <f t="shared" si="24"/>
        <v>786</v>
      </c>
      <c r="B792" t="s">
        <v>316</v>
      </c>
      <c r="C792" t="s">
        <v>269</v>
      </c>
      <c r="D792" s="8">
        <v>14085.973593332181</v>
      </c>
      <c r="F792">
        <f t="shared" si="25"/>
        <v>786</v>
      </c>
      <c r="G792" t="s">
        <v>659</v>
      </c>
      <c r="H792" t="s">
        <v>2512</v>
      </c>
      <c r="I792" s="8">
        <v>7979.3728576399244</v>
      </c>
    </row>
    <row r="793" spans="1:9" x14ac:dyDescent="0.35">
      <c r="A793">
        <f t="shared" si="24"/>
        <v>787</v>
      </c>
      <c r="B793" t="s">
        <v>97</v>
      </c>
      <c r="C793" t="s">
        <v>98</v>
      </c>
      <c r="D793" s="8">
        <v>7368.234158785498</v>
      </c>
      <c r="F793">
        <f t="shared" si="25"/>
        <v>787</v>
      </c>
      <c r="G793" t="s">
        <v>924</v>
      </c>
      <c r="H793" t="s">
        <v>923</v>
      </c>
      <c r="I793" s="8">
        <v>1358.5693167727632</v>
      </c>
    </row>
    <row r="794" spans="1:9" x14ac:dyDescent="0.35">
      <c r="A794">
        <f t="shared" si="24"/>
        <v>788</v>
      </c>
      <c r="B794" t="s">
        <v>593</v>
      </c>
      <c r="C794" t="s">
        <v>139</v>
      </c>
      <c r="D794" s="8">
        <v>7583.1253716892334</v>
      </c>
      <c r="F794">
        <f t="shared" si="25"/>
        <v>788</v>
      </c>
      <c r="G794" t="s">
        <v>2519</v>
      </c>
      <c r="H794" t="s">
        <v>574</v>
      </c>
      <c r="I794" s="8">
        <v>867.76202465020071</v>
      </c>
    </row>
    <row r="795" spans="1:9" x14ac:dyDescent="0.35">
      <c r="A795">
        <f t="shared" si="24"/>
        <v>789</v>
      </c>
      <c r="B795" t="s">
        <v>505</v>
      </c>
      <c r="C795" t="s">
        <v>282</v>
      </c>
      <c r="D795" s="8">
        <v>1041.3926851582248</v>
      </c>
      <c r="F795">
        <f t="shared" si="25"/>
        <v>789</v>
      </c>
      <c r="G795" t="s">
        <v>30</v>
      </c>
      <c r="H795" t="s">
        <v>29</v>
      </c>
      <c r="I795" s="8">
        <v>11084.501595818832</v>
      </c>
    </row>
    <row r="796" spans="1:9" x14ac:dyDescent="0.35">
      <c r="A796">
        <f t="shared" si="24"/>
        <v>790</v>
      </c>
      <c r="B796" t="s">
        <v>2620</v>
      </c>
      <c r="C796" t="s">
        <v>65</v>
      </c>
      <c r="D796" s="8">
        <v>1146.1280356782379</v>
      </c>
      <c r="F796">
        <f t="shared" si="25"/>
        <v>790</v>
      </c>
      <c r="G796" t="s">
        <v>1306</v>
      </c>
      <c r="H796" t="s">
        <v>1305</v>
      </c>
      <c r="I796" s="8">
        <v>767.6858167054786</v>
      </c>
    </row>
    <row r="797" spans="1:9" x14ac:dyDescent="0.35">
      <c r="A797">
        <f t="shared" si="24"/>
        <v>791</v>
      </c>
      <c r="B797" t="s">
        <v>1406</v>
      </c>
      <c r="C797" t="s">
        <v>1267</v>
      </c>
      <c r="D797" s="8">
        <v>45.757490560675237</v>
      </c>
      <c r="F797">
        <f t="shared" si="25"/>
        <v>791</v>
      </c>
      <c r="G797" t="s">
        <v>2633</v>
      </c>
      <c r="H797" t="s">
        <v>2632</v>
      </c>
      <c r="I797" s="8">
        <v>1707.5701760979362</v>
      </c>
    </row>
    <row r="798" spans="1:9" x14ac:dyDescent="0.35">
      <c r="A798">
        <f t="shared" si="24"/>
        <v>792</v>
      </c>
      <c r="B798" t="s">
        <v>1316</v>
      </c>
      <c r="C798" t="s">
        <v>665</v>
      </c>
      <c r="D798" s="8">
        <v>583.57658563394921</v>
      </c>
      <c r="F798">
        <f t="shared" si="25"/>
        <v>792</v>
      </c>
      <c r="G798" t="s">
        <v>948</v>
      </c>
      <c r="H798" t="s">
        <v>947</v>
      </c>
      <c r="I798" s="8">
        <v>3081.4275729213791</v>
      </c>
    </row>
    <row r="799" spans="1:9" x14ac:dyDescent="0.35">
      <c r="A799">
        <f t="shared" si="24"/>
        <v>793</v>
      </c>
      <c r="B799" t="s">
        <v>2625</v>
      </c>
      <c r="C799" t="s">
        <v>153</v>
      </c>
      <c r="D799" s="8">
        <v>686.38087702799828</v>
      </c>
      <c r="F799">
        <f t="shared" si="25"/>
        <v>793</v>
      </c>
      <c r="G799" t="s">
        <v>955</v>
      </c>
      <c r="H799" t="s">
        <v>2635</v>
      </c>
      <c r="I799" s="8">
        <v>2311.9051568182681</v>
      </c>
    </row>
    <row r="800" spans="1:9" x14ac:dyDescent="0.35">
      <c r="A800">
        <f t="shared" si="24"/>
        <v>794</v>
      </c>
      <c r="B800" t="s">
        <v>561</v>
      </c>
      <c r="C800" t="s">
        <v>562</v>
      </c>
      <c r="D800" s="8">
        <v>1096.9100130080565</v>
      </c>
      <c r="F800">
        <f t="shared" si="25"/>
        <v>794</v>
      </c>
      <c r="H800" t="s">
        <v>954</v>
      </c>
      <c r="I800" s="8">
        <v>1817.6094357646687</v>
      </c>
    </row>
    <row r="801" spans="1:9" x14ac:dyDescent="0.35">
      <c r="A801">
        <f t="shared" si="24"/>
        <v>795</v>
      </c>
      <c r="B801" t="s">
        <v>2665</v>
      </c>
      <c r="C801" t="s">
        <v>79</v>
      </c>
      <c r="D801" s="8">
        <v>679.2259461402615</v>
      </c>
      <c r="F801">
        <f t="shared" si="25"/>
        <v>795</v>
      </c>
      <c r="G801" t="s">
        <v>2421</v>
      </c>
      <c r="H801" t="s">
        <v>2420</v>
      </c>
      <c r="I801" s="8">
        <v>1079.1812460476249</v>
      </c>
    </row>
    <row r="802" spans="1:9" x14ac:dyDescent="0.35">
      <c r="A802">
        <f t="shared" si="24"/>
        <v>796</v>
      </c>
      <c r="B802" t="s">
        <v>745</v>
      </c>
      <c r="C802" t="s">
        <v>746</v>
      </c>
      <c r="D802" s="8">
        <v>789.14663468510673</v>
      </c>
      <c r="F802">
        <f t="shared" si="25"/>
        <v>796</v>
      </c>
      <c r="G802" t="s">
        <v>117</v>
      </c>
      <c r="H802" t="s">
        <v>173</v>
      </c>
      <c r="I802" s="8">
        <v>2306.5788725473403</v>
      </c>
    </row>
    <row r="803" spans="1:9" x14ac:dyDescent="0.35">
      <c r="A803">
        <f t="shared" si="24"/>
        <v>797</v>
      </c>
      <c r="B803" t="s">
        <v>681</v>
      </c>
      <c r="C803" t="s">
        <v>13</v>
      </c>
      <c r="D803" s="8">
        <v>3096.5392568383586</v>
      </c>
      <c r="F803">
        <f t="shared" si="25"/>
        <v>797</v>
      </c>
      <c r="H803" t="s">
        <v>929</v>
      </c>
      <c r="I803" s="8">
        <v>1182.4780577170818</v>
      </c>
    </row>
    <row r="804" spans="1:9" x14ac:dyDescent="0.35">
      <c r="A804">
        <f t="shared" si="24"/>
        <v>798</v>
      </c>
      <c r="B804" t="s">
        <v>883</v>
      </c>
      <c r="C804" t="s">
        <v>884</v>
      </c>
      <c r="D804" s="8">
        <v>5640.2341566253763</v>
      </c>
      <c r="F804">
        <f t="shared" si="25"/>
        <v>798</v>
      </c>
      <c r="H804" t="s">
        <v>862</v>
      </c>
      <c r="I804" s="8">
        <v>2485.0676164380302</v>
      </c>
    </row>
    <row r="805" spans="1:9" x14ac:dyDescent="0.35">
      <c r="A805">
        <f t="shared" si="24"/>
        <v>799</v>
      </c>
      <c r="B805" t="s">
        <v>418</v>
      </c>
      <c r="C805" t="s">
        <v>117</v>
      </c>
      <c r="D805" s="8">
        <v>4841.4968663719483</v>
      </c>
      <c r="F805">
        <f t="shared" si="25"/>
        <v>799</v>
      </c>
      <c r="H805" t="s">
        <v>116</v>
      </c>
      <c r="I805" s="8">
        <v>6314.4711553437228</v>
      </c>
    </row>
    <row r="806" spans="1:9" x14ac:dyDescent="0.35">
      <c r="A806">
        <f t="shared" si="24"/>
        <v>800</v>
      </c>
      <c r="B806" t="s">
        <v>2391</v>
      </c>
      <c r="C806" t="s">
        <v>16</v>
      </c>
      <c r="D806" s="8">
        <v>778.15125038364374</v>
      </c>
      <c r="F806">
        <f t="shared" si="25"/>
        <v>800</v>
      </c>
      <c r="H806" t="s">
        <v>418</v>
      </c>
      <c r="I806" s="8">
        <v>4841.4968663719483</v>
      </c>
    </row>
    <row r="807" spans="1:9" x14ac:dyDescent="0.35">
      <c r="A807">
        <f t="shared" si="24"/>
        <v>801</v>
      </c>
      <c r="B807" t="s">
        <v>298</v>
      </c>
      <c r="C807" t="s">
        <v>131</v>
      </c>
      <c r="D807" s="8">
        <v>2688.4935542678604</v>
      </c>
      <c r="F807">
        <f t="shared" si="25"/>
        <v>801</v>
      </c>
      <c r="G807" t="s">
        <v>528</v>
      </c>
      <c r="H807" t="s">
        <v>1109</v>
      </c>
      <c r="I807" s="8">
        <v>990.24016271084372</v>
      </c>
    </row>
    <row r="808" spans="1:9" x14ac:dyDescent="0.35">
      <c r="A808">
        <f t="shared" si="24"/>
        <v>802</v>
      </c>
      <c r="B808" t="s">
        <v>2536</v>
      </c>
      <c r="C808" t="s">
        <v>22</v>
      </c>
      <c r="D808" s="8">
        <v>3929.2451731687047</v>
      </c>
      <c r="F808">
        <f t="shared" si="25"/>
        <v>802</v>
      </c>
      <c r="H808" t="s">
        <v>648</v>
      </c>
      <c r="I808" s="8">
        <v>714.0337507718948</v>
      </c>
    </row>
    <row r="809" spans="1:9" x14ac:dyDescent="0.35">
      <c r="A809">
        <f t="shared" si="24"/>
        <v>803</v>
      </c>
      <c r="B809" t="s">
        <v>1215</v>
      </c>
      <c r="C809" t="s">
        <v>1019</v>
      </c>
      <c r="D809" s="8">
        <v>1079.1812460476249</v>
      </c>
      <c r="F809">
        <f t="shared" si="25"/>
        <v>803</v>
      </c>
      <c r="H809" t="s">
        <v>1781</v>
      </c>
      <c r="I809" s="8">
        <v>2144.0134657861981</v>
      </c>
    </row>
    <row r="810" spans="1:9" x14ac:dyDescent="0.35">
      <c r="A810">
        <f t="shared" si="24"/>
        <v>804</v>
      </c>
      <c r="B810" t="s">
        <v>422</v>
      </c>
      <c r="C810" t="s">
        <v>142</v>
      </c>
      <c r="D810" s="8">
        <v>2885.3612200315119</v>
      </c>
      <c r="F810">
        <f t="shared" si="25"/>
        <v>804</v>
      </c>
      <c r="H810" t="s">
        <v>1352</v>
      </c>
      <c r="I810" s="8">
        <v>236.08918873096661</v>
      </c>
    </row>
    <row r="811" spans="1:9" x14ac:dyDescent="0.35">
      <c r="A811">
        <f t="shared" si="24"/>
        <v>805</v>
      </c>
      <c r="B811" t="s">
        <v>1266</v>
      </c>
      <c r="C811" t="s">
        <v>1267</v>
      </c>
      <c r="D811" s="8">
        <v>1014.4297154226414</v>
      </c>
      <c r="F811">
        <f t="shared" si="25"/>
        <v>805</v>
      </c>
      <c r="H811" t="s">
        <v>714</v>
      </c>
      <c r="I811" s="8">
        <v>9788.8969724949475</v>
      </c>
    </row>
    <row r="812" spans="1:9" x14ac:dyDescent="0.35">
      <c r="A812">
        <f t="shared" si="24"/>
        <v>806</v>
      </c>
      <c r="B812" t="s">
        <v>716</v>
      </c>
      <c r="C812" t="s">
        <v>564</v>
      </c>
      <c r="D812" s="8">
        <v>2418.3987869946195</v>
      </c>
      <c r="F812">
        <f t="shared" si="25"/>
        <v>806</v>
      </c>
      <c r="H812" t="s">
        <v>527</v>
      </c>
      <c r="I812" s="8">
        <v>3989.2361776778453</v>
      </c>
    </row>
    <row r="813" spans="1:9" x14ac:dyDescent="0.35">
      <c r="A813">
        <f t="shared" si="24"/>
        <v>807</v>
      </c>
      <c r="C813" t="s">
        <v>855</v>
      </c>
      <c r="D813" s="8">
        <v>1770.8520116421441</v>
      </c>
      <c r="F813">
        <f t="shared" si="25"/>
        <v>807</v>
      </c>
      <c r="H813" t="s">
        <v>183</v>
      </c>
      <c r="I813" s="8">
        <v>1230.4489213782738</v>
      </c>
    </row>
    <row r="814" spans="1:9" x14ac:dyDescent="0.35">
      <c r="A814">
        <f t="shared" si="24"/>
        <v>808</v>
      </c>
      <c r="B814" t="s">
        <v>256</v>
      </c>
      <c r="C814" t="s">
        <v>257</v>
      </c>
      <c r="D814" s="8">
        <v>15642.28488143303</v>
      </c>
      <c r="F814">
        <f t="shared" si="25"/>
        <v>808</v>
      </c>
      <c r="H814" t="s">
        <v>870</v>
      </c>
      <c r="I814" s="8">
        <v>6559.4303152267967</v>
      </c>
    </row>
    <row r="815" spans="1:9" x14ac:dyDescent="0.35">
      <c r="A815">
        <f t="shared" si="24"/>
        <v>809</v>
      </c>
      <c r="B815" t="s">
        <v>216</v>
      </c>
      <c r="C815" t="s">
        <v>65</v>
      </c>
      <c r="D815" s="8">
        <v>7180.3674982665189</v>
      </c>
      <c r="F815">
        <f t="shared" si="25"/>
        <v>809</v>
      </c>
      <c r="G815" t="s">
        <v>321</v>
      </c>
      <c r="H815" t="s">
        <v>320</v>
      </c>
      <c r="I815" s="8">
        <v>16481.576138013006</v>
      </c>
    </row>
    <row r="816" spans="1:9" x14ac:dyDescent="0.35">
      <c r="A816">
        <f t="shared" si="24"/>
        <v>810</v>
      </c>
      <c r="B816" t="s">
        <v>1418</v>
      </c>
      <c r="C816" t="s">
        <v>101</v>
      </c>
      <c r="D816" s="8">
        <v>1255.272505103306</v>
      </c>
      <c r="F816">
        <f t="shared" si="25"/>
        <v>810</v>
      </c>
      <c r="G816" t="s">
        <v>334</v>
      </c>
      <c r="H816" t="s">
        <v>452</v>
      </c>
      <c r="I816" s="8">
        <v>7724.7985694667077</v>
      </c>
    </row>
    <row r="817" spans="1:9" x14ac:dyDescent="0.35">
      <c r="A817">
        <f t="shared" si="24"/>
        <v>811</v>
      </c>
      <c r="B817" t="s">
        <v>1241</v>
      </c>
      <c r="C817" t="s">
        <v>58</v>
      </c>
      <c r="D817" s="8">
        <v>1109.7472377132285</v>
      </c>
      <c r="F817">
        <f t="shared" si="25"/>
        <v>811</v>
      </c>
      <c r="H817" t="s">
        <v>333</v>
      </c>
      <c r="I817" s="8">
        <v>1044.4191397884131</v>
      </c>
    </row>
    <row r="818" spans="1:9" x14ac:dyDescent="0.35">
      <c r="A818">
        <f t="shared" si="24"/>
        <v>812</v>
      </c>
      <c r="B818" t="s">
        <v>405</v>
      </c>
      <c r="C818" t="s">
        <v>404</v>
      </c>
      <c r="D818" s="8">
        <v>6394.5997560022097</v>
      </c>
      <c r="F818">
        <f t="shared" si="25"/>
        <v>812</v>
      </c>
      <c r="G818" t="s">
        <v>13</v>
      </c>
      <c r="H818" t="s">
        <v>1060</v>
      </c>
      <c r="I818" s="8">
        <v>4823.7793019013361</v>
      </c>
    </row>
    <row r="819" spans="1:9" x14ac:dyDescent="0.35">
      <c r="A819">
        <f t="shared" si="24"/>
        <v>813</v>
      </c>
      <c r="B819" t="s">
        <v>1092</v>
      </c>
      <c r="C819" t="s">
        <v>1093</v>
      </c>
      <c r="D819" s="8">
        <v>1199.5242871245202</v>
      </c>
      <c r="F819">
        <f t="shared" si="25"/>
        <v>813</v>
      </c>
      <c r="H819" t="s">
        <v>12</v>
      </c>
      <c r="I819" s="8">
        <v>18684.348293815434</v>
      </c>
    </row>
    <row r="820" spans="1:9" x14ac:dyDescent="0.35">
      <c r="A820">
        <f t="shared" si="24"/>
        <v>814</v>
      </c>
      <c r="B820" t="s">
        <v>618</v>
      </c>
      <c r="C820" t="s">
        <v>521</v>
      </c>
      <c r="D820" s="8">
        <v>11096.764243936335</v>
      </c>
      <c r="F820">
        <f t="shared" si="25"/>
        <v>814</v>
      </c>
      <c r="H820" t="s">
        <v>956</v>
      </c>
      <c r="I820" s="8">
        <v>1676.8764319731372</v>
      </c>
    </row>
    <row r="821" spans="1:9" x14ac:dyDescent="0.35">
      <c r="A821">
        <f t="shared" si="24"/>
        <v>815</v>
      </c>
      <c r="B821" t="s">
        <v>1346</v>
      </c>
      <c r="C821" t="s">
        <v>136</v>
      </c>
      <c r="D821" s="8">
        <v>274.70105694163215</v>
      </c>
      <c r="F821">
        <f t="shared" si="25"/>
        <v>815</v>
      </c>
      <c r="H821" t="s">
        <v>237</v>
      </c>
      <c r="I821" s="8">
        <v>13844.594676401193</v>
      </c>
    </row>
    <row r="822" spans="1:9" x14ac:dyDescent="0.35">
      <c r="A822">
        <f t="shared" si="24"/>
        <v>816</v>
      </c>
      <c r="B822" t="s">
        <v>786</v>
      </c>
      <c r="C822" t="s">
        <v>787</v>
      </c>
      <c r="D822" s="8">
        <v>2596.9307380584128</v>
      </c>
      <c r="F822">
        <f t="shared" si="25"/>
        <v>816</v>
      </c>
      <c r="H822" t="s">
        <v>1090</v>
      </c>
      <c r="I822" s="8">
        <v>1172.862288925483</v>
      </c>
    </row>
    <row r="823" spans="1:9" x14ac:dyDescent="0.35">
      <c r="A823">
        <f t="shared" si="24"/>
        <v>817</v>
      </c>
      <c r="B823" t="s">
        <v>183</v>
      </c>
      <c r="C823" t="s">
        <v>101</v>
      </c>
      <c r="D823" s="8">
        <v>10105.82441573852</v>
      </c>
      <c r="F823">
        <f t="shared" si="25"/>
        <v>817</v>
      </c>
      <c r="H823" t="s">
        <v>23</v>
      </c>
      <c r="I823" s="8">
        <v>12336.643922639369</v>
      </c>
    </row>
    <row r="824" spans="1:9" x14ac:dyDescent="0.35">
      <c r="A824">
        <f t="shared" si="24"/>
        <v>818</v>
      </c>
      <c r="C824" t="s">
        <v>11</v>
      </c>
      <c r="D824" s="8">
        <v>1213.879819945081</v>
      </c>
      <c r="F824">
        <f t="shared" si="25"/>
        <v>818</v>
      </c>
      <c r="H824" t="s">
        <v>1421</v>
      </c>
      <c r="I824" s="8">
        <v>1051.1525224473812</v>
      </c>
    </row>
    <row r="825" spans="1:9" x14ac:dyDescent="0.35">
      <c r="A825">
        <f t="shared" si="24"/>
        <v>819</v>
      </c>
      <c r="C825" t="s">
        <v>528</v>
      </c>
      <c r="D825" s="8">
        <v>1230.4489213782738</v>
      </c>
      <c r="F825">
        <f t="shared" si="25"/>
        <v>819</v>
      </c>
      <c r="H825" t="s">
        <v>857</v>
      </c>
      <c r="I825" s="8">
        <v>4508.1574124557856</v>
      </c>
    </row>
    <row r="826" spans="1:9" x14ac:dyDescent="0.35">
      <c r="A826">
        <f t="shared" si="24"/>
        <v>820</v>
      </c>
      <c r="C826" t="s">
        <v>13</v>
      </c>
      <c r="D826" s="8">
        <v>12273.852379654236</v>
      </c>
      <c r="F826">
        <f t="shared" si="25"/>
        <v>820</v>
      </c>
      <c r="H826" t="s">
        <v>709</v>
      </c>
      <c r="I826" s="8">
        <v>5443.2361576272224</v>
      </c>
    </row>
    <row r="827" spans="1:9" x14ac:dyDescent="0.35">
      <c r="A827">
        <f t="shared" si="24"/>
        <v>821</v>
      </c>
      <c r="B827" t="s">
        <v>2662</v>
      </c>
      <c r="C827" t="s">
        <v>2663</v>
      </c>
      <c r="D827" s="8">
        <v>1568.201724066995</v>
      </c>
      <c r="F827">
        <f t="shared" si="25"/>
        <v>821</v>
      </c>
      <c r="H827" t="s">
        <v>1121</v>
      </c>
      <c r="I827" s="8">
        <v>1496.9296480732148</v>
      </c>
    </row>
    <row r="828" spans="1:9" x14ac:dyDescent="0.35">
      <c r="A828">
        <f t="shared" si="24"/>
        <v>822</v>
      </c>
      <c r="B828" t="s">
        <v>1344</v>
      </c>
      <c r="C828" t="s">
        <v>1345</v>
      </c>
      <c r="D828" s="8">
        <v>301.02999566398125</v>
      </c>
      <c r="F828">
        <f t="shared" si="25"/>
        <v>822</v>
      </c>
      <c r="H828" t="s">
        <v>1257</v>
      </c>
      <c r="I828" s="8">
        <v>1617.5298805425919</v>
      </c>
    </row>
    <row r="829" spans="1:9" x14ac:dyDescent="0.35">
      <c r="A829">
        <f t="shared" si="24"/>
        <v>823</v>
      </c>
      <c r="B829" t="s">
        <v>2311</v>
      </c>
      <c r="C829" t="s">
        <v>1393</v>
      </c>
      <c r="D829" s="8">
        <v>2591.0646070264993</v>
      </c>
      <c r="F829">
        <f t="shared" si="25"/>
        <v>823</v>
      </c>
      <c r="H829" t="s">
        <v>681</v>
      </c>
      <c r="I829" s="8">
        <v>3096.5392568383586</v>
      </c>
    </row>
    <row r="830" spans="1:9" x14ac:dyDescent="0.35">
      <c r="A830">
        <f t="shared" si="24"/>
        <v>824</v>
      </c>
      <c r="B830" t="s">
        <v>138</v>
      </c>
      <c r="C830" t="s">
        <v>139</v>
      </c>
      <c r="D830" s="8">
        <v>2064.4579892269185</v>
      </c>
      <c r="F830">
        <f t="shared" si="25"/>
        <v>824</v>
      </c>
      <c r="H830" t="s">
        <v>183</v>
      </c>
      <c r="I830" s="8">
        <v>12273.852379654236</v>
      </c>
    </row>
    <row r="831" spans="1:9" x14ac:dyDescent="0.35">
      <c r="A831">
        <f t="shared" si="24"/>
        <v>825</v>
      </c>
      <c r="B831" t="s">
        <v>803</v>
      </c>
      <c r="C831" t="s">
        <v>495</v>
      </c>
      <c r="D831" s="8">
        <v>4623.335451390526</v>
      </c>
      <c r="F831">
        <f t="shared" si="25"/>
        <v>825</v>
      </c>
      <c r="G831" t="s">
        <v>425</v>
      </c>
      <c r="H831" t="s">
        <v>1413</v>
      </c>
      <c r="I831" s="8">
        <v>1653.2125137753435</v>
      </c>
    </row>
    <row r="832" spans="1:9" x14ac:dyDescent="0.35">
      <c r="A832">
        <f t="shared" si="24"/>
        <v>826</v>
      </c>
      <c r="B832" t="s">
        <v>1020</v>
      </c>
      <c r="C832" t="s">
        <v>1451</v>
      </c>
      <c r="D832" s="8">
        <v>658.54134728041072</v>
      </c>
      <c r="F832">
        <f t="shared" si="25"/>
        <v>826</v>
      </c>
      <c r="H832" t="s">
        <v>424</v>
      </c>
      <c r="I832" s="8">
        <v>1380.2112417116059</v>
      </c>
    </row>
    <row r="833" spans="1:9" x14ac:dyDescent="0.35">
      <c r="A833">
        <f t="shared" si="24"/>
        <v>827</v>
      </c>
      <c r="C833" t="s">
        <v>28</v>
      </c>
      <c r="D833" s="8">
        <v>1301.0299956639813</v>
      </c>
      <c r="F833">
        <f t="shared" si="25"/>
        <v>827</v>
      </c>
      <c r="H833" t="s">
        <v>545</v>
      </c>
      <c r="I833" s="8">
        <v>9729.5386658779644</v>
      </c>
    </row>
    <row r="834" spans="1:9" x14ac:dyDescent="0.35">
      <c r="A834">
        <f t="shared" si="24"/>
        <v>828</v>
      </c>
      <c r="C834" t="s">
        <v>205</v>
      </c>
      <c r="D834" s="8">
        <v>188.32571547269293</v>
      </c>
      <c r="F834">
        <f t="shared" si="25"/>
        <v>828</v>
      </c>
      <c r="H834" t="s">
        <v>384</v>
      </c>
      <c r="I834" s="8">
        <v>732.3937598229686</v>
      </c>
    </row>
    <row r="835" spans="1:9" x14ac:dyDescent="0.35">
      <c r="A835">
        <f t="shared" si="24"/>
        <v>829</v>
      </c>
      <c r="B835" t="s">
        <v>605</v>
      </c>
      <c r="C835" t="s">
        <v>153</v>
      </c>
      <c r="D835" s="8">
        <v>2857.9185324475807</v>
      </c>
      <c r="F835">
        <f t="shared" si="25"/>
        <v>829</v>
      </c>
      <c r="G835" t="s">
        <v>162</v>
      </c>
      <c r="H835" t="s">
        <v>161</v>
      </c>
      <c r="I835" s="8">
        <v>19472.254581063957</v>
      </c>
    </row>
    <row r="836" spans="1:9" x14ac:dyDescent="0.35">
      <c r="A836">
        <f t="shared" si="24"/>
        <v>830</v>
      </c>
      <c r="B836" t="s">
        <v>777</v>
      </c>
      <c r="C836" t="s">
        <v>139</v>
      </c>
      <c r="D836" s="8">
        <v>1450.2491083193609</v>
      </c>
      <c r="F836">
        <f t="shared" si="25"/>
        <v>830</v>
      </c>
      <c r="G836" t="s">
        <v>495</v>
      </c>
      <c r="H836" t="s">
        <v>2534</v>
      </c>
      <c r="I836" s="8">
        <v>1133.5389083702173</v>
      </c>
    </row>
    <row r="837" spans="1:9" x14ac:dyDescent="0.35">
      <c r="A837">
        <f t="shared" si="24"/>
        <v>831</v>
      </c>
      <c r="B837" t="s">
        <v>1460</v>
      </c>
      <c r="C837" t="s">
        <v>1461</v>
      </c>
      <c r="D837" s="8">
        <v>11925.986561792397</v>
      </c>
      <c r="F837">
        <f t="shared" si="25"/>
        <v>831</v>
      </c>
      <c r="H837" t="s">
        <v>803</v>
      </c>
      <c r="I837" s="8">
        <v>4623.335451390526</v>
      </c>
    </row>
    <row r="838" spans="1:9" x14ac:dyDescent="0.35">
      <c r="A838">
        <f t="shared" si="24"/>
        <v>832</v>
      </c>
      <c r="B838" t="s">
        <v>870</v>
      </c>
      <c r="C838" t="s">
        <v>528</v>
      </c>
      <c r="D838" s="8">
        <v>6559.4303152267967</v>
      </c>
      <c r="F838">
        <f t="shared" si="25"/>
        <v>832</v>
      </c>
      <c r="G838" t="s">
        <v>1187</v>
      </c>
      <c r="H838" t="s">
        <v>1186</v>
      </c>
      <c r="I838" s="8">
        <v>1194.3160791618805</v>
      </c>
    </row>
    <row r="839" spans="1:9" x14ac:dyDescent="0.35">
      <c r="A839">
        <f t="shared" si="24"/>
        <v>833</v>
      </c>
      <c r="B839" t="s">
        <v>831</v>
      </c>
      <c r="C839" t="s">
        <v>384</v>
      </c>
      <c r="D839" s="8">
        <v>1868.40576013434</v>
      </c>
      <c r="F839">
        <f t="shared" si="25"/>
        <v>833</v>
      </c>
      <c r="G839" t="s">
        <v>729</v>
      </c>
      <c r="H839" t="s">
        <v>428</v>
      </c>
      <c r="I839" s="8">
        <v>1602.0599913279623</v>
      </c>
    </row>
    <row r="840" spans="1:9" x14ac:dyDescent="0.35">
      <c r="A840">
        <f t="shared" si="24"/>
        <v>834</v>
      </c>
      <c r="B840" t="s">
        <v>570</v>
      </c>
      <c r="C840" t="s">
        <v>571</v>
      </c>
      <c r="D840" s="8">
        <v>1346.3529744506388</v>
      </c>
      <c r="F840">
        <f t="shared" si="25"/>
        <v>834</v>
      </c>
      <c r="G840" t="s">
        <v>395</v>
      </c>
      <c r="H840" t="s">
        <v>128</v>
      </c>
      <c r="I840" s="8">
        <v>1818.3083885295619</v>
      </c>
    </row>
    <row r="841" spans="1:9" x14ac:dyDescent="0.35">
      <c r="A841">
        <f t="shared" ref="A841:A862" si="26">A840+1</f>
        <v>835</v>
      </c>
      <c r="B841" t="s">
        <v>1212</v>
      </c>
      <c r="C841" t="s">
        <v>1213</v>
      </c>
      <c r="D841" s="8">
        <v>1531.478917042255</v>
      </c>
      <c r="F841">
        <f t="shared" ref="F841:F858" si="27">F840+1</f>
        <v>835</v>
      </c>
      <c r="H841" t="s">
        <v>394</v>
      </c>
      <c r="I841" s="8">
        <v>1122.2158782728266</v>
      </c>
    </row>
    <row r="842" spans="1:9" x14ac:dyDescent="0.35">
      <c r="A842">
        <f t="shared" si="26"/>
        <v>836</v>
      </c>
      <c r="B842" t="s">
        <v>1442</v>
      </c>
      <c r="C842" t="s">
        <v>737</v>
      </c>
      <c r="D842" s="8">
        <v>1348.9535479811641</v>
      </c>
      <c r="F842">
        <f t="shared" si="27"/>
        <v>836</v>
      </c>
      <c r="G842" t="s">
        <v>760</v>
      </c>
      <c r="H842" t="s">
        <v>759</v>
      </c>
      <c r="I842" s="8">
        <v>3447.232703885415</v>
      </c>
    </row>
    <row r="843" spans="1:9" x14ac:dyDescent="0.35">
      <c r="A843">
        <f t="shared" si="26"/>
        <v>837</v>
      </c>
      <c r="C843" t="s">
        <v>1444</v>
      </c>
      <c r="D843" s="8">
        <v>1352.1825181113625</v>
      </c>
      <c r="F843">
        <f t="shared" si="27"/>
        <v>837</v>
      </c>
      <c r="G843" t="s">
        <v>1345</v>
      </c>
      <c r="H843" t="s">
        <v>1344</v>
      </c>
      <c r="I843" s="8">
        <v>301.02999566398125</v>
      </c>
    </row>
    <row r="844" spans="1:9" x14ac:dyDescent="0.35">
      <c r="A844">
        <f t="shared" si="26"/>
        <v>838</v>
      </c>
      <c r="B844" t="s">
        <v>1204</v>
      </c>
      <c r="C844" t="s">
        <v>269</v>
      </c>
      <c r="D844" s="8">
        <v>1113.9433523068367</v>
      </c>
      <c r="F844">
        <f t="shared" si="27"/>
        <v>838</v>
      </c>
      <c r="G844" t="s">
        <v>2441</v>
      </c>
      <c r="H844" t="s">
        <v>2440</v>
      </c>
      <c r="I844" s="8">
        <v>910.77681565823468</v>
      </c>
    </row>
    <row r="845" spans="1:9" x14ac:dyDescent="0.35">
      <c r="A845">
        <f t="shared" si="26"/>
        <v>839</v>
      </c>
      <c r="B845" t="s">
        <v>1449</v>
      </c>
      <c r="C845" t="s">
        <v>1450</v>
      </c>
      <c r="D845" s="8">
        <v>767.68581670547871</v>
      </c>
      <c r="F845">
        <f t="shared" si="27"/>
        <v>839</v>
      </c>
      <c r="G845" t="s">
        <v>2374</v>
      </c>
      <c r="H845" t="s">
        <v>2373</v>
      </c>
      <c r="I845" s="8">
        <v>7622.7469148090859</v>
      </c>
    </row>
    <row r="846" spans="1:9" x14ac:dyDescent="0.35">
      <c r="A846">
        <f t="shared" si="26"/>
        <v>840</v>
      </c>
      <c r="B846" t="s">
        <v>240</v>
      </c>
      <c r="C846" t="s">
        <v>241</v>
      </c>
      <c r="D846" s="8">
        <v>4237.192008291302</v>
      </c>
      <c r="F846">
        <f t="shared" si="27"/>
        <v>840</v>
      </c>
      <c r="G846" t="s">
        <v>1171</v>
      </c>
      <c r="H846" t="s">
        <v>1170</v>
      </c>
      <c r="I846" s="8">
        <v>2341.5758274854879</v>
      </c>
    </row>
    <row r="847" spans="1:9" x14ac:dyDescent="0.35">
      <c r="A847">
        <f t="shared" si="26"/>
        <v>841</v>
      </c>
      <c r="B847" t="s">
        <v>402</v>
      </c>
      <c r="C847" t="s">
        <v>401</v>
      </c>
      <c r="D847" s="8">
        <v>2739.5723444500918</v>
      </c>
      <c r="F847">
        <f t="shared" si="27"/>
        <v>841</v>
      </c>
      <c r="G847" t="s">
        <v>364</v>
      </c>
      <c r="H847" t="s">
        <v>363</v>
      </c>
      <c r="I847" s="8">
        <v>18756.692573328775</v>
      </c>
    </row>
    <row r="848" spans="1:9" x14ac:dyDescent="0.35">
      <c r="A848">
        <f t="shared" si="26"/>
        <v>842</v>
      </c>
      <c r="B848" t="s">
        <v>1305</v>
      </c>
      <c r="C848" t="s">
        <v>1306</v>
      </c>
      <c r="D848" s="8">
        <v>767.6858167054786</v>
      </c>
      <c r="F848">
        <f t="shared" si="27"/>
        <v>842</v>
      </c>
      <c r="G848" t="s">
        <v>1521</v>
      </c>
      <c r="H848" t="s">
        <v>1520</v>
      </c>
      <c r="I848" s="8">
        <v>1003.0910769771417</v>
      </c>
    </row>
    <row r="849" spans="1:9" x14ac:dyDescent="0.35">
      <c r="A849">
        <f t="shared" si="26"/>
        <v>843</v>
      </c>
      <c r="B849" t="s">
        <v>1040</v>
      </c>
      <c r="C849" t="s">
        <v>77</v>
      </c>
      <c r="D849" s="8">
        <v>1019.8083933535522</v>
      </c>
      <c r="F849">
        <f t="shared" si="27"/>
        <v>843</v>
      </c>
      <c r="G849" t="s">
        <v>1359</v>
      </c>
      <c r="H849" t="s">
        <v>1358</v>
      </c>
      <c r="I849" s="8">
        <v>367.97678529459432</v>
      </c>
    </row>
    <row r="850" spans="1:9" x14ac:dyDescent="0.35">
      <c r="A850">
        <f t="shared" si="26"/>
        <v>844</v>
      </c>
      <c r="B850" t="s">
        <v>1223</v>
      </c>
      <c r="C850" t="s">
        <v>65</v>
      </c>
      <c r="D850" s="8">
        <v>2213.7949880373399</v>
      </c>
      <c r="F850">
        <f t="shared" si="27"/>
        <v>844</v>
      </c>
      <c r="G850" t="s">
        <v>492</v>
      </c>
      <c r="H850" t="s">
        <v>1129</v>
      </c>
      <c r="I850" s="8">
        <v>1195.8996524092336</v>
      </c>
    </row>
    <row r="851" spans="1:9" x14ac:dyDescent="0.35">
      <c r="A851">
        <f t="shared" si="26"/>
        <v>845</v>
      </c>
      <c r="B851" t="s">
        <v>2313</v>
      </c>
      <c r="C851" t="s">
        <v>1011</v>
      </c>
      <c r="D851" s="8">
        <v>2298.6347831244357</v>
      </c>
      <c r="F851">
        <f t="shared" si="27"/>
        <v>845</v>
      </c>
      <c r="H851" t="s">
        <v>491</v>
      </c>
      <c r="I851" s="8">
        <v>1152.2883443830563</v>
      </c>
    </row>
    <row r="852" spans="1:9" x14ac:dyDescent="0.35">
      <c r="A852">
        <f t="shared" si="26"/>
        <v>846</v>
      </c>
      <c r="B852" t="s">
        <v>1423</v>
      </c>
      <c r="C852" t="s">
        <v>89</v>
      </c>
      <c r="D852" s="8">
        <v>1024.8235837250322</v>
      </c>
      <c r="F852">
        <f t="shared" si="27"/>
        <v>846</v>
      </c>
      <c r="H852" t="s">
        <v>251</v>
      </c>
      <c r="I852" s="8">
        <v>1267.171728403014</v>
      </c>
    </row>
    <row r="853" spans="1:9" x14ac:dyDescent="0.35">
      <c r="A853">
        <f t="shared" si="26"/>
        <v>847</v>
      </c>
      <c r="B853" t="s">
        <v>1200</v>
      </c>
      <c r="C853" t="s">
        <v>44</v>
      </c>
      <c r="D853" s="8">
        <v>1130.3337684950061</v>
      </c>
      <c r="F853">
        <f t="shared" si="27"/>
        <v>847</v>
      </c>
      <c r="G853" t="s">
        <v>2386</v>
      </c>
      <c r="H853" t="s">
        <v>653</v>
      </c>
      <c r="I853" s="8">
        <v>1263.169638694922</v>
      </c>
    </row>
    <row r="854" spans="1:9" x14ac:dyDescent="0.35">
      <c r="A854">
        <f t="shared" si="26"/>
        <v>848</v>
      </c>
      <c r="B854" t="s">
        <v>1152</v>
      </c>
      <c r="C854" t="s">
        <v>388</v>
      </c>
      <c r="D854" s="8">
        <v>2729.9049594192738</v>
      </c>
      <c r="F854">
        <f t="shared" si="27"/>
        <v>848</v>
      </c>
      <c r="G854" t="s">
        <v>2663</v>
      </c>
      <c r="H854" t="s">
        <v>2662</v>
      </c>
      <c r="I854" s="8">
        <v>1568.201724066995</v>
      </c>
    </row>
    <row r="855" spans="1:9" x14ac:dyDescent="0.35">
      <c r="A855">
        <f t="shared" si="26"/>
        <v>849</v>
      </c>
      <c r="B855" t="s">
        <v>41</v>
      </c>
      <c r="C855" t="s">
        <v>42</v>
      </c>
      <c r="D855" s="8">
        <v>1134.7564721089582</v>
      </c>
      <c r="F855">
        <f t="shared" si="27"/>
        <v>849</v>
      </c>
      <c r="G855" t="s">
        <v>2668</v>
      </c>
      <c r="H855" t="s">
        <v>2667</v>
      </c>
      <c r="I855" s="8">
        <v>1113.9433523068369</v>
      </c>
    </row>
    <row r="856" spans="1:9" x14ac:dyDescent="0.35">
      <c r="A856">
        <f t="shared" si="26"/>
        <v>850</v>
      </c>
      <c r="B856" t="s">
        <v>148</v>
      </c>
      <c r="C856" t="s">
        <v>149</v>
      </c>
      <c r="D856" s="8">
        <v>12327.917353432264</v>
      </c>
      <c r="F856">
        <f t="shared" si="27"/>
        <v>850</v>
      </c>
      <c r="G856" t="s">
        <v>2694</v>
      </c>
      <c r="H856" t="s">
        <v>2693</v>
      </c>
      <c r="I856" s="8">
        <v>1033.4237554869499</v>
      </c>
    </row>
    <row r="857" spans="1:9" x14ac:dyDescent="0.35">
      <c r="A857">
        <f t="shared" si="26"/>
        <v>851</v>
      </c>
      <c r="B857" t="s">
        <v>1172</v>
      </c>
      <c r="C857" t="s">
        <v>11</v>
      </c>
      <c r="D857" s="8">
        <v>4446.6061958398868</v>
      </c>
      <c r="F857">
        <f t="shared" si="27"/>
        <v>851</v>
      </c>
      <c r="G857" t="s">
        <v>1926</v>
      </c>
      <c r="H857" t="s">
        <v>2696</v>
      </c>
      <c r="I857" s="8">
        <v>829.30377283102507</v>
      </c>
    </row>
    <row r="858" spans="1:9" x14ac:dyDescent="0.35">
      <c r="A858">
        <f t="shared" si="26"/>
        <v>852</v>
      </c>
      <c r="B858" t="s">
        <v>1427</v>
      </c>
      <c r="D858" s="8">
        <v>4174552.8833486391</v>
      </c>
      <c r="F858">
        <f t="shared" si="27"/>
        <v>852</v>
      </c>
      <c r="G858" t="s">
        <v>1427</v>
      </c>
      <c r="I858" s="8">
        <v>4174552.8833486368</v>
      </c>
    </row>
    <row r="859" spans="1:9" x14ac:dyDescent="0.35">
      <c r="A859">
        <f t="shared" si="26"/>
        <v>853</v>
      </c>
    </row>
    <row r="860" spans="1:9" x14ac:dyDescent="0.35">
      <c r="A860">
        <f t="shared" si="26"/>
        <v>854</v>
      </c>
    </row>
    <row r="861" spans="1:9" x14ac:dyDescent="0.35">
      <c r="A861">
        <f t="shared" si="26"/>
        <v>855</v>
      </c>
    </row>
    <row r="862" spans="1:9" x14ac:dyDescent="0.35">
      <c r="A862">
        <f t="shared" si="26"/>
        <v>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N1238"/>
  <sheetViews>
    <sheetView tabSelected="1" topLeftCell="X1" zoomScale="75" zoomScaleNormal="75" workbookViewId="0">
      <pane ySplit="5" topLeftCell="A6" activePane="bottomLeft" state="frozen"/>
      <selection pane="bottomLeft" activeCell="X14" sqref="X14"/>
    </sheetView>
  </sheetViews>
  <sheetFormatPr defaultRowHeight="15" x14ac:dyDescent="0.35"/>
  <cols>
    <col min="1" max="1" width="9" bestFit="1" customWidth="1"/>
    <col min="2" max="2" width="5.625" bestFit="1" customWidth="1"/>
    <col min="3" max="3" width="22.8125" bestFit="1" customWidth="1"/>
    <col min="4" max="25" width="6.875" bestFit="1" customWidth="1"/>
    <col min="26" max="26" width="10.625" bestFit="1" customWidth="1"/>
    <col min="27" max="28" width="11.0625" customWidth="1"/>
    <col min="29" max="29" width="8.9375" customWidth="1"/>
    <col min="30" max="30" width="17.1875" customWidth="1"/>
    <col min="31" max="31" width="12.1875" customWidth="1"/>
    <col min="32" max="34" width="5.25" customWidth="1"/>
    <col min="35" max="35" width="5.625" bestFit="1" customWidth="1"/>
    <col min="36" max="36" width="22.8125" bestFit="1" customWidth="1"/>
    <col min="37" max="37" width="6.25" bestFit="1" customWidth="1"/>
    <col min="39" max="39" width="5.625" bestFit="1" customWidth="1"/>
    <col min="40" max="40" width="22.8125" bestFit="1" customWidth="1"/>
    <col min="41" max="41" width="6.0625" bestFit="1" customWidth="1"/>
    <col min="44" max="44" width="22.8125" bestFit="1" customWidth="1"/>
    <col min="45" max="45" width="7.375" style="2" bestFit="1" customWidth="1"/>
    <col min="47" max="47" width="18.8125" bestFit="1" customWidth="1"/>
    <col min="48" max="48" width="6.0625" bestFit="1" customWidth="1"/>
    <col min="49" max="49" width="5.625" bestFit="1" customWidth="1"/>
    <col min="50" max="50" width="16.0625" bestFit="1" customWidth="1"/>
    <col min="51" max="51" width="6.875" bestFit="1" customWidth="1"/>
    <col min="52" max="52" width="10.625" bestFit="1" customWidth="1"/>
    <col min="53" max="64" width="7.625" bestFit="1" customWidth="1"/>
    <col min="65" max="65" width="7.625" customWidth="1"/>
    <col min="66" max="66" width="11.75" customWidth="1"/>
    <col min="68" max="68" width="5.625" bestFit="1" customWidth="1"/>
    <col min="69" max="69" width="22" bestFit="1" customWidth="1"/>
    <col min="70" max="70" width="8.0625" bestFit="1" customWidth="1"/>
  </cols>
  <sheetData>
    <row r="1" spans="1:66" x14ac:dyDescent="0.35">
      <c r="AJ1" s="6" t="s">
        <v>140</v>
      </c>
      <c r="AK1" t="s">
        <v>1466</v>
      </c>
      <c r="AN1" s="6" t="s">
        <v>140</v>
      </c>
      <c r="AO1" t="s">
        <v>1466</v>
      </c>
      <c r="AR1" s="6" t="s">
        <v>140</v>
      </c>
      <c r="AS1" t="s">
        <v>1466</v>
      </c>
      <c r="AU1" s="6" t="s">
        <v>140</v>
      </c>
      <c r="AV1" t="s">
        <v>1466</v>
      </c>
    </row>
    <row r="2" spans="1:66" x14ac:dyDescent="0.35">
      <c r="C2" s="6" t="s">
        <v>0</v>
      </c>
      <c r="D2" t="s">
        <v>1466</v>
      </c>
      <c r="AJ2" s="6" t="s">
        <v>0</v>
      </c>
      <c r="AK2" t="s">
        <v>1466</v>
      </c>
      <c r="AN2" s="6" t="s">
        <v>0</v>
      </c>
      <c r="AO2" t="s">
        <v>1466</v>
      </c>
      <c r="AR2" s="6" t="s">
        <v>0</v>
      </c>
      <c r="AS2" t="s">
        <v>1466</v>
      </c>
      <c r="AU2" s="6" t="s">
        <v>0</v>
      </c>
      <c r="AV2" t="s">
        <v>1466</v>
      </c>
    </row>
    <row r="3" spans="1:66" x14ac:dyDescent="0.35">
      <c r="C3" s="6" t="s">
        <v>1</v>
      </c>
      <c r="D3" t="s">
        <v>1466</v>
      </c>
      <c r="AJ3" s="6" t="s">
        <v>1</v>
      </c>
      <c r="AK3" t="s">
        <v>1466</v>
      </c>
      <c r="AN3" s="6" t="s">
        <v>1</v>
      </c>
      <c r="AO3" t="s">
        <v>1466</v>
      </c>
      <c r="AR3" s="6" t="s">
        <v>1</v>
      </c>
      <c r="AS3" t="s">
        <v>1466</v>
      </c>
      <c r="AU3" s="6" t="s">
        <v>1</v>
      </c>
      <c r="AV3" t="s">
        <v>1466</v>
      </c>
    </row>
    <row r="4" spans="1:66" ht="15.45" x14ac:dyDescent="0.4">
      <c r="C4" s="6" t="s">
        <v>1428</v>
      </c>
      <c r="D4" t="s">
        <v>1466</v>
      </c>
      <c r="AC4" s="25" t="s">
        <v>2652</v>
      </c>
      <c r="AD4" s="25"/>
      <c r="AE4" s="25"/>
      <c r="AJ4" s="6" t="s">
        <v>1428</v>
      </c>
      <c r="AK4" t="s">
        <v>1466</v>
      </c>
      <c r="AN4" s="6" t="s">
        <v>1428</v>
      </c>
      <c r="AO4" t="s">
        <v>1466</v>
      </c>
      <c r="AR4" s="6" t="s">
        <v>1428</v>
      </c>
      <c r="AS4" t="s">
        <v>1466</v>
      </c>
      <c r="AU4" s="6" t="s">
        <v>1428</v>
      </c>
      <c r="AV4" t="s">
        <v>1466</v>
      </c>
    </row>
    <row r="5" spans="1:66" ht="15.45" x14ac:dyDescent="0.4">
      <c r="D5" s="8">
        <f>MAX(D8:D777)</f>
        <v>6647.2321649393079</v>
      </c>
      <c r="E5" s="8">
        <f t="shared" ref="E5:Y5" si="0">MAX(E8:E777)</f>
        <v>9021.4976369448505</v>
      </c>
      <c r="F5" s="8">
        <f t="shared" si="0"/>
        <v>5820.3919553704627</v>
      </c>
      <c r="G5" s="8">
        <f t="shared" si="0"/>
        <v>5732.7270808118019</v>
      </c>
      <c r="H5" s="8">
        <f t="shared" si="0"/>
        <v>7578.8223479899825</v>
      </c>
      <c r="I5" s="8">
        <f t="shared" si="0"/>
        <v>5493.6113863404898</v>
      </c>
      <c r="J5" s="8">
        <f t="shared" si="0"/>
        <v>4375.8464363091562</v>
      </c>
      <c r="K5" s="8">
        <f t="shared" si="0"/>
        <v>4292.0590677323662</v>
      </c>
      <c r="L5" s="8">
        <f t="shared" si="0"/>
        <v>5841.4985114299188</v>
      </c>
      <c r="M5" s="8">
        <f t="shared" si="0"/>
        <v>4283.9980268062045</v>
      </c>
      <c r="N5" s="8">
        <f t="shared" si="0"/>
        <v>4102.8451642454183</v>
      </c>
      <c r="O5" s="8">
        <f t="shared" si="0"/>
        <v>5855.339482055826</v>
      </c>
      <c r="P5" s="8">
        <f t="shared" si="0"/>
        <v>6356.901924847949</v>
      </c>
      <c r="Q5" s="8">
        <f t="shared" si="0"/>
        <v>6493.9262510030567</v>
      </c>
      <c r="R5" s="8">
        <f t="shared" si="0"/>
        <v>7075.4802427962886</v>
      </c>
      <c r="S5" s="8">
        <f t="shared" si="0"/>
        <v>7276.5412107615539</v>
      </c>
      <c r="T5" s="8">
        <f t="shared" si="0"/>
        <v>5504.0628826786924</v>
      </c>
      <c r="U5" s="8">
        <f t="shared" si="0"/>
        <v>10360.866955673362</v>
      </c>
      <c r="V5" s="8">
        <f t="shared" si="0"/>
        <v>6023.9599271711322</v>
      </c>
      <c r="W5" s="8">
        <f t="shared" si="0"/>
        <v>5690.8780071261463</v>
      </c>
      <c r="X5" s="8">
        <f t="shared" si="0"/>
        <v>8458.3314175758078</v>
      </c>
      <c r="Y5" s="8">
        <f t="shared" si="0"/>
        <v>8374.8418741739933</v>
      </c>
      <c r="AC5" s="3" t="s">
        <v>140</v>
      </c>
      <c r="AD5" s="3" t="s">
        <v>7</v>
      </c>
      <c r="AE5" s="3" t="s">
        <v>6</v>
      </c>
      <c r="AK5" s="8">
        <f>MAX(AK8:AK777)</f>
        <v>77674.663680084239</v>
      </c>
      <c r="AL5" s="8"/>
      <c r="AO5" s="8">
        <f>MAX(AO8:AO777)</f>
        <v>61</v>
      </c>
      <c r="AP5" s="8"/>
      <c r="AQ5" s="8"/>
      <c r="AS5" s="2">
        <f>MAX(AS8:AS777)</f>
        <v>53926.5</v>
      </c>
      <c r="AT5" s="8"/>
      <c r="AU5" s="6" t="s">
        <v>3</v>
      </c>
      <c r="AV5" s="19">
        <v>3</v>
      </c>
      <c r="BC5" s="8">
        <f t="shared" ref="BC5:BN5" si="1">MAX(BC8:BC777)</f>
        <v>0</v>
      </c>
      <c r="BD5" s="8">
        <f t="shared" si="1"/>
        <v>0</v>
      </c>
      <c r="BE5" s="8">
        <f t="shared" si="1"/>
        <v>0</v>
      </c>
      <c r="BF5" s="8">
        <f t="shared" si="1"/>
        <v>0</v>
      </c>
      <c r="BG5" s="8">
        <f t="shared" si="1"/>
        <v>0</v>
      </c>
      <c r="BH5" s="8">
        <f t="shared" si="1"/>
        <v>0</v>
      </c>
      <c r="BI5" s="8">
        <f t="shared" si="1"/>
        <v>0</v>
      </c>
      <c r="BJ5" s="8">
        <f t="shared" si="1"/>
        <v>0</v>
      </c>
      <c r="BK5" s="8">
        <f t="shared" si="1"/>
        <v>0</v>
      </c>
      <c r="BL5" s="8">
        <f t="shared" si="1"/>
        <v>0</v>
      </c>
      <c r="BM5" s="8">
        <f t="shared" si="1"/>
        <v>0</v>
      </c>
      <c r="BN5" s="8">
        <f t="shared" si="1"/>
        <v>0</v>
      </c>
    </row>
    <row r="6" spans="1:66" x14ac:dyDescent="0.35">
      <c r="C6" s="9" t="s">
        <v>1435</v>
      </c>
      <c r="D6" s="6" t="s">
        <v>140</v>
      </c>
      <c r="AC6">
        <v>2003</v>
      </c>
      <c r="AD6" t="s">
        <v>917</v>
      </c>
      <c r="AE6" s="2">
        <v>6647.2321649393079</v>
      </c>
      <c r="AJ6" s="9" t="s">
        <v>1435</v>
      </c>
      <c r="AN6" s="9" t="s">
        <v>2653</v>
      </c>
      <c r="AR6" s="9" t="s">
        <v>2651</v>
      </c>
      <c r="AS6" s="21"/>
    </row>
    <row r="7" spans="1:66" ht="15.45" x14ac:dyDescent="0.4">
      <c r="A7" s="7" t="s">
        <v>2271</v>
      </c>
      <c r="B7" s="7" t="s">
        <v>1503</v>
      </c>
      <c r="C7" s="6" t="s">
        <v>7</v>
      </c>
      <c r="D7">
        <v>2003</v>
      </c>
      <c r="E7">
        <v>2004</v>
      </c>
      <c r="F7">
        <v>2005</v>
      </c>
      <c r="G7">
        <v>2006</v>
      </c>
      <c r="H7">
        <v>2007</v>
      </c>
      <c r="I7">
        <v>2008</v>
      </c>
      <c r="J7">
        <v>2009</v>
      </c>
      <c r="K7">
        <v>2010</v>
      </c>
      <c r="L7">
        <v>2011</v>
      </c>
      <c r="M7">
        <v>2012</v>
      </c>
      <c r="N7">
        <v>2013</v>
      </c>
      <c r="O7">
        <v>2014</v>
      </c>
      <c r="P7">
        <v>2015</v>
      </c>
      <c r="Q7">
        <v>2016</v>
      </c>
      <c r="R7">
        <v>2017</v>
      </c>
      <c r="S7">
        <v>2018</v>
      </c>
      <c r="T7">
        <v>2019</v>
      </c>
      <c r="U7">
        <v>2020</v>
      </c>
      <c r="V7">
        <v>2021</v>
      </c>
      <c r="W7">
        <v>2022</v>
      </c>
      <c r="X7">
        <v>2023</v>
      </c>
      <c r="Y7">
        <v>2024</v>
      </c>
      <c r="Z7" t="s">
        <v>1427</v>
      </c>
      <c r="AC7">
        <v>2004</v>
      </c>
      <c r="AD7" s="8" t="s">
        <v>1541</v>
      </c>
      <c r="AE7" s="2">
        <v>9021.4976369448505</v>
      </c>
      <c r="AI7" s="7" t="s">
        <v>1503</v>
      </c>
      <c r="AJ7" s="6" t="s">
        <v>7</v>
      </c>
      <c r="AK7" t="s">
        <v>1436</v>
      </c>
      <c r="AM7" s="7" t="s">
        <v>1503</v>
      </c>
      <c r="AN7" s="6" t="s">
        <v>7</v>
      </c>
      <c r="AO7" t="s">
        <v>1436</v>
      </c>
      <c r="AR7" s="6" t="s">
        <v>7</v>
      </c>
      <c r="AS7" t="s">
        <v>1436</v>
      </c>
      <c r="AU7" s="9" t="s">
        <v>2689</v>
      </c>
      <c r="AV7" s="21"/>
    </row>
    <row r="8" spans="1:66" x14ac:dyDescent="0.35">
      <c r="B8">
        <v>1</v>
      </c>
      <c r="C8" t="s">
        <v>2349</v>
      </c>
      <c r="D8" s="8"/>
      <c r="E8" s="8"/>
      <c r="F8" s="8"/>
      <c r="G8" s="8">
        <v>1124.9387366082999</v>
      </c>
      <c r="H8" s="8">
        <v>2587.1896271046285</v>
      </c>
      <c r="I8" s="8"/>
      <c r="J8" s="8"/>
      <c r="K8" s="8">
        <v>4292.0590677323662</v>
      </c>
      <c r="L8" s="8">
        <v>3439.6484295634737</v>
      </c>
      <c r="M8" s="8">
        <v>3648.5405264410183</v>
      </c>
      <c r="N8" s="8">
        <v>2834.2086975841307</v>
      </c>
      <c r="O8" s="8">
        <v>2084.9335749367165</v>
      </c>
      <c r="P8" s="8">
        <v>5369.4065153745842</v>
      </c>
      <c r="Q8" s="8">
        <v>2498.3105537896004</v>
      </c>
      <c r="R8" s="8">
        <v>7075.4802427962886</v>
      </c>
      <c r="S8" s="8">
        <v>7221.9303893050637</v>
      </c>
      <c r="T8" s="8">
        <v>2737.192642704737</v>
      </c>
      <c r="U8" s="20">
        <v>10360.866955673362</v>
      </c>
      <c r="V8" s="8">
        <v>3447.1580313422191</v>
      </c>
      <c r="W8" s="8">
        <v>2144.2627737619905</v>
      </c>
      <c r="X8" s="20">
        <v>8458.3314175758078</v>
      </c>
      <c r="Y8" s="8">
        <v>8350.205497789977</v>
      </c>
      <c r="Z8" s="8">
        <v>77674.663680084268</v>
      </c>
      <c r="AA8" s="8"/>
      <c r="AB8" s="8"/>
      <c r="AC8">
        <v>2005</v>
      </c>
      <c r="AD8" t="s">
        <v>250</v>
      </c>
      <c r="AE8" s="2">
        <v>5820.3919553704627</v>
      </c>
      <c r="AI8">
        <v>1</v>
      </c>
      <c r="AJ8" t="s">
        <v>2349</v>
      </c>
      <c r="AK8" s="8">
        <v>77674.663680084239</v>
      </c>
      <c r="AM8">
        <v>1</v>
      </c>
      <c r="AN8" t="s">
        <v>2349</v>
      </c>
      <c r="AO8" s="8">
        <v>61</v>
      </c>
      <c r="AR8" t="s">
        <v>2349</v>
      </c>
      <c r="AS8" s="21">
        <v>53926.5</v>
      </c>
      <c r="AU8" s="6" t="s">
        <v>7</v>
      </c>
      <c r="AV8" t="s">
        <v>1436</v>
      </c>
    </row>
    <row r="9" spans="1:66" x14ac:dyDescent="0.35">
      <c r="B9">
        <f>B8+1</f>
        <v>2</v>
      </c>
      <c r="C9" s="27" t="s">
        <v>917</v>
      </c>
      <c r="D9" s="8">
        <v>6647.2321649393079</v>
      </c>
      <c r="E9" s="8">
        <v>2825.7505813480275</v>
      </c>
      <c r="F9" s="8">
        <v>1332.4384599156051</v>
      </c>
      <c r="G9" s="8">
        <v>1595.1811732213309</v>
      </c>
      <c r="H9" s="8">
        <v>869.23171973097612</v>
      </c>
      <c r="I9" s="8"/>
      <c r="J9" s="8">
        <v>1372.3859041996493</v>
      </c>
      <c r="K9" s="8"/>
      <c r="L9" s="8">
        <v>2273.2328340430458</v>
      </c>
      <c r="M9" s="8">
        <v>1022.5658278987413</v>
      </c>
      <c r="N9" s="8">
        <v>990.24016271084383</v>
      </c>
      <c r="O9" s="8"/>
      <c r="P9" s="8">
        <v>4417.4532396783843</v>
      </c>
      <c r="Q9" s="8">
        <v>1139.8790864012365</v>
      </c>
      <c r="R9" s="8"/>
      <c r="S9" s="8">
        <v>2194.9766032160551</v>
      </c>
      <c r="T9" s="8">
        <v>2587.7109650189113</v>
      </c>
      <c r="U9" s="8">
        <v>5726.2706747641796</v>
      </c>
      <c r="V9" s="8">
        <v>1903.993825990188</v>
      </c>
      <c r="W9" s="8">
        <v>3595.7717020009404</v>
      </c>
      <c r="X9" s="8">
        <v>7231.7498543986922</v>
      </c>
      <c r="Y9" s="8">
        <v>3068.6162309992105</v>
      </c>
      <c r="Z9" s="8">
        <v>50794.681010475339</v>
      </c>
      <c r="AA9" s="8"/>
      <c r="AB9" s="8"/>
      <c r="AC9">
        <v>2006</v>
      </c>
      <c r="AD9" t="s">
        <v>620</v>
      </c>
      <c r="AE9" s="2">
        <v>5732.7270808118019</v>
      </c>
      <c r="AI9">
        <f>AI8+1</f>
        <v>2</v>
      </c>
      <c r="AJ9" s="27" t="s">
        <v>917</v>
      </c>
      <c r="AK9" s="8">
        <v>50794.681010475331</v>
      </c>
      <c r="AM9">
        <f>AM8+1</f>
        <v>2</v>
      </c>
      <c r="AN9" s="30" t="s">
        <v>427</v>
      </c>
      <c r="AO9" s="31">
        <v>48</v>
      </c>
      <c r="AR9" s="27" t="s">
        <v>1526</v>
      </c>
      <c r="AS9" s="21">
        <v>29870</v>
      </c>
      <c r="AU9" s="30" t="s">
        <v>427</v>
      </c>
      <c r="AV9" s="29">
        <v>10</v>
      </c>
    </row>
    <row r="10" spans="1:66" x14ac:dyDescent="0.35">
      <c r="B10">
        <f t="shared" ref="B10:B73" si="2">B9+1</f>
        <v>3</v>
      </c>
      <c r="C10" s="30" t="s">
        <v>427</v>
      </c>
      <c r="D10" s="31">
        <v>3258.6571031031126</v>
      </c>
      <c r="E10" s="31">
        <v>1550.5067341140868</v>
      </c>
      <c r="F10" s="31">
        <v>1365.7943825933694</v>
      </c>
      <c r="G10" s="31"/>
      <c r="H10" s="31">
        <v>2183.0324594287922</v>
      </c>
      <c r="I10" s="31">
        <v>1107.8264274971546</v>
      </c>
      <c r="J10" s="31"/>
      <c r="K10" s="31"/>
      <c r="L10" s="31">
        <v>1939.5192526186183</v>
      </c>
      <c r="M10" s="31">
        <v>1012.2344564170116</v>
      </c>
      <c r="N10" s="31">
        <v>806.17997398388718</v>
      </c>
      <c r="O10" s="31">
        <v>1161.3680022349749</v>
      </c>
      <c r="P10" s="31">
        <v>913.81385238371661</v>
      </c>
      <c r="Q10" s="31"/>
      <c r="R10" s="31">
        <v>5090.6753301753606</v>
      </c>
      <c r="S10" s="31">
        <v>7276.5412107615539</v>
      </c>
      <c r="T10" s="32">
        <v>5504.0628826786924</v>
      </c>
      <c r="U10" s="31">
        <v>451.54499349597177</v>
      </c>
      <c r="V10" s="31">
        <v>5334.7497601242703</v>
      </c>
      <c r="W10" s="32">
        <v>5690.8780071261463</v>
      </c>
      <c r="X10" s="31">
        <v>1598.4257066728683</v>
      </c>
      <c r="Y10" s="31">
        <v>2359.71693600862</v>
      </c>
      <c r="Z10" s="31">
        <v>48605.527471418201</v>
      </c>
      <c r="AA10" s="8"/>
      <c r="AB10" s="8"/>
      <c r="AC10">
        <v>2007</v>
      </c>
      <c r="AD10" t="s">
        <v>620</v>
      </c>
      <c r="AE10" s="2">
        <v>7578.8223479899825</v>
      </c>
      <c r="AI10">
        <f t="shared" ref="AI10:AI73" si="3">AI9+1</f>
        <v>3</v>
      </c>
      <c r="AJ10" s="30" t="s">
        <v>427</v>
      </c>
      <c r="AK10" s="31">
        <v>48605.527471418216</v>
      </c>
      <c r="AM10">
        <f t="shared" ref="AM10:AM73" si="4">AM9+1</f>
        <v>3</v>
      </c>
      <c r="AN10" s="27" t="s">
        <v>917</v>
      </c>
      <c r="AO10" s="8">
        <v>44</v>
      </c>
      <c r="AR10" s="30" t="s">
        <v>367</v>
      </c>
      <c r="AS10" s="29">
        <v>28767</v>
      </c>
      <c r="AU10" t="s">
        <v>2349</v>
      </c>
      <c r="AV10" s="21">
        <v>7</v>
      </c>
    </row>
    <row r="11" spans="1:66" x14ac:dyDescent="0.35">
      <c r="B11">
        <f t="shared" si="2"/>
        <v>4</v>
      </c>
      <c r="C11" s="27" t="s">
        <v>1526</v>
      </c>
      <c r="D11" s="8"/>
      <c r="E11" s="8"/>
      <c r="F11" s="8"/>
      <c r="G11" s="8"/>
      <c r="H11" s="8"/>
      <c r="I11" s="8">
        <v>1444.5652207639396</v>
      </c>
      <c r="J11" s="8"/>
      <c r="K11" s="8"/>
      <c r="L11" s="8">
        <v>1245.5126678141498</v>
      </c>
      <c r="M11" s="8">
        <v>1210.8533653148934</v>
      </c>
      <c r="N11" s="8">
        <v>1531.478917042255</v>
      </c>
      <c r="O11" s="8"/>
      <c r="P11" s="8">
        <v>2431.7657026253478</v>
      </c>
      <c r="Q11" s="8">
        <v>5161.966616364075</v>
      </c>
      <c r="R11" s="8">
        <v>4787.2088934400645</v>
      </c>
      <c r="S11" s="8">
        <v>3626.7098225074069</v>
      </c>
      <c r="T11" s="8">
        <v>2511.8833609788744</v>
      </c>
      <c r="U11" s="8">
        <v>3075.5469613925306</v>
      </c>
      <c r="V11" s="8">
        <v>3937.6432476198634</v>
      </c>
      <c r="W11" s="8">
        <v>3106.6724238865168</v>
      </c>
      <c r="X11" s="8">
        <v>7171.2044017210192</v>
      </c>
      <c r="Y11" s="8">
        <v>6033.2607279684926</v>
      </c>
      <c r="Z11" s="8">
        <v>47276.272329439424</v>
      </c>
      <c r="AA11" s="8"/>
      <c r="AB11" s="8"/>
      <c r="AC11">
        <v>2008</v>
      </c>
      <c r="AD11" t="s">
        <v>738</v>
      </c>
      <c r="AE11" s="2">
        <v>5493.6113863404898</v>
      </c>
      <c r="AI11">
        <f t="shared" si="3"/>
        <v>4</v>
      </c>
      <c r="AJ11" s="27" t="s">
        <v>1526</v>
      </c>
      <c r="AK11" s="8">
        <v>47276.272329439431</v>
      </c>
      <c r="AM11">
        <f t="shared" si="4"/>
        <v>4</v>
      </c>
      <c r="AN11" s="27" t="s">
        <v>272</v>
      </c>
      <c r="AO11" s="8">
        <v>41</v>
      </c>
      <c r="AR11" s="27" t="s">
        <v>312</v>
      </c>
      <c r="AS11" s="21">
        <v>26221</v>
      </c>
      <c r="AU11" s="27" t="s">
        <v>1541</v>
      </c>
      <c r="AV11" s="21">
        <v>7</v>
      </c>
    </row>
    <row r="12" spans="1:66" x14ac:dyDescent="0.35">
      <c r="B12">
        <f t="shared" si="2"/>
        <v>5</v>
      </c>
      <c r="C12" s="27" t="s">
        <v>272</v>
      </c>
      <c r="D12" s="8">
        <v>763.42799356293733</v>
      </c>
      <c r="E12" s="8">
        <v>1303.7358890399059</v>
      </c>
      <c r="F12" s="8">
        <v>795.88001734407521</v>
      </c>
      <c r="G12" s="8">
        <v>2598.0938041103609</v>
      </c>
      <c r="H12" s="8"/>
      <c r="I12" s="8"/>
      <c r="J12" s="8">
        <v>903.08998699194365</v>
      </c>
      <c r="K12" s="8"/>
      <c r="L12" s="8">
        <v>1732.3937598229686</v>
      </c>
      <c r="M12" s="8">
        <v>2070.4776585257468</v>
      </c>
      <c r="N12" s="8">
        <v>2065.5263648749442</v>
      </c>
      <c r="O12" s="8">
        <v>954.24250943932486</v>
      </c>
      <c r="P12" s="8">
        <v>1875.0612633917003</v>
      </c>
      <c r="Q12" s="8">
        <v>1245.5126678141498</v>
      </c>
      <c r="R12" s="8">
        <v>1414.9733479708179</v>
      </c>
      <c r="S12" s="8">
        <v>4246.1291256634358</v>
      </c>
      <c r="T12" s="8">
        <v>1907.6501809521212</v>
      </c>
      <c r="U12" s="8">
        <v>4979.1794774767686</v>
      </c>
      <c r="V12" s="8">
        <v>1983.1750720378127</v>
      </c>
      <c r="W12" s="8">
        <v>4192.795703911328</v>
      </c>
      <c r="X12" s="8">
        <v>2781.3563902588548</v>
      </c>
      <c r="Y12" s="8">
        <v>6639.7860093087702</v>
      </c>
      <c r="Z12" s="8">
        <v>44452.487222497977</v>
      </c>
      <c r="AA12" s="8"/>
      <c r="AB12" s="8"/>
      <c r="AC12">
        <v>2009</v>
      </c>
      <c r="AD12" s="8" t="s">
        <v>322</v>
      </c>
      <c r="AE12" s="2">
        <v>4375.8464363091562</v>
      </c>
      <c r="AI12">
        <f t="shared" si="3"/>
        <v>5</v>
      </c>
      <c r="AJ12" s="27" t="s">
        <v>272</v>
      </c>
      <c r="AK12" s="8">
        <v>44452.487222497948</v>
      </c>
      <c r="AM12">
        <f t="shared" si="4"/>
        <v>5</v>
      </c>
      <c r="AN12" s="27" t="s">
        <v>1526</v>
      </c>
      <c r="AO12" s="8">
        <v>39</v>
      </c>
      <c r="AR12" s="27" t="s">
        <v>917</v>
      </c>
      <c r="AS12" s="21">
        <v>25912</v>
      </c>
      <c r="AU12" s="27" t="s">
        <v>272</v>
      </c>
      <c r="AV12" s="21">
        <v>6</v>
      </c>
    </row>
    <row r="13" spans="1:66" x14ac:dyDescent="0.35">
      <c r="B13">
        <f t="shared" si="2"/>
        <v>6</v>
      </c>
      <c r="C13" s="27" t="s">
        <v>1541</v>
      </c>
      <c r="D13" s="8">
        <v>3153.7072858248057</v>
      </c>
      <c r="E13" s="8">
        <v>9021.4976369448505</v>
      </c>
      <c r="F13" s="8">
        <v>5633.5261652975505</v>
      </c>
      <c r="G13" s="8">
        <v>5347.4420226912207</v>
      </c>
      <c r="H13" s="8">
        <v>1119.052758085317</v>
      </c>
      <c r="I13" s="8"/>
      <c r="J13" s="8">
        <v>947.29364948399711</v>
      </c>
      <c r="K13" s="8">
        <v>2783.903579272735</v>
      </c>
      <c r="L13" s="8">
        <v>1342.4226808222061</v>
      </c>
      <c r="M13" s="8"/>
      <c r="N13" s="8"/>
      <c r="O13" s="8"/>
      <c r="P13" s="8">
        <v>1271.066772286538</v>
      </c>
      <c r="Q13" s="8">
        <v>954.24250943932486</v>
      </c>
      <c r="R13" s="8"/>
      <c r="S13" s="8">
        <v>1857.3324964312685</v>
      </c>
      <c r="T13" s="8">
        <v>1869.2317197309762</v>
      </c>
      <c r="U13" s="8">
        <v>1472.2687519252504</v>
      </c>
      <c r="V13" s="8">
        <v>2847.5726591421121</v>
      </c>
      <c r="W13" s="8"/>
      <c r="X13" s="8">
        <v>1133.5389083702173</v>
      </c>
      <c r="Y13" s="8">
        <v>2221.7697798039917</v>
      </c>
      <c r="Z13" s="8">
        <v>42975.869375552356</v>
      </c>
      <c r="AA13" s="8"/>
      <c r="AB13" s="8"/>
      <c r="AC13">
        <v>2010</v>
      </c>
      <c r="AD13" t="s">
        <v>2349</v>
      </c>
      <c r="AE13" s="2">
        <v>4292.0590677323662</v>
      </c>
      <c r="AI13">
        <f t="shared" si="3"/>
        <v>6</v>
      </c>
      <c r="AJ13" s="27" t="s">
        <v>1541</v>
      </c>
      <c r="AK13" s="8">
        <v>42975.869375552364</v>
      </c>
      <c r="AM13">
        <f t="shared" si="4"/>
        <v>6</v>
      </c>
      <c r="AN13" s="30" t="s">
        <v>518</v>
      </c>
      <c r="AO13" s="31">
        <v>36</v>
      </c>
      <c r="AR13" s="27" t="s">
        <v>1541</v>
      </c>
      <c r="AS13" s="21">
        <v>24769</v>
      </c>
      <c r="AU13" s="27" t="s">
        <v>1113</v>
      </c>
      <c r="AV13" s="21">
        <v>5</v>
      </c>
    </row>
    <row r="14" spans="1:66" x14ac:dyDescent="0.35">
      <c r="B14">
        <f t="shared" si="2"/>
        <v>7</v>
      </c>
      <c r="C14" s="30" t="s">
        <v>518</v>
      </c>
      <c r="D14" s="31">
        <v>2345.0252288667643</v>
      </c>
      <c r="E14" s="31">
        <v>1350.8016123949767</v>
      </c>
      <c r="F14" s="31"/>
      <c r="G14" s="31"/>
      <c r="H14" s="31"/>
      <c r="I14" s="31"/>
      <c r="J14" s="31">
        <v>678.44833719141718</v>
      </c>
      <c r="K14" s="31"/>
      <c r="L14" s="31">
        <v>1550.228353055094</v>
      </c>
      <c r="M14" s="31">
        <v>977.72360528884781</v>
      </c>
      <c r="N14" s="31"/>
      <c r="O14" s="31">
        <v>3670.251072928354</v>
      </c>
      <c r="P14" s="31">
        <v>5299.8331696608138</v>
      </c>
      <c r="Q14" s="31">
        <v>1591.0646070264993</v>
      </c>
      <c r="R14" s="31"/>
      <c r="S14" s="31">
        <v>1033.4237554869499</v>
      </c>
      <c r="T14" s="31">
        <v>5206.9202776150714</v>
      </c>
      <c r="U14" s="31">
        <v>2665.8245662230647</v>
      </c>
      <c r="V14" s="31">
        <v>1384.2471084272213</v>
      </c>
      <c r="W14" s="31">
        <v>2334.4537511509311</v>
      </c>
      <c r="X14" s="31">
        <v>6694.7968603614972</v>
      </c>
      <c r="Y14" s="31">
        <v>836.14319736133041</v>
      </c>
      <c r="Z14" s="31">
        <v>37619.185503038832</v>
      </c>
      <c r="AA14" s="8"/>
      <c r="AB14" s="8"/>
      <c r="AC14">
        <v>2011</v>
      </c>
      <c r="AD14" t="s">
        <v>312</v>
      </c>
      <c r="AE14" s="2">
        <v>5841.4985114299188</v>
      </c>
      <c r="AI14">
        <f t="shared" si="3"/>
        <v>7</v>
      </c>
      <c r="AJ14" s="30" t="s">
        <v>518</v>
      </c>
      <c r="AK14" s="31">
        <v>37619.18550303884</v>
      </c>
      <c r="AM14">
        <f t="shared" si="4"/>
        <v>7</v>
      </c>
      <c r="AN14" s="27" t="s">
        <v>1541</v>
      </c>
      <c r="AO14" s="8">
        <v>35</v>
      </c>
      <c r="AR14" s="30" t="s">
        <v>427</v>
      </c>
      <c r="AS14" s="29">
        <v>21589</v>
      </c>
      <c r="AU14" s="27" t="s">
        <v>293</v>
      </c>
      <c r="AV14" s="21">
        <v>5</v>
      </c>
    </row>
    <row r="15" spans="1:66" x14ac:dyDescent="0.35">
      <c r="B15">
        <f t="shared" si="2"/>
        <v>8</v>
      </c>
      <c r="C15" s="27" t="s">
        <v>620</v>
      </c>
      <c r="D15" s="8">
        <v>349.6353290974825</v>
      </c>
      <c r="E15" s="8"/>
      <c r="F15" s="8"/>
      <c r="G15" s="8">
        <v>5732.7270808118019</v>
      </c>
      <c r="H15" s="8">
        <v>7578.8223479899825</v>
      </c>
      <c r="I15" s="8"/>
      <c r="J15" s="8">
        <v>2502.1871568165893</v>
      </c>
      <c r="K15" s="8">
        <v>1252.8530309798932</v>
      </c>
      <c r="L15" s="8"/>
      <c r="M15" s="8"/>
      <c r="N15" s="8"/>
      <c r="O15" s="8"/>
      <c r="P15" s="8">
        <v>3621.3840284816524</v>
      </c>
      <c r="Q15" s="8">
        <v>4878.3174367128522</v>
      </c>
      <c r="R15" s="8">
        <v>2153.9196721300118</v>
      </c>
      <c r="S15" s="8">
        <v>1431.3637641589874</v>
      </c>
      <c r="T15" s="8">
        <v>4506.9107255515182</v>
      </c>
      <c r="U15" s="8">
        <v>2333.3033015194983</v>
      </c>
      <c r="V15" s="8"/>
      <c r="W15" s="8">
        <v>919.07809237607398</v>
      </c>
      <c r="X15" s="8"/>
      <c r="Y15" s="8"/>
      <c r="Z15" s="8">
        <v>37260.501966626347</v>
      </c>
      <c r="AA15" s="8"/>
      <c r="AB15" s="8"/>
      <c r="AC15">
        <v>2012</v>
      </c>
      <c r="AD15" t="s">
        <v>1464</v>
      </c>
      <c r="AE15" s="2">
        <v>4283.9980268062045</v>
      </c>
      <c r="AI15">
        <f t="shared" si="3"/>
        <v>8</v>
      </c>
      <c r="AJ15" s="27" t="s">
        <v>620</v>
      </c>
      <c r="AK15" s="8">
        <v>37260.501966626347</v>
      </c>
      <c r="AM15">
        <f t="shared" si="4"/>
        <v>8</v>
      </c>
      <c r="AN15" s="27" t="s">
        <v>620</v>
      </c>
      <c r="AO15" s="8">
        <v>34</v>
      </c>
      <c r="AR15" s="27" t="s">
        <v>272</v>
      </c>
      <c r="AS15" s="21">
        <v>21385</v>
      </c>
      <c r="AU15" t="s">
        <v>2321</v>
      </c>
      <c r="AV15" s="21">
        <v>5</v>
      </c>
    </row>
    <row r="16" spans="1:66" x14ac:dyDescent="0.35">
      <c r="B16">
        <f t="shared" si="2"/>
        <v>9</v>
      </c>
      <c r="C16" s="30" t="s">
        <v>278</v>
      </c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>
        <v>4102.8451642454183</v>
      </c>
      <c r="O16" s="31">
        <v>5855.339482055826</v>
      </c>
      <c r="P16" s="31">
        <v>2644.4385894678385</v>
      </c>
      <c r="Q16" s="31">
        <v>2773.3475419808228</v>
      </c>
      <c r="R16" s="31">
        <v>6289.4914036845657</v>
      </c>
      <c r="S16" s="31">
        <v>1326.3358609287516</v>
      </c>
      <c r="T16" s="31">
        <v>2124.993020025895</v>
      </c>
      <c r="U16" s="31">
        <v>3269.0123165176346</v>
      </c>
      <c r="V16" s="31">
        <v>2003.4605321095064</v>
      </c>
      <c r="W16" s="31">
        <v>4097.3267357157729</v>
      </c>
      <c r="X16" s="31"/>
      <c r="Y16" s="31"/>
      <c r="Z16" s="31">
        <v>34486.590646732038</v>
      </c>
      <c r="AA16" s="8"/>
      <c r="AB16" s="8"/>
      <c r="AC16">
        <v>2013</v>
      </c>
      <c r="AD16" t="s">
        <v>278</v>
      </c>
      <c r="AE16" s="2">
        <v>4102.8451642454183</v>
      </c>
      <c r="AI16">
        <f t="shared" si="3"/>
        <v>9</v>
      </c>
      <c r="AJ16" s="30" t="s">
        <v>278</v>
      </c>
      <c r="AK16" s="31">
        <v>34486.590646732024</v>
      </c>
      <c r="AM16">
        <f t="shared" si="4"/>
        <v>9</v>
      </c>
      <c r="AN16" s="27" t="s">
        <v>1464</v>
      </c>
      <c r="AO16" s="8">
        <v>32</v>
      </c>
      <c r="AR16" s="27" t="s">
        <v>147</v>
      </c>
      <c r="AS16" s="21">
        <v>20977.5</v>
      </c>
      <c r="AU16" s="27" t="s">
        <v>229</v>
      </c>
      <c r="AV16" s="21">
        <v>5</v>
      </c>
    </row>
    <row r="17" spans="2:48" x14ac:dyDescent="0.35">
      <c r="B17">
        <f t="shared" si="2"/>
        <v>10</v>
      </c>
      <c r="C17" s="27" t="s">
        <v>1474</v>
      </c>
      <c r="D17" s="8"/>
      <c r="E17" s="8"/>
      <c r="F17" s="8"/>
      <c r="G17" s="8"/>
      <c r="H17" s="8"/>
      <c r="I17" s="8"/>
      <c r="J17" s="8"/>
      <c r="K17" s="8"/>
      <c r="L17" s="8"/>
      <c r="M17" s="8">
        <v>1072.5506671486119</v>
      </c>
      <c r="N17" s="8"/>
      <c r="O17" s="8"/>
      <c r="P17" s="8">
        <v>2297.3957110088868</v>
      </c>
      <c r="Q17" s="8">
        <v>5586.9059703826815</v>
      </c>
      <c r="R17" s="8">
        <v>2096.2145853464049</v>
      </c>
      <c r="S17" s="8">
        <v>931.11871059218697</v>
      </c>
      <c r="T17" s="8">
        <v>2334.4537511509307</v>
      </c>
      <c r="U17" s="8">
        <v>2716.003343634799</v>
      </c>
      <c r="V17" s="8">
        <v>6023.9599271711322</v>
      </c>
      <c r="W17" s="8">
        <v>5638.7407753941206</v>
      </c>
      <c r="X17" s="8">
        <v>3404.4060509212695</v>
      </c>
      <c r="Y17" s="8">
        <v>1033.4237554869499</v>
      </c>
      <c r="Z17" s="8">
        <v>33135.173248237974</v>
      </c>
      <c r="AA17" s="8"/>
      <c r="AB17" s="8"/>
      <c r="AC17">
        <v>2014</v>
      </c>
      <c r="AD17" t="s">
        <v>278</v>
      </c>
      <c r="AE17" s="2">
        <v>5855.339482055826</v>
      </c>
      <c r="AI17">
        <f t="shared" si="3"/>
        <v>10</v>
      </c>
      <c r="AJ17" s="27" t="s">
        <v>1474</v>
      </c>
      <c r="AK17" s="8">
        <v>33135.173248237967</v>
      </c>
      <c r="AM17">
        <f t="shared" si="4"/>
        <v>10</v>
      </c>
      <c r="AN17" s="27" t="s">
        <v>253</v>
      </c>
      <c r="AO17" s="8">
        <v>31</v>
      </c>
      <c r="AR17" s="27" t="s">
        <v>620</v>
      </c>
      <c r="AS17" s="21">
        <v>20645</v>
      </c>
      <c r="AU17" s="27" t="s">
        <v>253</v>
      </c>
      <c r="AV17" s="21">
        <v>5</v>
      </c>
    </row>
    <row r="18" spans="2:48" x14ac:dyDescent="0.35">
      <c r="B18">
        <f t="shared" si="2"/>
        <v>11</v>
      </c>
      <c r="C18" s="27" t="s">
        <v>253</v>
      </c>
      <c r="D18" s="8">
        <v>1589.9562710701196</v>
      </c>
      <c r="E18" s="8">
        <v>761.76083419547433</v>
      </c>
      <c r="F18" s="8">
        <v>870.1813447471219</v>
      </c>
      <c r="G18" s="8">
        <v>1154.9019599857431</v>
      </c>
      <c r="H18" s="8"/>
      <c r="I18" s="8">
        <v>2056.9048513364728</v>
      </c>
      <c r="J18" s="8"/>
      <c r="K18" s="8"/>
      <c r="L18" s="8">
        <v>525.57626122369072</v>
      </c>
      <c r="M18" s="8">
        <v>2927.3703630390232</v>
      </c>
      <c r="N18" s="8">
        <v>1419.1293077419757</v>
      </c>
      <c r="O18" s="8">
        <v>903.08998699194365</v>
      </c>
      <c r="P18" s="8">
        <v>942.00805302231333</v>
      </c>
      <c r="Q18" s="8">
        <v>6493.9262510030567</v>
      </c>
      <c r="R18" s="8">
        <v>3119.2289487685202</v>
      </c>
      <c r="S18" s="8"/>
      <c r="T18" s="8">
        <v>1501.7437296279943</v>
      </c>
      <c r="U18" s="8">
        <v>4520.9324739689373</v>
      </c>
      <c r="V18" s="8">
        <v>1342.4226808222063</v>
      </c>
      <c r="W18" s="8">
        <v>1135.6626020000731</v>
      </c>
      <c r="X18" s="8">
        <v>1204.1199826559248</v>
      </c>
      <c r="Y18" s="8"/>
      <c r="Z18" s="8">
        <v>32468.915902200584</v>
      </c>
      <c r="AA18" s="8"/>
      <c r="AB18" s="8"/>
      <c r="AC18">
        <v>2015</v>
      </c>
      <c r="AD18" t="s">
        <v>229</v>
      </c>
      <c r="AE18" s="2">
        <v>6356.901924847949</v>
      </c>
      <c r="AI18">
        <f t="shared" si="3"/>
        <v>11</v>
      </c>
      <c r="AJ18" s="27" t="s">
        <v>253</v>
      </c>
      <c r="AK18" s="8">
        <v>32468.915902200584</v>
      </c>
      <c r="AM18">
        <f t="shared" si="4"/>
        <v>11</v>
      </c>
      <c r="AN18" s="30" t="s">
        <v>259</v>
      </c>
      <c r="AO18" s="31">
        <v>31</v>
      </c>
      <c r="AR18" s="30" t="s">
        <v>518</v>
      </c>
      <c r="AS18" s="29">
        <v>19833</v>
      </c>
      <c r="AU18" s="28" t="s">
        <v>283</v>
      </c>
      <c r="AV18" s="22">
        <v>4</v>
      </c>
    </row>
    <row r="19" spans="2:48" x14ac:dyDescent="0.35">
      <c r="B19">
        <f t="shared" si="2"/>
        <v>12</v>
      </c>
      <c r="C19" s="30" t="s">
        <v>367</v>
      </c>
      <c r="D19" s="31">
        <v>64.11749961174884</v>
      </c>
      <c r="E19" s="31">
        <v>1140.9268419924304</v>
      </c>
      <c r="F19" s="31">
        <v>719.66634691513127</v>
      </c>
      <c r="G19" s="31">
        <v>1894.8696567452523</v>
      </c>
      <c r="H19" s="31">
        <v>1057.5393211087819</v>
      </c>
      <c r="I19" s="31"/>
      <c r="J19" s="31"/>
      <c r="K19" s="31">
        <v>2125.2167784282401</v>
      </c>
      <c r="L19" s="31">
        <v>5105.8506743851431</v>
      </c>
      <c r="M19" s="31">
        <v>1556.3025007672873</v>
      </c>
      <c r="N19" s="31"/>
      <c r="O19" s="31">
        <v>872.42116722549156</v>
      </c>
      <c r="P19" s="31"/>
      <c r="Q19" s="31">
        <v>3676.1217932395552</v>
      </c>
      <c r="R19" s="31"/>
      <c r="S19" s="31">
        <v>1548.1846105451079</v>
      </c>
      <c r="T19" s="31">
        <v>2179.8987755172002</v>
      </c>
      <c r="U19" s="31"/>
      <c r="V19" s="31"/>
      <c r="W19" s="31">
        <v>2490.4692639375844</v>
      </c>
      <c r="X19" s="31">
        <v>3623.2492903979005</v>
      </c>
      <c r="Y19" s="31">
        <v>4283.126984433482</v>
      </c>
      <c r="Z19" s="31">
        <v>32337.961505250336</v>
      </c>
      <c r="AA19" s="8"/>
      <c r="AB19" s="8"/>
      <c r="AC19">
        <v>2016</v>
      </c>
      <c r="AD19" t="s">
        <v>253</v>
      </c>
      <c r="AE19" s="2">
        <v>6493.9262510030567</v>
      </c>
      <c r="AI19">
        <f t="shared" si="3"/>
        <v>12</v>
      </c>
      <c r="AJ19" s="30" t="s">
        <v>367</v>
      </c>
      <c r="AK19" s="31">
        <v>32337.961505250343</v>
      </c>
      <c r="AM19">
        <f t="shared" si="4"/>
        <v>12</v>
      </c>
      <c r="AN19" s="27" t="s">
        <v>1535</v>
      </c>
      <c r="AO19" s="8">
        <v>30</v>
      </c>
      <c r="AR19" s="30" t="s">
        <v>278</v>
      </c>
      <c r="AS19" s="29">
        <v>19444</v>
      </c>
      <c r="AU19" s="27" t="s">
        <v>132</v>
      </c>
      <c r="AV19" s="21">
        <v>4</v>
      </c>
    </row>
    <row r="20" spans="2:48" x14ac:dyDescent="0.35">
      <c r="B20">
        <f t="shared" si="2"/>
        <v>13</v>
      </c>
      <c r="C20" s="27" t="s">
        <v>229</v>
      </c>
      <c r="D20" s="8"/>
      <c r="E20" s="8"/>
      <c r="F20" s="8">
        <v>1000</v>
      </c>
      <c r="G20" s="8">
        <v>1467.3614174305062</v>
      </c>
      <c r="H20" s="8">
        <v>2921.0668513495266</v>
      </c>
      <c r="I20" s="8">
        <v>1309.6301674258987</v>
      </c>
      <c r="J20" s="8"/>
      <c r="K20" s="8"/>
      <c r="L20" s="8">
        <v>3384.8012789620825</v>
      </c>
      <c r="M20" s="8">
        <v>1235.5284469075486</v>
      </c>
      <c r="N20" s="8">
        <v>1972.5113957504122</v>
      </c>
      <c r="O20" s="8"/>
      <c r="P20" s="8">
        <v>6356.901924847949</v>
      </c>
      <c r="Q20" s="8">
        <v>1100.3705451175629</v>
      </c>
      <c r="R20" s="8"/>
      <c r="S20" s="8">
        <v>1012.2344564170116</v>
      </c>
      <c r="T20" s="8">
        <v>2307.9237036118816</v>
      </c>
      <c r="U20" s="8"/>
      <c r="V20" s="8">
        <v>2882.3347654013241</v>
      </c>
      <c r="W20" s="8">
        <v>1462.3979978989562</v>
      </c>
      <c r="X20" s="8">
        <v>2920.6450014067877</v>
      </c>
      <c r="Y20" s="8">
        <v>788.37041556532961</v>
      </c>
      <c r="Z20" s="8">
        <v>32122.078368092778</v>
      </c>
      <c r="AA20" s="8"/>
      <c r="AB20" s="8"/>
      <c r="AC20">
        <v>2017</v>
      </c>
      <c r="AD20" t="s">
        <v>2349</v>
      </c>
      <c r="AE20" s="2">
        <v>7075.4802427962886</v>
      </c>
      <c r="AI20">
        <f t="shared" si="3"/>
        <v>13</v>
      </c>
      <c r="AJ20" s="27" t="s">
        <v>229</v>
      </c>
      <c r="AK20" s="8">
        <v>32122.078368092782</v>
      </c>
      <c r="AM20">
        <f t="shared" si="4"/>
        <v>13</v>
      </c>
      <c r="AN20" s="27" t="s">
        <v>239</v>
      </c>
      <c r="AO20" s="8">
        <v>30</v>
      </c>
      <c r="AR20" s="27" t="s">
        <v>1474</v>
      </c>
      <c r="AS20" s="21">
        <v>19269</v>
      </c>
      <c r="AU20" s="27" t="s">
        <v>134</v>
      </c>
      <c r="AV20" s="21">
        <v>4</v>
      </c>
    </row>
    <row r="21" spans="2:48" x14ac:dyDescent="0.35">
      <c r="B21">
        <f t="shared" si="2"/>
        <v>14</v>
      </c>
      <c r="C21" s="27" t="s">
        <v>1535</v>
      </c>
      <c r="D21" s="8"/>
      <c r="E21" s="8"/>
      <c r="F21" s="8"/>
      <c r="G21" s="8"/>
      <c r="H21" s="8"/>
      <c r="I21" s="8">
        <v>1031.4084642516241</v>
      </c>
      <c r="J21" s="8">
        <v>678.44833719141718</v>
      </c>
      <c r="K21" s="8"/>
      <c r="L21" s="8">
        <v>1740.3626894942436</v>
      </c>
      <c r="M21" s="8">
        <v>1278.7536009528289</v>
      </c>
      <c r="N21" s="8">
        <v>1091.0804693473326</v>
      </c>
      <c r="O21" s="8">
        <v>3931.9254770859702</v>
      </c>
      <c r="P21" s="8">
        <v>1084.3208857000359</v>
      </c>
      <c r="Q21" s="8">
        <v>4190.2050338261924</v>
      </c>
      <c r="R21" s="8">
        <v>3546.6836452946272</v>
      </c>
      <c r="S21" s="8">
        <v>2513.1597278355348</v>
      </c>
      <c r="T21" s="8">
        <v>954.24250943932498</v>
      </c>
      <c r="U21" s="8">
        <v>2545.307116465824</v>
      </c>
      <c r="V21" s="8">
        <v>1893.5530465182851</v>
      </c>
      <c r="W21" s="8">
        <v>662.75783168157398</v>
      </c>
      <c r="X21" s="8">
        <v>3088.04562952784</v>
      </c>
      <c r="Y21" s="8">
        <v>1694.6051989335688</v>
      </c>
      <c r="Z21" s="8">
        <v>31924.859663546224</v>
      </c>
      <c r="AA21" s="8"/>
      <c r="AB21" s="8"/>
      <c r="AC21">
        <v>2018</v>
      </c>
      <c r="AD21" t="s">
        <v>427</v>
      </c>
      <c r="AE21" s="2">
        <v>7276.5412107615539</v>
      </c>
      <c r="AI21">
        <f t="shared" si="3"/>
        <v>14</v>
      </c>
      <c r="AJ21" s="27" t="s">
        <v>1535</v>
      </c>
      <c r="AK21" s="8">
        <v>31924.859663546231</v>
      </c>
      <c r="AM21">
        <f t="shared" si="4"/>
        <v>14</v>
      </c>
      <c r="AN21" s="27" t="s">
        <v>1474</v>
      </c>
      <c r="AO21" s="8">
        <v>29</v>
      </c>
      <c r="AR21" s="27" t="s">
        <v>253</v>
      </c>
      <c r="AS21" s="21">
        <v>19078</v>
      </c>
      <c r="AU21" s="30" t="s">
        <v>467</v>
      </c>
      <c r="AV21" s="29">
        <v>4</v>
      </c>
    </row>
    <row r="22" spans="2:48" x14ac:dyDescent="0.35">
      <c r="B22">
        <f t="shared" si="2"/>
        <v>15</v>
      </c>
      <c r="C22" s="30" t="s">
        <v>467</v>
      </c>
      <c r="D22" s="31"/>
      <c r="E22" s="31"/>
      <c r="F22" s="31"/>
      <c r="G22" s="31"/>
      <c r="H22" s="31"/>
      <c r="I22" s="31">
        <v>1633.4684555795864</v>
      </c>
      <c r="J22" s="31"/>
      <c r="K22" s="31">
        <v>3236.2012502673651</v>
      </c>
      <c r="L22" s="31">
        <v>3706.5755539150177</v>
      </c>
      <c r="M22" s="31">
        <v>1414.9733479708182</v>
      </c>
      <c r="N22" s="31">
        <v>1439.3326938302625</v>
      </c>
      <c r="O22" s="31">
        <v>1275.8869603012258</v>
      </c>
      <c r="P22" s="31">
        <v>3161.0683854711747</v>
      </c>
      <c r="Q22" s="31">
        <v>3834.1026557127939</v>
      </c>
      <c r="R22" s="31">
        <v>3597.6951859255123</v>
      </c>
      <c r="S22" s="31">
        <v>1602.0599913279623</v>
      </c>
      <c r="T22" s="31">
        <v>892.0946026904802</v>
      </c>
      <c r="U22" s="31">
        <v>3638.3899782979233</v>
      </c>
      <c r="V22" s="31">
        <v>1329.0587192642247</v>
      </c>
      <c r="W22" s="31"/>
      <c r="X22" s="31"/>
      <c r="Y22" s="31"/>
      <c r="Z22" s="31">
        <v>30760.907780554346</v>
      </c>
      <c r="AA22" s="8"/>
      <c r="AB22" s="8"/>
      <c r="AC22">
        <v>2019</v>
      </c>
      <c r="AD22" t="s">
        <v>427</v>
      </c>
      <c r="AE22" s="2">
        <v>5504.0628826786915</v>
      </c>
      <c r="AI22">
        <f t="shared" si="3"/>
        <v>15</v>
      </c>
      <c r="AJ22" s="30" t="s">
        <v>467</v>
      </c>
      <c r="AK22" s="31">
        <v>30760.907780554346</v>
      </c>
      <c r="AM22">
        <f t="shared" si="4"/>
        <v>15</v>
      </c>
      <c r="AN22" s="27" t="s">
        <v>293</v>
      </c>
      <c r="AO22" s="8">
        <v>28</v>
      </c>
      <c r="AR22" s="30" t="s">
        <v>467</v>
      </c>
      <c r="AS22" s="29">
        <v>18852</v>
      </c>
      <c r="AU22" s="27" t="s">
        <v>113</v>
      </c>
      <c r="AV22" s="21">
        <v>4</v>
      </c>
    </row>
    <row r="23" spans="2:48" x14ac:dyDescent="0.35">
      <c r="B23">
        <f t="shared" si="2"/>
        <v>16</v>
      </c>
      <c r="C23" s="27" t="s">
        <v>1464</v>
      </c>
      <c r="D23" s="8">
        <v>475.45409535219949</v>
      </c>
      <c r="E23" s="8">
        <v>2461.7652310099638</v>
      </c>
      <c r="F23" s="8">
        <v>1217.4839442139062</v>
      </c>
      <c r="G23" s="8"/>
      <c r="H23" s="8">
        <v>793.12840635329667</v>
      </c>
      <c r="I23" s="8">
        <v>826.45592995819879</v>
      </c>
      <c r="J23" s="8">
        <v>434.61585986548806</v>
      </c>
      <c r="K23" s="8">
        <v>3239.9060209689242</v>
      </c>
      <c r="L23" s="8">
        <v>948.1683617271317</v>
      </c>
      <c r="M23" s="8">
        <v>4283.9980268062045</v>
      </c>
      <c r="N23" s="8"/>
      <c r="O23" s="8">
        <v>1740.6082815655232</v>
      </c>
      <c r="P23" s="8">
        <v>1959.5369501918969</v>
      </c>
      <c r="Q23" s="8">
        <v>963.78782734555512</v>
      </c>
      <c r="R23" s="8">
        <v>884.60658129793046</v>
      </c>
      <c r="S23" s="8">
        <v>1278.7536009528292</v>
      </c>
      <c r="T23" s="8">
        <v>3634.7436355257105</v>
      </c>
      <c r="U23" s="8">
        <v>845.09804001425687</v>
      </c>
      <c r="V23" s="8"/>
      <c r="W23" s="8">
        <v>1102.6623418971478</v>
      </c>
      <c r="X23" s="8"/>
      <c r="Y23" s="8">
        <v>2954.9583571863623</v>
      </c>
      <c r="Z23" s="8">
        <v>30045.731492232528</v>
      </c>
      <c r="AA23" s="8"/>
      <c r="AB23" s="8"/>
      <c r="AC23">
        <v>2020</v>
      </c>
      <c r="AD23" t="s">
        <v>2349</v>
      </c>
      <c r="AE23" s="2">
        <v>10360.866955673364</v>
      </c>
      <c r="AI23">
        <f t="shared" si="3"/>
        <v>16</v>
      </c>
      <c r="AJ23" s="27" t="s">
        <v>1464</v>
      </c>
      <c r="AK23" s="8">
        <v>30045.731492232528</v>
      </c>
      <c r="AM23">
        <f t="shared" si="4"/>
        <v>16</v>
      </c>
      <c r="AN23" s="30" t="s">
        <v>367</v>
      </c>
      <c r="AO23" s="31">
        <v>28</v>
      </c>
      <c r="AR23" s="27" t="s">
        <v>229</v>
      </c>
      <c r="AS23" s="21">
        <v>17275</v>
      </c>
      <c r="AU23" s="27" t="s">
        <v>239</v>
      </c>
      <c r="AV23" s="21">
        <v>4</v>
      </c>
    </row>
    <row r="24" spans="2:48" x14ac:dyDescent="0.35">
      <c r="B24">
        <f t="shared" si="2"/>
        <v>17</v>
      </c>
      <c r="C24" s="27" t="s">
        <v>293</v>
      </c>
      <c r="D24" s="8">
        <v>1220.108088040055</v>
      </c>
      <c r="E24" s="8"/>
      <c r="F24" s="8">
        <v>948.1683617271317</v>
      </c>
      <c r="G24" s="8"/>
      <c r="H24" s="8"/>
      <c r="I24" s="8">
        <v>1457.3771965239052</v>
      </c>
      <c r="J24" s="8">
        <v>1240.9650400634293</v>
      </c>
      <c r="K24" s="8"/>
      <c r="L24" s="8"/>
      <c r="M24" s="8"/>
      <c r="N24" s="8">
        <v>1170.2617153949575</v>
      </c>
      <c r="O24" s="8">
        <v>2230.129469740551</v>
      </c>
      <c r="P24" s="8">
        <v>1904.8507342235557</v>
      </c>
      <c r="Q24" s="8">
        <v>1623.2492903979005</v>
      </c>
      <c r="R24" s="8">
        <v>832.50891270623629</v>
      </c>
      <c r="S24" s="8">
        <v>1990.2401627108438</v>
      </c>
      <c r="T24" s="8">
        <v>3119.8235370831849</v>
      </c>
      <c r="U24" s="8">
        <v>4367.0141938644465</v>
      </c>
      <c r="V24" s="8">
        <v>4331.4272965207429</v>
      </c>
      <c r="W24" s="8">
        <v>884.60658129793046</v>
      </c>
      <c r="X24" s="8">
        <v>853.87196432176188</v>
      </c>
      <c r="Y24" s="8">
        <v>1797.3252582182561</v>
      </c>
      <c r="Z24" s="8">
        <v>29971.927802834889</v>
      </c>
      <c r="AA24" s="8"/>
      <c r="AB24" s="8"/>
      <c r="AC24">
        <v>2021</v>
      </c>
      <c r="AD24" t="s">
        <v>1474</v>
      </c>
      <c r="AE24" s="2">
        <v>6023.9599271711322</v>
      </c>
      <c r="AI24">
        <f t="shared" si="3"/>
        <v>17</v>
      </c>
      <c r="AJ24" s="27" t="s">
        <v>293</v>
      </c>
      <c r="AK24" s="8">
        <v>29971.927802834889</v>
      </c>
      <c r="AM24">
        <f t="shared" si="4"/>
        <v>17</v>
      </c>
      <c r="AN24" s="30" t="s">
        <v>278</v>
      </c>
      <c r="AO24" s="31">
        <v>28</v>
      </c>
      <c r="AR24" s="27" t="s">
        <v>113</v>
      </c>
      <c r="AS24" s="21">
        <v>16348</v>
      </c>
      <c r="AU24" s="27" t="s">
        <v>250</v>
      </c>
      <c r="AV24" s="21">
        <v>4</v>
      </c>
    </row>
    <row r="25" spans="2:48" x14ac:dyDescent="0.35">
      <c r="B25">
        <f t="shared" si="2"/>
        <v>18</v>
      </c>
      <c r="C25" s="27" t="s">
        <v>147</v>
      </c>
      <c r="D25" s="8"/>
      <c r="E25" s="8"/>
      <c r="F25" s="8"/>
      <c r="G25" s="8"/>
      <c r="H25" s="8"/>
      <c r="I25" s="8">
        <v>1755.8748556724915</v>
      </c>
      <c r="J25" s="8">
        <v>3432.6971324774522</v>
      </c>
      <c r="K25" s="8">
        <v>4230.1720768711557</v>
      </c>
      <c r="L25" s="8">
        <v>3467.3614174305062</v>
      </c>
      <c r="M25" s="8"/>
      <c r="N25" s="8">
        <v>2482.873583608754</v>
      </c>
      <c r="O25" s="8"/>
      <c r="P25" s="8">
        <v>1031.4084642516241</v>
      </c>
      <c r="Q25" s="8"/>
      <c r="R25" s="8">
        <v>2600.6099249327294</v>
      </c>
      <c r="S25" s="8">
        <v>3151.6291094362809</v>
      </c>
      <c r="T25" s="8"/>
      <c r="U25" s="8">
        <v>2229.7867030523262</v>
      </c>
      <c r="V25" s="8"/>
      <c r="W25" s="8"/>
      <c r="X25" s="8">
        <v>4322.5574335848059</v>
      </c>
      <c r="Y25" s="8">
        <v>1156.347200859924</v>
      </c>
      <c r="Z25" s="8">
        <v>29861.317902178052</v>
      </c>
      <c r="AA25" s="8"/>
      <c r="AB25" s="8"/>
      <c r="AC25">
        <v>2022</v>
      </c>
      <c r="AD25" t="s">
        <v>427</v>
      </c>
      <c r="AE25" s="2">
        <v>5690.8780071261463</v>
      </c>
      <c r="AI25">
        <f t="shared" si="3"/>
        <v>18</v>
      </c>
      <c r="AJ25" s="27" t="s">
        <v>147</v>
      </c>
      <c r="AK25" s="8">
        <v>29861.317902178045</v>
      </c>
      <c r="AM25">
        <f t="shared" si="4"/>
        <v>18</v>
      </c>
      <c r="AN25" s="27" t="s">
        <v>201</v>
      </c>
      <c r="AO25" s="8">
        <v>27</v>
      </c>
      <c r="AR25" s="27" t="s">
        <v>1535</v>
      </c>
      <c r="AS25" s="21">
        <v>16336</v>
      </c>
      <c r="AU25" s="27" t="s">
        <v>1535</v>
      </c>
      <c r="AV25" s="21">
        <v>4</v>
      </c>
    </row>
    <row r="26" spans="2:48" x14ac:dyDescent="0.35">
      <c r="B26">
        <f t="shared" si="2"/>
        <v>19</v>
      </c>
      <c r="C26" s="27" t="s">
        <v>292</v>
      </c>
      <c r="D26" s="8"/>
      <c r="E26" s="8">
        <v>681.24123737558716</v>
      </c>
      <c r="F26" s="8"/>
      <c r="G26" s="8">
        <v>1338.4564936046047</v>
      </c>
      <c r="H26" s="8">
        <v>916.45394854992514</v>
      </c>
      <c r="I26" s="8"/>
      <c r="J26" s="8">
        <v>1621.1762817750355</v>
      </c>
      <c r="K26" s="8"/>
      <c r="L26" s="8">
        <v>1981.5921172140816</v>
      </c>
      <c r="M26" s="8">
        <v>1088.1360887005512</v>
      </c>
      <c r="N26" s="8">
        <v>1267.1717284030137</v>
      </c>
      <c r="O26" s="8">
        <v>2168.4974835230323</v>
      </c>
      <c r="P26" s="8">
        <v>4687.1640719468669</v>
      </c>
      <c r="Q26" s="8">
        <v>1767.1558660821804</v>
      </c>
      <c r="R26" s="8">
        <v>1342.4226808222063</v>
      </c>
      <c r="S26" s="8"/>
      <c r="T26" s="8">
        <v>732.39375982296849</v>
      </c>
      <c r="U26" s="8">
        <v>2577.7789366952238</v>
      </c>
      <c r="V26" s="8">
        <v>1096.9100130080562</v>
      </c>
      <c r="W26" s="8">
        <v>2440.9090820652173</v>
      </c>
      <c r="X26" s="8">
        <v>2594.7607525864628</v>
      </c>
      <c r="Y26" s="8"/>
      <c r="Z26" s="8">
        <v>28302.220542175008</v>
      </c>
      <c r="AA26" s="8"/>
      <c r="AB26" s="8"/>
      <c r="AC26">
        <v>2023</v>
      </c>
      <c r="AD26" t="s">
        <v>2349</v>
      </c>
      <c r="AE26" s="2">
        <v>8458.3314175758078</v>
      </c>
      <c r="AI26">
        <f t="shared" si="3"/>
        <v>19</v>
      </c>
      <c r="AJ26" s="27" t="s">
        <v>292</v>
      </c>
      <c r="AK26" s="8">
        <v>28302.220542175008</v>
      </c>
      <c r="AM26">
        <f t="shared" si="4"/>
        <v>19</v>
      </c>
      <c r="AN26" s="27" t="s">
        <v>229</v>
      </c>
      <c r="AO26" s="8">
        <v>27</v>
      </c>
      <c r="AR26" s="27" t="s">
        <v>292</v>
      </c>
      <c r="AS26" s="21">
        <v>15662</v>
      </c>
      <c r="AU26" s="30" t="s">
        <v>284</v>
      </c>
      <c r="AV26" s="29">
        <v>4</v>
      </c>
    </row>
    <row r="27" spans="2:48" x14ac:dyDescent="0.35">
      <c r="B27">
        <f t="shared" si="2"/>
        <v>20</v>
      </c>
      <c r="C27" s="27" t="s">
        <v>312</v>
      </c>
      <c r="D27" s="8"/>
      <c r="E27" s="8"/>
      <c r="F27" s="8"/>
      <c r="G27" s="8">
        <v>1470.6994190637952</v>
      </c>
      <c r="H27" s="8">
        <v>5396.0602083117865</v>
      </c>
      <c r="I27" s="8">
        <v>3013.6118644820067</v>
      </c>
      <c r="J27" s="8">
        <v>2372.8190485547807</v>
      </c>
      <c r="K27" s="8">
        <v>1418.1620578533757</v>
      </c>
      <c r="L27" s="8">
        <v>5841.4985114299188</v>
      </c>
      <c r="M27" s="8"/>
      <c r="N27" s="8">
        <v>1857.3324964312685</v>
      </c>
      <c r="O27" s="8">
        <v>4692.5274676395074</v>
      </c>
      <c r="P27" s="8">
        <v>834.63260633609184</v>
      </c>
      <c r="Q27" s="8"/>
      <c r="R27" s="8"/>
      <c r="S27" s="8"/>
      <c r="T27" s="8"/>
      <c r="U27" s="8"/>
      <c r="V27" s="8"/>
      <c r="W27" s="8"/>
      <c r="X27" s="8"/>
      <c r="Y27" s="8">
        <v>1017.0333392987802</v>
      </c>
      <c r="Z27" s="8">
        <v>27914.377019401312</v>
      </c>
      <c r="AA27" s="8"/>
      <c r="AB27" s="8"/>
      <c r="AC27">
        <v>2024</v>
      </c>
      <c r="AD27" s="8" t="str">
        <f>C61</f>
        <v>Dan Nussbaum</v>
      </c>
      <c r="AE27" s="2">
        <f>Y61</f>
        <v>8374.8418741739933</v>
      </c>
      <c r="AI27">
        <f t="shared" si="3"/>
        <v>20</v>
      </c>
      <c r="AJ27" s="27" t="s">
        <v>312</v>
      </c>
      <c r="AK27" s="8">
        <v>27914.377019401309</v>
      </c>
      <c r="AM27">
        <f t="shared" si="4"/>
        <v>20</v>
      </c>
      <c r="AN27" s="30" t="s">
        <v>476</v>
      </c>
      <c r="AO27" s="31">
        <v>26</v>
      </c>
      <c r="AR27" s="27" t="s">
        <v>1464</v>
      </c>
      <c r="AS27" s="21">
        <v>15446</v>
      </c>
      <c r="AU27" s="27" t="s">
        <v>1474</v>
      </c>
      <c r="AV27" s="21">
        <v>4</v>
      </c>
    </row>
    <row r="28" spans="2:48" x14ac:dyDescent="0.35">
      <c r="B28">
        <f t="shared" si="2"/>
        <v>21</v>
      </c>
      <c r="C28" s="27" t="s">
        <v>2540</v>
      </c>
      <c r="D28" s="8">
        <v>919.48040318011317</v>
      </c>
      <c r="E28" s="8"/>
      <c r="F28" s="8">
        <v>631.62071738729071</v>
      </c>
      <c r="G28" s="8">
        <v>1033.4237554869499</v>
      </c>
      <c r="H28" s="8"/>
      <c r="I28" s="8"/>
      <c r="J28" s="8">
        <v>2664.1717053619304</v>
      </c>
      <c r="K28" s="8">
        <v>3478.1071677013133</v>
      </c>
      <c r="L28" s="8"/>
      <c r="M28" s="8">
        <v>2760.4224834232118</v>
      </c>
      <c r="N28" s="8">
        <v>2775.6559500737612</v>
      </c>
      <c r="O28" s="8">
        <v>1556.3025007672873</v>
      </c>
      <c r="P28" s="8">
        <v>2732.5266230370798</v>
      </c>
      <c r="Q28" s="8">
        <v>3772.2663084854694</v>
      </c>
      <c r="R28" s="8">
        <v>2499.687082618404</v>
      </c>
      <c r="S28" s="8">
        <v>924.27928606188175</v>
      </c>
      <c r="T28" s="8"/>
      <c r="U28" s="8">
        <v>995.14749720558791</v>
      </c>
      <c r="V28" s="8">
        <v>974.44589552761192</v>
      </c>
      <c r="W28" s="8"/>
      <c r="X28" s="8"/>
      <c r="Y28" s="8"/>
      <c r="Z28" s="8">
        <v>27717.53737631789</v>
      </c>
      <c r="AA28" s="8"/>
      <c r="AB28" s="8"/>
      <c r="AI28">
        <f t="shared" si="3"/>
        <v>21</v>
      </c>
      <c r="AJ28" s="27" t="s">
        <v>2540</v>
      </c>
      <c r="AK28" s="8">
        <v>27717.537376317894</v>
      </c>
      <c r="AM28">
        <f t="shared" si="4"/>
        <v>21</v>
      </c>
      <c r="AN28" s="27" t="s">
        <v>888</v>
      </c>
      <c r="AO28" s="8">
        <v>25</v>
      </c>
      <c r="AR28" s="27" t="s">
        <v>2540</v>
      </c>
      <c r="AS28" s="21">
        <v>14341</v>
      </c>
      <c r="AU28" s="27" t="s">
        <v>400</v>
      </c>
      <c r="AV28" s="21">
        <v>4</v>
      </c>
    </row>
    <row r="29" spans="2:48" x14ac:dyDescent="0.35">
      <c r="B29">
        <f t="shared" si="2"/>
        <v>22</v>
      </c>
      <c r="C29" s="27" t="s">
        <v>239</v>
      </c>
      <c r="D29" s="8">
        <v>2524.9846729369856</v>
      </c>
      <c r="E29" s="8">
        <v>3203.0782370363568</v>
      </c>
      <c r="F29" s="8">
        <v>2347.9994533964637</v>
      </c>
      <c r="G29" s="8">
        <v>2024.8235837250322</v>
      </c>
      <c r="H29" s="8">
        <v>1625.1648139227884</v>
      </c>
      <c r="I29" s="8">
        <v>1959.0413923210936</v>
      </c>
      <c r="J29" s="8">
        <v>2528.2737771670436</v>
      </c>
      <c r="K29" s="8">
        <v>1045.3229787866576</v>
      </c>
      <c r="L29" s="8">
        <v>1301.0299956639813</v>
      </c>
      <c r="M29" s="8">
        <v>918.77019127710582</v>
      </c>
      <c r="N29" s="8">
        <v>1198.6570869544225</v>
      </c>
      <c r="O29" s="8">
        <v>1776.4070864607329</v>
      </c>
      <c r="P29" s="8"/>
      <c r="Q29" s="8"/>
      <c r="R29" s="8">
        <v>530.34892017680579</v>
      </c>
      <c r="S29" s="8">
        <v>2326.5566175593149</v>
      </c>
      <c r="T29" s="8"/>
      <c r="U29" s="8">
        <v>389.07562519182176</v>
      </c>
      <c r="V29" s="8">
        <v>1041.392685158225</v>
      </c>
      <c r="W29" s="8"/>
      <c r="X29" s="8">
        <v>715.68188207949368</v>
      </c>
      <c r="Y29" s="8"/>
      <c r="Z29" s="8">
        <v>27456.608999814325</v>
      </c>
      <c r="AA29" s="8"/>
      <c r="AB29" s="8"/>
      <c r="AI29">
        <f t="shared" si="3"/>
        <v>22</v>
      </c>
      <c r="AJ29" s="27" t="s">
        <v>239</v>
      </c>
      <c r="AK29" s="8">
        <v>27456.608999814332</v>
      </c>
      <c r="AM29">
        <f t="shared" si="4"/>
        <v>22</v>
      </c>
      <c r="AN29" s="27" t="s">
        <v>2540</v>
      </c>
      <c r="AO29" s="8">
        <v>25</v>
      </c>
      <c r="AR29" s="27" t="s">
        <v>239</v>
      </c>
      <c r="AS29" s="21">
        <v>13808</v>
      </c>
      <c r="AU29" s="27" t="s">
        <v>695</v>
      </c>
      <c r="AV29" s="21">
        <v>4</v>
      </c>
    </row>
    <row r="30" spans="2:48" x14ac:dyDescent="0.35">
      <c r="B30">
        <f t="shared" si="2"/>
        <v>23</v>
      </c>
      <c r="C30" s="27" t="s">
        <v>228</v>
      </c>
      <c r="D30" s="8">
        <v>2545.8370670891222</v>
      </c>
      <c r="E30" s="8">
        <v>2871.5365457111843</v>
      </c>
      <c r="F30" s="8"/>
      <c r="G30" s="8">
        <v>2346.5392470170382</v>
      </c>
      <c r="H30" s="8">
        <v>1929.4189257142925</v>
      </c>
      <c r="I30" s="8"/>
      <c r="J30" s="8"/>
      <c r="K30" s="8"/>
      <c r="L30" s="8">
        <v>1013.161446057971</v>
      </c>
      <c r="M30" s="8">
        <v>1230.4489213782738</v>
      </c>
      <c r="N30" s="8">
        <v>1204.1199826559248</v>
      </c>
      <c r="O30" s="8">
        <v>1161.3680022349749</v>
      </c>
      <c r="P30" s="8">
        <v>1311.7538610557542</v>
      </c>
      <c r="Q30" s="8"/>
      <c r="R30" s="8">
        <v>1166.331421766525</v>
      </c>
      <c r="S30" s="8">
        <v>1739.2331843532743</v>
      </c>
      <c r="T30" s="8">
        <v>1024.6224749083319</v>
      </c>
      <c r="U30" s="8">
        <v>887.29571980871185</v>
      </c>
      <c r="V30" s="8">
        <v>2346.3529744506386</v>
      </c>
      <c r="W30" s="8">
        <v>834.63260633609184</v>
      </c>
      <c r="X30" s="8">
        <v>1230.4489213782738</v>
      </c>
      <c r="Y30" s="8">
        <v>2272.3058444020862</v>
      </c>
      <c r="Z30" s="8">
        <v>27115.407146318466</v>
      </c>
      <c r="AA30" s="8"/>
      <c r="AB30" s="8"/>
      <c r="AI30">
        <f t="shared" si="3"/>
        <v>23</v>
      </c>
      <c r="AJ30" s="27" t="s">
        <v>228</v>
      </c>
      <c r="AK30" s="8">
        <v>27115.407146318466</v>
      </c>
      <c r="AM30">
        <f t="shared" si="4"/>
        <v>23</v>
      </c>
      <c r="AN30" s="27" t="s">
        <v>2342</v>
      </c>
      <c r="AO30" s="8">
        <v>24</v>
      </c>
      <c r="AR30" s="27" t="s">
        <v>303</v>
      </c>
      <c r="AS30" s="21">
        <v>13626</v>
      </c>
      <c r="AU30" s="27" t="s">
        <v>1464</v>
      </c>
      <c r="AV30" s="21">
        <v>4</v>
      </c>
    </row>
    <row r="31" spans="2:48" x14ac:dyDescent="0.35">
      <c r="B31">
        <f t="shared" si="2"/>
        <v>24</v>
      </c>
      <c r="C31" s="30" t="s">
        <v>476</v>
      </c>
      <c r="D31" s="31"/>
      <c r="E31" s="31"/>
      <c r="F31" s="31"/>
      <c r="G31" s="31"/>
      <c r="H31" s="31"/>
      <c r="I31" s="31"/>
      <c r="J31" s="31">
        <v>857.33249643126851</v>
      </c>
      <c r="K31" s="31">
        <v>924.27928606188175</v>
      </c>
      <c r="L31" s="31">
        <v>3245.5126678141496</v>
      </c>
      <c r="M31" s="31">
        <v>2083.9375155278085</v>
      </c>
      <c r="N31" s="31"/>
      <c r="O31" s="31">
        <v>3816.7465777668267</v>
      </c>
      <c r="P31" s="31">
        <v>5654.1233485134717</v>
      </c>
      <c r="Q31" s="31"/>
      <c r="R31" s="31">
        <v>778.15125038364374</v>
      </c>
      <c r="S31" s="31"/>
      <c r="T31" s="31">
        <v>1024.1336797167194</v>
      </c>
      <c r="U31" s="31">
        <v>1546.7188835989921</v>
      </c>
      <c r="V31" s="31">
        <v>732.39375982296849</v>
      </c>
      <c r="W31" s="31">
        <v>1135.6626020000731</v>
      </c>
      <c r="X31" s="31">
        <v>1344.0708121298051</v>
      </c>
      <c r="Y31" s="31">
        <v>3810.3926918675734</v>
      </c>
      <c r="Z31" s="31">
        <v>26953.455571635182</v>
      </c>
      <c r="AA31" s="8"/>
      <c r="AB31" s="8"/>
      <c r="AI31">
        <f t="shared" si="3"/>
        <v>24</v>
      </c>
      <c r="AJ31" s="30" t="s">
        <v>476</v>
      </c>
      <c r="AK31" s="31">
        <v>26953.455571635175</v>
      </c>
      <c r="AM31">
        <f t="shared" si="4"/>
        <v>24</v>
      </c>
      <c r="AN31" s="27" t="s">
        <v>228</v>
      </c>
      <c r="AO31" s="8">
        <v>24</v>
      </c>
      <c r="AR31" s="27" t="s">
        <v>586</v>
      </c>
      <c r="AS31" s="21">
        <v>12900</v>
      </c>
      <c r="AU31" s="30" t="s">
        <v>476</v>
      </c>
      <c r="AV31" s="29">
        <v>4</v>
      </c>
    </row>
    <row r="32" spans="2:48" x14ac:dyDescent="0.35">
      <c r="B32">
        <f t="shared" si="2"/>
        <v>25</v>
      </c>
      <c r="C32" s="30" t="s">
        <v>259</v>
      </c>
      <c r="D32" s="31">
        <v>2376.1254934696117</v>
      </c>
      <c r="E32" s="31"/>
      <c r="F32" s="31"/>
      <c r="G32" s="31">
        <v>1593.8396610812711</v>
      </c>
      <c r="H32" s="31"/>
      <c r="I32" s="31">
        <v>1857.3324964312687</v>
      </c>
      <c r="J32" s="31">
        <v>1689.8883649687941</v>
      </c>
      <c r="K32" s="31">
        <v>621.51902434314718</v>
      </c>
      <c r="L32" s="31"/>
      <c r="M32" s="31">
        <v>2001.7302660547532</v>
      </c>
      <c r="N32" s="31">
        <v>1066.9467896306135</v>
      </c>
      <c r="O32" s="31">
        <v>723.10368405273812</v>
      </c>
      <c r="P32" s="31">
        <v>1934.4984512435676</v>
      </c>
      <c r="Q32" s="31">
        <v>1149.2066296108344</v>
      </c>
      <c r="R32" s="31"/>
      <c r="S32" s="31">
        <v>954.24250943932498</v>
      </c>
      <c r="T32" s="31">
        <v>2102.5484571083225</v>
      </c>
      <c r="U32" s="31">
        <v>1977.3078135080182</v>
      </c>
      <c r="V32" s="31">
        <v>2049.9707001688403</v>
      </c>
      <c r="W32" s="31">
        <v>2176.6423942589649</v>
      </c>
      <c r="X32" s="31">
        <v>880.81359228079123</v>
      </c>
      <c r="Y32" s="31">
        <v>985.2767431792937</v>
      </c>
      <c r="Z32" s="31">
        <v>26140.993070830154</v>
      </c>
      <c r="AA32" s="8"/>
      <c r="AB32" s="8"/>
      <c r="AI32">
        <f t="shared" si="3"/>
        <v>25</v>
      </c>
      <c r="AJ32" s="30" t="s">
        <v>259</v>
      </c>
      <c r="AK32" s="31">
        <v>26140.993070830158</v>
      </c>
      <c r="AM32">
        <f t="shared" si="4"/>
        <v>25</v>
      </c>
      <c r="AN32" s="30" t="s">
        <v>467</v>
      </c>
      <c r="AO32" s="31">
        <v>24</v>
      </c>
      <c r="AR32" s="27" t="s">
        <v>163</v>
      </c>
      <c r="AS32" s="21">
        <v>12572</v>
      </c>
      <c r="AU32" s="27" t="s">
        <v>469</v>
      </c>
      <c r="AV32" s="21">
        <v>4</v>
      </c>
    </row>
    <row r="33" spans="2:48" x14ac:dyDescent="0.35">
      <c r="B33">
        <f t="shared" si="2"/>
        <v>26</v>
      </c>
      <c r="C33" t="s">
        <v>2538</v>
      </c>
      <c r="D33" s="8"/>
      <c r="E33" s="8"/>
      <c r="F33" s="8">
        <v>1698.9700043360187</v>
      </c>
      <c r="G33" s="8">
        <v>1084.3208857000359</v>
      </c>
      <c r="H33" s="8">
        <v>1151.2676753306489</v>
      </c>
      <c r="I33" s="8">
        <v>2800.717078282385</v>
      </c>
      <c r="J33" s="8">
        <v>1380.2112417116061</v>
      </c>
      <c r="K33" s="8"/>
      <c r="L33" s="8">
        <v>1263.2414347745812</v>
      </c>
      <c r="M33" s="8"/>
      <c r="N33" s="8"/>
      <c r="O33" s="8"/>
      <c r="P33" s="8">
        <v>1106.4553309142871</v>
      </c>
      <c r="Q33" s="8"/>
      <c r="R33" s="8"/>
      <c r="S33" s="8"/>
      <c r="T33" s="8">
        <v>1732.3937598229686</v>
      </c>
      <c r="U33" s="8"/>
      <c r="V33" s="8">
        <v>4127.3073138648178</v>
      </c>
      <c r="W33" s="8">
        <v>2291.1467617318858</v>
      </c>
      <c r="X33" s="8">
        <v>4867.0036785557113</v>
      </c>
      <c r="Y33" s="8">
        <v>2533.0401930744838</v>
      </c>
      <c r="Z33" s="8">
        <v>26036.075358099428</v>
      </c>
      <c r="AA33" s="8"/>
      <c r="AB33" s="8"/>
      <c r="AI33">
        <f t="shared" si="3"/>
        <v>26</v>
      </c>
      <c r="AJ33" t="s">
        <v>2538</v>
      </c>
      <c r="AK33" s="8">
        <v>26036.075358099435</v>
      </c>
      <c r="AM33">
        <f t="shared" si="4"/>
        <v>26</v>
      </c>
      <c r="AN33" s="27" t="s">
        <v>292</v>
      </c>
      <c r="AO33" s="8">
        <v>24</v>
      </c>
      <c r="AR33" s="27" t="s">
        <v>693</v>
      </c>
      <c r="AS33" s="21">
        <v>12531</v>
      </c>
      <c r="AU33" s="27" t="s">
        <v>620</v>
      </c>
      <c r="AV33" s="21">
        <v>4</v>
      </c>
    </row>
    <row r="34" spans="2:48" x14ac:dyDescent="0.35">
      <c r="B34">
        <f t="shared" si="2"/>
        <v>27</v>
      </c>
      <c r="C34" s="27" t="s">
        <v>113</v>
      </c>
      <c r="D34" s="8">
        <v>1773.6379936101009</v>
      </c>
      <c r="E34" s="8">
        <v>1137.775961313472</v>
      </c>
      <c r="F34" s="8">
        <v>1399.6131139377198</v>
      </c>
      <c r="G34" s="8">
        <v>2309.6301674258984</v>
      </c>
      <c r="H34" s="8">
        <v>736.75856522541847</v>
      </c>
      <c r="I34" s="8"/>
      <c r="J34" s="8"/>
      <c r="K34" s="8">
        <v>1082.1867561873498</v>
      </c>
      <c r="L34" s="8"/>
      <c r="M34" s="8">
        <v>2198.6570869544225</v>
      </c>
      <c r="N34" s="8">
        <v>2348.1750097112972</v>
      </c>
      <c r="O34" s="8"/>
      <c r="P34" s="8">
        <v>5394.2300990996155</v>
      </c>
      <c r="Q34" s="8"/>
      <c r="R34" s="8">
        <v>1198.6570869544225</v>
      </c>
      <c r="S34" s="8">
        <v>1423.2458739368078</v>
      </c>
      <c r="T34" s="8">
        <v>1200.7137339640133</v>
      </c>
      <c r="U34" s="8">
        <v>1071.8820073061254</v>
      </c>
      <c r="V34" s="8"/>
      <c r="W34" s="8"/>
      <c r="X34" s="8">
        <v>1102.6623418971478</v>
      </c>
      <c r="Y34" s="8">
        <v>1238.8820889151368</v>
      </c>
      <c r="Z34" s="8">
        <v>25616.707886438948</v>
      </c>
      <c r="AA34" s="8"/>
      <c r="AB34" s="8"/>
      <c r="AI34">
        <f t="shared" si="3"/>
        <v>27</v>
      </c>
      <c r="AJ34" s="27" t="s">
        <v>113</v>
      </c>
      <c r="AK34" s="8">
        <v>25616.707886438948</v>
      </c>
      <c r="AM34">
        <f t="shared" si="4"/>
        <v>27</v>
      </c>
      <c r="AN34" s="27" t="s">
        <v>147</v>
      </c>
      <c r="AO34" s="8">
        <v>24</v>
      </c>
      <c r="AR34" s="27" t="s">
        <v>1471</v>
      </c>
      <c r="AS34" s="21">
        <v>12508</v>
      </c>
      <c r="AU34" s="30" t="s">
        <v>518</v>
      </c>
      <c r="AV34" s="29">
        <v>4</v>
      </c>
    </row>
    <row r="35" spans="2:48" x14ac:dyDescent="0.35">
      <c r="B35">
        <f t="shared" si="2"/>
        <v>28</v>
      </c>
      <c r="C35" s="27" t="s">
        <v>201</v>
      </c>
      <c r="D35" s="8">
        <v>2367.2707777039805</v>
      </c>
      <c r="E35" s="8"/>
      <c r="F35" s="8"/>
      <c r="G35" s="8">
        <v>2824.2885824595451</v>
      </c>
      <c r="H35" s="8"/>
      <c r="I35" s="8">
        <v>852.7848686805479</v>
      </c>
      <c r="J35" s="8">
        <v>778.15125038364374</v>
      </c>
      <c r="K35" s="8">
        <v>2103.3149257643445</v>
      </c>
      <c r="L35" s="8"/>
      <c r="M35" s="8">
        <v>1759.1834113076638</v>
      </c>
      <c r="N35" s="8">
        <v>2766.8588110214173</v>
      </c>
      <c r="O35" s="8">
        <v>2386.8000070820658</v>
      </c>
      <c r="P35" s="8"/>
      <c r="Q35" s="8">
        <v>3723.9684710929246</v>
      </c>
      <c r="R35" s="8">
        <v>1049.2180226701814</v>
      </c>
      <c r="S35" s="8"/>
      <c r="T35" s="8"/>
      <c r="U35" s="8">
        <v>602.05999132796251</v>
      </c>
      <c r="V35" s="8">
        <v>987.41087269197953</v>
      </c>
      <c r="W35" s="8">
        <v>1010.723865391773</v>
      </c>
      <c r="X35" s="8">
        <v>1623.2492903979005</v>
      </c>
      <c r="Y35" s="8"/>
      <c r="Z35" s="8">
        <v>24835.28314797593</v>
      </c>
      <c r="AA35" s="8"/>
      <c r="AB35" s="8"/>
      <c r="AI35">
        <f t="shared" si="3"/>
        <v>28</v>
      </c>
      <c r="AJ35" s="27" t="s">
        <v>201</v>
      </c>
      <c r="AK35" s="8">
        <v>24835.283147975933</v>
      </c>
      <c r="AM35">
        <f t="shared" si="4"/>
        <v>28</v>
      </c>
      <c r="AN35" s="27" t="s">
        <v>312</v>
      </c>
      <c r="AO35" s="8">
        <v>24</v>
      </c>
      <c r="AR35" s="27" t="s">
        <v>1500</v>
      </c>
      <c r="AS35" s="21">
        <v>12289.5</v>
      </c>
      <c r="AU35" t="s">
        <v>2538</v>
      </c>
      <c r="AV35" s="21">
        <v>4</v>
      </c>
    </row>
    <row r="36" spans="2:48" x14ac:dyDescent="0.35">
      <c r="B36">
        <f t="shared" si="2"/>
        <v>29</v>
      </c>
      <c r="C36" s="30" t="s">
        <v>286</v>
      </c>
      <c r="D36" s="31">
        <v>6140.9944102663676</v>
      </c>
      <c r="E36" s="31"/>
      <c r="F36" s="31"/>
      <c r="G36" s="31">
        <v>1934.4984512435676</v>
      </c>
      <c r="H36" s="31">
        <v>1739.305754239298</v>
      </c>
      <c r="I36" s="31"/>
      <c r="J36" s="31"/>
      <c r="K36" s="31"/>
      <c r="L36" s="31">
        <v>1843.4330112071189</v>
      </c>
      <c r="M36" s="31">
        <v>1247.1546148811265</v>
      </c>
      <c r="N36" s="31">
        <v>1099.3846321359117</v>
      </c>
      <c r="O36" s="31"/>
      <c r="P36" s="31"/>
      <c r="Q36" s="31">
        <v>1098.4864012430114</v>
      </c>
      <c r="R36" s="31">
        <v>3234.5172835126868</v>
      </c>
      <c r="S36" s="31">
        <v>4589.5772957033332</v>
      </c>
      <c r="T36" s="31">
        <v>574.03126772771896</v>
      </c>
      <c r="U36" s="31"/>
      <c r="V36" s="31">
        <v>966.1417327390327</v>
      </c>
      <c r="W36" s="31"/>
      <c r="X36" s="31"/>
      <c r="Y36" s="31"/>
      <c r="Z36" s="31">
        <v>24467.524854899177</v>
      </c>
      <c r="AA36" s="8"/>
      <c r="AB36" s="8"/>
      <c r="AI36">
        <f t="shared" si="3"/>
        <v>29</v>
      </c>
      <c r="AJ36" s="30" t="s">
        <v>286</v>
      </c>
      <c r="AK36" s="31">
        <v>24467.524854899177</v>
      </c>
      <c r="AM36">
        <f t="shared" si="4"/>
        <v>29</v>
      </c>
      <c r="AN36" s="30" t="s">
        <v>284</v>
      </c>
      <c r="AO36" s="31">
        <v>23</v>
      </c>
      <c r="AR36" t="s">
        <v>2538</v>
      </c>
      <c r="AS36" s="21">
        <v>12259</v>
      </c>
      <c r="AU36" s="27" t="s">
        <v>230</v>
      </c>
      <c r="AV36" s="21">
        <v>4</v>
      </c>
    </row>
    <row r="37" spans="2:48" x14ac:dyDescent="0.35">
      <c r="B37">
        <f t="shared" si="2"/>
        <v>30</v>
      </c>
      <c r="C37" s="27" t="s">
        <v>209</v>
      </c>
      <c r="D37" s="8"/>
      <c r="E37" s="8"/>
      <c r="F37" s="8">
        <v>2546.5426634781306</v>
      </c>
      <c r="G37" s="8"/>
      <c r="H37" s="8"/>
      <c r="I37" s="8"/>
      <c r="J37" s="8"/>
      <c r="K37" s="8">
        <v>2168.7083654007183</v>
      </c>
      <c r="L37" s="8"/>
      <c r="M37" s="8"/>
      <c r="N37" s="8">
        <v>1054.3576623225927</v>
      </c>
      <c r="O37" s="8">
        <v>1013.161446057971</v>
      </c>
      <c r="P37" s="8">
        <v>2564.1727159292382</v>
      </c>
      <c r="Q37" s="8">
        <v>2077.140704399088</v>
      </c>
      <c r="R37" s="8"/>
      <c r="S37" s="8">
        <v>1033.4237554869499</v>
      </c>
      <c r="T37" s="8">
        <v>653.21251377534372</v>
      </c>
      <c r="U37" s="8">
        <v>2541.5792439465808</v>
      </c>
      <c r="V37" s="8">
        <v>3620.7604899942057</v>
      </c>
      <c r="W37" s="8">
        <v>1278.7536009528289</v>
      </c>
      <c r="X37" s="8">
        <v>2924.2792860618815</v>
      </c>
      <c r="Y37" s="8">
        <v>791.51521194162513</v>
      </c>
      <c r="Z37" s="8">
        <v>24267.607659747155</v>
      </c>
      <c r="AA37" s="8"/>
      <c r="AB37" s="8"/>
      <c r="AI37">
        <f t="shared" si="3"/>
        <v>30</v>
      </c>
      <c r="AJ37" s="27" t="s">
        <v>209</v>
      </c>
      <c r="AK37" s="8">
        <v>24267.607659747155</v>
      </c>
      <c r="AM37">
        <f t="shared" si="4"/>
        <v>30</v>
      </c>
      <c r="AN37" s="27" t="s">
        <v>113</v>
      </c>
      <c r="AO37" s="8">
        <v>23</v>
      </c>
      <c r="AR37" s="27" t="s">
        <v>197</v>
      </c>
      <c r="AS37" s="21">
        <v>12207</v>
      </c>
      <c r="AU37" s="30" t="s">
        <v>259</v>
      </c>
      <c r="AV37" s="29">
        <v>4</v>
      </c>
    </row>
    <row r="38" spans="2:48" x14ac:dyDescent="0.35">
      <c r="B38">
        <f t="shared" si="2"/>
        <v>31</v>
      </c>
      <c r="C38" s="27" t="s">
        <v>250</v>
      </c>
      <c r="D38" s="8">
        <v>1230.9131592438616</v>
      </c>
      <c r="E38" s="8"/>
      <c r="F38" s="8">
        <v>5820.3919553704627</v>
      </c>
      <c r="G38" s="8">
        <v>2919.6590884251364</v>
      </c>
      <c r="H38" s="8">
        <v>2313.8672203691531</v>
      </c>
      <c r="I38" s="8">
        <v>2869.8182079793282</v>
      </c>
      <c r="J38" s="8"/>
      <c r="K38" s="8">
        <v>2161.3680022349749</v>
      </c>
      <c r="L38" s="8">
        <v>1428.134794028789</v>
      </c>
      <c r="M38" s="8">
        <v>1194.9766032160549</v>
      </c>
      <c r="N38" s="8">
        <v>2935.7591037453121</v>
      </c>
      <c r="O38" s="8"/>
      <c r="P38" s="8"/>
      <c r="Q38" s="8"/>
      <c r="R38" s="8"/>
      <c r="S38" s="8"/>
      <c r="T38" s="8"/>
      <c r="U38" s="8">
        <v>985.2767431792937</v>
      </c>
      <c r="V38" s="8"/>
      <c r="W38" s="8"/>
      <c r="X38" s="8"/>
      <c r="Y38" s="8"/>
      <c r="Z38" s="8">
        <v>23860.164877792366</v>
      </c>
      <c r="AA38" s="8"/>
      <c r="AB38" s="8"/>
      <c r="AI38">
        <f t="shared" si="3"/>
        <v>31</v>
      </c>
      <c r="AJ38" s="27" t="s">
        <v>250</v>
      </c>
      <c r="AK38" s="8">
        <v>23860.164877792366</v>
      </c>
      <c r="AM38">
        <f t="shared" si="4"/>
        <v>31</v>
      </c>
      <c r="AN38" t="s">
        <v>2538</v>
      </c>
      <c r="AO38" s="8">
        <v>22</v>
      </c>
      <c r="AR38" s="27" t="s">
        <v>532</v>
      </c>
      <c r="AS38" s="21">
        <v>12134</v>
      </c>
      <c r="AU38" s="30" t="s">
        <v>367</v>
      </c>
      <c r="AV38" s="29">
        <v>4</v>
      </c>
    </row>
    <row r="39" spans="2:48" x14ac:dyDescent="0.35">
      <c r="B39">
        <f t="shared" si="2"/>
        <v>32</v>
      </c>
      <c r="C39" s="27" t="s">
        <v>695</v>
      </c>
      <c r="D39" s="8"/>
      <c r="E39" s="8">
        <v>937.85209325115534</v>
      </c>
      <c r="F39" s="8"/>
      <c r="G39" s="8">
        <v>2603.453699187321</v>
      </c>
      <c r="H39" s="8">
        <v>3069.7420760416444</v>
      </c>
      <c r="I39" s="8"/>
      <c r="J39" s="8">
        <v>3232.6778293358393</v>
      </c>
      <c r="K39" s="8"/>
      <c r="L39" s="8">
        <v>3283.0814407705921</v>
      </c>
      <c r="M39" s="8">
        <v>980.25594180424275</v>
      </c>
      <c r="N39" s="8">
        <v>2315.970345456918</v>
      </c>
      <c r="O39" s="8"/>
      <c r="P39" s="8"/>
      <c r="Q39" s="8">
        <v>1213.0748253088514</v>
      </c>
      <c r="R39" s="8">
        <v>1194.9766032160551</v>
      </c>
      <c r="S39" s="8">
        <v>1247.1546148811267</v>
      </c>
      <c r="T39" s="8">
        <v>3553.9061329449578</v>
      </c>
      <c r="U39" s="8"/>
      <c r="V39" s="8"/>
      <c r="W39" s="8"/>
      <c r="X39" s="8"/>
      <c r="Y39" s="8"/>
      <c r="Z39" s="8">
        <v>23632.1456021987</v>
      </c>
      <c r="AA39" s="8"/>
      <c r="AB39" s="8"/>
      <c r="AI39">
        <f t="shared" si="3"/>
        <v>32</v>
      </c>
      <c r="AJ39" s="27" t="s">
        <v>695</v>
      </c>
      <c r="AK39" s="8">
        <v>23632.145602198703</v>
      </c>
      <c r="AM39">
        <f t="shared" si="4"/>
        <v>32</v>
      </c>
      <c r="AN39" s="27" t="s">
        <v>209</v>
      </c>
      <c r="AO39" s="8">
        <v>22</v>
      </c>
      <c r="AR39" s="30" t="s">
        <v>476</v>
      </c>
      <c r="AS39" s="29">
        <v>12087</v>
      </c>
      <c r="AU39" s="27" t="s">
        <v>755</v>
      </c>
      <c r="AV39" s="21">
        <v>3</v>
      </c>
    </row>
    <row r="40" spans="2:48" x14ac:dyDescent="0.35">
      <c r="B40">
        <f t="shared" si="2"/>
        <v>33</v>
      </c>
      <c r="C40" s="27" t="s">
        <v>230</v>
      </c>
      <c r="D40" s="8">
        <v>3476.8457995051258</v>
      </c>
      <c r="E40" s="8"/>
      <c r="F40" s="8"/>
      <c r="G40" s="8">
        <v>1081.9563001023969</v>
      </c>
      <c r="H40" s="8">
        <v>1094.4212126043617</v>
      </c>
      <c r="I40" s="8"/>
      <c r="J40" s="8"/>
      <c r="K40" s="8">
        <v>1057.9919469776869</v>
      </c>
      <c r="L40" s="8">
        <v>1255.2725051033062</v>
      </c>
      <c r="M40" s="8">
        <v>1406.5401804339549</v>
      </c>
      <c r="N40" s="8">
        <v>2924.279286061882</v>
      </c>
      <c r="O40" s="8">
        <v>4325.6216927074383</v>
      </c>
      <c r="P40" s="8">
        <v>1146.1280356782381</v>
      </c>
      <c r="Q40" s="8"/>
      <c r="R40" s="8">
        <v>865.30142610254381</v>
      </c>
      <c r="S40" s="8">
        <v>2107.2099696478681</v>
      </c>
      <c r="T40" s="8"/>
      <c r="U40" s="8">
        <v>929.41892571429264</v>
      </c>
      <c r="V40" s="8"/>
      <c r="W40" s="8">
        <v>1010.723865391773</v>
      </c>
      <c r="X40" s="8"/>
      <c r="Y40" s="8">
        <v>895.26464947998704</v>
      </c>
      <c r="Z40" s="8">
        <v>23576.975795510862</v>
      </c>
      <c r="AA40" s="8"/>
      <c r="AB40" s="8"/>
      <c r="AI40">
        <f t="shared" si="3"/>
        <v>33</v>
      </c>
      <c r="AJ40" s="27" t="s">
        <v>230</v>
      </c>
      <c r="AK40" s="8">
        <v>23576.975795510854</v>
      </c>
      <c r="AM40">
        <f t="shared" si="4"/>
        <v>33</v>
      </c>
      <c r="AN40" s="27" t="s">
        <v>295</v>
      </c>
      <c r="AO40" s="8">
        <v>22</v>
      </c>
      <c r="AR40" s="27" t="s">
        <v>695</v>
      </c>
      <c r="AS40" s="21">
        <v>11948</v>
      </c>
      <c r="AU40" s="27" t="s">
        <v>147</v>
      </c>
      <c r="AV40" s="21">
        <v>3</v>
      </c>
    </row>
    <row r="41" spans="2:48" x14ac:dyDescent="0.35">
      <c r="B41">
        <f t="shared" si="2"/>
        <v>34</v>
      </c>
      <c r="C41" s="27" t="s">
        <v>1537</v>
      </c>
      <c r="D41" s="8"/>
      <c r="E41" s="8"/>
      <c r="F41" s="8"/>
      <c r="G41" s="8"/>
      <c r="H41" s="8">
        <v>1630.9361190641912</v>
      </c>
      <c r="I41" s="8"/>
      <c r="J41" s="8">
        <v>1916.4539485499249</v>
      </c>
      <c r="K41" s="8"/>
      <c r="L41" s="8"/>
      <c r="M41" s="8"/>
      <c r="N41" s="8"/>
      <c r="O41" s="8">
        <v>1094.4212126043617</v>
      </c>
      <c r="P41" s="8">
        <v>2891.812384941984</v>
      </c>
      <c r="Q41" s="8">
        <v>1236.7890994092929</v>
      </c>
      <c r="R41" s="8"/>
      <c r="S41" s="8">
        <v>3640.9094417776632</v>
      </c>
      <c r="T41" s="8">
        <v>4043.6972040862306</v>
      </c>
      <c r="U41" s="8">
        <v>2460.2398918952167</v>
      </c>
      <c r="V41" s="8">
        <v>1024.1336797167194</v>
      </c>
      <c r="W41" s="8">
        <v>732.39375982296849</v>
      </c>
      <c r="X41" s="8">
        <v>1778.2417095563544</v>
      </c>
      <c r="Y41" s="8">
        <v>1041.3926851582248</v>
      </c>
      <c r="Z41" s="8">
        <v>23491.421136583132</v>
      </c>
      <c r="AA41" s="8"/>
      <c r="AB41" s="8"/>
      <c r="AI41">
        <f t="shared" si="3"/>
        <v>34</v>
      </c>
      <c r="AJ41" s="27" t="s">
        <v>1537</v>
      </c>
      <c r="AK41" s="8">
        <v>23491.421136583132</v>
      </c>
      <c r="AM41">
        <f t="shared" si="4"/>
        <v>34</v>
      </c>
      <c r="AN41" s="27" t="s">
        <v>1537</v>
      </c>
      <c r="AO41" s="8">
        <v>22</v>
      </c>
      <c r="AR41" t="s">
        <v>2372</v>
      </c>
      <c r="AS41" s="21">
        <v>11917</v>
      </c>
      <c r="AU41" s="27" t="s">
        <v>2540</v>
      </c>
      <c r="AV41" s="21">
        <v>3</v>
      </c>
    </row>
    <row r="42" spans="2:48" x14ac:dyDescent="0.35">
      <c r="B42">
        <f t="shared" si="2"/>
        <v>35</v>
      </c>
      <c r="C42" s="27" t="s">
        <v>295</v>
      </c>
      <c r="D42" s="8">
        <v>918.32995354868058</v>
      </c>
      <c r="E42" s="8"/>
      <c r="F42" s="8">
        <v>1301.029995663981</v>
      </c>
      <c r="G42" s="8">
        <v>1108.0075722263307</v>
      </c>
      <c r="H42" s="8">
        <v>736.75856522541847</v>
      </c>
      <c r="I42" s="8">
        <v>1108.7731188407465</v>
      </c>
      <c r="J42" s="8">
        <v>1013.3639615579815</v>
      </c>
      <c r="K42" s="8"/>
      <c r="L42" s="8">
        <v>927.44933285138825</v>
      </c>
      <c r="M42" s="8">
        <v>1071.8820073061254</v>
      </c>
      <c r="N42" s="8">
        <v>1985.4468879344195</v>
      </c>
      <c r="O42" s="8">
        <v>1047.9235523171828</v>
      </c>
      <c r="P42" s="8">
        <v>681.24123737558705</v>
      </c>
      <c r="Q42" s="8"/>
      <c r="R42" s="8">
        <v>3241.1478624116999</v>
      </c>
      <c r="S42" s="8"/>
      <c r="T42" s="8">
        <v>845.09804001425687</v>
      </c>
      <c r="U42" s="8"/>
      <c r="V42" s="8">
        <v>2561.1013836490561</v>
      </c>
      <c r="W42" s="8">
        <v>3053.6929387849532</v>
      </c>
      <c r="X42" s="8"/>
      <c r="Y42" s="8">
        <v>934.49845124356762</v>
      </c>
      <c r="Z42" s="8">
        <v>22535.744860951374</v>
      </c>
      <c r="AA42" s="8"/>
      <c r="AB42" s="8"/>
      <c r="AI42">
        <f t="shared" si="3"/>
        <v>35</v>
      </c>
      <c r="AJ42" s="27" t="s">
        <v>295</v>
      </c>
      <c r="AK42" s="8">
        <v>22535.744860951374</v>
      </c>
      <c r="AM42">
        <f t="shared" si="4"/>
        <v>35</v>
      </c>
      <c r="AN42" s="27" t="s">
        <v>230</v>
      </c>
      <c r="AO42" s="8">
        <v>21</v>
      </c>
      <c r="AR42" s="27" t="s">
        <v>293</v>
      </c>
      <c r="AS42" s="21">
        <v>11881</v>
      </c>
      <c r="AU42" s="27" t="s">
        <v>1624</v>
      </c>
      <c r="AV42" s="21">
        <v>3</v>
      </c>
    </row>
    <row r="43" spans="2:48" x14ac:dyDescent="0.35">
      <c r="B43">
        <f t="shared" si="2"/>
        <v>36</v>
      </c>
      <c r="C43" s="27" t="s">
        <v>2342</v>
      </c>
      <c r="D43" s="8">
        <v>1827.1441737419368</v>
      </c>
      <c r="E43" s="8"/>
      <c r="F43" s="8">
        <v>948.84747755261867</v>
      </c>
      <c r="G43" s="8"/>
      <c r="H43" s="8">
        <v>736.75856522541847</v>
      </c>
      <c r="I43" s="8"/>
      <c r="J43" s="8"/>
      <c r="K43" s="8"/>
      <c r="L43" s="8"/>
      <c r="M43" s="8">
        <v>1244.4145775150978</v>
      </c>
      <c r="N43" s="8">
        <v>2376.5769570565117</v>
      </c>
      <c r="O43" s="8"/>
      <c r="P43" s="8">
        <v>2733.8991148202849</v>
      </c>
      <c r="Q43" s="8">
        <v>1322.2192947339192</v>
      </c>
      <c r="R43" s="8">
        <v>5193.1245983544613</v>
      </c>
      <c r="S43" s="8">
        <v>2353.3390953113048</v>
      </c>
      <c r="T43" s="8">
        <v>892.0946026904802</v>
      </c>
      <c r="U43" s="8">
        <v>908.48501887864973</v>
      </c>
      <c r="V43" s="8">
        <v>1166.331421766525</v>
      </c>
      <c r="W43" s="8"/>
      <c r="X43" s="8"/>
      <c r="Y43" s="8">
        <v>788.37041556532961</v>
      </c>
      <c r="Z43" s="8">
        <v>22491.605313212534</v>
      </c>
      <c r="AA43" s="8"/>
      <c r="AB43" s="8"/>
      <c r="AI43">
        <f t="shared" si="3"/>
        <v>36</v>
      </c>
      <c r="AJ43" s="27" t="s">
        <v>2342</v>
      </c>
      <c r="AK43" s="8">
        <v>22491.605313212538</v>
      </c>
      <c r="AM43">
        <f t="shared" si="4"/>
        <v>36</v>
      </c>
      <c r="AN43" s="30" t="s">
        <v>286</v>
      </c>
      <c r="AO43" s="31">
        <v>21</v>
      </c>
      <c r="AR43" s="30" t="s">
        <v>259</v>
      </c>
      <c r="AS43" s="29">
        <v>11749</v>
      </c>
      <c r="AU43" s="27" t="s">
        <v>1563</v>
      </c>
      <c r="AV43" s="21">
        <v>3</v>
      </c>
    </row>
    <row r="44" spans="2:48" x14ac:dyDescent="0.35">
      <c r="B44">
        <f t="shared" si="2"/>
        <v>37</v>
      </c>
      <c r="C44" s="27" t="s">
        <v>888</v>
      </c>
      <c r="D44" s="8">
        <v>910.83486948374116</v>
      </c>
      <c r="E44" s="8"/>
      <c r="F44" s="8"/>
      <c r="G44" s="8">
        <v>3006.7809578762431</v>
      </c>
      <c r="H44" s="8">
        <v>7561.461770086652</v>
      </c>
      <c r="I44" s="8">
        <v>2355.6398283752155</v>
      </c>
      <c r="J44" s="8">
        <v>1014.2404391146102</v>
      </c>
      <c r="K44" s="8">
        <v>973.12785359969871</v>
      </c>
      <c r="L44" s="8">
        <v>602.05999132796251</v>
      </c>
      <c r="M44" s="8"/>
      <c r="N44" s="8"/>
      <c r="O44" s="8">
        <v>954.24250943932486</v>
      </c>
      <c r="P44" s="8"/>
      <c r="Q44" s="8"/>
      <c r="R44" s="8"/>
      <c r="S44" s="8">
        <v>2906.3350418050904</v>
      </c>
      <c r="T44" s="8"/>
      <c r="U44" s="8"/>
      <c r="V44" s="8"/>
      <c r="W44" s="8"/>
      <c r="X44" s="8"/>
      <c r="Y44" s="8">
        <v>1414.6252161029552</v>
      </c>
      <c r="Z44" s="8">
        <v>21699.348477211493</v>
      </c>
      <c r="AA44" s="8"/>
      <c r="AB44" s="8"/>
      <c r="AI44">
        <f t="shared" si="3"/>
        <v>37</v>
      </c>
      <c r="AJ44" s="27" t="s">
        <v>888</v>
      </c>
      <c r="AK44" s="8">
        <v>21699.348477211493</v>
      </c>
      <c r="AM44">
        <f t="shared" si="4"/>
        <v>37</v>
      </c>
      <c r="AN44" s="27" t="s">
        <v>250</v>
      </c>
      <c r="AO44" s="8">
        <v>21</v>
      </c>
      <c r="AR44" s="27" t="s">
        <v>209</v>
      </c>
      <c r="AS44" s="21">
        <v>11588</v>
      </c>
      <c r="AU44" s="27" t="s">
        <v>444</v>
      </c>
      <c r="AV44" s="21">
        <v>3</v>
      </c>
    </row>
    <row r="45" spans="2:48" x14ac:dyDescent="0.35">
      <c r="B45">
        <f t="shared" si="2"/>
        <v>38</v>
      </c>
      <c r="C45" s="27" t="s">
        <v>1471</v>
      </c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>
        <v>2113.7377204460336</v>
      </c>
      <c r="P45" s="8"/>
      <c r="Q45" s="8"/>
      <c r="R45" s="8"/>
      <c r="S45" s="8">
        <v>6354.9476225592171</v>
      </c>
      <c r="T45" s="8">
        <v>3074.1991065228867</v>
      </c>
      <c r="U45" s="8">
        <v>1243.0380486862944</v>
      </c>
      <c r="V45" s="8"/>
      <c r="W45" s="8">
        <v>3275.5416884013093</v>
      </c>
      <c r="X45" s="8">
        <v>1505.149978319906</v>
      </c>
      <c r="Y45" s="8">
        <v>4072.4348746509613</v>
      </c>
      <c r="Z45" s="8">
        <v>21639.049039586607</v>
      </c>
      <c r="AA45" s="8"/>
      <c r="AB45" s="8"/>
      <c r="AI45">
        <f t="shared" si="3"/>
        <v>38</v>
      </c>
      <c r="AJ45" s="27" t="s">
        <v>1471</v>
      </c>
      <c r="AK45" s="8">
        <v>21639.049039586611</v>
      </c>
      <c r="AM45">
        <f t="shared" si="4"/>
        <v>38</v>
      </c>
      <c r="AN45" s="27" t="s">
        <v>695</v>
      </c>
      <c r="AO45" s="8">
        <v>20</v>
      </c>
      <c r="AR45" s="27" t="s">
        <v>1537</v>
      </c>
      <c r="AS45" s="21">
        <v>11565</v>
      </c>
      <c r="AU45" s="30" t="s">
        <v>339</v>
      </c>
      <c r="AV45" s="29">
        <v>3</v>
      </c>
    </row>
    <row r="46" spans="2:48" x14ac:dyDescent="0.35">
      <c r="B46">
        <f t="shared" si="2"/>
        <v>39</v>
      </c>
      <c r="C46" s="27" t="s">
        <v>301</v>
      </c>
      <c r="D46" s="8">
        <v>1857.3324964312685</v>
      </c>
      <c r="E46" s="8"/>
      <c r="F46" s="8"/>
      <c r="G46" s="8"/>
      <c r="H46" s="8"/>
      <c r="I46" s="8"/>
      <c r="J46" s="8">
        <v>1908.4850188786497</v>
      </c>
      <c r="K46" s="8"/>
      <c r="L46" s="8"/>
      <c r="M46" s="8">
        <v>1113.9433523068369</v>
      </c>
      <c r="N46" s="8">
        <v>2060.6978403536118</v>
      </c>
      <c r="O46" s="8">
        <v>1846.6892578987463</v>
      </c>
      <c r="P46" s="8">
        <v>1026.328938722349</v>
      </c>
      <c r="Q46" s="8">
        <v>1165.0958747542181</v>
      </c>
      <c r="R46" s="8"/>
      <c r="S46" s="8">
        <v>2192.4422816675251</v>
      </c>
      <c r="T46" s="8">
        <v>1130.3337684950061</v>
      </c>
      <c r="U46" s="8">
        <v>2655.5225962534178</v>
      </c>
      <c r="V46" s="8">
        <v>1447.1580313422191</v>
      </c>
      <c r="W46" s="8">
        <v>1612.7838567197355</v>
      </c>
      <c r="X46" s="8"/>
      <c r="Y46" s="8">
        <v>995.63519459754991</v>
      </c>
      <c r="Z46" s="8">
        <v>21012.448508421134</v>
      </c>
      <c r="AA46" s="8"/>
      <c r="AB46" s="8"/>
      <c r="AI46">
        <f t="shared" si="3"/>
        <v>39</v>
      </c>
      <c r="AJ46" s="27" t="s">
        <v>301</v>
      </c>
      <c r="AK46" s="8">
        <v>21012.448508421134</v>
      </c>
      <c r="AM46">
        <f t="shared" si="4"/>
        <v>39</v>
      </c>
      <c r="AN46" s="27" t="s">
        <v>132</v>
      </c>
      <c r="AO46" s="8">
        <v>20</v>
      </c>
      <c r="AR46" s="27" t="s">
        <v>325</v>
      </c>
      <c r="AS46" s="21">
        <v>11514</v>
      </c>
      <c r="AU46" s="27" t="s">
        <v>1612</v>
      </c>
      <c r="AV46" s="21">
        <v>3</v>
      </c>
    </row>
    <row r="47" spans="2:48" x14ac:dyDescent="0.35">
      <c r="B47">
        <f t="shared" si="2"/>
        <v>40</v>
      </c>
      <c r="C47" s="27" t="s">
        <v>274</v>
      </c>
      <c r="D47" s="8">
        <v>1919.078092376074</v>
      </c>
      <c r="E47" s="8">
        <v>2679.7911709803539</v>
      </c>
      <c r="F47" s="8"/>
      <c r="G47" s="8">
        <v>714.0337507718948</v>
      </c>
      <c r="H47" s="8">
        <v>3167.5546757588572</v>
      </c>
      <c r="I47" s="8"/>
      <c r="J47" s="8">
        <v>3532.754378992498</v>
      </c>
      <c r="K47" s="8">
        <v>2636.0697828312241</v>
      </c>
      <c r="L47" s="8">
        <v>1281.2859374682239</v>
      </c>
      <c r="M47" s="8"/>
      <c r="N47" s="8">
        <v>962.21143911060028</v>
      </c>
      <c r="O47" s="8"/>
      <c r="P47" s="8">
        <v>1929.4189257142925</v>
      </c>
      <c r="Q47" s="8">
        <v>1397.9400086720377</v>
      </c>
      <c r="R47" s="8"/>
      <c r="S47" s="8"/>
      <c r="T47" s="8"/>
      <c r="U47" s="8"/>
      <c r="V47" s="8"/>
      <c r="W47" s="8"/>
      <c r="X47" s="8"/>
      <c r="Y47" s="8"/>
      <c r="Z47" s="8">
        <v>20220.138162676059</v>
      </c>
      <c r="AA47" s="8"/>
      <c r="AB47" s="8"/>
      <c r="AI47">
        <f t="shared" si="3"/>
        <v>40</v>
      </c>
      <c r="AJ47" s="27" t="s">
        <v>274</v>
      </c>
      <c r="AK47" s="8">
        <v>20220.138162676059</v>
      </c>
      <c r="AM47">
        <f t="shared" si="4"/>
        <v>40</v>
      </c>
      <c r="AN47" s="27" t="s">
        <v>1471</v>
      </c>
      <c r="AO47" s="8">
        <v>20</v>
      </c>
      <c r="AR47" s="27" t="s">
        <v>250</v>
      </c>
      <c r="AS47" s="21">
        <v>11228</v>
      </c>
      <c r="AU47" s="27" t="s">
        <v>586</v>
      </c>
      <c r="AV47" s="21">
        <v>3</v>
      </c>
    </row>
    <row r="48" spans="2:48" x14ac:dyDescent="0.35">
      <c r="B48">
        <f t="shared" si="2"/>
        <v>41</v>
      </c>
      <c r="C48" t="s">
        <v>2501</v>
      </c>
      <c r="D48" s="8"/>
      <c r="E48" s="8"/>
      <c r="F48" s="8"/>
      <c r="G48" s="8"/>
      <c r="H48" s="8"/>
      <c r="I48" s="8"/>
      <c r="J48" s="8"/>
      <c r="K48" s="8"/>
      <c r="L48" s="8"/>
      <c r="M48" s="8">
        <v>968.20816557614876</v>
      </c>
      <c r="N48" s="8"/>
      <c r="O48" s="8">
        <v>3387.5488753643467</v>
      </c>
      <c r="P48" s="8">
        <v>1271.066772286538</v>
      </c>
      <c r="Q48" s="8">
        <v>2139.8790864012367</v>
      </c>
      <c r="R48" s="8">
        <v>837.27270250230038</v>
      </c>
      <c r="S48" s="8"/>
      <c r="T48" s="8">
        <v>3501.0483019663425</v>
      </c>
      <c r="U48" s="8">
        <v>3854.6915727214327</v>
      </c>
      <c r="V48" s="8">
        <v>2893.4427656268003</v>
      </c>
      <c r="W48" s="8">
        <v>1336.7455479305158</v>
      </c>
      <c r="X48" s="8"/>
      <c r="Y48" s="8"/>
      <c r="Z48" s="8">
        <v>20189.903790375662</v>
      </c>
      <c r="AA48" s="8"/>
      <c r="AB48" s="8"/>
      <c r="AI48">
        <f t="shared" si="3"/>
        <v>41</v>
      </c>
      <c r="AJ48" t="s">
        <v>2501</v>
      </c>
      <c r="AK48" s="8">
        <v>20189.903790375658</v>
      </c>
      <c r="AM48">
        <f t="shared" si="4"/>
        <v>41</v>
      </c>
      <c r="AN48" t="s">
        <v>2501</v>
      </c>
      <c r="AO48" s="8">
        <v>19</v>
      </c>
      <c r="AR48" s="30" t="s">
        <v>339</v>
      </c>
      <c r="AS48" s="29">
        <v>11040</v>
      </c>
      <c r="AU48" s="27" t="s">
        <v>303</v>
      </c>
      <c r="AV48" s="21">
        <v>3</v>
      </c>
    </row>
    <row r="49" spans="2:48" x14ac:dyDescent="0.35">
      <c r="B49">
        <f t="shared" si="2"/>
        <v>42</v>
      </c>
      <c r="C49" s="27" t="s">
        <v>902</v>
      </c>
      <c r="D49" s="8">
        <v>5886.2286854670347</v>
      </c>
      <c r="E49" s="8">
        <v>4216.6935991697546</v>
      </c>
      <c r="F49" s="8">
        <v>4770.5574748509953</v>
      </c>
      <c r="G49" s="8">
        <v>3351.0228525841239</v>
      </c>
      <c r="H49" s="8">
        <v>1941.3181490140005</v>
      </c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>
        <v>20165.82076108591</v>
      </c>
      <c r="AA49" s="8"/>
      <c r="AB49" s="8"/>
      <c r="AI49">
        <f t="shared" si="3"/>
        <v>42</v>
      </c>
      <c r="AJ49" s="27" t="s">
        <v>902</v>
      </c>
      <c r="AK49" s="8">
        <v>20165.82076108591</v>
      </c>
      <c r="AM49">
        <f t="shared" si="4"/>
        <v>42</v>
      </c>
      <c r="AN49" s="27" t="s">
        <v>134</v>
      </c>
      <c r="AO49" s="8">
        <v>19</v>
      </c>
      <c r="AR49" t="s">
        <v>2501</v>
      </c>
      <c r="AS49" s="21">
        <v>10928</v>
      </c>
      <c r="AU49" s="27" t="s">
        <v>917</v>
      </c>
      <c r="AV49" s="21">
        <v>3</v>
      </c>
    </row>
    <row r="50" spans="2:48" x14ac:dyDescent="0.35">
      <c r="B50">
        <f t="shared" si="2"/>
        <v>43</v>
      </c>
      <c r="C50" s="27" t="s">
        <v>693</v>
      </c>
      <c r="D50" s="8"/>
      <c r="E50" s="8"/>
      <c r="F50" s="8">
        <v>2453.2090973142504</v>
      </c>
      <c r="G50" s="8"/>
      <c r="H50" s="8"/>
      <c r="I50" s="8">
        <v>1119.4758409067977</v>
      </c>
      <c r="J50" s="8">
        <v>4185.9668927678413</v>
      </c>
      <c r="K50" s="8"/>
      <c r="L50" s="8">
        <v>895.26464947998693</v>
      </c>
      <c r="M50" s="8">
        <v>1636.8220975871745</v>
      </c>
      <c r="N50" s="8">
        <v>1556.3025007672873</v>
      </c>
      <c r="O50" s="8">
        <v>2485.4019748438568</v>
      </c>
      <c r="P50" s="8"/>
      <c r="Q50" s="8">
        <v>1431.3637641589874</v>
      </c>
      <c r="R50" s="8"/>
      <c r="S50" s="8"/>
      <c r="T50" s="8">
        <v>1498.3105537896004</v>
      </c>
      <c r="U50" s="8"/>
      <c r="V50" s="8"/>
      <c r="W50" s="8">
        <v>2360.7826898732801</v>
      </c>
      <c r="X50" s="8"/>
      <c r="Y50" s="8"/>
      <c r="Z50" s="8">
        <v>19622.900061489061</v>
      </c>
      <c r="AA50" s="8"/>
      <c r="AB50" s="8"/>
      <c r="AI50">
        <f t="shared" si="3"/>
        <v>43</v>
      </c>
      <c r="AJ50" s="27" t="s">
        <v>693</v>
      </c>
      <c r="AK50" s="8">
        <v>19622.900061489065</v>
      </c>
      <c r="AM50">
        <f t="shared" si="4"/>
        <v>43</v>
      </c>
      <c r="AN50" s="27" t="s">
        <v>163</v>
      </c>
      <c r="AO50" s="8">
        <v>19</v>
      </c>
      <c r="AR50" s="27" t="s">
        <v>112</v>
      </c>
      <c r="AS50" s="21">
        <v>10804</v>
      </c>
      <c r="AU50" s="27" t="s">
        <v>228</v>
      </c>
      <c r="AV50" s="21">
        <v>3</v>
      </c>
    </row>
    <row r="51" spans="2:48" x14ac:dyDescent="0.35">
      <c r="B51">
        <f t="shared" si="2"/>
        <v>44</v>
      </c>
      <c r="C51" s="27" t="s">
        <v>163</v>
      </c>
      <c r="D51" s="8">
        <v>217.23346195266902</v>
      </c>
      <c r="E51" s="8"/>
      <c r="F51" s="8"/>
      <c r="G51" s="8">
        <v>1130.3337684950061</v>
      </c>
      <c r="H51" s="8">
        <v>868.32788073273161</v>
      </c>
      <c r="I51" s="8">
        <v>1304.1210726411227</v>
      </c>
      <c r="J51" s="8"/>
      <c r="K51" s="8">
        <v>3322.219294733919</v>
      </c>
      <c r="L51" s="8">
        <v>1671.4814000864308</v>
      </c>
      <c r="M51" s="8"/>
      <c r="N51" s="8">
        <v>545.5402346736663</v>
      </c>
      <c r="O51" s="8">
        <v>2213.9377181565828</v>
      </c>
      <c r="P51" s="8"/>
      <c r="Q51" s="8">
        <v>1166.331421766525</v>
      </c>
      <c r="R51" s="8">
        <v>778.15125038364363</v>
      </c>
      <c r="S51" s="8">
        <v>1591.0646070264991</v>
      </c>
      <c r="T51" s="8">
        <v>2574.0312677277188</v>
      </c>
      <c r="U51" s="8">
        <v>1107.2099696478683</v>
      </c>
      <c r="V51" s="8"/>
      <c r="W51" s="8"/>
      <c r="X51" s="8">
        <v>982.2712330395683</v>
      </c>
      <c r="Y51" s="8"/>
      <c r="Z51" s="8">
        <v>19472.254581063957</v>
      </c>
      <c r="AA51" s="8"/>
      <c r="AB51" s="8"/>
      <c r="AI51">
        <f t="shared" si="3"/>
        <v>44</v>
      </c>
      <c r="AJ51" s="27" t="s">
        <v>163</v>
      </c>
      <c r="AK51" s="8">
        <v>19472.254581063957</v>
      </c>
      <c r="AM51">
        <f t="shared" si="4"/>
        <v>44</v>
      </c>
      <c r="AN51" s="27" t="s">
        <v>365</v>
      </c>
      <c r="AO51" s="8">
        <v>19</v>
      </c>
      <c r="AR51" s="27" t="s">
        <v>469</v>
      </c>
      <c r="AS51" s="21">
        <v>10744</v>
      </c>
      <c r="AU51" s="27" t="s">
        <v>1620</v>
      </c>
      <c r="AV51" s="21">
        <v>3</v>
      </c>
    </row>
    <row r="52" spans="2:48" x14ac:dyDescent="0.35">
      <c r="B52">
        <f t="shared" si="2"/>
        <v>45</v>
      </c>
      <c r="C52" s="27" t="s">
        <v>112</v>
      </c>
      <c r="D52" s="8">
        <v>2010.0748573279236</v>
      </c>
      <c r="E52" s="8">
        <v>4683.5500433423249</v>
      </c>
      <c r="F52" s="8">
        <v>1428.134794028789</v>
      </c>
      <c r="G52" s="8">
        <v>3246.8393375664432</v>
      </c>
      <c r="H52" s="8">
        <v>1058.5947152658473</v>
      </c>
      <c r="I52" s="8"/>
      <c r="J52" s="8"/>
      <c r="K52" s="8"/>
      <c r="L52" s="8"/>
      <c r="M52" s="8">
        <v>1450.2491083193609</v>
      </c>
      <c r="N52" s="8"/>
      <c r="O52" s="8"/>
      <c r="P52" s="8">
        <v>3165.541076722373</v>
      </c>
      <c r="Q52" s="8">
        <v>1944.4826721501686</v>
      </c>
      <c r="R52" s="8"/>
      <c r="S52" s="8"/>
      <c r="T52" s="8"/>
      <c r="U52" s="8"/>
      <c r="V52" s="8"/>
      <c r="W52" s="8"/>
      <c r="X52" s="8"/>
      <c r="Y52" s="8"/>
      <c r="Z52" s="8">
        <v>18987.466604723231</v>
      </c>
      <c r="AA52" s="8"/>
      <c r="AB52" s="8"/>
      <c r="AI52">
        <f t="shared" si="3"/>
        <v>45</v>
      </c>
      <c r="AJ52" s="27" t="s">
        <v>112</v>
      </c>
      <c r="AK52" s="8">
        <v>18987.466604723231</v>
      </c>
      <c r="AM52">
        <f t="shared" si="4"/>
        <v>45</v>
      </c>
      <c r="AN52" s="27" t="s">
        <v>197</v>
      </c>
      <c r="AO52" s="8">
        <v>19</v>
      </c>
      <c r="AR52" s="27" t="s">
        <v>301</v>
      </c>
      <c r="AS52" s="21">
        <v>10664</v>
      </c>
      <c r="AU52" s="27" t="s">
        <v>315</v>
      </c>
      <c r="AV52" s="21">
        <v>3</v>
      </c>
    </row>
    <row r="53" spans="2:48" x14ac:dyDescent="0.35">
      <c r="B53">
        <f t="shared" si="2"/>
        <v>46</v>
      </c>
      <c r="C53" s="27" t="s">
        <v>197</v>
      </c>
      <c r="D53" s="8">
        <v>1610.3658259170388</v>
      </c>
      <c r="E53" s="8">
        <v>903.08998699194353</v>
      </c>
      <c r="F53" s="8">
        <v>1197.2805581256191</v>
      </c>
      <c r="G53" s="8"/>
      <c r="H53" s="8"/>
      <c r="I53" s="8"/>
      <c r="J53" s="8"/>
      <c r="K53" s="8">
        <v>1371.0678622717362</v>
      </c>
      <c r="L53" s="8">
        <v>1758.4071921878863</v>
      </c>
      <c r="M53" s="8">
        <v>1420.5058365707789</v>
      </c>
      <c r="N53" s="8">
        <v>1568.201724066995</v>
      </c>
      <c r="O53" s="8"/>
      <c r="P53" s="8"/>
      <c r="Q53" s="8">
        <v>1686.2463184324783</v>
      </c>
      <c r="R53" s="8">
        <v>1889.4613219911844</v>
      </c>
      <c r="S53" s="8">
        <v>1381.4999531555113</v>
      </c>
      <c r="T53" s="8"/>
      <c r="U53" s="8">
        <v>2083.6586673740881</v>
      </c>
      <c r="V53" s="8"/>
      <c r="W53" s="8">
        <v>720.15930340595696</v>
      </c>
      <c r="X53" s="8">
        <v>1343.920485200332</v>
      </c>
      <c r="Y53" s="8"/>
      <c r="Z53" s="8">
        <v>18933.865035691553</v>
      </c>
      <c r="AA53" s="8"/>
      <c r="AB53" s="8"/>
      <c r="AI53">
        <f t="shared" si="3"/>
        <v>46</v>
      </c>
      <c r="AJ53" s="27" t="s">
        <v>197</v>
      </c>
      <c r="AK53" s="8">
        <v>18933.865035691553</v>
      </c>
      <c r="AM53">
        <f t="shared" si="4"/>
        <v>46</v>
      </c>
      <c r="AN53" s="27" t="s">
        <v>112</v>
      </c>
      <c r="AO53" s="8">
        <v>18</v>
      </c>
      <c r="AR53" s="27" t="s">
        <v>1563</v>
      </c>
      <c r="AS53" s="21">
        <v>10617</v>
      </c>
      <c r="AU53" s="30" t="s">
        <v>278</v>
      </c>
      <c r="AV53" s="29">
        <v>3</v>
      </c>
    </row>
    <row r="54" spans="2:48" x14ac:dyDescent="0.35">
      <c r="B54">
        <f t="shared" si="2"/>
        <v>47</v>
      </c>
      <c r="C54" s="27" t="s">
        <v>389</v>
      </c>
      <c r="D54" s="8">
        <v>836.14319736133041</v>
      </c>
      <c r="E54" s="8"/>
      <c r="F54" s="8">
        <v>2146.6447454142685</v>
      </c>
      <c r="G54" s="8">
        <v>1059.7028926517758</v>
      </c>
      <c r="H54" s="8">
        <v>1278.7536009528289</v>
      </c>
      <c r="I54" s="8">
        <v>1420.5058365707789</v>
      </c>
      <c r="J54" s="8"/>
      <c r="K54" s="8"/>
      <c r="L54" s="8">
        <v>1690.1960800285137</v>
      </c>
      <c r="M54" s="8">
        <v>862.4721360836794</v>
      </c>
      <c r="N54" s="8">
        <v>1106.4553309142871</v>
      </c>
      <c r="O54" s="8">
        <v>1065.0335949863324</v>
      </c>
      <c r="P54" s="8">
        <v>1066.9467896306132</v>
      </c>
      <c r="Q54" s="8"/>
      <c r="R54" s="8">
        <v>4347.362545520471</v>
      </c>
      <c r="S54" s="8"/>
      <c r="T54" s="8">
        <v>2042.3487548495773</v>
      </c>
      <c r="U54" s="8"/>
      <c r="V54" s="8"/>
      <c r="W54" s="8"/>
      <c r="X54" s="8"/>
      <c r="Y54" s="8"/>
      <c r="Z54" s="8">
        <v>18922.565504964456</v>
      </c>
      <c r="AA54" s="8"/>
      <c r="AB54" s="8"/>
      <c r="AI54">
        <f t="shared" si="3"/>
        <v>47</v>
      </c>
      <c r="AJ54" s="27" t="s">
        <v>389</v>
      </c>
      <c r="AK54" s="8">
        <v>18922.565504964456</v>
      </c>
      <c r="AM54">
        <f t="shared" si="4"/>
        <v>47</v>
      </c>
      <c r="AN54" s="30" t="s">
        <v>339</v>
      </c>
      <c r="AO54" s="31">
        <v>17</v>
      </c>
      <c r="AR54" s="27" t="s">
        <v>201</v>
      </c>
      <c r="AS54" s="21">
        <v>10598</v>
      </c>
      <c r="AU54" s="27" t="s">
        <v>233</v>
      </c>
      <c r="AV54" s="21">
        <v>3</v>
      </c>
    </row>
    <row r="55" spans="2:48" x14ac:dyDescent="0.35">
      <c r="B55">
        <f t="shared" si="2"/>
        <v>48</v>
      </c>
      <c r="C55" s="27" t="s">
        <v>365</v>
      </c>
      <c r="D55" s="8">
        <v>2588.8882530722676</v>
      </c>
      <c r="E55" s="8">
        <v>1962.1480204635125</v>
      </c>
      <c r="F55" s="8">
        <v>447.63232473999352</v>
      </c>
      <c r="G55" s="8">
        <v>3582.6314394896363</v>
      </c>
      <c r="H55" s="8">
        <v>2239.3133048584896</v>
      </c>
      <c r="I55" s="8">
        <v>1000</v>
      </c>
      <c r="J55" s="8">
        <v>2334.4537511509307</v>
      </c>
      <c r="K55" s="8">
        <v>899.19494310841958</v>
      </c>
      <c r="L55" s="8"/>
      <c r="M55" s="8">
        <v>1857.3324964312685</v>
      </c>
      <c r="N55" s="8"/>
      <c r="O55" s="8"/>
      <c r="P55" s="8">
        <v>1845.0980400142569</v>
      </c>
      <c r="Q55" s="8"/>
      <c r="R55" s="8"/>
      <c r="S55" s="8"/>
      <c r="T55" s="8"/>
      <c r="U55" s="8"/>
      <c r="V55" s="8"/>
      <c r="W55" s="8"/>
      <c r="X55" s="8"/>
      <c r="Y55" s="8"/>
      <c r="Z55" s="8">
        <v>18756.692573328775</v>
      </c>
      <c r="AA55" s="8"/>
      <c r="AB55" s="8"/>
      <c r="AI55">
        <f t="shared" si="3"/>
        <v>48</v>
      </c>
      <c r="AJ55" s="27" t="s">
        <v>365</v>
      </c>
      <c r="AK55" s="8">
        <v>18756.692573328775</v>
      </c>
      <c r="AM55">
        <f t="shared" si="4"/>
        <v>48</v>
      </c>
      <c r="AN55" s="27" t="s">
        <v>219</v>
      </c>
      <c r="AO55" s="8">
        <v>17</v>
      </c>
      <c r="AR55" s="27" t="s">
        <v>888</v>
      </c>
      <c r="AS55" s="21">
        <v>10593</v>
      </c>
      <c r="AU55" s="27" t="s">
        <v>2342</v>
      </c>
      <c r="AV55" s="21">
        <v>3</v>
      </c>
    </row>
    <row r="56" spans="2:48" x14ac:dyDescent="0.35">
      <c r="B56">
        <f t="shared" si="2"/>
        <v>49</v>
      </c>
      <c r="C56" s="30" t="s">
        <v>339</v>
      </c>
      <c r="D56" s="31"/>
      <c r="E56" s="31"/>
      <c r="F56" s="31"/>
      <c r="G56" s="31"/>
      <c r="H56" s="31"/>
      <c r="I56" s="31"/>
      <c r="J56" s="31">
        <v>1249.1983573911129</v>
      </c>
      <c r="K56" s="31">
        <v>2644.4385894678385</v>
      </c>
      <c r="L56" s="31">
        <v>1204.1199826559248</v>
      </c>
      <c r="M56" s="31">
        <v>2146.1280356782381</v>
      </c>
      <c r="N56" s="31"/>
      <c r="O56" s="31">
        <v>3016.4761942808645</v>
      </c>
      <c r="P56" s="31">
        <v>2945.2223166353406</v>
      </c>
      <c r="Q56" s="31"/>
      <c r="R56" s="31">
        <v>291.7882928169746</v>
      </c>
      <c r="S56" s="31">
        <v>1322.2192947339192</v>
      </c>
      <c r="T56" s="31">
        <v>2898.6154974161859</v>
      </c>
      <c r="U56" s="31"/>
      <c r="V56" s="31"/>
      <c r="W56" s="31"/>
      <c r="X56" s="31"/>
      <c r="Y56" s="31">
        <v>966.14173273903259</v>
      </c>
      <c r="Z56" s="31">
        <v>18684.34829381543</v>
      </c>
      <c r="AA56" s="8"/>
      <c r="AB56" s="8"/>
      <c r="AI56">
        <f t="shared" si="3"/>
        <v>49</v>
      </c>
      <c r="AJ56" s="30" t="s">
        <v>339</v>
      </c>
      <c r="AK56" s="31">
        <v>18684.348293815434</v>
      </c>
      <c r="AM56">
        <f t="shared" si="4"/>
        <v>49</v>
      </c>
      <c r="AN56" s="27" t="s">
        <v>902</v>
      </c>
      <c r="AO56" s="8">
        <v>17</v>
      </c>
      <c r="AR56" s="27" t="s">
        <v>120</v>
      </c>
      <c r="AS56" s="21">
        <v>10354</v>
      </c>
      <c r="AU56" s="27" t="s">
        <v>197</v>
      </c>
      <c r="AV56" s="21">
        <v>3</v>
      </c>
    </row>
    <row r="57" spans="2:48" x14ac:dyDescent="0.35">
      <c r="B57">
        <f t="shared" si="2"/>
        <v>50</v>
      </c>
      <c r="C57" s="27" t="s">
        <v>219</v>
      </c>
      <c r="D57" s="8">
        <v>1731.5806263109425</v>
      </c>
      <c r="E57" s="8"/>
      <c r="F57" s="8"/>
      <c r="G57" s="8"/>
      <c r="H57" s="8">
        <v>1232.9961103921537</v>
      </c>
      <c r="I57" s="8"/>
      <c r="J57" s="8"/>
      <c r="K57" s="8">
        <v>1137.1731930253115</v>
      </c>
      <c r="L57" s="8"/>
      <c r="M57" s="8">
        <v>1707.5701760979362</v>
      </c>
      <c r="N57" s="8">
        <v>942.00805302231322</v>
      </c>
      <c r="O57" s="8"/>
      <c r="P57" s="8"/>
      <c r="Q57" s="8"/>
      <c r="R57" s="8">
        <v>2619.0933306267425</v>
      </c>
      <c r="S57" s="8"/>
      <c r="T57" s="8"/>
      <c r="U57" s="8">
        <v>3685.5476805357303</v>
      </c>
      <c r="V57" s="8">
        <v>970.03677662255677</v>
      </c>
      <c r="W57" s="8"/>
      <c r="X57" s="8">
        <v>1792.8584219256613</v>
      </c>
      <c r="Y57" s="8">
        <v>2662.218000062157</v>
      </c>
      <c r="Z57" s="8">
        <v>18481.082368621504</v>
      </c>
      <c r="AA57" s="8"/>
      <c r="AB57" s="8"/>
      <c r="AI57">
        <f t="shared" si="3"/>
        <v>50</v>
      </c>
      <c r="AJ57" s="27" t="s">
        <v>219</v>
      </c>
      <c r="AK57" s="8">
        <v>18481.082368621504</v>
      </c>
      <c r="AM57">
        <f t="shared" si="4"/>
        <v>50</v>
      </c>
      <c r="AN57" s="27" t="s">
        <v>389</v>
      </c>
      <c r="AO57" s="8">
        <v>17</v>
      </c>
      <c r="AR57" s="27" t="s">
        <v>274</v>
      </c>
      <c r="AS57" s="21">
        <v>10010</v>
      </c>
      <c r="AU57" s="27" t="s">
        <v>201</v>
      </c>
      <c r="AV57" s="21">
        <v>3</v>
      </c>
    </row>
    <row r="58" spans="2:48" x14ac:dyDescent="0.35">
      <c r="B58">
        <f t="shared" si="2"/>
        <v>51</v>
      </c>
      <c r="C58" s="30" t="s">
        <v>284</v>
      </c>
      <c r="D58" s="31">
        <v>1381.1809010126613</v>
      </c>
      <c r="E58" s="31">
        <v>1435.8396094479058</v>
      </c>
      <c r="F58" s="31"/>
      <c r="G58" s="31"/>
      <c r="H58" s="31"/>
      <c r="I58" s="31">
        <v>1406.5401804339551</v>
      </c>
      <c r="J58" s="31">
        <v>1146.1280356782381</v>
      </c>
      <c r="K58" s="31">
        <v>3036.0643663072606</v>
      </c>
      <c r="L58" s="31">
        <v>1196.294645143968</v>
      </c>
      <c r="M58" s="31">
        <v>1806.7961284343498</v>
      </c>
      <c r="N58" s="31">
        <v>1166.331421766525</v>
      </c>
      <c r="O58" s="31"/>
      <c r="P58" s="31">
        <v>1575.7103184165703</v>
      </c>
      <c r="Q58" s="31">
        <v>2374.2594132459344</v>
      </c>
      <c r="R58" s="31"/>
      <c r="S58" s="31"/>
      <c r="T58" s="31">
        <v>687.97462003455553</v>
      </c>
      <c r="U58" s="31">
        <v>301.02999566398114</v>
      </c>
      <c r="V58" s="31">
        <v>460.40937697618767</v>
      </c>
      <c r="W58" s="31"/>
      <c r="X58" s="31"/>
      <c r="Y58" s="31">
        <v>442.30329064896523</v>
      </c>
      <c r="Z58" s="31">
        <v>18416.862303211055</v>
      </c>
      <c r="AA58" s="8"/>
      <c r="AB58" s="8"/>
      <c r="AI58">
        <f t="shared" si="3"/>
        <v>51</v>
      </c>
      <c r="AJ58" s="30" t="s">
        <v>284</v>
      </c>
      <c r="AK58" s="31">
        <v>18416.862303211055</v>
      </c>
      <c r="AM58">
        <f t="shared" si="4"/>
        <v>51</v>
      </c>
      <c r="AN58" s="27" t="s">
        <v>322</v>
      </c>
      <c r="AO58" s="8">
        <v>16</v>
      </c>
      <c r="AR58" s="27" t="s">
        <v>258</v>
      </c>
      <c r="AS58" s="21">
        <v>9927</v>
      </c>
      <c r="AU58" s="27" t="s">
        <v>587</v>
      </c>
      <c r="AV58" s="21">
        <v>3</v>
      </c>
    </row>
    <row r="59" spans="2:48" x14ac:dyDescent="0.35">
      <c r="B59">
        <f t="shared" si="2"/>
        <v>52</v>
      </c>
      <c r="C59" s="27" t="s">
        <v>270</v>
      </c>
      <c r="D59" s="8">
        <v>6428.6661181240006</v>
      </c>
      <c r="E59" s="8"/>
      <c r="F59" s="8">
        <v>2405.7825797500727</v>
      </c>
      <c r="G59" s="8">
        <v>1724.2758696007888</v>
      </c>
      <c r="H59" s="8">
        <v>2470.9981696608729</v>
      </c>
      <c r="I59" s="8"/>
      <c r="J59" s="8"/>
      <c r="K59" s="8"/>
      <c r="L59" s="8">
        <v>2200.2118967002393</v>
      </c>
      <c r="M59" s="8">
        <v>1770.8520116421441</v>
      </c>
      <c r="N59" s="8">
        <v>1138.3026981662815</v>
      </c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>
        <v>18139.089343644398</v>
      </c>
      <c r="AA59" s="8"/>
      <c r="AB59" s="8"/>
      <c r="AI59">
        <f t="shared" si="3"/>
        <v>52</v>
      </c>
      <c r="AJ59" s="27" t="s">
        <v>270</v>
      </c>
      <c r="AK59" s="8">
        <v>18139.089343644398</v>
      </c>
      <c r="AM59">
        <f t="shared" si="4"/>
        <v>52</v>
      </c>
      <c r="AN59" s="27" t="s">
        <v>400</v>
      </c>
      <c r="AO59" s="8">
        <v>16</v>
      </c>
      <c r="AR59" s="30" t="s">
        <v>286</v>
      </c>
      <c r="AS59" s="29">
        <v>9905</v>
      </c>
      <c r="AU59" s="27" t="s">
        <v>365</v>
      </c>
      <c r="AV59" s="21">
        <v>2</v>
      </c>
    </row>
    <row r="60" spans="2:48" x14ac:dyDescent="0.35">
      <c r="B60">
        <f t="shared" si="2"/>
        <v>53</v>
      </c>
      <c r="C60" s="27" t="s">
        <v>325</v>
      </c>
      <c r="D60" s="8"/>
      <c r="E60" s="8">
        <v>1670.2458530741237</v>
      </c>
      <c r="F60" s="8"/>
      <c r="G60" s="8">
        <v>1560.3052432209611</v>
      </c>
      <c r="H60" s="8"/>
      <c r="I60" s="8"/>
      <c r="J60" s="8"/>
      <c r="K60" s="8">
        <v>3087.9390850764412</v>
      </c>
      <c r="L60" s="8"/>
      <c r="M60" s="8">
        <v>2934.4984512435676</v>
      </c>
      <c r="N60" s="8">
        <v>1255.2725051033062</v>
      </c>
      <c r="O60" s="8"/>
      <c r="P60" s="8"/>
      <c r="Q60" s="8"/>
      <c r="R60" s="8"/>
      <c r="S60" s="8"/>
      <c r="T60" s="8">
        <v>1552.2625229655473</v>
      </c>
      <c r="U60" s="8"/>
      <c r="V60" s="8">
        <v>3342.4226808222061</v>
      </c>
      <c r="W60" s="8"/>
      <c r="X60" s="8">
        <v>880.81359228079123</v>
      </c>
      <c r="Y60" s="8">
        <v>1809.2710509610292</v>
      </c>
      <c r="Z60" s="8">
        <v>18093.030984747973</v>
      </c>
      <c r="AA60" s="8"/>
      <c r="AB60" s="8"/>
      <c r="AI60">
        <f t="shared" si="3"/>
        <v>53</v>
      </c>
      <c r="AJ60" s="27" t="s">
        <v>325</v>
      </c>
      <c r="AK60" s="8">
        <v>18093.030984747973</v>
      </c>
      <c r="AM60">
        <f t="shared" si="4"/>
        <v>53</v>
      </c>
      <c r="AN60" s="27" t="s">
        <v>270</v>
      </c>
      <c r="AO60" s="8">
        <v>16</v>
      </c>
      <c r="AR60" s="27" t="s">
        <v>2338</v>
      </c>
      <c r="AS60" s="21">
        <v>9801</v>
      </c>
      <c r="AU60" s="27" t="s">
        <v>904</v>
      </c>
      <c r="AV60" s="21">
        <v>2</v>
      </c>
    </row>
    <row r="61" spans="2:48" x14ac:dyDescent="0.35">
      <c r="B61">
        <f t="shared" si="2"/>
        <v>54</v>
      </c>
      <c r="C61" s="27" t="s">
        <v>532</v>
      </c>
      <c r="D61" s="8"/>
      <c r="E61" s="8">
        <v>1836.7459656494909</v>
      </c>
      <c r="F61" s="8"/>
      <c r="G61" s="8"/>
      <c r="H61" s="8"/>
      <c r="I61" s="8">
        <v>1295.5670999624788</v>
      </c>
      <c r="J61" s="8"/>
      <c r="K61" s="8"/>
      <c r="L61" s="8">
        <v>1348.9535479811641</v>
      </c>
      <c r="M61" s="8"/>
      <c r="N61" s="8"/>
      <c r="O61" s="8"/>
      <c r="P61" s="8">
        <v>1157.6078533616683</v>
      </c>
      <c r="Q61" s="8">
        <v>1290.034611362518</v>
      </c>
      <c r="R61" s="8"/>
      <c r="S61" s="8">
        <v>911.36251295793375</v>
      </c>
      <c r="T61" s="8">
        <v>1802.7737252919756</v>
      </c>
      <c r="U61" s="8"/>
      <c r="V61" s="8"/>
      <c r="W61" s="8"/>
      <c r="X61" s="8"/>
      <c r="Y61" s="8">
        <v>8374.8418741739933</v>
      </c>
      <c r="Z61" s="8">
        <v>18017.887190741225</v>
      </c>
      <c r="AA61" s="8"/>
      <c r="AB61" s="8"/>
      <c r="AI61">
        <f t="shared" si="3"/>
        <v>54</v>
      </c>
      <c r="AJ61" s="27" t="s">
        <v>532</v>
      </c>
      <c r="AK61" s="8">
        <v>18017.887190741225</v>
      </c>
      <c r="AM61">
        <f t="shared" si="4"/>
        <v>54</v>
      </c>
      <c r="AN61" s="27" t="s">
        <v>469</v>
      </c>
      <c r="AO61" s="8">
        <v>16</v>
      </c>
      <c r="AR61" s="27" t="s">
        <v>132</v>
      </c>
      <c r="AS61" s="21">
        <v>9749.5</v>
      </c>
      <c r="AU61" s="27" t="s">
        <v>1173</v>
      </c>
      <c r="AV61" s="21">
        <v>2</v>
      </c>
    </row>
    <row r="62" spans="2:48" x14ac:dyDescent="0.35">
      <c r="B62">
        <f t="shared" si="2"/>
        <v>55</v>
      </c>
      <c r="C62" s="27" t="s">
        <v>120</v>
      </c>
      <c r="D62" s="8"/>
      <c r="E62" s="8"/>
      <c r="F62" s="8"/>
      <c r="G62" s="8"/>
      <c r="H62" s="8"/>
      <c r="I62" s="8"/>
      <c r="J62" s="8">
        <v>1352.1825181113625</v>
      </c>
      <c r="K62" s="8">
        <v>1957.2480195790499</v>
      </c>
      <c r="L62" s="8"/>
      <c r="M62" s="8">
        <v>1380.2112417116059</v>
      </c>
      <c r="N62" s="8">
        <v>1267.1717284030137</v>
      </c>
      <c r="O62" s="8">
        <v>2374.3816980508823</v>
      </c>
      <c r="P62" s="8">
        <v>2033.4237554869496</v>
      </c>
      <c r="Q62" s="8"/>
      <c r="R62" s="8">
        <v>940.2317949965103</v>
      </c>
      <c r="S62" s="8"/>
      <c r="T62" s="8">
        <v>2909.6897200170206</v>
      </c>
      <c r="U62" s="8">
        <v>1028.0287236002434</v>
      </c>
      <c r="V62" s="8"/>
      <c r="W62" s="8"/>
      <c r="X62" s="8">
        <v>1079.1812460476247</v>
      </c>
      <c r="Y62" s="8">
        <v>1690.1960800285137</v>
      </c>
      <c r="Z62" s="8">
        <v>18011.946526032778</v>
      </c>
      <c r="AA62" s="8"/>
      <c r="AB62" s="8"/>
      <c r="AI62">
        <f t="shared" si="3"/>
        <v>55</v>
      </c>
      <c r="AJ62" s="27" t="s">
        <v>120</v>
      </c>
      <c r="AK62" s="8">
        <v>18011.946526032778</v>
      </c>
      <c r="AM62">
        <f t="shared" si="4"/>
        <v>55</v>
      </c>
      <c r="AN62" s="27" t="s">
        <v>301</v>
      </c>
      <c r="AO62" s="8">
        <v>16</v>
      </c>
      <c r="AR62" s="27" t="s">
        <v>134</v>
      </c>
      <c r="AS62" s="21">
        <v>9683</v>
      </c>
      <c r="AU62" s="27" t="s">
        <v>1542</v>
      </c>
      <c r="AV62" s="21">
        <v>2</v>
      </c>
    </row>
    <row r="63" spans="2:48" x14ac:dyDescent="0.35">
      <c r="B63">
        <f t="shared" si="2"/>
        <v>56</v>
      </c>
      <c r="C63" s="27" t="s">
        <v>400</v>
      </c>
      <c r="D63" s="8">
        <v>1798.4204336816472</v>
      </c>
      <c r="E63" s="8">
        <v>887.29571980871185</v>
      </c>
      <c r="F63" s="8"/>
      <c r="G63" s="8">
        <v>1247.1546148811265</v>
      </c>
      <c r="H63" s="8"/>
      <c r="I63" s="8"/>
      <c r="J63" s="8"/>
      <c r="K63" s="8"/>
      <c r="L63" s="8"/>
      <c r="M63" s="8">
        <v>879.17782958653208</v>
      </c>
      <c r="N63" s="8"/>
      <c r="O63" s="8"/>
      <c r="P63" s="8">
        <v>3197.7628396653572</v>
      </c>
      <c r="Q63" s="8"/>
      <c r="R63" s="8">
        <v>1041.3926851582248</v>
      </c>
      <c r="S63" s="8"/>
      <c r="T63" s="8"/>
      <c r="U63" s="8">
        <v>3205.4209156763427</v>
      </c>
      <c r="V63" s="8"/>
      <c r="W63" s="8"/>
      <c r="X63" s="8">
        <v>2726.9987279362622</v>
      </c>
      <c r="Y63" s="8">
        <v>2828.4450587956417</v>
      </c>
      <c r="Z63" s="8">
        <v>17812.068825189846</v>
      </c>
      <c r="AA63" s="8"/>
      <c r="AB63" s="8"/>
      <c r="AI63">
        <f t="shared" si="3"/>
        <v>56</v>
      </c>
      <c r="AJ63" s="27" t="s">
        <v>400</v>
      </c>
      <c r="AK63" s="8">
        <v>17812.068825189846</v>
      </c>
      <c r="AM63">
        <f t="shared" si="4"/>
        <v>56</v>
      </c>
      <c r="AN63" t="s">
        <v>2372</v>
      </c>
      <c r="AO63" s="8">
        <v>15</v>
      </c>
      <c r="AR63" t="s">
        <v>2321</v>
      </c>
      <c r="AS63" s="21">
        <v>9634</v>
      </c>
      <c r="AU63" s="27" t="s">
        <v>532</v>
      </c>
      <c r="AV63" s="21">
        <v>2</v>
      </c>
    </row>
    <row r="64" spans="2:48" x14ac:dyDescent="0.35">
      <c r="B64">
        <f t="shared" si="2"/>
        <v>57</v>
      </c>
      <c r="C64" s="27" t="s">
        <v>134</v>
      </c>
      <c r="D64" s="8">
        <v>963.63997223427737</v>
      </c>
      <c r="E64" s="8"/>
      <c r="F64" s="8">
        <v>1649.9835436451453</v>
      </c>
      <c r="G64" s="8">
        <v>879.17782958653208</v>
      </c>
      <c r="H64" s="8">
        <v>1931.9661147281724</v>
      </c>
      <c r="I64" s="8"/>
      <c r="J64" s="8"/>
      <c r="K64" s="8">
        <v>806.17997398388718</v>
      </c>
      <c r="L64" s="8"/>
      <c r="M64" s="8"/>
      <c r="N64" s="8"/>
      <c r="O64" s="8"/>
      <c r="P64" s="8">
        <v>2692.84691927723</v>
      </c>
      <c r="Q64" s="8"/>
      <c r="R64" s="8"/>
      <c r="S64" s="8"/>
      <c r="T64" s="8">
        <v>5097.5696394313718</v>
      </c>
      <c r="U64" s="8">
        <v>1770.8520116421441</v>
      </c>
      <c r="V64" s="8">
        <v>548.45500650402823</v>
      </c>
      <c r="W64" s="8"/>
      <c r="X64" s="8">
        <v>1431.3637641589874</v>
      </c>
      <c r="Y64" s="8"/>
      <c r="Z64" s="8">
        <v>17772.034775191772</v>
      </c>
      <c r="AA64" s="8"/>
      <c r="AB64" s="8"/>
      <c r="AI64">
        <f t="shared" si="3"/>
        <v>57</v>
      </c>
      <c r="AJ64" s="27" t="s">
        <v>134</v>
      </c>
      <c r="AK64" s="8">
        <v>17772.034775191772</v>
      </c>
      <c r="AM64">
        <f t="shared" si="4"/>
        <v>57</v>
      </c>
      <c r="AN64" s="27" t="s">
        <v>1500</v>
      </c>
      <c r="AO64" s="8">
        <v>15</v>
      </c>
      <c r="AR64" s="27" t="s">
        <v>1542</v>
      </c>
      <c r="AS64" s="21">
        <v>9620</v>
      </c>
      <c r="AU64" s="27" t="s">
        <v>152</v>
      </c>
      <c r="AV64" s="21">
        <v>2</v>
      </c>
    </row>
    <row r="65" spans="2:48" x14ac:dyDescent="0.35">
      <c r="B65">
        <f t="shared" si="2"/>
        <v>58</v>
      </c>
      <c r="C65" s="27" t="s">
        <v>225</v>
      </c>
      <c r="D65" s="8"/>
      <c r="E65" s="8"/>
      <c r="F65" s="8"/>
      <c r="G65" s="8"/>
      <c r="H65" s="8"/>
      <c r="I65" s="8">
        <v>1610.6601630898799</v>
      </c>
      <c r="J65" s="8">
        <v>1306.4250275506874</v>
      </c>
      <c r="K65" s="8"/>
      <c r="L65" s="8">
        <v>1389.1660843645325</v>
      </c>
      <c r="M65" s="8">
        <v>1293.7307569224818</v>
      </c>
      <c r="N65" s="8">
        <v>3374.3816980508823</v>
      </c>
      <c r="O65" s="8">
        <v>1525.0448070368452</v>
      </c>
      <c r="P65" s="8">
        <v>1883.6614351536175</v>
      </c>
      <c r="Q65" s="8">
        <v>1732.3937598229686</v>
      </c>
      <c r="R65" s="8">
        <v>1301.0299956639813</v>
      </c>
      <c r="S65" s="8"/>
      <c r="T65" s="8"/>
      <c r="U65" s="8"/>
      <c r="V65" s="8">
        <v>909.8233696509119</v>
      </c>
      <c r="W65" s="8">
        <v>964.83558293674912</v>
      </c>
      <c r="X65" s="8"/>
      <c r="Y65" s="8"/>
      <c r="Z65" s="8">
        <v>17291.152680243536</v>
      </c>
      <c r="AA65" s="8"/>
      <c r="AB65" s="8"/>
      <c r="AI65">
        <f t="shared" si="3"/>
        <v>58</v>
      </c>
      <c r="AJ65" s="27" t="s">
        <v>225</v>
      </c>
      <c r="AK65" s="8">
        <v>17291.152680243536</v>
      </c>
      <c r="AM65">
        <f t="shared" si="4"/>
        <v>58</v>
      </c>
      <c r="AN65" s="27" t="s">
        <v>693</v>
      </c>
      <c r="AO65" s="8">
        <v>15</v>
      </c>
      <c r="AR65" s="27" t="s">
        <v>315</v>
      </c>
      <c r="AS65" s="21">
        <v>9568</v>
      </c>
      <c r="AU65" t="s">
        <v>2501</v>
      </c>
      <c r="AV65" s="21">
        <v>2</v>
      </c>
    </row>
    <row r="66" spans="2:48" x14ac:dyDescent="0.35">
      <c r="B66">
        <f t="shared" si="2"/>
        <v>59</v>
      </c>
      <c r="C66" s="27" t="s">
        <v>233</v>
      </c>
      <c r="D66" s="8">
        <v>1963.7878273455553</v>
      </c>
      <c r="E66" s="8">
        <v>1604.765884703887</v>
      </c>
      <c r="F66" s="8">
        <v>2659.2028774645314</v>
      </c>
      <c r="G66" s="8">
        <v>1435.3665066126612</v>
      </c>
      <c r="H66" s="8"/>
      <c r="I66" s="8"/>
      <c r="J66" s="8"/>
      <c r="K66" s="8"/>
      <c r="L66" s="8"/>
      <c r="M66" s="8">
        <v>1511.8833609788744</v>
      </c>
      <c r="N66" s="8">
        <v>1923.1497809209118</v>
      </c>
      <c r="O66" s="8"/>
      <c r="P66" s="8">
        <v>1060.6978403536118</v>
      </c>
      <c r="Q66" s="8">
        <v>1467.3614174305062</v>
      </c>
      <c r="R66" s="8"/>
      <c r="S66" s="8">
        <v>1840.9420802430991</v>
      </c>
      <c r="T66" s="8"/>
      <c r="U66" s="8"/>
      <c r="V66" s="8"/>
      <c r="W66" s="8">
        <v>884.60658129793046</v>
      </c>
      <c r="X66" s="8"/>
      <c r="Y66" s="8">
        <v>937.85209325115557</v>
      </c>
      <c r="Z66" s="8">
        <v>17289.616250602725</v>
      </c>
      <c r="AA66" s="8"/>
      <c r="AB66" s="8"/>
      <c r="AI66">
        <f t="shared" si="3"/>
        <v>59</v>
      </c>
      <c r="AJ66" s="27" t="s">
        <v>233</v>
      </c>
      <c r="AK66" s="8">
        <v>17289.616250602721</v>
      </c>
      <c r="AM66">
        <f t="shared" si="4"/>
        <v>59</v>
      </c>
      <c r="AN66" s="27" t="s">
        <v>1173</v>
      </c>
      <c r="AO66" s="8">
        <v>15</v>
      </c>
      <c r="AR66" s="27" t="s">
        <v>1065</v>
      </c>
      <c r="AS66" s="21">
        <v>9495</v>
      </c>
      <c r="AU66" s="27" t="s">
        <v>389</v>
      </c>
      <c r="AV66" s="21">
        <v>2</v>
      </c>
    </row>
    <row r="67" spans="2:48" x14ac:dyDescent="0.35">
      <c r="B67">
        <f t="shared" si="2"/>
        <v>60</v>
      </c>
      <c r="C67" t="s">
        <v>2372</v>
      </c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>
        <v>4105.5101847699743</v>
      </c>
      <c r="S67" s="8">
        <v>2255.2725051033062</v>
      </c>
      <c r="T67" s="8">
        <v>3168.8971636343672</v>
      </c>
      <c r="U67" s="8"/>
      <c r="V67" s="8">
        <v>1021.1892990699381</v>
      </c>
      <c r="W67" s="8">
        <v>2889.1148689986308</v>
      </c>
      <c r="X67" s="8">
        <v>804.48018910599274</v>
      </c>
      <c r="Y67" s="8">
        <v>3022.4283711854864</v>
      </c>
      <c r="Z67" s="8">
        <v>17266.892581867694</v>
      </c>
      <c r="AA67" s="8"/>
      <c r="AB67" s="8"/>
      <c r="AI67">
        <f t="shared" si="3"/>
        <v>60</v>
      </c>
      <c r="AJ67" t="s">
        <v>2372</v>
      </c>
      <c r="AK67" s="8">
        <v>17266.892581867694</v>
      </c>
      <c r="AM67">
        <f t="shared" si="4"/>
        <v>60</v>
      </c>
      <c r="AN67" s="27" t="s">
        <v>274</v>
      </c>
      <c r="AO67" s="8">
        <v>15</v>
      </c>
      <c r="AR67" s="27" t="s">
        <v>208</v>
      </c>
      <c r="AS67" s="21">
        <v>9437</v>
      </c>
      <c r="AU67" s="27" t="s">
        <v>225</v>
      </c>
      <c r="AV67" s="21">
        <v>2</v>
      </c>
    </row>
    <row r="68" spans="2:48" x14ac:dyDescent="0.35">
      <c r="B68">
        <f t="shared" si="2"/>
        <v>61</v>
      </c>
      <c r="C68" s="28" t="s">
        <v>283</v>
      </c>
      <c r="D68" s="12">
        <v>1350.2480183341629</v>
      </c>
      <c r="E68" s="12">
        <v>1079.1812460476247</v>
      </c>
      <c r="F68" s="12"/>
      <c r="G68" s="12">
        <v>1452.2976709946302</v>
      </c>
      <c r="H68" s="12"/>
      <c r="I68" s="12">
        <v>823.90874094431865</v>
      </c>
      <c r="J68" s="12"/>
      <c r="K68" s="12">
        <v>1684.2467475153123</v>
      </c>
      <c r="L68" s="12">
        <v>2526.4828695491624</v>
      </c>
      <c r="M68" s="12">
        <v>2464.924976359192</v>
      </c>
      <c r="N68" s="12">
        <v>1245.5126678141498</v>
      </c>
      <c r="O68" s="12">
        <v>3355.0682063488507</v>
      </c>
      <c r="P68" s="12"/>
      <c r="Q68" s="12"/>
      <c r="R68" s="12"/>
      <c r="S68" s="12">
        <v>1158.3624920952498</v>
      </c>
      <c r="T68" s="12"/>
      <c r="U68" s="12"/>
      <c r="V68" s="12"/>
      <c r="W68" s="12"/>
      <c r="X68" s="12"/>
      <c r="Y68" s="12"/>
      <c r="Z68" s="12">
        <v>17140.233636002653</v>
      </c>
      <c r="AA68" s="8"/>
      <c r="AB68" s="8"/>
      <c r="AI68">
        <f t="shared" si="3"/>
        <v>61</v>
      </c>
      <c r="AJ68" s="28" t="s">
        <v>283</v>
      </c>
      <c r="AK68" s="12">
        <v>17140.233636002653</v>
      </c>
      <c r="AM68">
        <f t="shared" si="4"/>
        <v>61</v>
      </c>
      <c r="AN68" s="27" t="s">
        <v>120</v>
      </c>
      <c r="AO68" s="8">
        <v>15</v>
      </c>
      <c r="AR68" s="27" t="s">
        <v>143</v>
      </c>
      <c r="AS68" s="21">
        <v>9374.5</v>
      </c>
      <c r="AU68" s="27" t="s">
        <v>1524</v>
      </c>
      <c r="AV68" s="21">
        <v>2</v>
      </c>
    </row>
    <row r="69" spans="2:48" x14ac:dyDescent="0.35">
      <c r="B69">
        <f t="shared" si="2"/>
        <v>62</v>
      </c>
      <c r="C69" s="27" t="s">
        <v>132</v>
      </c>
      <c r="D69" s="8">
        <v>1614.130902466482</v>
      </c>
      <c r="E69" s="8">
        <v>2368.6311178015981</v>
      </c>
      <c r="F69" s="8"/>
      <c r="G69" s="8"/>
      <c r="H69" s="8"/>
      <c r="I69" s="8"/>
      <c r="J69" s="8">
        <v>692.23662167705049</v>
      </c>
      <c r="K69" s="8">
        <v>772.03402217513781</v>
      </c>
      <c r="L69" s="8"/>
      <c r="M69" s="8">
        <v>772.03402217513781</v>
      </c>
      <c r="N69" s="8"/>
      <c r="O69" s="8">
        <v>1135.6626020000731</v>
      </c>
      <c r="P69" s="8">
        <v>1012.2344564170116</v>
      </c>
      <c r="Q69" s="8">
        <v>1122.2158782728266</v>
      </c>
      <c r="R69" s="8"/>
      <c r="S69" s="8">
        <v>845.09804001425687</v>
      </c>
      <c r="T69" s="8">
        <v>1278.7536009528292</v>
      </c>
      <c r="U69" s="8">
        <v>1630.0887149282057</v>
      </c>
      <c r="V69" s="8">
        <v>460.40937697618767</v>
      </c>
      <c r="W69" s="8"/>
      <c r="X69" s="8">
        <v>1322.2192947339192</v>
      </c>
      <c r="Y69" s="8">
        <v>1831.4693750134977</v>
      </c>
      <c r="Z69" s="8">
        <v>16857.218025604212</v>
      </c>
      <c r="AA69" s="8"/>
      <c r="AB69" s="8"/>
      <c r="AI69">
        <f t="shared" si="3"/>
        <v>62</v>
      </c>
      <c r="AJ69" s="27" t="s">
        <v>132</v>
      </c>
      <c r="AK69" s="8">
        <v>16857.218025604212</v>
      </c>
      <c r="AM69">
        <f t="shared" si="4"/>
        <v>62</v>
      </c>
      <c r="AN69" s="27" t="s">
        <v>233</v>
      </c>
      <c r="AO69" s="8">
        <v>15</v>
      </c>
      <c r="AR69" s="27" t="s">
        <v>230</v>
      </c>
      <c r="AS69" s="21">
        <v>9284</v>
      </c>
      <c r="AU69" s="27" t="s">
        <v>258</v>
      </c>
      <c r="AV69" s="21">
        <v>2</v>
      </c>
    </row>
    <row r="70" spans="2:48" x14ac:dyDescent="0.35">
      <c r="B70">
        <f t="shared" si="2"/>
        <v>63</v>
      </c>
      <c r="C70" s="27" t="s">
        <v>1500</v>
      </c>
      <c r="D70" s="8"/>
      <c r="E70" s="8"/>
      <c r="F70" s="8"/>
      <c r="G70" s="8"/>
      <c r="H70" s="8"/>
      <c r="I70" s="8"/>
      <c r="J70" s="8"/>
      <c r="K70" s="8"/>
      <c r="L70" s="8">
        <v>2995.4326790975392</v>
      </c>
      <c r="M70" s="8">
        <v>2584.9473788179935</v>
      </c>
      <c r="N70" s="8"/>
      <c r="O70" s="8">
        <v>2156.6183281723388</v>
      </c>
      <c r="P70" s="8">
        <v>1304.1210726411227</v>
      </c>
      <c r="Q70" s="8"/>
      <c r="R70" s="8">
        <v>1748.1880270062004</v>
      </c>
      <c r="S70" s="8">
        <v>3121.5598441875009</v>
      </c>
      <c r="T70" s="8">
        <v>1531.478917042255</v>
      </c>
      <c r="U70" s="8">
        <v>451.54499349597177</v>
      </c>
      <c r="V70" s="8"/>
      <c r="W70" s="8"/>
      <c r="X70" s="8">
        <v>801.63234623316646</v>
      </c>
      <c r="Y70" s="8"/>
      <c r="Z70" s="8">
        <v>16695.523586694089</v>
      </c>
      <c r="AA70" s="8"/>
      <c r="AB70" s="8"/>
      <c r="AI70">
        <f t="shared" si="3"/>
        <v>63</v>
      </c>
      <c r="AJ70" s="27" t="s">
        <v>1500</v>
      </c>
      <c r="AK70" s="8">
        <v>16695.523586694089</v>
      </c>
      <c r="AM70">
        <f t="shared" si="4"/>
        <v>63</v>
      </c>
      <c r="AN70" s="27" t="s">
        <v>755</v>
      </c>
      <c r="AO70" s="8">
        <v>15</v>
      </c>
      <c r="AR70" s="27" t="s">
        <v>755</v>
      </c>
      <c r="AS70" s="21">
        <v>9064</v>
      </c>
      <c r="AU70" s="27" t="s">
        <v>1661</v>
      </c>
      <c r="AV70" s="21">
        <v>2</v>
      </c>
    </row>
    <row r="71" spans="2:48" x14ac:dyDescent="0.35">
      <c r="B71">
        <f t="shared" si="2"/>
        <v>64</v>
      </c>
      <c r="C71" s="27" t="s">
        <v>322</v>
      </c>
      <c r="D71" s="8">
        <v>531.47891704225492</v>
      </c>
      <c r="E71" s="8"/>
      <c r="F71" s="8">
        <v>1021.1892990699381</v>
      </c>
      <c r="G71" s="8"/>
      <c r="H71" s="8"/>
      <c r="I71" s="8"/>
      <c r="J71" s="8">
        <v>4375.8464363091562</v>
      </c>
      <c r="K71" s="8">
        <v>3326.9550709283976</v>
      </c>
      <c r="L71" s="8"/>
      <c r="M71" s="8">
        <v>1596.59709562646</v>
      </c>
      <c r="N71" s="8">
        <v>1313.2644520809929</v>
      </c>
      <c r="O71" s="8">
        <v>2379.8917900738825</v>
      </c>
      <c r="P71" s="8"/>
      <c r="Q71" s="8"/>
      <c r="R71" s="8"/>
      <c r="S71" s="8"/>
      <c r="T71" s="8">
        <v>910.77681565823468</v>
      </c>
      <c r="U71" s="8"/>
      <c r="V71" s="8">
        <v>548.45500650402823</v>
      </c>
      <c r="W71" s="8"/>
      <c r="X71" s="8">
        <v>477.12125471966249</v>
      </c>
      <c r="Y71" s="8"/>
      <c r="Z71" s="8">
        <v>16481.57613801301</v>
      </c>
      <c r="AA71" s="8"/>
      <c r="AB71" s="8"/>
      <c r="AI71">
        <f t="shared" si="3"/>
        <v>64</v>
      </c>
      <c r="AJ71" s="27" t="s">
        <v>322</v>
      </c>
      <c r="AK71" s="8">
        <v>16481.576138013006</v>
      </c>
      <c r="AM71">
        <f t="shared" si="4"/>
        <v>64</v>
      </c>
      <c r="AN71" s="27" t="s">
        <v>258</v>
      </c>
      <c r="AO71" s="8">
        <v>14</v>
      </c>
      <c r="AR71" s="27" t="s">
        <v>225</v>
      </c>
      <c r="AS71" s="21">
        <v>9052</v>
      </c>
      <c r="AU71" s="27" t="s">
        <v>290</v>
      </c>
      <c r="AV71" s="21">
        <v>2</v>
      </c>
    </row>
    <row r="72" spans="2:48" x14ac:dyDescent="0.35">
      <c r="B72">
        <f t="shared" si="2"/>
        <v>65</v>
      </c>
      <c r="C72" s="27" t="s">
        <v>755</v>
      </c>
      <c r="D72" s="8">
        <v>1904.3290591074924</v>
      </c>
      <c r="E72" s="8">
        <v>994.53710429849787</v>
      </c>
      <c r="F72" s="8"/>
      <c r="G72" s="8"/>
      <c r="H72" s="8"/>
      <c r="I72" s="8">
        <v>1153.8148643445293</v>
      </c>
      <c r="J72" s="8">
        <v>1843.0250313913918</v>
      </c>
      <c r="K72" s="8"/>
      <c r="L72" s="8"/>
      <c r="M72" s="8">
        <v>1547.1591213274171</v>
      </c>
      <c r="N72" s="8"/>
      <c r="O72" s="8"/>
      <c r="P72" s="8"/>
      <c r="Q72" s="8"/>
      <c r="R72" s="8"/>
      <c r="S72" s="8">
        <v>2760.4224834232118</v>
      </c>
      <c r="T72" s="8"/>
      <c r="U72" s="8">
        <v>1591.0646070264991</v>
      </c>
      <c r="V72" s="8">
        <v>1564.2714304385627</v>
      </c>
      <c r="W72" s="8"/>
      <c r="X72" s="8">
        <v>3008.9548426529263</v>
      </c>
      <c r="Y72" s="8"/>
      <c r="Z72" s="8">
        <v>16367.578544010528</v>
      </c>
      <c r="AA72" s="8"/>
      <c r="AB72" s="8"/>
      <c r="AI72">
        <f t="shared" si="3"/>
        <v>65</v>
      </c>
      <c r="AJ72" s="27" t="s">
        <v>755</v>
      </c>
      <c r="AK72" s="8">
        <v>16367.578544010526</v>
      </c>
      <c r="AM72">
        <f t="shared" si="4"/>
        <v>65</v>
      </c>
      <c r="AN72" s="27" t="s">
        <v>586</v>
      </c>
      <c r="AO72" s="8">
        <v>14</v>
      </c>
      <c r="AR72" s="27" t="s">
        <v>454</v>
      </c>
      <c r="AS72" s="21">
        <v>9006</v>
      </c>
      <c r="AU72" s="27" t="s">
        <v>1637</v>
      </c>
      <c r="AV72" s="21">
        <v>2</v>
      </c>
    </row>
    <row r="73" spans="2:48" x14ac:dyDescent="0.35">
      <c r="B73">
        <f t="shared" si="2"/>
        <v>66</v>
      </c>
      <c r="C73" s="27" t="s">
        <v>586</v>
      </c>
      <c r="D73" s="8"/>
      <c r="E73" s="8"/>
      <c r="F73" s="8"/>
      <c r="G73" s="8"/>
      <c r="H73" s="8">
        <v>3335.0565194390911</v>
      </c>
      <c r="I73" s="8">
        <v>505.14997831990593</v>
      </c>
      <c r="J73" s="8">
        <v>1528.6310741694288</v>
      </c>
      <c r="K73" s="8">
        <v>2133.5389083702175</v>
      </c>
      <c r="L73" s="8">
        <v>1087.1501757189001</v>
      </c>
      <c r="M73" s="8">
        <v>3166.4724035830213</v>
      </c>
      <c r="N73" s="8"/>
      <c r="O73" s="8">
        <v>1333.8789072789123</v>
      </c>
      <c r="P73" s="8"/>
      <c r="Q73" s="8"/>
      <c r="R73" s="8">
        <v>1322.2192947339192</v>
      </c>
      <c r="S73" s="8"/>
      <c r="T73" s="8"/>
      <c r="U73" s="8">
        <v>1587.3367345072561</v>
      </c>
      <c r="V73" s="8"/>
      <c r="W73" s="8"/>
      <c r="X73" s="8"/>
      <c r="Y73" s="8"/>
      <c r="Z73" s="8">
        <v>15999.433996120653</v>
      </c>
      <c r="AA73" s="8"/>
      <c r="AB73" s="8"/>
      <c r="AI73">
        <f t="shared" si="3"/>
        <v>66</v>
      </c>
      <c r="AJ73" s="27" t="s">
        <v>586</v>
      </c>
      <c r="AK73" s="8">
        <v>15999.43399612065</v>
      </c>
      <c r="AM73">
        <f t="shared" si="4"/>
        <v>66</v>
      </c>
      <c r="AN73" s="28" t="s">
        <v>283</v>
      </c>
      <c r="AO73" s="12">
        <v>14</v>
      </c>
      <c r="AR73" s="27" t="s">
        <v>228</v>
      </c>
      <c r="AS73" s="21">
        <v>8909</v>
      </c>
      <c r="AU73" t="s">
        <v>2433</v>
      </c>
      <c r="AV73" s="21">
        <v>2</v>
      </c>
    </row>
    <row r="74" spans="2:48" x14ac:dyDescent="0.35">
      <c r="B74">
        <f t="shared" ref="B74:B137" si="5">B73+1</f>
        <v>67</v>
      </c>
      <c r="C74" s="27" t="s">
        <v>469</v>
      </c>
      <c r="D74" s="8"/>
      <c r="E74" s="8"/>
      <c r="F74" s="8"/>
      <c r="G74" s="8"/>
      <c r="H74" s="8">
        <v>1420.5058365707789</v>
      </c>
      <c r="I74" s="8"/>
      <c r="J74" s="8">
        <v>1602.0599913279623</v>
      </c>
      <c r="K74" s="8">
        <v>2513.3008540664505</v>
      </c>
      <c r="L74" s="8">
        <v>1204.1199826559248</v>
      </c>
      <c r="M74" s="8"/>
      <c r="N74" s="8">
        <v>1966.1417327390327</v>
      </c>
      <c r="O74" s="8">
        <v>913.81385238371672</v>
      </c>
      <c r="P74" s="8"/>
      <c r="Q74" s="8">
        <v>1180.5139626696334</v>
      </c>
      <c r="R74" s="8"/>
      <c r="S74" s="8"/>
      <c r="T74" s="8">
        <v>869.23171973097612</v>
      </c>
      <c r="U74" s="8"/>
      <c r="V74" s="8">
        <v>495.61303784624738</v>
      </c>
      <c r="W74" s="8">
        <v>451.54499349597177</v>
      </c>
      <c r="X74" s="8">
        <v>1197.2805581256191</v>
      </c>
      <c r="Y74" s="8">
        <v>1830.3747831935505</v>
      </c>
      <c r="Z74" s="8">
        <v>15644.501304805866</v>
      </c>
      <c r="AA74" s="8"/>
      <c r="AB74" s="8"/>
      <c r="AI74">
        <f t="shared" ref="AI74:AI137" si="6">AI73+1</f>
        <v>67</v>
      </c>
      <c r="AJ74" s="27" t="s">
        <v>469</v>
      </c>
      <c r="AK74" s="8">
        <v>15644.501304805866</v>
      </c>
      <c r="AM74">
        <f t="shared" ref="AM74:AM137" si="7">AM73+1</f>
        <v>67</v>
      </c>
      <c r="AN74" s="27" t="s">
        <v>587</v>
      </c>
      <c r="AO74" s="8">
        <v>14</v>
      </c>
      <c r="AR74" s="27" t="s">
        <v>2342</v>
      </c>
      <c r="AS74" s="21">
        <v>8767</v>
      </c>
      <c r="AU74" s="27" t="s">
        <v>674</v>
      </c>
      <c r="AV74" s="21">
        <v>2</v>
      </c>
    </row>
    <row r="75" spans="2:48" x14ac:dyDescent="0.35">
      <c r="B75">
        <f t="shared" si="5"/>
        <v>68</v>
      </c>
      <c r="C75" s="27" t="s">
        <v>258</v>
      </c>
      <c r="D75" s="8"/>
      <c r="E75" s="8"/>
      <c r="F75" s="8"/>
      <c r="G75" s="8"/>
      <c r="H75" s="8"/>
      <c r="I75" s="8">
        <v>1357.9348470004541</v>
      </c>
      <c r="J75" s="8">
        <v>1740.3626894942438</v>
      </c>
      <c r="K75" s="8"/>
      <c r="L75" s="8">
        <v>1000</v>
      </c>
      <c r="M75" s="8">
        <v>1931.1187105921872</v>
      </c>
      <c r="N75" s="8">
        <v>1118.0993120779947</v>
      </c>
      <c r="O75" s="8"/>
      <c r="P75" s="8"/>
      <c r="Q75" s="8"/>
      <c r="R75" s="8"/>
      <c r="S75" s="8">
        <v>1406.5401804339549</v>
      </c>
      <c r="T75" s="8">
        <v>1676.6936096248664</v>
      </c>
      <c r="U75" s="8"/>
      <c r="V75" s="8"/>
      <c r="W75" s="8"/>
      <c r="X75" s="8">
        <v>3577.4917998372248</v>
      </c>
      <c r="Y75" s="8">
        <v>1834.0437323721019</v>
      </c>
      <c r="Z75" s="8">
        <v>15642.284881433028</v>
      </c>
      <c r="AA75" s="8"/>
      <c r="AB75" s="8"/>
      <c r="AI75">
        <f t="shared" si="6"/>
        <v>68</v>
      </c>
      <c r="AJ75" s="27" t="s">
        <v>258</v>
      </c>
      <c r="AK75" s="8">
        <v>15642.28488143303</v>
      </c>
      <c r="AM75">
        <f t="shared" si="7"/>
        <v>68</v>
      </c>
      <c r="AN75" s="27" t="s">
        <v>325</v>
      </c>
      <c r="AO75" s="8">
        <v>14</v>
      </c>
      <c r="AR75" s="27" t="s">
        <v>365</v>
      </c>
      <c r="AS75" s="21">
        <v>8755</v>
      </c>
      <c r="AU75" s="27" t="s">
        <v>596</v>
      </c>
      <c r="AV75" s="21">
        <v>2</v>
      </c>
    </row>
    <row r="76" spans="2:48" x14ac:dyDescent="0.35">
      <c r="B76">
        <f t="shared" si="5"/>
        <v>69</v>
      </c>
      <c r="C76" s="27" t="s">
        <v>1173</v>
      </c>
      <c r="D76" s="8">
        <v>705.52361478433818</v>
      </c>
      <c r="E76" s="8">
        <v>836.14319736133041</v>
      </c>
      <c r="F76" s="8">
        <v>1057.9919469776869</v>
      </c>
      <c r="G76" s="8"/>
      <c r="H76" s="8"/>
      <c r="I76" s="8"/>
      <c r="J76" s="8"/>
      <c r="K76" s="8"/>
      <c r="L76" s="8"/>
      <c r="M76" s="8"/>
      <c r="N76" s="8"/>
      <c r="O76" s="8"/>
      <c r="P76" s="8">
        <v>1441.9568376564116</v>
      </c>
      <c r="Q76" s="8"/>
      <c r="R76" s="8"/>
      <c r="S76" s="8">
        <v>1397.9400086720375</v>
      </c>
      <c r="T76" s="8">
        <v>2138.5282471102773</v>
      </c>
      <c r="U76" s="8"/>
      <c r="V76" s="8">
        <v>920.81875395237512</v>
      </c>
      <c r="W76" s="8">
        <v>1102.6623418971478</v>
      </c>
      <c r="X76" s="8">
        <v>1844.0839251765678</v>
      </c>
      <c r="Y76" s="8">
        <v>2643.7345943681439</v>
      </c>
      <c r="Z76" s="8">
        <v>14089.383467956319</v>
      </c>
      <c r="AA76" s="8"/>
      <c r="AB76" s="8"/>
      <c r="AI76">
        <f t="shared" si="6"/>
        <v>69</v>
      </c>
      <c r="AJ76" s="27" t="s">
        <v>1173</v>
      </c>
      <c r="AK76" s="8">
        <v>14089.383467956319</v>
      </c>
      <c r="AM76">
        <f t="shared" si="7"/>
        <v>69</v>
      </c>
      <c r="AN76" s="27" t="s">
        <v>532</v>
      </c>
      <c r="AO76" s="8">
        <v>14</v>
      </c>
      <c r="AR76" s="27" t="s">
        <v>453</v>
      </c>
      <c r="AS76" s="21">
        <v>8723</v>
      </c>
      <c r="AU76" s="27" t="s">
        <v>179</v>
      </c>
      <c r="AV76" s="21">
        <v>2</v>
      </c>
    </row>
    <row r="77" spans="2:48" x14ac:dyDescent="0.35">
      <c r="B77">
        <f t="shared" si="5"/>
        <v>70</v>
      </c>
      <c r="C77" s="27" t="s">
        <v>317</v>
      </c>
      <c r="D77" s="8"/>
      <c r="E77" s="8"/>
      <c r="F77" s="8"/>
      <c r="G77" s="8">
        <v>1903.0899869919435</v>
      </c>
      <c r="H77" s="8"/>
      <c r="I77" s="8"/>
      <c r="J77" s="8">
        <v>3249.5652118253465</v>
      </c>
      <c r="K77" s="8"/>
      <c r="L77" s="8"/>
      <c r="M77" s="8">
        <v>2571.0096723093047</v>
      </c>
      <c r="N77" s="8">
        <v>1459.392487759231</v>
      </c>
      <c r="O77" s="8"/>
      <c r="P77" s="8"/>
      <c r="Q77" s="8"/>
      <c r="R77" s="8"/>
      <c r="S77" s="8"/>
      <c r="T77" s="8">
        <v>778.15125038364374</v>
      </c>
      <c r="U77" s="8"/>
      <c r="V77" s="8">
        <v>4124.7649840627128</v>
      </c>
      <c r="W77" s="8"/>
      <c r="X77" s="8"/>
      <c r="Y77" s="8"/>
      <c r="Z77" s="8">
        <v>14085.973593332183</v>
      </c>
      <c r="AA77" s="8"/>
      <c r="AB77" s="8"/>
      <c r="AI77">
        <f t="shared" si="6"/>
        <v>70</v>
      </c>
      <c r="AJ77" s="27" t="s">
        <v>317</v>
      </c>
      <c r="AK77" s="8">
        <v>14085.973593332181</v>
      </c>
      <c r="AM77">
        <f t="shared" si="7"/>
        <v>70</v>
      </c>
      <c r="AN77" s="27" t="s">
        <v>290</v>
      </c>
      <c r="AO77" s="8">
        <v>13</v>
      </c>
      <c r="AR77" s="27" t="s">
        <v>372</v>
      </c>
      <c r="AS77" s="21">
        <v>8676</v>
      </c>
      <c r="AU77" s="30" t="s">
        <v>286</v>
      </c>
      <c r="AV77" s="29">
        <v>2</v>
      </c>
    </row>
    <row r="78" spans="2:48" x14ac:dyDescent="0.35">
      <c r="B78">
        <f t="shared" si="5"/>
        <v>71</v>
      </c>
      <c r="C78" s="27" t="s">
        <v>303</v>
      </c>
      <c r="D78" s="8"/>
      <c r="E78" s="8"/>
      <c r="F78" s="8">
        <v>1425.9687322722812</v>
      </c>
      <c r="G78" s="8">
        <v>2575.3689896568371</v>
      </c>
      <c r="H78" s="8">
        <v>2012.837224705172</v>
      </c>
      <c r="I78" s="8">
        <v>1195.686815119062</v>
      </c>
      <c r="J78" s="8"/>
      <c r="K78" s="8"/>
      <c r="L78" s="8"/>
      <c r="M78" s="8"/>
      <c r="N78" s="8">
        <v>1583.5765856339494</v>
      </c>
      <c r="O78" s="8"/>
      <c r="P78" s="8"/>
      <c r="Q78" s="8">
        <v>2052.5977633215625</v>
      </c>
      <c r="R78" s="8">
        <v>944.4826721501687</v>
      </c>
      <c r="S78" s="8">
        <v>2107.2099696478685</v>
      </c>
      <c r="T78" s="8"/>
      <c r="U78" s="8"/>
      <c r="V78" s="8"/>
      <c r="W78" s="8"/>
      <c r="X78" s="8"/>
      <c r="Y78" s="8"/>
      <c r="Z78" s="8">
        <v>13897.728752506902</v>
      </c>
      <c r="AA78" s="8"/>
      <c r="AB78" s="8"/>
      <c r="AI78">
        <f t="shared" si="6"/>
        <v>71</v>
      </c>
      <c r="AJ78" s="27" t="s">
        <v>303</v>
      </c>
      <c r="AK78" s="8">
        <v>13897.728752506902</v>
      </c>
      <c r="AM78">
        <f t="shared" si="7"/>
        <v>71</v>
      </c>
      <c r="AN78" s="27" t="s">
        <v>225</v>
      </c>
      <c r="AO78" s="8">
        <v>13</v>
      </c>
      <c r="AR78" s="27" t="s">
        <v>222</v>
      </c>
      <c r="AS78" s="21">
        <v>8544</v>
      </c>
      <c r="AU78" s="27" t="s">
        <v>902</v>
      </c>
      <c r="AV78" s="21">
        <v>2</v>
      </c>
    </row>
    <row r="79" spans="2:48" x14ac:dyDescent="0.35">
      <c r="B79">
        <f t="shared" si="5"/>
        <v>72</v>
      </c>
      <c r="C79" s="27" t="s">
        <v>809</v>
      </c>
      <c r="D79" s="8">
        <v>2471.2436031129569</v>
      </c>
      <c r="E79" s="8">
        <v>1295.5670999624788</v>
      </c>
      <c r="F79" s="8"/>
      <c r="G79" s="8">
        <v>816.73422778979318</v>
      </c>
      <c r="H79" s="8"/>
      <c r="I79" s="8">
        <v>2976.0441378061946</v>
      </c>
      <c r="J79" s="8"/>
      <c r="K79" s="8"/>
      <c r="L79" s="8"/>
      <c r="M79" s="8">
        <v>1246.1291256634361</v>
      </c>
      <c r="N79" s="8">
        <v>1295.5670999624788</v>
      </c>
      <c r="O79" s="8"/>
      <c r="P79" s="8"/>
      <c r="Q79" s="8"/>
      <c r="R79" s="8">
        <v>1007.1785846271235</v>
      </c>
      <c r="S79" s="8"/>
      <c r="T79" s="8">
        <v>1156.347200859924</v>
      </c>
      <c r="U79" s="8"/>
      <c r="V79" s="8"/>
      <c r="W79" s="8">
        <v>1579.7835966168102</v>
      </c>
      <c r="X79" s="8"/>
      <c r="Y79" s="8"/>
      <c r="Z79" s="8">
        <v>13844.594676401193</v>
      </c>
      <c r="AA79" s="8"/>
      <c r="AB79" s="8"/>
      <c r="AI79">
        <f t="shared" si="6"/>
        <v>72</v>
      </c>
      <c r="AJ79" s="27" t="s">
        <v>809</v>
      </c>
      <c r="AK79" s="8">
        <v>13844.594676401193</v>
      </c>
      <c r="AM79">
        <f t="shared" si="7"/>
        <v>72</v>
      </c>
      <c r="AN79" s="27" t="s">
        <v>444</v>
      </c>
      <c r="AO79" s="8">
        <v>13</v>
      </c>
      <c r="AR79" s="27" t="s">
        <v>902</v>
      </c>
      <c r="AS79" s="21">
        <v>8456</v>
      </c>
      <c r="AU79" s="27" t="s">
        <v>1526</v>
      </c>
      <c r="AV79" s="21">
        <v>2</v>
      </c>
    </row>
    <row r="80" spans="2:48" x14ac:dyDescent="0.35">
      <c r="B80">
        <f t="shared" si="5"/>
        <v>73</v>
      </c>
      <c r="C80" t="s">
        <v>2321</v>
      </c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>
        <v>903.08998699194353</v>
      </c>
      <c r="R80" s="8"/>
      <c r="S80" s="8">
        <v>2752.3045932010327</v>
      </c>
      <c r="T80" s="8">
        <v>1602.0599913279623</v>
      </c>
      <c r="U80" s="8">
        <v>1732.3937598229686</v>
      </c>
      <c r="V80" s="8"/>
      <c r="W80" s="8">
        <v>1271.066772286538</v>
      </c>
      <c r="X80" s="8"/>
      <c r="Y80" s="8">
        <v>5547.8304752247168</v>
      </c>
      <c r="Z80" s="8">
        <v>13808.745578855162</v>
      </c>
      <c r="AA80" s="8"/>
      <c r="AB80" s="8"/>
      <c r="AI80">
        <f t="shared" si="6"/>
        <v>73</v>
      </c>
      <c r="AJ80" t="s">
        <v>2321</v>
      </c>
      <c r="AK80" s="8">
        <v>13808.74557885516</v>
      </c>
      <c r="AM80">
        <f t="shared" si="7"/>
        <v>73</v>
      </c>
      <c r="AN80" s="27" t="s">
        <v>376</v>
      </c>
      <c r="AO80" s="8">
        <v>13</v>
      </c>
      <c r="AR80" s="27" t="s">
        <v>184</v>
      </c>
      <c r="AS80" s="21">
        <v>8386</v>
      </c>
      <c r="AU80" s="27" t="s">
        <v>376</v>
      </c>
      <c r="AV80" s="21">
        <v>2</v>
      </c>
    </row>
    <row r="81" spans="2:48" x14ac:dyDescent="0.35">
      <c r="B81">
        <f t="shared" si="5"/>
        <v>74</v>
      </c>
      <c r="C81" s="27" t="s">
        <v>1563</v>
      </c>
      <c r="D81" s="8"/>
      <c r="E81" s="8"/>
      <c r="F81" s="8"/>
      <c r="G81" s="8"/>
      <c r="H81" s="8"/>
      <c r="I81" s="8"/>
      <c r="J81" s="8"/>
      <c r="K81" s="8"/>
      <c r="L81" s="8">
        <v>1213.0748253088514</v>
      </c>
      <c r="M81" s="8"/>
      <c r="N81" s="8"/>
      <c r="O81" s="8"/>
      <c r="P81" s="8">
        <v>1919.078092376074</v>
      </c>
      <c r="Q81" s="8">
        <v>1113.9433523068369</v>
      </c>
      <c r="R81" s="8">
        <v>1819.5439355418687</v>
      </c>
      <c r="S81" s="8">
        <v>1380.2112417116061</v>
      </c>
      <c r="T81" s="8"/>
      <c r="U81" s="8">
        <v>1389.1660843645325</v>
      </c>
      <c r="V81" s="8">
        <v>845.09804001425687</v>
      </c>
      <c r="W81" s="8"/>
      <c r="X81" s="8">
        <v>1389.1660843645327</v>
      </c>
      <c r="Y81" s="8">
        <v>2608.0979463252797</v>
      </c>
      <c r="Z81" s="8">
        <v>13677.379602313838</v>
      </c>
      <c r="AA81" s="8"/>
      <c r="AB81" s="8"/>
      <c r="AI81">
        <f t="shared" si="6"/>
        <v>74</v>
      </c>
      <c r="AJ81" s="27" t="s">
        <v>1563</v>
      </c>
      <c r="AK81" s="8">
        <v>13677.379602313837</v>
      </c>
      <c r="AM81">
        <f t="shared" si="7"/>
        <v>74</v>
      </c>
      <c r="AN81" s="27" t="s">
        <v>146</v>
      </c>
      <c r="AO81" s="8">
        <v>13</v>
      </c>
      <c r="AR81" s="27" t="s">
        <v>1462</v>
      </c>
      <c r="AS81" s="21">
        <v>8243</v>
      </c>
      <c r="AU81" s="27" t="s">
        <v>209</v>
      </c>
      <c r="AV81" s="21">
        <v>2</v>
      </c>
    </row>
    <row r="82" spans="2:48" x14ac:dyDescent="0.35">
      <c r="B82">
        <f t="shared" si="5"/>
        <v>75</v>
      </c>
      <c r="C82" s="27" t="s">
        <v>766</v>
      </c>
      <c r="D82" s="8">
        <v>850.23767966666776</v>
      </c>
      <c r="E82" s="8">
        <v>2590.0736323081023</v>
      </c>
      <c r="F82" s="8">
        <v>2045.757490560675</v>
      </c>
      <c r="G82" s="8">
        <v>714.0337507718948</v>
      </c>
      <c r="H82" s="8">
        <v>4748.1128683542602</v>
      </c>
      <c r="I82" s="8">
        <v>1750.4798237857854</v>
      </c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>
        <v>903.08998699194353</v>
      </c>
      <c r="Y82" s="8"/>
      <c r="Z82" s="8">
        <v>13601.785232439328</v>
      </c>
      <c r="AA82" s="8"/>
      <c r="AB82" s="8"/>
      <c r="AI82">
        <f t="shared" si="6"/>
        <v>75</v>
      </c>
      <c r="AJ82" s="27" t="s">
        <v>766</v>
      </c>
      <c r="AK82" s="8">
        <v>13601.785232439332</v>
      </c>
      <c r="AM82">
        <f t="shared" si="7"/>
        <v>75</v>
      </c>
      <c r="AN82" s="27" t="s">
        <v>766</v>
      </c>
      <c r="AO82" s="8">
        <v>13</v>
      </c>
      <c r="AR82" s="27" t="s">
        <v>322</v>
      </c>
      <c r="AS82" s="21">
        <v>8177</v>
      </c>
      <c r="AU82" s="27" t="s">
        <v>1096</v>
      </c>
      <c r="AV82" s="21">
        <v>2</v>
      </c>
    </row>
    <row r="83" spans="2:48" x14ac:dyDescent="0.35">
      <c r="B83">
        <f t="shared" si="5"/>
        <v>76</v>
      </c>
      <c r="C83" s="27" t="s">
        <v>372</v>
      </c>
      <c r="D83" s="8"/>
      <c r="E83" s="8"/>
      <c r="F83" s="8">
        <v>1282.0067583505509</v>
      </c>
      <c r="G83" s="8"/>
      <c r="H83" s="8"/>
      <c r="I83" s="8"/>
      <c r="J83" s="8"/>
      <c r="K83" s="8"/>
      <c r="L83" s="8">
        <v>999.99999999999977</v>
      </c>
      <c r="M83" s="8">
        <v>1079.1812460476249</v>
      </c>
      <c r="N83" s="8"/>
      <c r="O83" s="8"/>
      <c r="P83" s="8">
        <v>1612.7838567197355</v>
      </c>
      <c r="Q83" s="8">
        <v>790.05047368335136</v>
      </c>
      <c r="R83" s="8"/>
      <c r="S83" s="8">
        <v>2752.3045932010327</v>
      </c>
      <c r="T83" s="8">
        <v>1799.3405494535816</v>
      </c>
      <c r="U83" s="8">
        <v>1057.9919469776869</v>
      </c>
      <c r="V83" s="8">
        <v>2176.0912590556809</v>
      </c>
      <c r="W83" s="8"/>
      <c r="X83" s="8"/>
      <c r="Y83" s="8"/>
      <c r="Z83" s="8">
        <v>13549.750683489245</v>
      </c>
      <c r="AA83" s="8"/>
      <c r="AB83" s="8"/>
      <c r="AI83">
        <f t="shared" si="6"/>
        <v>76</v>
      </c>
      <c r="AJ83" s="27" t="s">
        <v>372</v>
      </c>
      <c r="AK83" s="8">
        <v>13549.750683489243</v>
      </c>
      <c r="AM83">
        <f t="shared" si="7"/>
        <v>76</v>
      </c>
      <c r="AN83" s="27" t="s">
        <v>997</v>
      </c>
      <c r="AO83" s="8">
        <v>13</v>
      </c>
      <c r="AR83" s="27" t="s">
        <v>155</v>
      </c>
      <c r="AS83" s="21">
        <v>8003.5</v>
      </c>
      <c r="AU83" s="27" t="s">
        <v>322</v>
      </c>
      <c r="AV83" s="21">
        <v>2</v>
      </c>
    </row>
    <row r="84" spans="2:48" x14ac:dyDescent="0.35">
      <c r="B84">
        <f t="shared" si="5"/>
        <v>77</v>
      </c>
      <c r="C84" s="27" t="s">
        <v>146</v>
      </c>
      <c r="D84" s="8"/>
      <c r="E84" s="8"/>
      <c r="F84" s="8"/>
      <c r="G84" s="8"/>
      <c r="H84" s="8"/>
      <c r="I84" s="8"/>
      <c r="J84" s="8"/>
      <c r="K84" s="8"/>
      <c r="L84" s="8">
        <v>3817.0329783868715</v>
      </c>
      <c r="M84" s="8"/>
      <c r="N84" s="8">
        <v>1028.0287236002437</v>
      </c>
      <c r="O84" s="8">
        <v>3968.4195676223708</v>
      </c>
      <c r="P84" s="8">
        <v>389.07562519182181</v>
      </c>
      <c r="Q84" s="8">
        <v>745.68084691713636</v>
      </c>
      <c r="R84" s="8"/>
      <c r="S84" s="8">
        <v>1910.979946850854</v>
      </c>
      <c r="T84" s="8">
        <v>1633.4684555795864</v>
      </c>
      <c r="U84" s="8"/>
      <c r="V84" s="8"/>
      <c r="W84" s="8"/>
      <c r="X84" s="8"/>
      <c r="Y84" s="8"/>
      <c r="Z84" s="8">
        <v>13492.686144148882</v>
      </c>
      <c r="AA84" s="8"/>
      <c r="AB84" s="8"/>
      <c r="AI84">
        <f t="shared" si="6"/>
        <v>77</v>
      </c>
      <c r="AJ84" s="27" t="s">
        <v>146</v>
      </c>
      <c r="AK84" s="8">
        <v>13492.686144148882</v>
      </c>
      <c r="AM84">
        <f t="shared" si="7"/>
        <v>77</v>
      </c>
      <c r="AN84" s="27" t="s">
        <v>809</v>
      </c>
      <c r="AO84" s="8">
        <v>12</v>
      </c>
      <c r="AR84" s="27" t="s">
        <v>233</v>
      </c>
      <c r="AS84" s="21">
        <v>7971</v>
      </c>
      <c r="AU84" s="27" t="s">
        <v>212</v>
      </c>
      <c r="AV84" s="21">
        <v>2</v>
      </c>
    </row>
    <row r="85" spans="2:48" x14ac:dyDescent="0.35">
      <c r="B85">
        <f t="shared" si="5"/>
        <v>78</v>
      </c>
      <c r="C85" s="27" t="s">
        <v>315</v>
      </c>
      <c r="D85" s="8"/>
      <c r="E85" s="8">
        <v>1054.3576623225924</v>
      </c>
      <c r="F85" s="8"/>
      <c r="G85" s="8"/>
      <c r="H85" s="8"/>
      <c r="I85" s="8"/>
      <c r="J85" s="8"/>
      <c r="K85" s="8"/>
      <c r="L85" s="8">
        <v>980.25594180424264</v>
      </c>
      <c r="M85" s="8"/>
      <c r="N85" s="8">
        <v>1681.2412373755874</v>
      </c>
      <c r="O85" s="8"/>
      <c r="P85" s="8"/>
      <c r="Q85" s="8">
        <v>2439.3326938302625</v>
      </c>
      <c r="R85" s="8"/>
      <c r="S85" s="8"/>
      <c r="T85" s="8">
        <v>896.2505624616382</v>
      </c>
      <c r="U85" s="8">
        <v>1648.3600109809315</v>
      </c>
      <c r="V85" s="8">
        <v>1028.0287236002437</v>
      </c>
      <c r="W85" s="8">
        <v>2748.3818652070986</v>
      </c>
      <c r="X85" s="8"/>
      <c r="Y85" s="8">
        <v>819.54393554186856</v>
      </c>
      <c r="Z85" s="8">
        <v>13295.752633124466</v>
      </c>
      <c r="AA85" s="8"/>
      <c r="AB85" s="8"/>
      <c r="AI85">
        <f t="shared" si="6"/>
        <v>78</v>
      </c>
      <c r="AJ85" s="27" t="s">
        <v>315</v>
      </c>
      <c r="AK85" s="8">
        <v>13295.752633124466</v>
      </c>
      <c r="AM85">
        <f t="shared" si="7"/>
        <v>78</v>
      </c>
      <c r="AN85" s="27" t="s">
        <v>155</v>
      </c>
      <c r="AO85" s="8">
        <v>12</v>
      </c>
      <c r="AR85" s="28" t="s">
        <v>283</v>
      </c>
      <c r="AS85" s="22">
        <v>7951</v>
      </c>
      <c r="AU85" s="27" t="s">
        <v>1501</v>
      </c>
      <c r="AV85" s="21">
        <v>2</v>
      </c>
    </row>
    <row r="86" spans="2:48" x14ac:dyDescent="0.35">
      <c r="B86">
        <f t="shared" si="5"/>
        <v>79</v>
      </c>
      <c r="C86" s="27" t="s">
        <v>544</v>
      </c>
      <c r="D86" s="8"/>
      <c r="E86" s="8">
        <v>3397.2445810103864</v>
      </c>
      <c r="F86" s="8"/>
      <c r="G86" s="8"/>
      <c r="H86" s="8"/>
      <c r="I86" s="8">
        <v>1076.5884354693453</v>
      </c>
      <c r="J86" s="8">
        <v>1005.3950318867062</v>
      </c>
      <c r="K86" s="8"/>
      <c r="L86" s="8">
        <v>1332.4384599156051</v>
      </c>
      <c r="M86" s="8"/>
      <c r="N86" s="8"/>
      <c r="O86" s="8">
        <v>3098.2975364946979</v>
      </c>
      <c r="P86" s="8">
        <v>890.855530574932</v>
      </c>
      <c r="Q86" s="8">
        <v>1021.1892990699381</v>
      </c>
      <c r="R86" s="8"/>
      <c r="S86" s="8">
        <v>1262.1119296336115</v>
      </c>
      <c r="T86" s="8"/>
      <c r="U86" s="8"/>
      <c r="V86" s="8"/>
      <c r="W86" s="8"/>
      <c r="X86" s="8"/>
      <c r="Y86" s="8"/>
      <c r="Z86" s="8">
        <v>13084.120804055223</v>
      </c>
      <c r="AA86" s="8"/>
      <c r="AB86" s="8"/>
      <c r="AI86">
        <f t="shared" si="6"/>
        <v>79</v>
      </c>
      <c r="AJ86" s="27" t="s">
        <v>544</v>
      </c>
      <c r="AK86" s="8">
        <v>13084.120804055223</v>
      </c>
      <c r="AM86">
        <f t="shared" si="7"/>
        <v>79</v>
      </c>
      <c r="AN86" s="27" t="s">
        <v>317</v>
      </c>
      <c r="AO86" s="8">
        <v>12</v>
      </c>
      <c r="AR86" s="27" t="s">
        <v>1624</v>
      </c>
      <c r="AS86" s="21">
        <v>7745</v>
      </c>
      <c r="AU86" s="27" t="s">
        <v>837</v>
      </c>
      <c r="AV86" s="21">
        <v>2</v>
      </c>
    </row>
    <row r="87" spans="2:48" x14ac:dyDescent="0.35">
      <c r="B87">
        <f t="shared" si="5"/>
        <v>80</v>
      </c>
      <c r="C87" s="27" t="s">
        <v>1578</v>
      </c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>
        <v>3040.9186507485247</v>
      </c>
      <c r="P87" s="8"/>
      <c r="Q87" s="8"/>
      <c r="R87" s="8"/>
      <c r="S87" s="8">
        <v>961.08193396963043</v>
      </c>
      <c r="T87" s="8">
        <v>2299.9429000227669</v>
      </c>
      <c r="U87" s="8">
        <v>3823.7349883987308</v>
      </c>
      <c r="V87" s="8"/>
      <c r="W87" s="8"/>
      <c r="X87" s="8">
        <v>2848.558572123763</v>
      </c>
      <c r="Y87" s="8"/>
      <c r="Z87" s="8">
        <v>12974.237045263417</v>
      </c>
      <c r="AA87" s="8"/>
      <c r="AB87" s="8"/>
      <c r="AI87">
        <f t="shared" si="6"/>
        <v>80</v>
      </c>
      <c r="AJ87" s="27" t="s">
        <v>1578</v>
      </c>
      <c r="AK87" s="8">
        <v>12974.237045263415</v>
      </c>
      <c r="AM87">
        <f t="shared" si="7"/>
        <v>80</v>
      </c>
      <c r="AN87" s="27" t="s">
        <v>1624</v>
      </c>
      <c r="AO87" s="8">
        <v>12</v>
      </c>
      <c r="AR87" s="27" t="s">
        <v>172</v>
      </c>
      <c r="AS87" s="21">
        <v>7739</v>
      </c>
      <c r="AU87" s="27" t="s">
        <v>163</v>
      </c>
      <c r="AV87" s="21">
        <v>2</v>
      </c>
    </row>
    <row r="88" spans="2:48" x14ac:dyDescent="0.35">
      <c r="B88">
        <f t="shared" si="5"/>
        <v>81</v>
      </c>
      <c r="C88" s="27" t="s">
        <v>587</v>
      </c>
      <c r="D88" s="8">
        <v>2099.3846321359119</v>
      </c>
      <c r="E88" s="8"/>
      <c r="F88" s="8">
        <v>832.50891270623629</v>
      </c>
      <c r="G88" s="8"/>
      <c r="H88" s="8">
        <v>2187.5207208364632</v>
      </c>
      <c r="I88" s="8">
        <v>1995.236210203936</v>
      </c>
      <c r="J88" s="8"/>
      <c r="K88" s="8">
        <v>1531.478917042255</v>
      </c>
      <c r="L88" s="8"/>
      <c r="M88" s="8"/>
      <c r="N88" s="8"/>
      <c r="O88" s="8">
        <v>1209.5150145426308</v>
      </c>
      <c r="P88" s="8">
        <v>888.02624055606748</v>
      </c>
      <c r="Q88" s="8"/>
      <c r="R88" s="8">
        <v>1041.392685158225</v>
      </c>
      <c r="S88" s="8"/>
      <c r="T88" s="8">
        <v>1176.0912590556813</v>
      </c>
      <c r="U88" s="8"/>
      <c r="V88" s="8"/>
      <c r="W88" s="8"/>
      <c r="X88" s="8"/>
      <c r="Y88" s="8"/>
      <c r="Z88" s="8">
        <v>12961.154592237408</v>
      </c>
      <c r="AA88" s="8"/>
      <c r="AB88" s="8"/>
      <c r="AI88">
        <f t="shared" si="6"/>
        <v>81</v>
      </c>
      <c r="AJ88" s="27" t="s">
        <v>587</v>
      </c>
      <c r="AK88" s="8">
        <v>12961.154592237408</v>
      </c>
      <c r="AM88">
        <f t="shared" si="7"/>
        <v>81</v>
      </c>
      <c r="AN88" s="27" t="s">
        <v>589</v>
      </c>
      <c r="AO88" s="8">
        <v>12</v>
      </c>
      <c r="AR88" s="27" t="s">
        <v>317</v>
      </c>
      <c r="AS88" s="21">
        <v>7690.25</v>
      </c>
      <c r="AU88" s="27" t="s">
        <v>1522</v>
      </c>
      <c r="AV88" s="21">
        <v>2</v>
      </c>
    </row>
    <row r="89" spans="2:48" x14ac:dyDescent="0.35">
      <c r="B89">
        <f t="shared" si="5"/>
        <v>82</v>
      </c>
      <c r="C89" s="27" t="s">
        <v>1542</v>
      </c>
      <c r="D89" s="8"/>
      <c r="E89" s="8"/>
      <c r="F89" s="8"/>
      <c r="G89" s="8"/>
      <c r="H89" s="8"/>
      <c r="I89" s="8"/>
      <c r="J89" s="8"/>
      <c r="K89" s="8">
        <v>1860.3380065709937</v>
      </c>
      <c r="L89" s="8"/>
      <c r="M89" s="8"/>
      <c r="N89" s="8">
        <v>1643.4526764861873</v>
      </c>
      <c r="O89" s="8"/>
      <c r="P89" s="8">
        <v>539.59062302381244</v>
      </c>
      <c r="Q89" s="8">
        <v>1799.3405494535816</v>
      </c>
      <c r="R89" s="8"/>
      <c r="S89" s="8">
        <v>903.08998699194342</v>
      </c>
      <c r="T89" s="8"/>
      <c r="U89" s="8">
        <v>1322.219294733919</v>
      </c>
      <c r="V89" s="8">
        <v>2567.7319625480695</v>
      </c>
      <c r="W89" s="8">
        <v>1049.2180226701814</v>
      </c>
      <c r="X89" s="8">
        <v>1124.9387366082999</v>
      </c>
      <c r="Y89" s="8"/>
      <c r="Z89" s="8">
        <v>12809.919859086989</v>
      </c>
      <c r="AA89" s="8"/>
      <c r="AB89" s="8"/>
      <c r="AI89">
        <f t="shared" si="6"/>
        <v>82</v>
      </c>
      <c r="AJ89" s="27" t="s">
        <v>1542</v>
      </c>
      <c r="AK89" s="8">
        <v>12809.919859086987</v>
      </c>
      <c r="AM89">
        <f t="shared" si="7"/>
        <v>82</v>
      </c>
      <c r="AN89" s="27" t="s">
        <v>385</v>
      </c>
      <c r="AO89" s="8">
        <v>11</v>
      </c>
      <c r="AR89" s="30" t="s">
        <v>284</v>
      </c>
      <c r="AS89" s="29">
        <v>7684.5</v>
      </c>
      <c r="AU89" t="s">
        <v>2409</v>
      </c>
      <c r="AV89" s="21">
        <v>2</v>
      </c>
    </row>
    <row r="90" spans="2:48" x14ac:dyDescent="0.35">
      <c r="B90">
        <f t="shared" si="5"/>
        <v>83</v>
      </c>
      <c r="C90" s="27" t="s">
        <v>1624</v>
      </c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>
        <v>2075.3219436243003</v>
      </c>
      <c r="P90" s="8"/>
      <c r="Q90" s="8">
        <v>1000</v>
      </c>
      <c r="R90" s="8">
        <v>937.85209325115557</v>
      </c>
      <c r="S90" s="8"/>
      <c r="T90" s="8">
        <v>2020.4993950616254</v>
      </c>
      <c r="U90" s="8">
        <v>903.08998699194353</v>
      </c>
      <c r="V90" s="8"/>
      <c r="W90" s="8">
        <v>1021.1892990699381</v>
      </c>
      <c r="X90" s="8">
        <v>3478.8820019512746</v>
      </c>
      <c r="Y90" s="8">
        <v>1161.3680022349749</v>
      </c>
      <c r="Z90" s="8">
        <v>12598.202722185211</v>
      </c>
      <c r="AA90" s="8"/>
      <c r="AB90" s="8"/>
      <c r="AI90">
        <f t="shared" si="6"/>
        <v>83</v>
      </c>
      <c r="AJ90" s="27" t="s">
        <v>1624</v>
      </c>
      <c r="AK90" s="8">
        <v>12598.202722185211</v>
      </c>
      <c r="AM90">
        <f t="shared" si="7"/>
        <v>83</v>
      </c>
      <c r="AN90" s="27" t="s">
        <v>837</v>
      </c>
      <c r="AO90" s="8">
        <v>11</v>
      </c>
      <c r="AR90" s="27" t="s">
        <v>522</v>
      </c>
      <c r="AS90" s="21">
        <v>7554</v>
      </c>
      <c r="AU90" s="27" t="s">
        <v>146</v>
      </c>
      <c r="AV90" s="21">
        <v>2</v>
      </c>
    </row>
    <row r="91" spans="2:48" x14ac:dyDescent="0.35">
      <c r="B91">
        <f t="shared" si="5"/>
        <v>84</v>
      </c>
      <c r="C91" s="27" t="s">
        <v>1501</v>
      </c>
      <c r="D91" s="8">
        <v>1073.9800523618173</v>
      </c>
      <c r="E91" s="8"/>
      <c r="F91" s="8"/>
      <c r="G91" s="8"/>
      <c r="H91" s="8"/>
      <c r="I91" s="8"/>
      <c r="J91" s="8"/>
      <c r="K91" s="8">
        <v>814.87405740838369</v>
      </c>
      <c r="L91" s="8"/>
      <c r="M91" s="8"/>
      <c r="N91" s="8"/>
      <c r="O91" s="8">
        <v>1913.8138523837167</v>
      </c>
      <c r="P91" s="8">
        <v>934.49845124356762</v>
      </c>
      <c r="Q91" s="8"/>
      <c r="R91" s="8">
        <v>1271.066772286538</v>
      </c>
      <c r="S91" s="8"/>
      <c r="T91" s="8">
        <v>2287.3537727147468</v>
      </c>
      <c r="U91" s="8">
        <v>2938.3946223434496</v>
      </c>
      <c r="V91" s="8"/>
      <c r="W91" s="8"/>
      <c r="X91" s="8">
        <v>1102.6623418971478</v>
      </c>
      <c r="Y91" s="8"/>
      <c r="Z91" s="8">
        <v>12336.643922639369</v>
      </c>
      <c r="AA91" s="8"/>
      <c r="AB91" s="8"/>
      <c r="AI91">
        <f t="shared" si="6"/>
        <v>84</v>
      </c>
      <c r="AJ91" s="27" t="s">
        <v>1501</v>
      </c>
      <c r="AK91" s="8">
        <v>12336.643922639369</v>
      </c>
      <c r="AM91">
        <f t="shared" si="7"/>
        <v>84</v>
      </c>
      <c r="AN91" s="27" t="s">
        <v>372</v>
      </c>
      <c r="AO91" s="8">
        <v>11</v>
      </c>
      <c r="AR91" s="27" t="s">
        <v>1578</v>
      </c>
      <c r="AS91" s="21">
        <v>7536</v>
      </c>
      <c r="AU91" t="s">
        <v>2461</v>
      </c>
      <c r="AV91" s="21">
        <v>2</v>
      </c>
    </row>
    <row r="92" spans="2:48" x14ac:dyDescent="0.35">
      <c r="B92">
        <f t="shared" si="5"/>
        <v>85</v>
      </c>
      <c r="C92" s="27" t="s">
        <v>150</v>
      </c>
      <c r="D92" s="8"/>
      <c r="E92" s="8"/>
      <c r="F92" s="8">
        <v>1851.2583487190752</v>
      </c>
      <c r="G92" s="8"/>
      <c r="H92" s="8"/>
      <c r="I92" s="8"/>
      <c r="J92" s="8"/>
      <c r="K92" s="8"/>
      <c r="L92" s="8"/>
      <c r="M92" s="8"/>
      <c r="N92" s="8">
        <v>806.17997398388718</v>
      </c>
      <c r="O92" s="8">
        <v>2510.3215502161388</v>
      </c>
      <c r="P92" s="8">
        <v>795.88001734407533</v>
      </c>
      <c r="Q92" s="8">
        <v>2776.7011839884108</v>
      </c>
      <c r="R92" s="8"/>
      <c r="S92" s="8">
        <v>2207.3650374690715</v>
      </c>
      <c r="T92" s="8">
        <v>1380.2112417116059</v>
      </c>
      <c r="U92" s="8"/>
      <c r="V92" s="8"/>
      <c r="W92" s="8"/>
      <c r="X92" s="8"/>
      <c r="Y92" s="8"/>
      <c r="Z92" s="8">
        <v>12327.917353432265</v>
      </c>
      <c r="AA92" s="8"/>
      <c r="AB92" s="8"/>
      <c r="AI92">
        <f t="shared" si="6"/>
        <v>85</v>
      </c>
      <c r="AJ92" s="27" t="s">
        <v>150</v>
      </c>
      <c r="AK92" s="8">
        <v>12327.917353432264</v>
      </c>
      <c r="AM92">
        <f t="shared" si="7"/>
        <v>85</v>
      </c>
      <c r="AN92" s="27" t="s">
        <v>212</v>
      </c>
      <c r="AO92" s="8">
        <v>11</v>
      </c>
      <c r="AR92" s="27" t="s">
        <v>1501</v>
      </c>
      <c r="AS92" s="21">
        <v>7456</v>
      </c>
      <c r="AU92" s="27" t="s">
        <v>270</v>
      </c>
      <c r="AV92" s="21">
        <v>2</v>
      </c>
    </row>
    <row r="93" spans="2:48" x14ac:dyDescent="0.35">
      <c r="B93">
        <f t="shared" si="5"/>
        <v>86</v>
      </c>
      <c r="C93" s="27" t="s">
        <v>290</v>
      </c>
      <c r="D93" s="8">
        <v>616.30043044257252</v>
      </c>
      <c r="E93" s="8">
        <v>3610.6601630898795</v>
      </c>
      <c r="F93" s="8">
        <v>1355.3876579865739</v>
      </c>
      <c r="G93" s="8"/>
      <c r="H93" s="8">
        <v>1697.8829086948044</v>
      </c>
      <c r="I93" s="8"/>
      <c r="J93" s="8">
        <v>1230.4489213782738</v>
      </c>
      <c r="K93" s="8">
        <v>425.9687322722811</v>
      </c>
      <c r="L93" s="8">
        <v>1235.5284469075486</v>
      </c>
      <c r="M93" s="8">
        <v>533.47339481530662</v>
      </c>
      <c r="N93" s="8">
        <v>1568.201724066995</v>
      </c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>
        <v>12273.852379654234</v>
      </c>
      <c r="AA93" s="8"/>
      <c r="AB93" s="8"/>
      <c r="AI93">
        <f t="shared" si="6"/>
        <v>86</v>
      </c>
      <c r="AJ93" s="27" t="s">
        <v>290</v>
      </c>
      <c r="AK93" s="8">
        <v>12273.852379654236</v>
      </c>
      <c r="AM93">
        <f t="shared" si="7"/>
        <v>86</v>
      </c>
      <c r="AN93" s="27" t="s">
        <v>1542</v>
      </c>
      <c r="AO93" s="8">
        <v>11</v>
      </c>
      <c r="AR93" s="27" t="s">
        <v>295</v>
      </c>
      <c r="AS93" s="21">
        <v>7448</v>
      </c>
      <c r="AU93" s="27" t="s">
        <v>766</v>
      </c>
      <c r="AV93" s="21">
        <v>2</v>
      </c>
    </row>
    <row r="94" spans="2:48" x14ac:dyDescent="0.35">
      <c r="B94">
        <f t="shared" si="5"/>
        <v>87</v>
      </c>
      <c r="C94" s="27" t="s">
        <v>1545</v>
      </c>
      <c r="D94" s="8"/>
      <c r="E94" s="8"/>
      <c r="F94" s="8"/>
      <c r="G94" s="8"/>
      <c r="H94" s="8"/>
      <c r="I94" s="8"/>
      <c r="J94" s="8">
        <v>1130.3337684950061</v>
      </c>
      <c r="K94" s="8"/>
      <c r="L94" s="8">
        <v>1826.0748027008265</v>
      </c>
      <c r="M94" s="8"/>
      <c r="N94" s="8"/>
      <c r="O94" s="8"/>
      <c r="P94" s="8"/>
      <c r="Q94" s="8"/>
      <c r="R94" s="8"/>
      <c r="S94" s="8"/>
      <c r="T94" s="8"/>
      <c r="U94" s="8">
        <v>5908.1142627089521</v>
      </c>
      <c r="V94" s="8">
        <v>3340.7110778605047</v>
      </c>
      <c r="W94" s="8"/>
      <c r="X94" s="8"/>
      <c r="Y94" s="8"/>
      <c r="Z94" s="8">
        <v>12205.233911765288</v>
      </c>
      <c r="AA94" s="8"/>
      <c r="AB94" s="8"/>
      <c r="AI94">
        <f t="shared" si="6"/>
        <v>87</v>
      </c>
      <c r="AJ94" s="27" t="s">
        <v>1545</v>
      </c>
      <c r="AK94" s="8">
        <v>12205.23391176529</v>
      </c>
      <c r="AM94">
        <f t="shared" si="7"/>
        <v>87</v>
      </c>
      <c r="AN94" s="27" t="s">
        <v>1612</v>
      </c>
      <c r="AO94" s="8">
        <v>11</v>
      </c>
      <c r="AR94" s="27" t="s">
        <v>146</v>
      </c>
      <c r="AS94" s="21">
        <v>7420.25</v>
      </c>
      <c r="AU94" s="27" t="s">
        <v>312</v>
      </c>
      <c r="AV94" s="21">
        <v>2</v>
      </c>
    </row>
    <row r="95" spans="2:48" x14ac:dyDescent="0.35">
      <c r="B95">
        <f t="shared" si="5"/>
        <v>88</v>
      </c>
      <c r="C95" s="27" t="s">
        <v>212</v>
      </c>
      <c r="D95" s="8"/>
      <c r="E95" s="8"/>
      <c r="F95" s="8"/>
      <c r="G95" s="8"/>
      <c r="H95" s="8">
        <v>929.41892571429264</v>
      </c>
      <c r="I95" s="8"/>
      <c r="J95" s="8"/>
      <c r="K95" s="8"/>
      <c r="L95" s="8">
        <v>3522.515365188061</v>
      </c>
      <c r="M95" s="8">
        <v>912.04482964486999</v>
      </c>
      <c r="N95" s="8">
        <v>753.32766665861152</v>
      </c>
      <c r="O95" s="8">
        <v>865.30142610254381</v>
      </c>
      <c r="P95" s="8"/>
      <c r="Q95" s="8">
        <v>2138.3026981662815</v>
      </c>
      <c r="R95" s="8"/>
      <c r="S95" s="8"/>
      <c r="T95" s="8"/>
      <c r="U95" s="8"/>
      <c r="V95" s="8">
        <v>2989.0046156985368</v>
      </c>
      <c r="W95" s="8"/>
      <c r="X95" s="8"/>
      <c r="Y95" s="8"/>
      <c r="Z95" s="8">
        <v>12109.915527173198</v>
      </c>
      <c r="AA95" s="8"/>
      <c r="AB95" s="8"/>
      <c r="AI95">
        <f t="shared" si="6"/>
        <v>88</v>
      </c>
      <c r="AJ95" s="27" t="s">
        <v>212</v>
      </c>
      <c r="AK95" s="8">
        <v>12109.915527173198</v>
      </c>
      <c r="AM95">
        <f t="shared" si="7"/>
        <v>88</v>
      </c>
      <c r="AN95" s="27" t="s">
        <v>500</v>
      </c>
      <c r="AO95" s="8">
        <v>11</v>
      </c>
      <c r="AR95" s="27" t="s">
        <v>1522</v>
      </c>
      <c r="AS95" s="21">
        <v>7367</v>
      </c>
      <c r="AU95" t="s">
        <v>2394</v>
      </c>
      <c r="AV95" s="21">
        <v>1</v>
      </c>
    </row>
    <row r="96" spans="2:48" x14ac:dyDescent="0.35">
      <c r="B96">
        <f t="shared" si="5"/>
        <v>89</v>
      </c>
      <c r="C96" s="27" t="s">
        <v>837</v>
      </c>
      <c r="D96" s="8"/>
      <c r="E96" s="8">
        <v>2420.3683798575239</v>
      </c>
      <c r="F96" s="8"/>
      <c r="G96" s="8">
        <v>1113.9433523068367</v>
      </c>
      <c r="H96" s="8"/>
      <c r="I96" s="8">
        <v>1089.400411229311</v>
      </c>
      <c r="J96" s="8"/>
      <c r="K96" s="8"/>
      <c r="L96" s="8"/>
      <c r="M96" s="8"/>
      <c r="N96" s="8"/>
      <c r="O96" s="8">
        <v>1224.7344378538446</v>
      </c>
      <c r="P96" s="8">
        <v>918.77019127710582</v>
      </c>
      <c r="Q96" s="8"/>
      <c r="R96" s="8"/>
      <c r="S96" s="8"/>
      <c r="T96" s="8">
        <v>1895.560658453325</v>
      </c>
      <c r="U96" s="8">
        <v>1763.4279935629374</v>
      </c>
      <c r="V96" s="8"/>
      <c r="W96" s="8">
        <v>363.49936396813121</v>
      </c>
      <c r="X96" s="8">
        <v>1278.7536009528289</v>
      </c>
      <c r="Y96" s="8"/>
      <c r="Z96" s="8">
        <v>12068.458389461843</v>
      </c>
      <c r="AA96" s="8"/>
      <c r="AB96" s="8"/>
      <c r="AI96">
        <f t="shared" si="6"/>
        <v>89</v>
      </c>
      <c r="AJ96" s="27" t="s">
        <v>837</v>
      </c>
      <c r="AK96" s="8">
        <v>12068.458389461843</v>
      </c>
      <c r="AM96">
        <f t="shared" si="7"/>
        <v>89</v>
      </c>
      <c r="AN96" s="27" t="s">
        <v>544</v>
      </c>
      <c r="AO96" s="8">
        <v>11</v>
      </c>
      <c r="AR96" s="27" t="s">
        <v>809</v>
      </c>
      <c r="AS96" s="21">
        <v>7303</v>
      </c>
      <c r="AU96" s="27" t="s">
        <v>155</v>
      </c>
      <c r="AV96" s="21">
        <v>1</v>
      </c>
    </row>
    <row r="97" spans="2:48" x14ac:dyDescent="0.35">
      <c r="B97">
        <f t="shared" si="5"/>
        <v>90</v>
      </c>
      <c r="C97" s="27" t="s">
        <v>602</v>
      </c>
      <c r="D97" s="8">
        <v>4318.730966888098</v>
      </c>
      <c r="E97" s="8">
        <v>1905.7958803678682</v>
      </c>
      <c r="F97" s="8">
        <v>2413.5512131755504</v>
      </c>
      <c r="G97" s="8"/>
      <c r="H97" s="8"/>
      <c r="I97" s="8"/>
      <c r="J97" s="8">
        <v>678.44833719141718</v>
      </c>
      <c r="K97" s="8">
        <v>2732.979795839281</v>
      </c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>
        <v>12049.506193462215</v>
      </c>
      <c r="AA97" s="8"/>
      <c r="AB97" s="8"/>
      <c r="AI97">
        <f t="shared" si="6"/>
        <v>90</v>
      </c>
      <c r="AJ97" s="27" t="s">
        <v>602</v>
      </c>
      <c r="AK97" s="8">
        <v>12049.506193462215</v>
      </c>
      <c r="AM97">
        <f t="shared" si="7"/>
        <v>90</v>
      </c>
      <c r="AN97" s="27" t="s">
        <v>1578</v>
      </c>
      <c r="AO97" s="8">
        <v>11</v>
      </c>
      <c r="AR97" s="27" t="s">
        <v>150</v>
      </c>
      <c r="AS97" s="21">
        <v>7185</v>
      </c>
      <c r="AU97" s="27" t="s">
        <v>912</v>
      </c>
      <c r="AV97" s="21">
        <v>1</v>
      </c>
    </row>
    <row r="98" spans="2:48" x14ac:dyDescent="0.35">
      <c r="B98">
        <f t="shared" si="5"/>
        <v>91</v>
      </c>
      <c r="C98" s="27" t="s">
        <v>1462</v>
      </c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>
        <v>2178.9769472931694</v>
      </c>
      <c r="P98" s="8"/>
      <c r="Q98" s="8"/>
      <c r="R98" s="8"/>
      <c r="S98" s="8"/>
      <c r="T98" s="8"/>
      <c r="U98" s="8">
        <v>6258.6845641415075</v>
      </c>
      <c r="V98" s="8">
        <v>3488.3250503577192</v>
      </c>
      <c r="W98" s="8"/>
      <c r="X98" s="8"/>
      <c r="Y98" s="8"/>
      <c r="Z98" s="8">
        <v>11925.986561792397</v>
      </c>
      <c r="AA98" s="8"/>
      <c r="AB98" s="8"/>
      <c r="AI98">
        <f t="shared" si="6"/>
        <v>91</v>
      </c>
      <c r="AJ98" s="27" t="s">
        <v>1462</v>
      </c>
      <c r="AK98" s="8">
        <v>11925.986561792397</v>
      </c>
      <c r="AM98">
        <f t="shared" si="7"/>
        <v>91</v>
      </c>
      <c r="AN98" s="27" t="s">
        <v>315</v>
      </c>
      <c r="AO98" s="8">
        <v>11</v>
      </c>
      <c r="AR98" s="27" t="s">
        <v>837</v>
      </c>
      <c r="AS98" s="21">
        <v>7113</v>
      </c>
      <c r="AU98" s="27" t="s">
        <v>1589</v>
      </c>
      <c r="AV98" s="21">
        <v>1</v>
      </c>
    </row>
    <row r="99" spans="2:48" x14ac:dyDescent="0.35">
      <c r="B99">
        <f t="shared" si="5"/>
        <v>92</v>
      </c>
      <c r="C99" s="27" t="s">
        <v>208</v>
      </c>
      <c r="D99" s="8"/>
      <c r="E99" s="8">
        <v>862.4721360836794</v>
      </c>
      <c r="F99" s="8">
        <v>3381.8367999983434</v>
      </c>
      <c r="G99" s="8"/>
      <c r="H99" s="8">
        <v>1086.8680747139156</v>
      </c>
      <c r="I99" s="8"/>
      <c r="J99" s="8"/>
      <c r="K99" s="8"/>
      <c r="L99" s="8">
        <v>1005.0795255292749</v>
      </c>
      <c r="M99" s="8">
        <v>3286.7931756549738</v>
      </c>
      <c r="N99" s="8">
        <v>2242.6833777952857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>
        <v>11865.733089775473</v>
      </c>
      <c r="AA99" s="8"/>
      <c r="AB99" s="8"/>
      <c r="AI99">
        <f t="shared" si="6"/>
        <v>92</v>
      </c>
      <c r="AJ99" s="27" t="s">
        <v>208</v>
      </c>
      <c r="AK99" s="8">
        <v>11865.733089775475</v>
      </c>
      <c r="AM99">
        <f t="shared" si="7"/>
        <v>92</v>
      </c>
      <c r="AN99" t="s">
        <v>2321</v>
      </c>
      <c r="AO99" s="8">
        <v>10</v>
      </c>
      <c r="AR99" s="27" t="s">
        <v>1547</v>
      </c>
      <c r="AS99" s="21">
        <v>7081</v>
      </c>
      <c r="AU99" s="27" t="s">
        <v>1532</v>
      </c>
      <c r="AV99" s="21">
        <v>1</v>
      </c>
    </row>
    <row r="100" spans="2:48" x14ac:dyDescent="0.35">
      <c r="B100">
        <f t="shared" si="5"/>
        <v>93</v>
      </c>
      <c r="C100" s="27" t="s">
        <v>997</v>
      </c>
      <c r="D100" s="8">
        <v>3411.4753981094677</v>
      </c>
      <c r="E100" s="8">
        <v>882.23984801882364</v>
      </c>
      <c r="F100" s="8"/>
      <c r="G100" s="8">
        <v>3694.6051989335688</v>
      </c>
      <c r="H100" s="8"/>
      <c r="I100" s="8"/>
      <c r="J100" s="8"/>
      <c r="K100" s="8">
        <v>966.1417327390327</v>
      </c>
      <c r="L100" s="8"/>
      <c r="M100" s="8">
        <v>982.2712330395683</v>
      </c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>
        <v>1807.6853289812043</v>
      </c>
      <c r="Y100" s="8"/>
      <c r="Z100" s="8">
        <v>11744.418739821664</v>
      </c>
      <c r="AA100" s="8"/>
      <c r="AB100" s="8"/>
      <c r="AI100">
        <f t="shared" si="6"/>
        <v>93</v>
      </c>
      <c r="AJ100" s="27" t="s">
        <v>997</v>
      </c>
      <c r="AK100" s="8">
        <v>11744.418739821664</v>
      </c>
      <c r="AM100">
        <f t="shared" si="7"/>
        <v>93</v>
      </c>
      <c r="AN100" s="27" t="s">
        <v>1501</v>
      </c>
      <c r="AO100" s="8">
        <v>10</v>
      </c>
      <c r="AR100" s="27" t="s">
        <v>219</v>
      </c>
      <c r="AS100" s="21">
        <v>7053</v>
      </c>
      <c r="AU100" s="27" t="s">
        <v>1635</v>
      </c>
      <c r="AV100" s="21">
        <v>1</v>
      </c>
    </row>
    <row r="101" spans="2:48" x14ac:dyDescent="0.35">
      <c r="B101">
        <f t="shared" si="5"/>
        <v>94</v>
      </c>
      <c r="C101" t="s">
        <v>2402</v>
      </c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>
        <v>1672.0978579357175</v>
      </c>
      <c r="T101" s="8"/>
      <c r="U101" s="8">
        <v>2861.3850404424652</v>
      </c>
      <c r="V101" s="8">
        <v>3330.2977913797731</v>
      </c>
      <c r="W101" s="8">
        <v>903.08998699194365</v>
      </c>
      <c r="X101" s="8">
        <v>2837.7988012727574</v>
      </c>
      <c r="Y101" s="8"/>
      <c r="Z101" s="8">
        <v>11604.669478022657</v>
      </c>
      <c r="AA101" s="8"/>
      <c r="AB101" s="8"/>
      <c r="AI101">
        <f t="shared" si="6"/>
        <v>94</v>
      </c>
      <c r="AJ101" t="s">
        <v>2402</v>
      </c>
      <c r="AK101" s="8">
        <v>11604.669478022655</v>
      </c>
      <c r="AM101">
        <f t="shared" si="7"/>
        <v>94</v>
      </c>
      <c r="AN101" t="s">
        <v>2402</v>
      </c>
      <c r="AO101" s="8">
        <v>10</v>
      </c>
      <c r="AR101" s="27" t="s">
        <v>1524</v>
      </c>
      <c r="AS101" s="21">
        <v>6969</v>
      </c>
      <c r="AU101" t="s">
        <v>2647</v>
      </c>
      <c r="AV101" s="21">
        <v>1</v>
      </c>
    </row>
    <row r="102" spans="2:48" x14ac:dyDescent="0.35">
      <c r="B102">
        <f t="shared" si="5"/>
        <v>95</v>
      </c>
      <c r="C102" s="27" t="s">
        <v>1539</v>
      </c>
      <c r="D102" s="8"/>
      <c r="E102" s="8"/>
      <c r="F102" s="8">
        <v>1298.3071373285077</v>
      </c>
      <c r="G102" s="8"/>
      <c r="H102" s="8"/>
      <c r="I102" s="8">
        <v>1052.5290512761844</v>
      </c>
      <c r="J102" s="8">
        <v>1491.3616938342727</v>
      </c>
      <c r="K102" s="8">
        <v>1204.1199826559246</v>
      </c>
      <c r="L102" s="8">
        <v>980.97676268656971</v>
      </c>
      <c r="M102" s="8">
        <v>1089.400411229311</v>
      </c>
      <c r="N102" s="8"/>
      <c r="O102" s="8"/>
      <c r="P102" s="8"/>
      <c r="Q102" s="8">
        <v>944.4826721501687</v>
      </c>
      <c r="R102" s="8"/>
      <c r="S102" s="8"/>
      <c r="T102" s="8"/>
      <c r="U102" s="8">
        <v>1903.0899869919435</v>
      </c>
      <c r="V102" s="8">
        <v>1623.2492903979003</v>
      </c>
      <c r="W102" s="8"/>
      <c r="X102" s="8"/>
      <c r="Y102" s="8"/>
      <c r="Z102" s="8">
        <v>11587.516988550782</v>
      </c>
      <c r="AA102" s="8"/>
      <c r="AB102" s="8"/>
      <c r="AI102">
        <f t="shared" si="6"/>
        <v>95</v>
      </c>
      <c r="AJ102" s="27" t="s">
        <v>1539</v>
      </c>
      <c r="AK102" s="8">
        <v>11587.516988550782</v>
      </c>
      <c r="AM102">
        <f t="shared" si="7"/>
        <v>95</v>
      </c>
      <c r="AN102" s="27" t="s">
        <v>373</v>
      </c>
      <c r="AO102" s="8">
        <v>10</v>
      </c>
      <c r="AR102" s="27" t="s">
        <v>1178</v>
      </c>
      <c r="AS102" s="21">
        <v>6828</v>
      </c>
      <c r="AU102" s="27" t="s">
        <v>622</v>
      </c>
      <c r="AV102" s="21">
        <v>1</v>
      </c>
    </row>
    <row r="103" spans="2:48" x14ac:dyDescent="0.35">
      <c r="B103">
        <f t="shared" si="5"/>
        <v>96</v>
      </c>
      <c r="C103" s="27" t="s">
        <v>385</v>
      </c>
      <c r="D103" s="8"/>
      <c r="E103" s="8"/>
      <c r="F103" s="8"/>
      <c r="G103" s="8"/>
      <c r="H103" s="8"/>
      <c r="I103" s="8"/>
      <c r="J103" s="8">
        <v>954.24250943932498</v>
      </c>
      <c r="K103" s="8"/>
      <c r="L103" s="8">
        <v>2372.70163993286</v>
      </c>
      <c r="M103" s="8">
        <v>4074.2693439312384</v>
      </c>
      <c r="N103" s="8"/>
      <c r="O103" s="8"/>
      <c r="P103" s="8"/>
      <c r="Q103" s="8"/>
      <c r="R103" s="8"/>
      <c r="S103" s="8"/>
      <c r="T103" s="8">
        <v>1176.0912590556813</v>
      </c>
      <c r="U103" s="8">
        <v>2080.836849959052</v>
      </c>
      <c r="V103" s="8"/>
      <c r="W103" s="8"/>
      <c r="X103" s="8">
        <v>903.08998699194353</v>
      </c>
      <c r="Y103" s="8"/>
      <c r="Z103" s="8">
        <v>11561.2315893101</v>
      </c>
      <c r="AA103" s="8"/>
      <c r="AB103" s="8"/>
      <c r="AI103">
        <f t="shared" si="6"/>
        <v>96</v>
      </c>
      <c r="AJ103" s="27" t="s">
        <v>385</v>
      </c>
      <c r="AK103" s="8">
        <v>11561.231589310099</v>
      </c>
      <c r="AM103">
        <f t="shared" si="7"/>
        <v>96</v>
      </c>
      <c r="AN103" s="27" t="s">
        <v>599</v>
      </c>
      <c r="AO103" s="8">
        <v>10</v>
      </c>
      <c r="AR103" s="27" t="s">
        <v>1027</v>
      </c>
      <c r="AS103" s="21">
        <v>6630</v>
      </c>
      <c r="AU103" s="27" t="s">
        <v>309</v>
      </c>
      <c r="AV103" s="21">
        <v>1</v>
      </c>
    </row>
    <row r="104" spans="2:48" x14ac:dyDescent="0.35">
      <c r="B104">
        <f t="shared" si="5"/>
        <v>97</v>
      </c>
      <c r="C104" s="27" t="s">
        <v>966</v>
      </c>
      <c r="D104" s="8">
        <v>1462.3979978989562</v>
      </c>
      <c r="E104" s="8"/>
      <c r="F104" s="8"/>
      <c r="G104" s="8">
        <v>1057.9919469776869</v>
      </c>
      <c r="H104" s="8">
        <v>2527.2828024486471</v>
      </c>
      <c r="I104" s="8">
        <v>647.81748188863753</v>
      </c>
      <c r="J104" s="8">
        <v>1176.0912590556811</v>
      </c>
      <c r="K104" s="8"/>
      <c r="L104" s="8"/>
      <c r="M104" s="8"/>
      <c r="N104" s="8"/>
      <c r="O104" s="8">
        <v>2730.7318203097357</v>
      </c>
      <c r="P104" s="8"/>
      <c r="Q104" s="8"/>
      <c r="R104" s="8"/>
      <c r="S104" s="8">
        <v>983.91318010654527</v>
      </c>
      <c r="T104" s="8"/>
      <c r="U104" s="8">
        <v>924.27928606188163</v>
      </c>
      <c r="V104" s="8"/>
      <c r="W104" s="8"/>
      <c r="X104" s="8"/>
      <c r="Y104" s="8"/>
      <c r="Z104" s="8">
        <v>11510.505774747771</v>
      </c>
      <c r="AA104" s="8"/>
      <c r="AB104" s="8"/>
      <c r="AI104">
        <f t="shared" si="6"/>
        <v>97</v>
      </c>
      <c r="AJ104" s="27" t="s">
        <v>966</v>
      </c>
      <c r="AK104" s="8">
        <v>11510.505774747771</v>
      </c>
      <c r="AM104">
        <f t="shared" si="7"/>
        <v>97</v>
      </c>
      <c r="AN104" s="27" t="s">
        <v>1545</v>
      </c>
      <c r="AO104" s="8">
        <v>10</v>
      </c>
      <c r="AR104" s="27" t="s">
        <v>188</v>
      </c>
      <c r="AS104" s="21">
        <v>6600</v>
      </c>
      <c r="AU104" s="27" t="s">
        <v>172</v>
      </c>
      <c r="AV104" s="21">
        <v>1</v>
      </c>
    </row>
    <row r="105" spans="2:48" x14ac:dyDescent="0.35">
      <c r="B105">
        <f t="shared" si="5"/>
        <v>98</v>
      </c>
      <c r="C105" s="27" t="s">
        <v>522</v>
      </c>
      <c r="D105" s="8">
        <v>708.51532224224923</v>
      </c>
      <c r="E105" s="8"/>
      <c r="F105" s="8"/>
      <c r="G105" s="8"/>
      <c r="H105" s="8">
        <v>3816.4378010158853</v>
      </c>
      <c r="I105" s="8"/>
      <c r="J105" s="8"/>
      <c r="K105" s="8">
        <v>3715.2510288788499</v>
      </c>
      <c r="L105" s="8">
        <v>1006.1603087048186</v>
      </c>
      <c r="M105" s="8">
        <v>2111.2625136590655</v>
      </c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>
        <v>11357.626974500869</v>
      </c>
      <c r="AA105" s="8"/>
      <c r="AB105" s="8"/>
      <c r="AI105">
        <f t="shared" si="6"/>
        <v>98</v>
      </c>
      <c r="AJ105" s="27" t="s">
        <v>522</v>
      </c>
      <c r="AK105" s="8">
        <v>11357.62697450087</v>
      </c>
      <c r="AM105">
        <f t="shared" si="7"/>
        <v>98</v>
      </c>
      <c r="AN105" s="27" t="s">
        <v>966</v>
      </c>
      <c r="AO105" s="8">
        <v>10</v>
      </c>
      <c r="AR105" s="27" t="s">
        <v>961</v>
      </c>
      <c r="AS105" s="21">
        <v>6583</v>
      </c>
      <c r="AU105" s="27" t="s">
        <v>301</v>
      </c>
      <c r="AV105" s="21">
        <v>1</v>
      </c>
    </row>
    <row r="106" spans="2:48" x14ac:dyDescent="0.35">
      <c r="B106">
        <f t="shared" si="5"/>
        <v>99</v>
      </c>
      <c r="C106" s="27" t="s">
        <v>222</v>
      </c>
      <c r="D106" s="8"/>
      <c r="E106" s="8"/>
      <c r="F106" s="8"/>
      <c r="G106" s="8"/>
      <c r="H106" s="8"/>
      <c r="I106" s="8">
        <v>943.96287019475449</v>
      </c>
      <c r="J106" s="8">
        <v>1556.3025007672873</v>
      </c>
      <c r="K106" s="8">
        <v>1022.4041096016194</v>
      </c>
      <c r="L106" s="8">
        <v>1934.4984512435674</v>
      </c>
      <c r="M106" s="8">
        <v>2028.4163135250351</v>
      </c>
      <c r="N106" s="8">
        <v>845.09804001425687</v>
      </c>
      <c r="O106" s="8">
        <v>1166.331421766525</v>
      </c>
      <c r="P106" s="8"/>
      <c r="Q106" s="8">
        <v>1838.8490907372552</v>
      </c>
      <c r="R106" s="8"/>
      <c r="S106" s="8"/>
      <c r="T106" s="8"/>
      <c r="U106" s="8"/>
      <c r="V106" s="8"/>
      <c r="W106" s="8"/>
      <c r="X106" s="8"/>
      <c r="Y106" s="8"/>
      <c r="Z106" s="8">
        <v>11335.862797850299</v>
      </c>
      <c r="AA106" s="8"/>
      <c r="AB106" s="8"/>
      <c r="AI106">
        <f t="shared" si="6"/>
        <v>99</v>
      </c>
      <c r="AJ106" s="27" t="s">
        <v>222</v>
      </c>
      <c r="AK106" s="8">
        <v>11335.862797850299</v>
      </c>
      <c r="AM106">
        <f t="shared" si="7"/>
        <v>99</v>
      </c>
      <c r="AN106" s="27" t="s">
        <v>1589</v>
      </c>
      <c r="AO106" s="8">
        <v>10</v>
      </c>
      <c r="AR106" s="27" t="s">
        <v>1545</v>
      </c>
      <c r="AS106" s="21">
        <v>6458</v>
      </c>
      <c r="AU106" s="27" t="s">
        <v>188</v>
      </c>
      <c r="AV106" s="21">
        <v>1</v>
      </c>
    </row>
    <row r="107" spans="2:48" x14ac:dyDescent="0.35">
      <c r="B107">
        <f t="shared" si="5"/>
        <v>100</v>
      </c>
      <c r="C107" s="27" t="s">
        <v>619</v>
      </c>
      <c r="D107" s="8">
        <v>1317.0181010481117</v>
      </c>
      <c r="E107" s="8"/>
      <c r="F107" s="8"/>
      <c r="G107" s="8">
        <v>1221.8487496163564</v>
      </c>
      <c r="H107" s="8">
        <v>1161.3680022349749</v>
      </c>
      <c r="I107" s="8">
        <v>1745.5952164279208</v>
      </c>
      <c r="J107" s="8"/>
      <c r="K107" s="8">
        <v>1298.6105215405685</v>
      </c>
      <c r="L107" s="8"/>
      <c r="M107" s="8"/>
      <c r="N107" s="8"/>
      <c r="O107" s="8"/>
      <c r="P107" s="8"/>
      <c r="Q107" s="8"/>
      <c r="R107" s="8"/>
      <c r="S107" s="8">
        <v>1065.8172844896433</v>
      </c>
      <c r="T107" s="8"/>
      <c r="U107" s="8">
        <v>2408.2399653118491</v>
      </c>
      <c r="V107" s="8"/>
      <c r="W107" s="8"/>
      <c r="X107" s="8">
        <v>878.26640326691154</v>
      </c>
      <c r="Y107" s="8"/>
      <c r="Z107" s="8">
        <v>11096.764243936335</v>
      </c>
      <c r="AA107" s="8"/>
      <c r="AB107" s="8"/>
      <c r="AI107">
        <f t="shared" si="6"/>
        <v>100</v>
      </c>
      <c r="AJ107" s="27" t="s">
        <v>619</v>
      </c>
      <c r="AK107" s="8">
        <v>11096.764243936335</v>
      </c>
      <c r="AM107">
        <f t="shared" si="7"/>
        <v>100</v>
      </c>
      <c r="AN107" s="27" t="s">
        <v>1563</v>
      </c>
      <c r="AO107" s="8">
        <v>10</v>
      </c>
      <c r="AR107" s="27" t="s">
        <v>869</v>
      </c>
      <c r="AS107" s="21">
        <v>6427</v>
      </c>
      <c r="AU107" s="27" t="s">
        <v>736</v>
      </c>
      <c r="AV107" s="21">
        <v>1</v>
      </c>
    </row>
    <row r="108" spans="2:48" x14ac:dyDescent="0.35">
      <c r="B108">
        <f t="shared" si="5"/>
        <v>101</v>
      </c>
      <c r="C108" s="27" t="s">
        <v>155</v>
      </c>
      <c r="D108" s="8"/>
      <c r="E108" s="8"/>
      <c r="F108" s="8"/>
      <c r="G108" s="8"/>
      <c r="H108" s="8"/>
      <c r="I108" s="8"/>
      <c r="J108" s="8"/>
      <c r="K108" s="8"/>
      <c r="L108" s="8">
        <v>1028.0287236002437</v>
      </c>
      <c r="M108" s="8"/>
      <c r="N108" s="8">
        <v>1703.1789544095714</v>
      </c>
      <c r="O108" s="8">
        <v>806.17997398388718</v>
      </c>
      <c r="P108" s="8">
        <v>627.636252551653</v>
      </c>
      <c r="Q108" s="8">
        <v>1843.3538760913461</v>
      </c>
      <c r="R108" s="8">
        <v>2193.1245983544613</v>
      </c>
      <c r="S108" s="8">
        <v>1623.2492903979005</v>
      </c>
      <c r="T108" s="8">
        <v>539.59062302381233</v>
      </c>
      <c r="U108" s="8"/>
      <c r="V108" s="8"/>
      <c r="W108" s="8"/>
      <c r="X108" s="8">
        <v>720.15930340595696</v>
      </c>
      <c r="Y108" s="8"/>
      <c r="Z108" s="8">
        <v>11084.501595818832</v>
      </c>
      <c r="AA108" s="8"/>
      <c r="AB108" s="8"/>
      <c r="AI108">
        <f t="shared" si="6"/>
        <v>101</v>
      </c>
      <c r="AJ108" s="27" t="s">
        <v>155</v>
      </c>
      <c r="AK108" s="8">
        <v>11084.501595818832</v>
      </c>
      <c r="AM108">
        <f t="shared" si="7"/>
        <v>101</v>
      </c>
      <c r="AN108" s="27" t="s">
        <v>602</v>
      </c>
      <c r="AO108" s="8">
        <v>10</v>
      </c>
      <c r="AR108" s="27" t="s">
        <v>904</v>
      </c>
      <c r="AS108" s="21">
        <v>6244</v>
      </c>
      <c r="AU108" s="27" t="s">
        <v>679</v>
      </c>
      <c r="AV108" s="21">
        <v>1</v>
      </c>
    </row>
    <row r="109" spans="2:48" x14ac:dyDescent="0.35">
      <c r="B109">
        <f t="shared" si="5"/>
        <v>102</v>
      </c>
      <c r="C109" s="27" t="s">
        <v>2338</v>
      </c>
      <c r="D109" s="8"/>
      <c r="E109" s="8"/>
      <c r="F109" s="8">
        <v>2298.8530764097068</v>
      </c>
      <c r="G109" s="8">
        <v>1591.0646070264991</v>
      </c>
      <c r="H109" s="8"/>
      <c r="I109" s="8">
        <v>1143.5352250999583</v>
      </c>
      <c r="J109" s="8"/>
      <c r="K109" s="8"/>
      <c r="L109" s="8"/>
      <c r="M109" s="8"/>
      <c r="N109" s="8"/>
      <c r="O109" s="8"/>
      <c r="P109" s="8">
        <v>1322.2192947339192</v>
      </c>
      <c r="Q109" s="8"/>
      <c r="R109" s="8"/>
      <c r="S109" s="8">
        <v>2630.0887149282057</v>
      </c>
      <c r="T109" s="8">
        <v>1887.295719808712</v>
      </c>
      <c r="U109" s="8"/>
      <c r="V109" s="8"/>
      <c r="W109" s="8"/>
      <c r="X109" s="8"/>
      <c r="Y109" s="8"/>
      <c r="Z109" s="8">
        <v>10873.056638007001</v>
      </c>
      <c r="AA109" s="8"/>
      <c r="AB109" s="8"/>
      <c r="AI109">
        <f t="shared" si="6"/>
        <v>102</v>
      </c>
      <c r="AJ109" s="27" t="s">
        <v>2338</v>
      </c>
      <c r="AK109" s="8">
        <v>10873.056638007001</v>
      </c>
      <c r="AM109">
        <f t="shared" si="7"/>
        <v>102</v>
      </c>
      <c r="AN109" s="27" t="s">
        <v>154</v>
      </c>
      <c r="AO109" s="8">
        <v>10</v>
      </c>
      <c r="AR109" s="27" t="s">
        <v>1539</v>
      </c>
      <c r="AS109" s="21">
        <v>6161</v>
      </c>
      <c r="AU109" s="27" t="s">
        <v>385</v>
      </c>
      <c r="AV109" s="21">
        <v>1</v>
      </c>
    </row>
    <row r="110" spans="2:48" x14ac:dyDescent="0.35">
      <c r="B110">
        <f t="shared" si="5"/>
        <v>103</v>
      </c>
      <c r="C110" s="27" t="s">
        <v>599</v>
      </c>
      <c r="D110" s="8">
        <v>2966.6863552253717</v>
      </c>
      <c r="E110" s="8">
        <v>2846.3371121298051</v>
      </c>
      <c r="F110" s="8">
        <v>2400.414627799893</v>
      </c>
      <c r="G110" s="8"/>
      <c r="H110" s="8">
        <v>736.75856522541847</v>
      </c>
      <c r="I110" s="8">
        <v>624.3363860391147</v>
      </c>
      <c r="J110" s="8"/>
      <c r="K110" s="8">
        <v>1283.3012287035497</v>
      </c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>
        <v>10857.834275123152</v>
      </c>
      <c r="AA110" s="8"/>
      <c r="AB110" s="8"/>
      <c r="AI110">
        <f t="shared" si="6"/>
        <v>103</v>
      </c>
      <c r="AJ110" s="27" t="s">
        <v>599</v>
      </c>
      <c r="AK110" s="8">
        <v>10857.834275123152</v>
      </c>
      <c r="AM110">
        <f t="shared" si="7"/>
        <v>103</v>
      </c>
      <c r="AN110" s="27" t="s">
        <v>188</v>
      </c>
      <c r="AO110" s="8">
        <v>10</v>
      </c>
      <c r="AR110" s="27" t="s">
        <v>154</v>
      </c>
      <c r="AS110" s="21">
        <v>6125.5</v>
      </c>
      <c r="AU110" s="27" t="s">
        <v>184</v>
      </c>
      <c r="AV110" s="21">
        <v>1</v>
      </c>
    </row>
    <row r="111" spans="2:48" x14ac:dyDescent="0.35">
      <c r="B111">
        <f t="shared" si="5"/>
        <v>104</v>
      </c>
      <c r="C111" s="27" t="s">
        <v>823</v>
      </c>
      <c r="D111" s="8">
        <v>4052.4534554677994</v>
      </c>
      <c r="E111" s="8">
        <v>2313.8672203691531</v>
      </c>
      <c r="F111" s="8"/>
      <c r="G111" s="8">
        <v>990.24016271084383</v>
      </c>
      <c r="H111" s="8">
        <v>2256.7778601006225</v>
      </c>
      <c r="I111" s="8">
        <v>1204.1199826559246</v>
      </c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>
        <v>10817.458681304342</v>
      </c>
      <c r="AA111" s="8"/>
      <c r="AB111" s="8"/>
      <c r="AI111">
        <f t="shared" si="6"/>
        <v>104</v>
      </c>
      <c r="AJ111" s="27" t="s">
        <v>823</v>
      </c>
      <c r="AK111" s="8">
        <v>10817.458681304342</v>
      </c>
      <c r="AM111">
        <f t="shared" si="7"/>
        <v>104</v>
      </c>
      <c r="AN111" s="27" t="s">
        <v>892</v>
      </c>
      <c r="AO111" s="8">
        <v>10</v>
      </c>
      <c r="AR111" s="27" t="s">
        <v>400</v>
      </c>
      <c r="AS111" s="21">
        <v>6122</v>
      </c>
      <c r="AU111" s="27" t="s">
        <v>210</v>
      </c>
      <c r="AV111" s="21">
        <v>1</v>
      </c>
    </row>
    <row r="112" spans="2:48" x14ac:dyDescent="0.35">
      <c r="B112">
        <f t="shared" si="5"/>
        <v>105</v>
      </c>
      <c r="C112" s="27" t="s">
        <v>444</v>
      </c>
      <c r="D112" s="8">
        <v>1607.8165008833384</v>
      </c>
      <c r="E112" s="8">
        <v>1919.078092376074</v>
      </c>
      <c r="F112" s="8"/>
      <c r="G112" s="8"/>
      <c r="H112" s="8">
        <v>1117.6394978668006</v>
      </c>
      <c r="I112" s="8">
        <v>755.87485567249144</v>
      </c>
      <c r="J112" s="8"/>
      <c r="K112" s="8">
        <v>1194.9766032160551</v>
      </c>
      <c r="L112" s="8">
        <v>1575.8333298621314</v>
      </c>
      <c r="M112" s="8"/>
      <c r="N112" s="8"/>
      <c r="O112" s="8">
        <v>1028.0287236002437</v>
      </c>
      <c r="P112" s="8"/>
      <c r="Q112" s="8">
        <v>595.16584908514574</v>
      </c>
      <c r="R112" s="8">
        <v>442.30329064896523</v>
      </c>
      <c r="S112" s="8">
        <v>334.50339047928776</v>
      </c>
      <c r="T112" s="8"/>
      <c r="U112" s="8"/>
      <c r="V112" s="8"/>
      <c r="W112" s="8"/>
      <c r="X112" s="8"/>
      <c r="Y112" s="8"/>
      <c r="Z112" s="8">
        <v>10571.220133690535</v>
      </c>
      <c r="AA112" s="8"/>
      <c r="AB112" s="8"/>
      <c r="AI112">
        <f t="shared" si="6"/>
        <v>105</v>
      </c>
      <c r="AJ112" s="27" t="s">
        <v>444</v>
      </c>
      <c r="AK112" s="8">
        <v>10571.220133690535</v>
      </c>
      <c r="AM112">
        <f t="shared" si="7"/>
        <v>105</v>
      </c>
      <c r="AN112" s="27" t="s">
        <v>303</v>
      </c>
      <c r="AO112" s="8">
        <v>10</v>
      </c>
      <c r="AR112" s="27" t="s">
        <v>624</v>
      </c>
      <c r="AS112" s="21">
        <v>6090</v>
      </c>
      <c r="AU112" s="27" t="s">
        <v>478</v>
      </c>
      <c r="AV112" s="21">
        <v>1</v>
      </c>
    </row>
    <row r="113" spans="2:48" x14ac:dyDescent="0.35">
      <c r="B113">
        <f t="shared" si="5"/>
        <v>106</v>
      </c>
      <c r="C113" s="27" t="s">
        <v>511</v>
      </c>
      <c r="D113" s="8"/>
      <c r="E113" s="8"/>
      <c r="F113" s="8">
        <v>990.24016271084372</v>
      </c>
      <c r="G113" s="8"/>
      <c r="H113" s="8"/>
      <c r="I113" s="8"/>
      <c r="J113" s="8"/>
      <c r="K113" s="8">
        <v>1181.8435879447727</v>
      </c>
      <c r="L113" s="8">
        <v>1467.3614174305062</v>
      </c>
      <c r="M113" s="8"/>
      <c r="N113" s="8"/>
      <c r="O113" s="8"/>
      <c r="P113" s="8">
        <v>3918.5348846981215</v>
      </c>
      <c r="Q113" s="8"/>
      <c r="R113" s="8"/>
      <c r="S113" s="8">
        <v>1999.9999999999998</v>
      </c>
      <c r="T113" s="8"/>
      <c r="U113" s="8">
        <v>1005.3950318867062</v>
      </c>
      <c r="V113" s="8"/>
      <c r="W113" s="8"/>
      <c r="X113" s="8"/>
      <c r="Y113" s="8"/>
      <c r="Z113" s="8">
        <v>10563.37508467095</v>
      </c>
      <c r="AA113" s="8"/>
      <c r="AB113" s="8"/>
      <c r="AI113">
        <f t="shared" si="6"/>
        <v>106</v>
      </c>
      <c r="AJ113" s="27" t="s">
        <v>511</v>
      </c>
      <c r="AK113" s="8">
        <v>10563.37508467095</v>
      </c>
      <c r="AM113">
        <f t="shared" si="7"/>
        <v>106</v>
      </c>
      <c r="AN113" s="27" t="s">
        <v>150</v>
      </c>
      <c r="AO113" s="8">
        <v>10</v>
      </c>
      <c r="AR113" s="27" t="s">
        <v>290</v>
      </c>
      <c r="AS113" s="21">
        <v>6062.25</v>
      </c>
      <c r="AU113" s="27" t="s">
        <v>1158</v>
      </c>
      <c r="AV113" s="21">
        <v>1</v>
      </c>
    </row>
    <row r="114" spans="2:48" x14ac:dyDescent="0.35">
      <c r="B114">
        <f t="shared" si="5"/>
        <v>107</v>
      </c>
      <c r="C114" s="27" t="s">
        <v>961</v>
      </c>
      <c r="D114" s="8"/>
      <c r="E114" s="8">
        <v>1556.3025007672873</v>
      </c>
      <c r="F114" s="8">
        <v>3754.0423867854361</v>
      </c>
      <c r="G114" s="8">
        <v>2533.5776863137635</v>
      </c>
      <c r="H114" s="8">
        <v>2664.8181956769863</v>
      </c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>
        <v>10508.740769543472</v>
      </c>
      <c r="AA114" s="8"/>
      <c r="AB114" s="8"/>
      <c r="AI114">
        <f t="shared" si="6"/>
        <v>107</v>
      </c>
      <c r="AJ114" s="27" t="s">
        <v>961</v>
      </c>
      <c r="AK114" s="8">
        <v>10508.740769543474</v>
      </c>
      <c r="AM114">
        <f t="shared" si="7"/>
        <v>107</v>
      </c>
      <c r="AN114" s="27" t="s">
        <v>904</v>
      </c>
      <c r="AO114" s="8">
        <v>9</v>
      </c>
      <c r="AR114" s="27" t="s">
        <v>1583</v>
      </c>
      <c r="AS114" s="21">
        <v>6042</v>
      </c>
      <c r="AU114" s="27" t="s">
        <v>236</v>
      </c>
      <c r="AV114" s="21">
        <v>1</v>
      </c>
    </row>
    <row r="115" spans="2:48" x14ac:dyDescent="0.35">
      <c r="B115">
        <f t="shared" si="5"/>
        <v>108</v>
      </c>
      <c r="C115" s="27" t="s">
        <v>1113</v>
      </c>
      <c r="D115" s="8"/>
      <c r="E115" s="8"/>
      <c r="F115" s="8">
        <v>1156.347200859924</v>
      </c>
      <c r="G115" s="8"/>
      <c r="H115" s="8"/>
      <c r="I115" s="8"/>
      <c r="J115" s="8"/>
      <c r="K115" s="8"/>
      <c r="L115" s="8"/>
      <c r="M115" s="8"/>
      <c r="N115" s="8"/>
      <c r="O115" s="8"/>
      <c r="P115" s="8">
        <v>2180.2533463953487</v>
      </c>
      <c r="Q115" s="8">
        <v>1026.7931765879366</v>
      </c>
      <c r="R115" s="8">
        <v>1707.5701760979362</v>
      </c>
      <c r="S115" s="8"/>
      <c r="T115" s="8">
        <v>1626.6824662362944</v>
      </c>
      <c r="U115" s="8">
        <v>1452.2976709946302</v>
      </c>
      <c r="V115" s="8">
        <v>1271.066772286538</v>
      </c>
      <c r="W115" s="8"/>
      <c r="X115" s="8"/>
      <c r="Y115" s="8"/>
      <c r="Z115" s="8">
        <v>10421.010809458608</v>
      </c>
      <c r="AA115" s="8"/>
      <c r="AB115" s="8"/>
      <c r="AI115">
        <f t="shared" si="6"/>
        <v>108</v>
      </c>
      <c r="AJ115" s="27" t="s">
        <v>1113</v>
      </c>
      <c r="AK115" s="8">
        <v>10421.010809458608</v>
      </c>
      <c r="AM115">
        <f t="shared" si="7"/>
        <v>108</v>
      </c>
      <c r="AN115" s="27" t="s">
        <v>305</v>
      </c>
      <c r="AO115" s="8">
        <v>9</v>
      </c>
      <c r="AR115" s="27" t="s">
        <v>389</v>
      </c>
      <c r="AS115" s="21">
        <v>6003</v>
      </c>
      <c r="AU115" s="27" t="s">
        <v>325</v>
      </c>
      <c r="AV115" s="21">
        <v>1</v>
      </c>
    </row>
    <row r="116" spans="2:48" x14ac:dyDescent="0.35">
      <c r="B116">
        <f t="shared" si="5"/>
        <v>109</v>
      </c>
      <c r="C116" s="27" t="s">
        <v>500</v>
      </c>
      <c r="D116" s="8"/>
      <c r="E116" s="8"/>
      <c r="F116" s="8"/>
      <c r="G116" s="8"/>
      <c r="H116" s="8"/>
      <c r="I116" s="8"/>
      <c r="J116" s="8"/>
      <c r="K116" s="8"/>
      <c r="L116" s="8">
        <v>1263.2414347745812</v>
      </c>
      <c r="M116" s="8">
        <v>857.33249643126851</v>
      </c>
      <c r="N116" s="8"/>
      <c r="O116" s="8">
        <v>3928.7797870172662</v>
      </c>
      <c r="P116" s="8"/>
      <c r="Q116" s="8">
        <v>1224.014811372864</v>
      </c>
      <c r="R116" s="8"/>
      <c r="S116" s="8">
        <v>1351.9679457214211</v>
      </c>
      <c r="T116" s="8">
        <v>1774.5169657285496</v>
      </c>
      <c r="U116" s="8"/>
      <c r="V116" s="8"/>
      <c r="W116" s="8"/>
      <c r="X116" s="8"/>
      <c r="Y116" s="8"/>
      <c r="Z116" s="8">
        <v>10399.853441045951</v>
      </c>
      <c r="AA116" s="8"/>
      <c r="AB116" s="8"/>
      <c r="AI116">
        <f t="shared" si="6"/>
        <v>109</v>
      </c>
      <c r="AJ116" s="27" t="s">
        <v>500</v>
      </c>
      <c r="AK116" s="8">
        <v>10399.853441045951</v>
      </c>
      <c r="AM116">
        <f t="shared" si="7"/>
        <v>109</v>
      </c>
      <c r="AN116" s="27" t="s">
        <v>511</v>
      </c>
      <c r="AO116" s="8">
        <v>9</v>
      </c>
      <c r="AR116" s="27" t="s">
        <v>975</v>
      </c>
      <c r="AS116" s="21">
        <v>5870</v>
      </c>
      <c r="AU116" s="27" t="s">
        <v>456</v>
      </c>
      <c r="AV116" s="21">
        <v>1</v>
      </c>
    </row>
    <row r="117" spans="2:48" x14ac:dyDescent="0.35">
      <c r="B117">
        <f t="shared" si="5"/>
        <v>110</v>
      </c>
      <c r="C117" s="27" t="s">
        <v>1589</v>
      </c>
      <c r="D117" s="8"/>
      <c r="E117" s="8"/>
      <c r="F117" s="8"/>
      <c r="G117" s="8"/>
      <c r="H117" s="8"/>
      <c r="I117" s="8">
        <v>1235.5284469075486</v>
      </c>
      <c r="J117" s="8"/>
      <c r="K117" s="8"/>
      <c r="L117" s="8"/>
      <c r="M117" s="8"/>
      <c r="N117" s="8"/>
      <c r="O117" s="8"/>
      <c r="P117" s="8"/>
      <c r="Q117" s="8"/>
      <c r="R117" s="8">
        <v>1909.720565890957</v>
      </c>
      <c r="S117" s="8"/>
      <c r="T117" s="8">
        <v>3909.9836949398441</v>
      </c>
      <c r="U117" s="8">
        <v>1171.2387562612691</v>
      </c>
      <c r="V117" s="8"/>
      <c r="W117" s="8"/>
      <c r="X117" s="8">
        <v>1278.7536009528289</v>
      </c>
      <c r="Y117" s="8">
        <v>884.60658129793046</v>
      </c>
      <c r="Z117" s="8">
        <v>10389.831646250377</v>
      </c>
      <c r="AA117" s="8"/>
      <c r="AB117" s="8"/>
      <c r="AI117">
        <f t="shared" si="6"/>
        <v>110</v>
      </c>
      <c r="AJ117" s="27" t="s">
        <v>1589</v>
      </c>
      <c r="AK117" s="8">
        <v>10389.831646250377</v>
      </c>
      <c r="AM117">
        <f t="shared" si="7"/>
        <v>110</v>
      </c>
      <c r="AN117" s="27" t="s">
        <v>222</v>
      </c>
      <c r="AO117" s="8">
        <v>9</v>
      </c>
      <c r="AR117" s="27" t="s">
        <v>594</v>
      </c>
      <c r="AS117" s="21">
        <v>5775</v>
      </c>
      <c r="AU117" s="27" t="s">
        <v>191</v>
      </c>
      <c r="AV117" s="21">
        <v>1</v>
      </c>
    </row>
    <row r="118" spans="2:48" x14ac:dyDescent="0.35">
      <c r="B118">
        <f t="shared" si="5"/>
        <v>111</v>
      </c>
      <c r="C118" s="27" t="s">
        <v>454</v>
      </c>
      <c r="D118" s="8"/>
      <c r="E118" s="8"/>
      <c r="F118" s="8"/>
      <c r="G118" s="8"/>
      <c r="H118" s="8"/>
      <c r="I118" s="8">
        <v>1845.0980400142569</v>
      </c>
      <c r="J118" s="8">
        <v>1301.029995663981</v>
      </c>
      <c r="K118" s="8">
        <v>1452.9962635910711</v>
      </c>
      <c r="L118" s="8">
        <v>1698.9700043360187</v>
      </c>
      <c r="M118" s="8"/>
      <c r="N118" s="8"/>
      <c r="O118" s="8">
        <v>1255.272505103306</v>
      </c>
      <c r="P118" s="8">
        <v>1311.7538610557542</v>
      </c>
      <c r="Q118" s="8"/>
      <c r="R118" s="8"/>
      <c r="S118" s="8"/>
      <c r="T118" s="8"/>
      <c r="U118" s="8"/>
      <c r="V118" s="8"/>
      <c r="W118" s="8"/>
      <c r="X118" s="8"/>
      <c r="Y118" s="8">
        <v>1439.3326938302625</v>
      </c>
      <c r="Z118" s="8">
        <v>10304.45336359465</v>
      </c>
      <c r="AA118" s="8"/>
      <c r="AB118" s="8"/>
      <c r="AI118">
        <f t="shared" si="6"/>
        <v>111</v>
      </c>
      <c r="AJ118" s="27" t="s">
        <v>454</v>
      </c>
      <c r="AK118" s="8">
        <v>10304.45336359465</v>
      </c>
      <c r="AM118">
        <f t="shared" si="7"/>
        <v>111</v>
      </c>
      <c r="AN118" s="27" t="s">
        <v>1113</v>
      </c>
      <c r="AO118" s="8">
        <v>9</v>
      </c>
      <c r="AR118" s="27" t="s">
        <v>1543</v>
      </c>
      <c r="AS118" s="21">
        <v>5772</v>
      </c>
      <c r="AU118" s="27" t="s">
        <v>1256</v>
      </c>
      <c r="AV118" s="21">
        <v>1</v>
      </c>
    </row>
    <row r="119" spans="2:48" x14ac:dyDescent="0.35">
      <c r="B119">
        <f t="shared" si="5"/>
        <v>112</v>
      </c>
      <c r="C119" s="27" t="s">
        <v>172</v>
      </c>
      <c r="D119" s="8"/>
      <c r="E119" s="8"/>
      <c r="F119" s="8"/>
      <c r="G119" s="8"/>
      <c r="H119" s="8"/>
      <c r="I119" s="8">
        <v>1995.4726896445206</v>
      </c>
      <c r="J119" s="8">
        <v>2019.116290447073</v>
      </c>
      <c r="K119" s="8">
        <v>1568.2017240669952</v>
      </c>
      <c r="L119" s="8"/>
      <c r="M119" s="8"/>
      <c r="N119" s="8">
        <v>2353.6939522415619</v>
      </c>
      <c r="O119" s="8">
        <v>1079.1812460476249</v>
      </c>
      <c r="P119" s="8"/>
      <c r="Q119" s="8"/>
      <c r="R119" s="8"/>
      <c r="S119" s="8"/>
      <c r="T119" s="8">
        <v>1130.3337684950061</v>
      </c>
      <c r="U119" s="8"/>
      <c r="V119" s="8"/>
      <c r="W119" s="8"/>
      <c r="X119" s="8"/>
      <c r="Y119" s="8"/>
      <c r="Z119" s="8">
        <v>10145.999670942781</v>
      </c>
      <c r="AA119" s="8"/>
      <c r="AB119" s="8"/>
      <c r="AI119">
        <f t="shared" si="6"/>
        <v>112</v>
      </c>
      <c r="AJ119" s="27" t="s">
        <v>172</v>
      </c>
      <c r="AK119" s="8">
        <v>10145.999670942783</v>
      </c>
      <c r="AM119">
        <f t="shared" si="7"/>
        <v>112</v>
      </c>
      <c r="AN119" s="27" t="s">
        <v>845</v>
      </c>
      <c r="AO119" s="8">
        <v>9</v>
      </c>
      <c r="AR119" s="27" t="s">
        <v>852</v>
      </c>
      <c r="AS119" s="21">
        <v>5745</v>
      </c>
      <c r="AU119" s="27" t="s">
        <v>2344</v>
      </c>
      <c r="AV119" s="21">
        <v>1</v>
      </c>
    </row>
    <row r="120" spans="2:48" x14ac:dyDescent="0.35">
      <c r="B120">
        <f t="shared" si="5"/>
        <v>113</v>
      </c>
      <c r="C120" s="27" t="s">
        <v>184</v>
      </c>
      <c r="D120" s="8"/>
      <c r="E120" s="8"/>
      <c r="F120" s="8"/>
      <c r="G120" s="8"/>
      <c r="H120" s="8"/>
      <c r="I120" s="8"/>
      <c r="J120" s="8">
        <v>1591.0646070264991</v>
      </c>
      <c r="K120" s="8"/>
      <c r="L120" s="8"/>
      <c r="M120" s="8">
        <v>1371.067862271736</v>
      </c>
      <c r="N120" s="8">
        <v>1220.108088040055</v>
      </c>
      <c r="O120" s="8">
        <v>806.17997398388718</v>
      </c>
      <c r="P120" s="8"/>
      <c r="Q120" s="8"/>
      <c r="R120" s="8"/>
      <c r="S120" s="8">
        <v>850.70191753225527</v>
      </c>
      <c r="T120" s="8"/>
      <c r="U120" s="8"/>
      <c r="V120" s="8"/>
      <c r="W120" s="8"/>
      <c r="X120" s="8">
        <v>2526.339277389844</v>
      </c>
      <c r="Y120" s="8">
        <v>1740.3626894942438</v>
      </c>
      <c r="Z120" s="8">
        <v>10105.824415738522</v>
      </c>
      <c r="AA120" s="8"/>
      <c r="AB120" s="8"/>
      <c r="AI120">
        <f t="shared" si="6"/>
        <v>113</v>
      </c>
      <c r="AJ120" s="27" t="s">
        <v>184</v>
      </c>
      <c r="AK120" s="8">
        <v>10105.82441573852</v>
      </c>
      <c r="AM120">
        <f t="shared" si="7"/>
        <v>113</v>
      </c>
      <c r="AN120" s="27" t="s">
        <v>208</v>
      </c>
      <c r="AO120" s="8">
        <v>9</v>
      </c>
      <c r="AR120" s="27" t="s">
        <v>1074</v>
      </c>
      <c r="AS120" s="21">
        <v>5743</v>
      </c>
      <c r="AU120" s="27" t="s">
        <v>914</v>
      </c>
      <c r="AV120" s="21">
        <v>1</v>
      </c>
    </row>
    <row r="121" spans="2:48" x14ac:dyDescent="0.35">
      <c r="B121">
        <f t="shared" si="5"/>
        <v>114</v>
      </c>
      <c r="C121" s="27" t="s">
        <v>1613</v>
      </c>
      <c r="D121" s="8"/>
      <c r="E121" s="8"/>
      <c r="F121" s="8"/>
      <c r="G121" s="8"/>
      <c r="H121" s="8"/>
      <c r="I121" s="8"/>
      <c r="J121" s="8"/>
      <c r="K121" s="8"/>
      <c r="L121" s="8"/>
      <c r="M121" s="8">
        <v>1423.2458739368076</v>
      </c>
      <c r="N121" s="8"/>
      <c r="O121" s="8"/>
      <c r="P121" s="8">
        <v>3057.8181944320986</v>
      </c>
      <c r="Q121" s="8">
        <v>1060.6978403536116</v>
      </c>
      <c r="R121" s="8"/>
      <c r="S121" s="8"/>
      <c r="T121" s="8"/>
      <c r="U121" s="8"/>
      <c r="V121" s="8">
        <v>1505.149978319906</v>
      </c>
      <c r="W121" s="8">
        <v>2107.2099696478681</v>
      </c>
      <c r="X121" s="8">
        <v>834.63260633609184</v>
      </c>
      <c r="Y121" s="8"/>
      <c r="Z121" s="8">
        <v>9988.7544630263837</v>
      </c>
      <c r="AA121" s="8"/>
      <c r="AB121" s="8"/>
      <c r="AI121">
        <f t="shared" si="6"/>
        <v>114</v>
      </c>
      <c r="AJ121" s="27" t="s">
        <v>1613</v>
      </c>
      <c r="AK121" s="8">
        <v>9988.7544630263837</v>
      </c>
      <c r="AM121">
        <f t="shared" si="7"/>
        <v>114</v>
      </c>
      <c r="AN121" s="27" t="s">
        <v>1613</v>
      </c>
      <c r="AO121" s="8">
        <v>9</v>
      </c>
      <c r="AR121" s="27" t="s">
        <v>560</v>
      </c>
      <c r="AS121" s="21">
        <v>5568</v>
      </c>
      <c r="AU121" t="s">
        <v>2293</v>
      </c>
      <c r="AV121" s="21">
        <v>1</v>
      </c>
    </row>
    <row r="122" spans="2:48" x14ac:dyDescent="0.35">
      <c r="B122">
        <f t="shared" si="5"/>
        <v>115</v>
      </c>
      <c r="C122" s="27" t="s">
        <v>305</v>
      </c>
      <c r="D122" s="8">
        <v>959.57134294439174</v>
      </c>
      <c r="E122" s="8">
        <v>1468.7691803548964</v>
      </c>
      <c r="F122" s="8">
        <v>3619.0071939728691</v>
      </c>
      <c r="G122" s="8"/>
      <c r="H122" s="8"/>
      <c r="I122" s="8">
        <v>1353.0549283558757</v>
      </c>
      <c r="J122" s="8"/>
      <c r="K122" s="8"/>
      <c r="L122" s="8"/>
      <c r="M122" s="8">
        <v>1119.4758409067977</v>
      </c>
      <c r="N122" s="8">
        <v>1458.6378490256493</v>
      </c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>
        <v>9978.5163355604818</v>
      </c>
      <c r="AA122" s="8"/>
      <c r="AB122" s="8"/>
      <c r="AI122">
        <f t="shared" si="6"/>
        <v>115</v>
      </c>
      <c r="AJ122" s="27" t="s">
        <v>305</v>
      </c>
      <c r="AK122" s="8">
        <v>9978.5163355604818</v>
      </c>
      <c r="AM122">
        <f t="shared" si="7"/>
        <v>115</v>
      </c>
      <c r="AN122" s="27" t="s">
        <v>311</v>
      </c>
      <c r="AO122" s="8">
        <v>9</v>
      </c>
      <c r="AR122" s="27" t="s">
        <v>559</v>
      </c>
      <c r="AS122" s="21">
        <v>5499</v>
      </c>
      <c r="AU122" s="27" t="s">
        <v>112</v>
      </c>
      <c r="AV122" s="21">
        <v>1</v>
      </c>
    </row>
    <row r="123" spans="2:48" x14ac:dyDescent="0.35">
      <c r="B123">
        <f t="shared" si="5"/>
        <v>116</v>
      </c>
      <c r="C123" s="27" t="s">
        <v>1522</v>
      </c>
      <c r="D123" s="8"/>
      <c r="E123" s="8"/>
      <c r="F123" s="8"/>
      <c r="G123" s="8"/>
      <c r="H123" s="8"/>
      <c r="I123" s="8"/>
      <c r="J123" s="8"/>
      <c r="K123" s="8">
        <v>930.91908085670093</v>
      </c>
      <c r="L123" s="8"/>
      <c r="M123" s="8"/>
      <c r="N123" s="8"/>
      <c r="O123" s="8"/>
      <c r="P123" s="8">
        <v>5840.4295766891582</v>
      </c>
      <c r="Q123" s="8"/>
      <c r="R123" s="8"/>
      <c r="S123" s="8"/>
      <c r="T123" s="8">
        <v>3193.1245983544613</v>
      </c>
      <c r="U123" s="8"/>
      <c r="V123" s="8"/>
      <c r="W123" s="8"/>
      <c r="X123" s="8"/>
      <c r="Y123" s="8"/>
      <c r="Z123" s="8">
        <v>9964.4732559003205</v>
      </c>
      <c r="AA123" s="8"/>
      <c r="AB123" s="8"/>
      <c r="AI123">
        <f t="shared" si="6"/>
        <v>116</v>
      </c>
      <c r="AJ123" s="27" t="s">
        <v>1522</v>
      </c>
      <c r="AK123" s="8">
        <v>9964.4732559003205</v>
      </c>
      <c r="AM123">
        <f t="shared" si="7"/>
        <v>116</v>
      </c>
      <c r="AN123" s="27" t="s">
        <v>723</v>
      </c>
      <c r="AO123" s="8">
        <v>9</v>
      </c>
      <c r="AR123" s="27" t="s">
        <v>1173</v>
      </c>
      <c r="AS123" s="21">
        <v>5495</v>
      </c>
      <c r="AU123" t="s">
        <v>2379</v>
      </c>
      <c r="AV123" s="21">
        <v>1</v>
      </c>
    </row>
    <row r="124" spans="2:48" x14ac:dyDescent="0.35">
      <c r="B124">
        <f t="shared" si="5"/>
        <v>117</v>
      </c>
      <c r="C124" s="27" t="s">
        <v>845</v>
      </c>
      <c r="D124" s="8">
        <v>121.73359673308859</v>
      </c>
      <c r="E124" s="8">
        <v>1252.5833665925247</v>
      </c>
      <c r="F124" s="8"/>
      <c r="G124" s="8"/>
      <c r="H124" s="8">
        <v>1226.7839672918685</v>
      </c>
      <c r="I124" s="8">
        <v>1464.5321274116418</v>
      </c>
      <c r="J124" s="8">
        <v>1263.2414347745814</v>
      </c>
      <c r="K124" s="8"/>
      <c r="L124" s="8"/>
      <c r="M124" s="8"/>
      <c r="N124" s="8"/>
      <c r="O124" s="8"/>
      <c r="P124" s="8"/>
      <c r="Q124" s="8"/>
      <c r="R124" s="8"/>
      <c r="S124" s="8">
        <v>1071.0633558254456</v>
      </c>
      <c r="T124" s="8">
        <v>1197.2805581256191</v>
      </c>
      <c r="U124" s="8"/>
      <c r="V124" s="8"/>
      <c r="W124" s="8"/>
      <c r="X124" s="8">
        <v>1293.7307569224818</v>
      </c>
      <c r="Y124" s="8">
        <v>1060.6978403536116</v>
      </c>
      <c r="Z124" s="8">
        <v>9951.6470040308632</v>
      </c>
      <c r="AA124" s="8"/>
      <c r="AB124" s="8"/>
      <c r="AI124">
        <f t="shared" si="6"/>
        <v>117</v>
      </c>
      <c r="AJ124" s="27" t="s">
        <v>845</v>
      </c>
      <c r="AK124" s="8">
        <v>9951.6470040308632</v>
      </c>
      <c r="AM124">
        <f t="shared" si="7"/>
        <v>117</v>
      </c>
      <c r="AN124" s="27" t="s">
        <v>969</v>
      </c>
      <c r="AO124" s="8">
        <v>9</v>
      </c>
      <c r="AR124" s="27" t="s">
        <v>1113</v>
      </c>
      <c r="AS124" s="21">
        <v>5467</v>
      </c>
      <c r="AU124" s="27" t="s">
        <v>1581</v>
      </c>
      <c r="AV124" s="21">
        <v>1</v>
      </c>
    </row>
    <row r="125" spans="2:48" x14ac:dyDescent="0.35">
      <c r="B125">
        <f t="shared" si="5"/>
        <v>118</v>
      </c>
      <c r="C125" s="27" t="s">
        <v>1547</v>
      </c>
      <c r="D125" s="8"/>
      <c r="E125" s="8"/>
      <c r="F125" s="8"/>
      <c r="G125" s="8"/>
      <c r="H125" s="8">
        <v>1638.4892569546373</v>
      </c>
      <c r="I125" s="8"/>
      <c r="J125" s="8">
        <v>1071.3559085356683</v>
      </c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>
        <v>1929.4189257142925</v>
      </c>
      <c r="V125" s="8">
        <v>643.45267648618733</v>
      </c>
      <c r="W125" s="8">
        <v>1079.1812460476247</v>
      </c>
      <c r="X125" s="8"/>
      <c r="Y125" s="8">
        <v>3426.9989587565369</v>
      </c>
      <c r="Z125" s="8">
        <v>9788.8969724949475</v>
      </c>
      <c r="AA125" s="8"/>
      <c r="AB125" s="8"/>
      <c r="AI125">
        <f t="shared" si="6"/>
        <v>118</v>
      </c>
      <c r="AJ125" s="27" t="s">
        <v>1547</v>
      </c>
      <c r="AK125" s="8">
        <v>9788.8969724949475</v>
      </c>
      <c r="AM125">
        <f t="shared" si="7"/>
        <v>118</v>
      </c>
      <c r="AN125" s="27" t="s">
        <v>611</v>
      </c>
      <c r="AO125" s="8">
        <v>9</v>
      </c>
      <c r="AR125" s="27" t="s">
        <v>444</v>
      </c>
      <c r="AS125" s="21">
        <v>5466</v>
      </c>
      <c r="AU125" t="s">
        <v>2416</v>
      </c>
      <c r="AV125" s="21">
        <v>1</v>
      </c>
    </row>
    <row r="126" spans="2:48" x14ac:dyDescent="0.35">
      <c r="B126">
        <f t="shared" si="5"/>
        <v>119</v>
      </c>
      <c r="C126" s="27" t="s">
        <v>1056</v>
      </c>
      <c r="D126" s="8"/>
      <c r="E126" s="8">
        <v>5558.1443411709961</v>
      </c>
      <c r="F126" s="8"/>
      <c r="G126" s="8">
        <v>1306.4250275506872</v>
      </c>
      <c r="H126" s="8"/>
      <c r="I126" s="8"/>
      <c r="J126" s="8"/>
      <c r="K126" s="8"/>
      <c r="L126" s="8"/>
      <c r="M126" s="8"/>
      <c r="N126" s="8"/>
      <c r="O126" s="8"/>
      <c r="P126" s="8">
        <v>1107.8264274971546</v>
      </c>
      <c r="Q126" s="8">
        <v>1757.142869659127</v>
      </c>
      <c r="R126" s="8"/>
      <c r="S126" s="8"/>
      <c r="T126" s="8"/>
      <c r="U126" s="8"/>
      <c r="V126" s="8"/>
      <c r="W126" s="8"/>
      <c r="X126" s="8"/>
      <c r="Y126" s="8"/>
      <c r="Z126" s="8">
        <v>9729.5386658779644</v>
      </c>
      <c r="AA126" s="8"/>
      <c r="AB126" s="8"/>
      <c r="AI126">
        <f t="shared" si="6"/>
        <v>119</v>
      </c>
      <c r="AJ126" s="27" t="s">
        <v>1056</v>
      </c>
      <c r="AK126" s="8">
        <v>9729.5386658779644</v>
      </c>
      <c r="AM126">
        <f t="shared" si="7"/>
        <v>119</v>
      </c>
      <c r="AN126" s="27" t="s">
        <v>522</v>
      </c>
      <c r="AO126" s="8">
        <v>9</v>
      </c>
      <c r="AR126" s="27" t="s">
        <v>1096</v>
      </c>
      <c r="AS126" s="21">
        <v>5347</v>
      </c>
      <c r="AU126" s="27" t="s">
        <v>317</v>
      </c>
      <c r="AV126" s="21">
        <v>1</v>
      </c>
    </row>
    <row r="127" spans="2:48" x14ac:dyDescent="0.35">
      <c r="B127">
        <f t="shared" si="5"/>
        <v>120</v>
      </c>
      <c r="C127" s="27" t="s">
        <v>611</v>
      </c>
      <c r="D127" s="8"/>
      <c r="E127" s="8"/>
      <c r="F127" s="8"/>
      <c r="G127" s="8"/>
      <c r="H127" s="8"/>
      <c r="I127" s="8"/>
      <c r="J127" s="8">
        <v>1206.2029338042175</v>
      </c>
      <c r="K127" s="8">
        <v>1124.9387366082999</v>
      </c>
      <c r="L127" s="8"/>
      <c r="M127" s="8"/>
      <c r="N127" s="8"/>
      <c r="O127" s="8"/>
      <c r="P127" s="8"/>
      <c r="Q127" s="8"/>
      <c r="R127" s="8"/>
      <c r="S127" s="8"/>
      <c r="T127" s="8">
        <v>1681.2412373755872</v>
      </c>
      <c r="U127" s="8">
        <v>2876.362196412118</v>
      </c>
      <c r="V127" s="8"/>
      <c r="W127" s="8"/>
      <c r="X127" s="8">
        <v>832.50891270623629</v>
      </c>
      <c r="Y127" s="8">
        <v>1945.4685851318197</v>
      </c>
      <c r="Z127" s="8">
        <v>9666.7226020382786</v>
      </c>
      <c r="AA127" s="8"/>
      <c r="AB127" s="8"/>
      <c r="AI127">
        <f t="shared" si="6"/>
        <v>120</v>
      </c>
      <c r="AJ127" s="27" t="s">
        <v>611</v>
      </c>
      <c r="AK127" s="8">
        <v>9666.7226020382786</v>
      </c>
      <c r="AM127">
        <f t="shared" si="7"/>
        <v>120</v>
      </c>
      <c r="AN127" s="27" t="s">
        <v>1539</v>
      </c>
      <c r="AO127" s="8">
        <v>9</v>
      </c>
      <c r="AR127" s="27" t="s">
        <v>823</v>
      </c>
      <c r="AS127" s="21">
        <v>5070</v>
      </c>
      <c r="AU127" t="s">
        <v>2579</v>
      </c>
      <c r="AV127" s="21">
        <v>1</v>
      </c>
    </row>
    <row r="128" spans="2:48" x14ac:dyDescent="0.35">
      <c r="B128">
        <f t="shared" si="5"/>
        <v>121</v>
      </c>
      <c r="C128" s="27" t="s">
        <v>188</v>
      </c>
      <c r="D128" s="8"/>
      <c r="E128" s="8"/>
      <c r="F128" s="8"/>
      <c r="G128" s="8">
        <v>862.47213608367952</v>
      </c>
      <c r="H128" s="8"/>
      <c r="I128" s="8"/>
      <c r="J128" s="8">
        <v>545.5402346736663</v>
      </c>
      <c r="K128" s="8">
        <v>1818.2258936139556</v>
      </c>
      <c r="L128" s="8">
        <v>375.06126339170009</v>
      </c>
      <c r="M128" s="8"/>
      <c r="N128" s="8">
        <v>1073.9800523618173</v>
      </c>
      <c r="O128" s="8"/>
      <c r="P128" s="8">
        <v>1086.3598306747483</v>
      </c>
      <c r="Q128" s="8">
        <v>1698.9700043360187</v>
      </c>
      <c r="R128" s="8"/>
      <c r="S128" s="8">
        <v>1892.0946026904803</v>
      </c>
      <c r="T128" s="8"/>
      <c r="U128" s="8"/>
      <c r="V128" s="8"/>
      <c r="W128" s="8">
        <v>301.0299956639812</v>
      </c>
      <c r="X128" s="8"/>
      <c r="Y128" s="8"/>
      <c r="Z128" s="8">
        <v>9653.7340134900478</v>
      </c>
      <c r="AA128" s="8"/>
      <c r="AB128" s="8"/>
      <c r="AI128">
        <f t="shared" si="6"/>
        <v>121</v>
      </c>
      <c r="AJ128" s="27" t="s">
        <v>188</v>
      </c>
      <c r="AK128" s="8">
        <v>9653.7340134900478</v>
      </c>
      <c r="AM128">
        <f t="shared" si="7"/>
        <v>121</v>
      </c>
      <c r="AN128" s="27" t="s">
        <v>619</v>
      </c>
      <c r="AO128" s="8">
        <v>9</v>
      </c>
      <c r="AR128" s="27" t="s">
        <v>1612</v>
      </c>
      <c r="AS128" s="21">
        <v>5066</v>
      </c>
      <c r="AU128" s="27" t="s">
        <v>1655</v>
      </c>
      <c r="AV128" s="21">
        <v>1</v>
      </c>
    </row>
    <row r="129" spans="2:48" x14ac:dyDescent="0.35">
      <c r="B129">
        <f t="shared" si="5"/>
        <v>122</v>
      </c>
      <c r="C129" s="27" t="s">
        <v>154</v>
      </c>
      <c r="D129" s="8"/>
      <c r="E129" s="8"/>
      <c r="F129" s="8"/>
      <c r="G129" s="8"/>
      <c r="H129" s="8"/>
      <c r="I129" s="8"/>
      <c r="J129" s="8">
        <v>1028.0287236002437</v>
      </c>
      <c r="K129" s="8">
        <v>692.23662167705049</v>
      </c>
      <c r="L129" s="8"/>
      <c r="M129" s="8">
        <v>1204.1199826559248</v>
      </c>
      <c r="N129" s="8">
        <v>784.10086203349749</v>
      </c>
      <c r="O129" s="8">
        <v>806.17997398388718</v>
      </c>
      <c r="P129" s="8">
        <v>2261.1047081312395</v>
      </c>
      <c r="Q129" s="8">
        <v>1362.3375774881595</v>
      </c>
      <c r="R129" s="8"/>
      <c r="S129" s="8">
        <v>1447.1580313422191</v>
      </c>
      <c r="T129" s="8"/>
      <c r="U129" s="8"/>
      <c r="V129" s="8"/>
      <c r="W129" s="8"/>
      <c r="X129" s="8"/>
      <c r="Y129" s="8"/>
      <c r="Z129" s="8">
        <v>9585.2664809122216</v>
      </c>
      <c r="AA129" s="8"/>
      <c r="AB129" s="8"/>
      <c r="AI129">
        <f t="shared" si="6"/>
        <v>122</v>
      </c>
      <c r="AJ129" s="27" t="s">
        <v>154</v>
      </c>
      <c r="AK129" s="8">
        <v>9585.2664809122216</v>
      </c>
      <c r="AM129">
        <f t="shared" si="7"/>
        <v>122</v>
      </c>
      <c r="AN129" s="27" t="s">
        <v>986</v>
      </c>
      <c r="AO129" s="8">
        <v>8</v>
      </c>
      <c r="AR129" t="s">
        <v>2402</v>
      </c>
      <c r="AS129" s="21">
        <v>5025</v>
      </c>
      <c r="AU129" s="27" t="s">
        <v>869</v>
      </c>
      <c r="AV129" s="21">
        <v>1</v>
      </c>
    </row>
    <row r="130" spans="2:48" x14ac:dyDescent="0.35">
      <c r="B130">
        <f t="shared" si="5"/>
        <v>123</v>
      </c>
      <c r="C130" s="27" t="s">
        <v>589</v>
      </c>
      <c r="D130" s="8">
        <v>3068.3936794603042</v>
      </c>
      <c r="E130" s="8">
        <v>1243.0380486862944</v>
      </c>
      <c r="F130" s="8">
        <v>2951.1249345202614</v>
      </c>
      <c r="G130" s="8"/>
      <c r="H130" s="8"/>
      <c r="I130" s="8">
        <v>1875.0612633917003</v>
      </c>
      <c r="J130" s="8"/>
      <c r="K130" s="8">
        <v>425.9687322722811</v>
      </c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>
        <v>9563.5866583308398</v>
      </c>
      <c r="AA130" s="8"/>
      <c r="AB130" s="8"/>
      <c r="AI130">
        <f t="shared" si="6"/>
        <v>123</v>
      </c>
      <c r="AJ130" s="27" t="s">
        <v>589</v>
      </c>
      <c r="AK130" s="8">
        <v>9563.5866583308416</v>
      </c>
      <c r="AM130">
        <f t="shared" si="7"/>
        <v>123</v>
      </c>
      <c r="AN130" s="27" t="s">
        <v>2338</v>
      </c>
      <c r="AO130" s="8">
        <v>8</v>
      </c>
      <c r="AR130" s="27" t="s">
        <v>1107</v>
      </c>
      <c r="AS130" s="21">
        <v>4990</v>
      </c>
      <c r="AU130" s="27" t="s">
        <v>1685</v>
      </c>
      <c r="AV130" s="21">
        <v>1</v>
      </c>
    </row>
    <row r="131" spans="2:48" x14ac:dyDescent="0.35">
      <c r="B131">
        <f t="shared" si="5"/>
        <v>124</v>
      </c>
      <c r="C131" s="27" t="s">
        <v>143</v>
      </c>
      <c r="D131" s="8"/>
      <c r="E131" s="8"/>
      <c r="F131" s="8">
        <v>1518.5139398778874</v>
      </c>
      <c r="G131" s="8">
        <v>1217.4839442139062</v>
      </c>
      <c r="H131" s="8">
        <v>2136.7205671564066</v>
      </c>
      <c r="I131" s="8">
        <v>1447.1580313422191</v>
      </c>
      <c r="J131" s="8"/>
      <c r="K131" s="8">
        <v>320.48902867916604</v>
      </c>
      <c r="L131" s="8">
        <v>1315.0443574641031</v>
      </c>
      <c r="M131" s="8"/>
      <c r="N131" s="8">
        <v>1505.149978319906</v>
      </c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>
        <v>9460.5598470535951</v>
      </c>
      <c r="AA131" s="8"/>
      <c r="AB131" s="8"/>
      <c r="AI131">
        <f t="shared" si="6"/>
        <v>124</v>
      </c>
      <c r="AJ131" s="27" t="s">
        <v>143</v>
      </c>
      <c r="AK131" s="8">
        <v>9460.5598470535951</v>
      </c>
      <c r="AM131">
        <f t="shared" si="7"/>
        <v>124</v>
      </c>
      <c r="AN131" s="27" t="s">
        <v>454</v>
      </c>
      <c r="AO131" s="8">
        <v>8</v>
      </c>
      <c r="AR131" s="27" t="s">
        <v>718</v>
      </c>
      <c r="AS131" s="21">
        <v>4922</v>
      </c>
      <c r="AU131" s="27" t="s">
        <v>1617</v>
      </c>
      <c r="AV131" s="21">
        <v>1</v>
      </c>
    </row>
    <row r="132" spans="2:48" x14ac:dyDescent="0.35">
      <c r="B132">
        <f t="shared" si="5"/>
        <v>125</v>
      </c>
      <c r="C132" s="27" t="s">
        <v>559</v>
      </c>
      <c r="D132" s="8"/>
      <c r="E132" s="8"/>
      <c r="F132" s="8">
        <v>1295.5670999624788</v>
      </c>
      <c r="G132" s="8"/>
      <c r="H132" s="8"/>
      <c r="I132" s="8"/>
      <c r="J132" s="8"/>
      <c r="K132" s="8">
        <v>2540.1730004667515</v>
      </c>
      <c r="L132" s="8"/>
      <c r="M132" s="8"/>
      <c r="N132" s="8"/>
      <c r="O132" s="8"/>
      <c r="P132" s="8"/>
      <c r="Q132" s="8">
        <v>920.81875395237512</v>
      </c>
      <c r="R132" s="8">
        <v>1060.6978403536116</v>
      </c>
      <c r="S132" s="8">
        <v>1755.8748556724915</v>
      </c>
      <c r="T132" s="8">
        <v>801.63234623316657</v>
      </c>
      <c r="U132" s="8"/>
      <c r="V132" s="8"/>
      <c r="W132" s="8"/>
      <c r="X132" s="8">
        <v>1021.1892990699382</v>
      </c>
      <c r="Y132" s="8"/>
      <c r="Z132" s="8">
        <v>9395.953195710812</v>
      </c>
      <c r="AA132" s="8"/>
      <c r="AB132" s="8"/>
      <c r="AI132">
        <f t="shared" si="6"/>
        <v>125</v>
      </c>
      <c r="AJ132" s="27" t="s">
        <v>559</v>
      </c>
      <c r="AK132" s="8">
        <v>9395.953195710812</v>
      </c>
      <c r="AM132">
        <f t="shared" si="7"/>
        <v>125</v>
      </c>
      <c r="AN132" s="27" t="s">
        <v>1056</v>
      </c>
      <c r="AO132" s="8">
        <v>8</v>
      </c>
      <c r="AR132" s="27" t="s">
        <v>270</v>
      </c>
      <c r="AS132" s="21">
        <v>4842</v>
      </c>
      <c r="AU132" s="27" t="s">
        <v>1417</v>
      </c>
      <c r="AV132" s="21">
        <v>1</v>
      </c>
    </row>
    <row r="133" spans="2:48" x14ac:dyDescent="0.35">
      <c r="B133">
        <f t="shared" si="5"/>
        <v>126</v>
      </c>
      <c r="C133" s="27" t="s">
        <v>376</v>
      </c>
      <c r="D133" s="8">
        <v>1777.50064103048</v>
      </c>
      <c r="E133" s="8"/>
      <c r="F133" s="8">
        <v>2610.2164167736578</v>
      </c>
      <c r="G133" s="8"/>
      <c r="H133" s="8"/>
      <c r="I133" s="8">
        <v>726.99872793626241</v>
      </c>
      <c r="J133" s="8"/>
      <c r="K133" s="8"/>
      <c r="L133" s="8"/>
      <c r="M133" s="8">
        <v>942.00805302231322</v>
      </c>
      <c r="N133" s="8"/>
      <c r="O133" s="8"/>
      <c r="P133" s="8"/>
      <c r="Q133" s="8"/>
      <c r="R133" s="8">
        <v>530.34892017680579</v>
      </c>
      <c r="S133" s="8">
        <v>485.01838831127839</v>
      </c>
      <c r="T133" s="8"/>
      <c r="U133" s="8">
        <v>1456.0224148224349</v>
      </c>
      <c r="V133" s="8"/>
      <c r="W133" s="8"/>
      <c r="X133" s="8">
        <v>715.68188207949368</v>
      </c>
      <c r="Y133" s="8"/>
      <c r="Z133" s="8">
        <v>9243.7954441527272</v>
      </c>
      <c r="AA133" s="8"/>
      <c r="AB133" s="8"/>
      <c r="AI133">
        <f t="shared" si="6"/>
        <v>126</v>
      </c>
      <c r="AJ133" s="27" t="s">
        <v>376</v>
      </c>
      <c r="AK133" s="8">
        <v>9243.7954441527272</v>
      </c>
      <c r="AM133">
        <f t="shared" si="7"/>
        <v>126</v>
      </c>
      <c r="AN133" s="27" t="s">
        <v>559</v>
      </c>
      <c r="AO133" s="8">
        <v>8</v>
      </c>
      <c r="AR133" s="27" t="s">
        <v>1098</v>
      </c>
      <c r="AS133" s="21">
        <v>4826</v>
      </c>
      <c r="AU133" s="27" t="s">
        <v>589</v>
      </c>
      <c r="AV133" s="21">
        <v>1</v>
      </c>
    </row>
    <row r="134" spans="2:48" x14ac:dyDescent="0.35">
      <c r="B134">
        <f t="shared" si="5"/>
        <v>127</v>
      </c>
      <c r="C134" s="27" t="s">
        <v>718</v>
      </c>
      <c r="D134" s="8"/>
      <c r="E134" s="8"/>
      <c r="F134" s="8"/>
      <c r="G134" s="8">
        <v>1628.3889300503113</v>
      </c>
      <c r="H134" s="8">
        <v>3052.5400459340226</v>
      </c>
      <c r="I134" s="8"/>
      <c r="J134" s="8">
        <v>1174.0182504328163</v>
      </c>
      <c r="K134" s="8"/>
      <c r="L134" s="8"/>
      <c r="M134" s="8"/>
      <c r="N134" s="8"/>
      <c r="O134" s="8"/>
      <c r="P134" s="8"/>
      <c r="Q134" s="8"/>
      <c r="R134" s="8"/>
      <c r="S134" s="8"/>
      <c r="T134" s="8">
        <v>1029.3837776852097</v>
      </c>
      <c r="U134" s="8"/>
      <c r="V134" s="8"/>
      <c r="W134" s="8"/>
      <c r="X134" s="8"/>
      <c r="Y134" s="8">
        <v>2354.3485798678703</v>
      </c>
      <c r="Z134" s="8">
        <v>9238.6795839702318</v>
      </c>
      <c r="AA134" s="8"/>
      <c r="AB134" s="8"/>
      <c r="AI134">
        <f t="shared" si="6"/>
        <v>127</v>
      </c>
      <c r="AJ134" s="27" t="s">
        <v>718</v>
      </c>
      <c r="AK134" s="8">
        <v>9238.6795839702318</v>
      </c>
      <c r="AM134">
        <f t="shared" si="7"/>
        <v>127</v>
      </c>
      <c r="AN134" s="27" t="s">
        <v>741</v>
      </c>
      <c r="AO134" s="8">
        <v>8</v>
      </c>
      <c r="AR134" s="27" t="s">
        <v>666</v>
      </c>
      <c r="AS134" s="21">
        <v>4800</v>
      </c>
      <c r="AU134" s="27" t="s">
        <v>559</v>
      </c>
      <c r="AV134" s="21">
        <v>1</v>
      </c>
    </row>
    <row r="135" spans="2:48" x14ac:dyDescent="0.35">
      <c r="B135">
        <f t="shared" si="5"/>
        <v>128</v>
      </c>
      <c r="C135" s="27" t="s">
        <v>904</v>
      </c>
      <c r="D135" s="8"/>
      <c r="E135" s="8">
        <v>1292.80966541729</v>
      </c>
      <c r="F135" s="8"/>
      <c r="G135" s="8">
        <v>1859.4337713907748</v>
      </c>
      <c r="H135" s="8">
        <v>869.23171973097612</v>
      </c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>
        <v>893.94660755207394</v>
      </c>
      <c r="T135" s="8">
        <v>2103.8037209559566</v>
      </c>
      <c r="U135" s="8"/>
      <c r="V135" s="8">
        <v>1365.7553253006363</v>
      </c>
      <c r="W135" s="8">
        <v>801.63234623316646</v>
      </c>
      <c r="X135" s="8"/>
      <c r="Y135" s="8"/>
      <c r="Z135" s="8">
        <v>9186.6131565808737</v>
      </c>
      <c r="AA135" s="8"/>
      <c r="AB135" s="8"/>
      <c r="AI135">
        <f t="shared" si="6"/>
        <v>128</v>
      </c>
      <c r="AJ135" s="27" t="s">
        <v>904</v>
      </c>
      <c r="AK135" s="8">
        <v>9186.6131565808719</v>
      </c>
      <c r="AM135">
        <f t="shared" si="7"/>
        <v>128</v>
      </c>
      <c r="AN135" s="27" t="s">
        <v>1096</v>
      </c>
      <c r="AO135" s="8">
        <v>8</v>
      </c>
      <c r="AR135" s="27" t="s">
        <v>123</v>
      </c>
      <c r="AS135" s="21">
        <v>4738</v>
      </c>
      <c r="AU135" s="27" t="s">
        <v>1665</v>
      </c>
      <c r="AV135" s="21">
        <v>1</v>
      </c>
    </row>
    <row r="136" spans="2:48" x14ac:dyDescent="0.35">
      <c r="B136">
        <f t="shared" si="5"/>
        <v>129</v>
      </c>
      <c r="C136" s="27" t="s">
        <v>1612</v>
      </c>
      <c r="D136" s="8"/>
      <c r="E136" s="8"/>
      <c r="F136" s="8"/>
      <c r="G136" s="8"/>
      <c r="H136" s="8"/>
      <c r="I136" s="8"/>
      <c r="J136" s="8">
        <v>1551.7005433784848</v>
      </c>
      <c r="K136" s="8">
        <v>1273.0012720637376</v>
      </c>
      <c r="L136" s="8">
        <v>375.06126339170009</v>
      </c>
      <c r="M136" s="8"/>
      <c r="N136" s="8">
        <v>1091.0804693473326</v>
      </c>
      <c r="O136" s="8"/>
      <c r="P136" s="8">
        <v>778.15125038364363</v>
      </c>
      <c r="Q136" s="8">
        <v>1146.1280356782379</v>
      </c>
      <c r="R136" s="8"/>
      <c r="S136" s="8"/>
      <c r="T136" s="8"/>
      <c r="U136" s="8"/>
      <c r="V136" s="8"/>
      <c r="W136" s="8">
        <v>2059.9418880619546</v>
      </c>
      <c r="X136" s="8"/>
      <c r="Y136" s="8">
        <v>837.27270250230038</v>
      </c>
      <c r="Z136" s="8">
        <v>9112.3374248073906</v>
      </c>
      <c r="AA136" s="8"/>
      <c r="AB136" s="8"/>
      <c r="AI136">
        <f t="shared" si="6"/>
        <v>129</v>
      </c>
      <c r="AJ136" s="27" t="s">
        <v>1612</v>
      </c>
      <c r="AK136" s="8">
        <v>9112.3374248073924</v>
      </c>
      <c r="AM136">
        <f t="shared" si="7"/>
        <v>129</v>
      </c>
      <c r="AN136" s="27" t="s">
        <v>2343</v>
      </c>
      <c r="AO136" s="8">
        <v>8</v>
      </c>
      <c r="AR136" s="27" t="s">
        <v>511</v>
      </c>
      <c r="AS136" s="21">
        <v>4708</v>
      </c>
      <c r="AU136" s="27" t="s">
        <v>1613</v>
      </c>
      <c r="AV136" s="21">
        <v>1</v>
      </c>
    </row>
    <row r="137" spans="2:48" x14ac:dyDescent="0.35">
      <c r="B137">
        <f t="shared" si="5"/>
        <v>130</v>
      </c>
      <c r="C137" s="27" t="s">
        <v>723</v>
      </c>
      <c r="D137" s="8">
        <v>2563.6882195844291</v>
      </c>
      <c r="E137" s="8">
        <v>1707.5701760979364</v>
      </c>
      <c r="F137" s="8"/>
      <c r="G137" s="8"/>
      <c r="H137" s="8"/>
      <c r="I137" s="8">
        <v>1146.1280356782381</v>
      </c>
      <c r="J137" s="8">
        <v>1089.6973647327804</v>
      </c>
      <c r="K137" s="8"/>
      <c r="L137" s="8">
        <v>525.57626122369072</v>
      </c>
      <c r="M137" s="8"/>
      <c r="N137" s="8"/>
      <c r="O137" s="8"/>
      <c r="P137" s="8"/>
      <c r="Q137" s="8">
        <v>2068.1858617461617</v>
      </c>
      <c r="R137" s="8"/>
      <c r="S137" s="8"/>
      <c r="T137" s="8"/>
      <c r="U137" s="8"/>
      <c r="V137" s="8"/>
      <c r="W137" s="8"/>
      <c r="X137" s="8"/>
      <c r="Y137" s="8"/>
      <c r="Z137" s="8">
        <v>9100.8459190632366</v>
      </c>
      <c r="AA137" s="8"/>
      <c r="AB137" s="8"/>
      <c r="AI137">
        <f t="shared" si="6"/>
        <v>130</v>
      </c>
      <c r="AJ137" s="27" t="s">
        <v>723</v>
      </c>
      <c r="AK137" s="8">
        <v>9100.8459190632366</v>
      </c>
      <c r="AM137">
        <f t="shared" si="7"/>
        <v>130</v>
      </c>
      <c r="AN137" s="27" t="s">
        <v>137</v>
      </c>
      <c r="AO137" s="8">
        <v>8</v>
      </c>
      <c r="AR137" s="27" t="s">
        <v>1529</v>
      </c>
      <c r="AS137" s="21">
        <v>4688</v>
      </c>
      <c r="AU137" s="27" t="s">
        <v>242</v>
      </c>
      <c r="AV137" s="21">
        <v>1</v>
      </c>
    </row>
    <row r="138" spans="2:48" x14ac:dyDescent="0.35">
      <c r="B138">
        <f t="shared" ref="B138:B201" si="8">B137+1</f>
        <v>131</v>
      </c>
      <c r="C138" s="27" t="s">
        <v>869</v>
      </c>
      <c r="D138" s="8"/>
      <c r="E138" s="8"/>
      <c r="F138" s="8"/>
      <c r="G138" s="8"/>
      <c r="H138" s="8">
        <v>1293.7307569224818</v>
      </c>
      <c r="I138" s="8"/>
      <c r="J138" s="8"/>
      <c r="K138" s="8"/>
      <c r="L138" s="8"/>
      <c r="M138" s="8"/>
      <c r="N138" s="8"/>
      <c r="O138" s="8">
        <v>1939.5192526186186</v>
      </c>
      <c r="P138" s="8">
        <v>2628.7719621038659</v>
      </c>
      <c r="Q138" s="8"/>
      <c r="R138" s="8"/>
      <c r="S138" s="8"/>
      <c r="T138" s="8"/>
      <c r="U138" s="8">
        <v>1431.3637641589874</v>
      </c>
      <c r="V138" s="8"/>
      <c r="W138" s="8">
        <v>1748.1880270062004</v>
      </c>
      <c r="X138" s="8"/>
      <c r="Y138" s="8"/>
      <c r="Z138" s="8">
        <v>9041.5737628101542</v>
      </c>
      <c r="AA138" s="8"/>
      <c r="AB138" s="8"/>
      <c r="AI138">
        <f t="shared" ref="AI138:AI201" si="9">AI137+1</f>
        <v>131</v>
      </c>
      <c r="AJ138" s="27" t="s">
        <v>869</v>
      </c>
      <c r="AK138" s="8">
        <v>9041.5737628101542</v>
      </c>
      <c r="AM138">
        <f t="shared" ref="AM138:AM201" si="10">AM137+1</f>
        <v>131</v>
      </c>
      <c r="AN138" s="27" t="s">
        <v>733</v>
      </c>
      <c r="AO138" s="8">
        <v>8</v>
      </c>
      <c r="AR138" s="27" t="s">
        <v>1616</v>
      </c>
      <c r="AS138" s="21">
        <v>4647</v>
      </c>
      <c r="AU138" s="27" t="s">
        <v>1147</v>
      </c>
      <c r="AV138" s="21">
        <v>1</v>
      </c>
    </row>
    <row r="139" spans="2:48" x14ac:dyDescent="0.35">
      <c r="B139">
        <f t="shared" si="8"/>
        <v>132</v>
      </c>
      <c r="C139" s="27" t="s">
        <v>969</v>
      </c>
      <c r="D139" s="8"/>
      <c r="E139" s="8"/>
      <c r="F139" s="8">
        <v>1085.1716097368126</v>
      </c>
      <c r="G139" s="8"/>
      <c r="H139" s="8">
        <v>1191.6034252339284</v>
      </c>
      <c r="I139" s="8"/>
      <c r="J139" s="8"/>
      <c r="K139" s="8"/>
      <c r="L139" s="8"/>
      <c r="M139" s="8"/>
      <c r="N139" s="8"/>
      <c r="O139" s="8">
        <v>2257.4385668598138</v>
      </c>
      <c r="P139" s="8"/>
      <c r="Q139" s="8"/>
      <c r="R139" s="8">
        <v>1062.7908298594555</v>
      </c>
      <c r="S139" s="8">
        <v>602.05999132796239</v>
      </c>
      <c r="T139" s="8">
        <v>778.15125038364363</v>
      </c>
      <c r="U139" s="8">
        <v>1219.3599492126616</v>
      </c>
      <c r="V139" s="8">
        <v>740.3626894942438</v>
      </c>
      <c r="W139" s="8"/>
      <c r="X139" s="8"/>
      <c r="Y139" s="8"/>
      <c r="Z139" s="8">
        <v>8936.938312108523</v>
      </c>
      <c r="AA139" s="8"/>
      <c r="AB139" s="8"/>
      <c r="AI139">
        <f t="shared" si="9"/>
        <v>132</v>
      </c>
      <c r="AJ139" s="27" t="s">
        <v>969</v>
      </c>
      <c r="AK139" s="8">
        <v>8936.938312108523</v>
      </c>
      <c r="AM139">
        <f t="shared" si="10"/>
        <v>132</v>
      </c>
      <c r="AN139" s="27" t="s">
        <v>1522</v>
      </c>
      <c r="AO139" s="8">
        <v>8</v>
      </c>
      <c r="AR139" s="27" t="s">
        <v>1589</v>
      </c>
      <c r="AS139" s="21">
        <v>4617</v>
      </c>
      <c r="AU139" s="27" t="s">
        <v>1553</v>
      </c>
      <c r="AV139" s="21">
        <v>1</v>
      </c>
    </row>
    <row r="140" spans="2:48" x14ac:dyDescent="0.35">
      <c r="B140">
        <f t="shared" si="8"/>
        <v>133</v>
      </c>
      <c r="C140" s="27" t="s">
        <v>1524</v>
      </c>
      <c r="D140" s="8"/>
      <c r="E140" s="8"/>
      <c r="F140" s="8"/>
      <c r="G140" s="8"/>
      <c r="H140" s="8">
        <v>1327.3589343863302</v>
      </c>
      <c r="I140" s="8"/>
      <c r="J140" s="8"/>
      <c r="K140" s="8"/>
      <c r="L140" s="8"/>
      <c r="M140" s="8">
        <v>3127.9682071619181</v>
      </c>
      <c r="N140" s="8"/>
      <c r="O140" s="8">
        <v>1607.4550232146685</v>
      </c>
      <c r="P140" s="8">
        <v>1848.1891169913984</v>
      </c>
      <c r="Q140" s="8"/>
      <c r="R140" s="8"/>
      <c r="S140" s="8">
        <v>1000</v>
      </c>
      <c r="T140" s="8"/>
      <c r="U140" s="8"/>
      <c r="V140" s="8"/>
      <c r="W140" s="8"/>
      <c r="X140" s="8"/>
      <c r="Y140" s="8"/>
      <c r="Z140" s="8">
        <v>8910.971281754315</v>
      </c>
      <c r="AA140" s="8"/>
      <c r="AB140" s="8"/>
      <c r="AI140">
        <f t="shared" si="9"/>
        <v>133</v>
      </c>
      <c r="AJ140" s="27" t="s">
        <v>1524</v>
      </c>
      <c r="AK140" s="8">
        <v>8910.971281754315</v>
      </c>
      <c r="AM140">
        <f t="shared" si="10"/>
        <v>133</v>
      </c>
      <c r="AN140" s="27" t="s">
        <v>288</v>
      </c>
      <c r="AO140" s="8">
        <v>8</v>
      </c>
      <c r="AR140" s="27" t="s">
        <v>544</v>
      </c>
      <c r="AS140" s="21">
        <v>4612</v>
      </c>
      <c r="AU140" s="27" t="s">
        <v>223</v>
      </c>
      <c r="AV140" s="21">
        <v>1</v>
      </c>
    </row>
    <row r="141" spans="2:48" x14ac:dyDescent="0.35">
      <c r="B141">
        <f t="shared" si="8"/>
        <v>134</v>
      </c>
      <c r="C141" s="27" t="s">
        <v>1540</v>
      </c>
      <c r="D141" s="8"/>
      <c r="E141" s="8"/>
      <c r="F141" s="8"/>
      <c r="G141" s="8"/>
      <c r="H141" s="8"/>
      <c r="I141" s="8">
        <v>1596.59709562646</v>
      </c>
      <c r="J141" s="8">
        <v>1103.5405919070695</v>
      </c>
      <c r="K141" s="8">
        <v>1035.7155522665344</v>
      </c>
      <c r="L141" s="8"/>
      <c r="M141" s="8"/>
      <c r="N141" s="8"/>
      <c r="O141" s="8">
        <v>1085.7121132065827</v>
      </c>
      <c r="P141" s="8">
        <v>1151.2676753306489</v>
      </c>
      <c r="Q141" s="8"/>
      <c r="R141" s="8">
        <v>1000</v>
      </c>
      <c r="S141" s="8">
        <v>1204.1199826559248</v>
      </c>
      <c r="T141" s="8">
        <v>698.97000433601897</v>
      </c>
      <c r="U141" s="8"/>
      <c r="V141" s="8"/>
      <c r="W141" s="8"/>
      <c r="X141" s="8"/>
      <c r="Y141" s="8"/>
      <c r="Z141" s="8">
        <v>8875.9230153292392</v>
      </c>
      <c r="AA141" s="8"/>
      <c r="AB141" s="8"/>
      <c r="AI141">
        <f t="shared" si="9"/>
        <v>134</v>
      </c>
      <c r="AJ141" s="27" t="s">
        <v>1540</v>
      </c>
      <c r="AK141" s="8">
        <v>8875.9230153292392</v>
      </c>
      <c r="AM141">
        <f t="shared" si="10"/>
        <v>134</v>
      </c>
      <c r="AN141" s="27" t="s">
        <v>961</v>
      </c>
      <c r="AO141" s="8">
        <v>8</v>
      </c>
      <c r="AR141" s="27" t="s">
        <v>160</v>
      </c>
      <c r="AS141" s="21">
        <v>4609</v>
      </c>
      <c r="AU141" s="27" t="s">
        <v>493</v>
      </c>
      <c r="AV141" s="21">
        <v>1</v>
      </c>
    </row>
    <row r="142" spans="2:48" x14ac:dyDescent="0.35">
      <c r="B142">
        <f t="shared" si="8"/>
        <v>135</v>
      </c>
      <c r="C142" s="27" t="s">
        <v>386</v>
      </c>
      <c r="D142" s="8"/>
      <c r="E142" s="8"/>
      <c r="F142" s="8"/>
      <c r="G142" s="8"/>
      <c r="H142" s="8"/>
      <c r="I142" s="8">
        <v>1054.3576623225927</v>
      </c>
      <c r="J142" s="8">
        <v>938.73034326107745</v>
      </c>
      <c r="K142" s="8"/>
      <c r="L142" s="8"/>
      <c r="M142" s="8">
        <v>1008.6001717619175</v>
      </c>
      <c r="N142" s="8"/>
      <c r="O142" s="8"/>
      <c r="P142" s="8">
        <v>903.08998699194353</v>
      </c>
      <c r="Q142" s="8">
        <v>2007.8696510145619</v>
      </c>
      <c r="R142" s="8">
        <v>1119.4758409067977</v>
      </c>
      <c r="S142" s="8"/>
      <c r="T142" s="8">
        <v>1568.201724066995</v>
      </c>
      <c r="U142" s="8"/>
      <c r="V142" s="8"/>
      <c r="W142" s="8"/>
      <c r="X142" s="8"/>
      <c r="Y142" s="8"/>
      <c r="Z142" s="8">
        <v>8600.3253803258867</v>
      </c>
      <c r="AA142" s="8"/>
      <c r="AB142" s="8"/>
      <c r="AI142">
        <f t="shared" si="9"/>
        <v>135</v>
      </c>
      <c r="AJ142" s="27" t="s">
        <v>386</v>
      </c>
      <c r="AK142" s="8">
        <v>8600.3253803258867</v>
      </c>
      <c r="AM142">
        <f t="shared" si="10"/>
        <v>135</v>
      </c>
      <c r="AN142" s="27" t="s">
        <v>143</v>
      </c>
      <c r="AO142" s="8">
        <v>8</v>
      </c>
      <c r="AR142" s="27" t="s">
        <v>840</v>
      </c>
      <c r="AS142" s="21">
        <v>4550</v>
      </c>
      <c r="AU142" s="27" t="s">
        <v>295</v>
      </c>
      <c r="AV142" s="21">
        <v>1</v>
      </c>
    </row>
    <row r="143" spans="2:48" x14ac:dyDescent="0.35">
      <c r="B143">
        <f t="shared" si="8"/>
        <v>136</v>
      </c>
      <c r="C143" t="s">
        <v>2477</v>
      </c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>
        <v>812.91335664285543</v>
      </c>
      <c r="U143" s="8">
        <v>3133.7943006045125</v>
      </c>
      <c r="V143" s="8">
        <v>2733.4647701854938</v>
      </c>
      <c r="W143" s="8"/>
      <c r="X143" s="8">
        <v>1036.98356625317</v>
      </c>
      <c r="Y143" s="8">
        <v>826.9998179214607</v>
      </c>
      <c r="Z143" s="8">
        <v>8544.1558116074921</v>
      </c>
      <c r="AA143" s="8"/>
      <c r="AB143" s="8"/>
      <c r="AI143">
        <f t="shared" si="9"/>
        <v>136</v>
      </c>
      <c r="AJ143" t="s">
        <v>2477</v>
      </c>
      <c r="AK143" s="8">
        <v>8544.1558116074921</v>
      </c>
      <c r="AM143">
        <f t="shared" si="10"/>
        <v>136</v>
      </c>
      <c r="AN143" s="27" t="s">
        <v>1246</v>
      </c>
      <c r="AO143" s="8">
        <v>8</v>
      </c>
      <c r="AR143" s="27" t="s">
        <v>845</v>
      </c>
      <c r="AS143" s="21">
        <v>4475</v>
      </c>
      <c r="AU143" s="27" t="s">
        <v>186</v>
      </c>
      <c r="AV143" s="21">
        <v>1</v>
      </c>
    </row>
    <row r="144" spans="2:48" x14ac:dyDescent="0.35">
      <c r="B144">
        <f t="shared" si="8"/>
        <v>137</v>
      </c>
      <c r="C144" s="27" t="s">
        <v>1538</v>
      </c>
      <c r="D144" s="8"/>
      <c r="E144" s="8"/>
      <c r="F144" s="8"/>
      <c r="G144" s="8"/>
      <c r="H144" s="8"/>
      <c r="I144" s="8"/>
      <c r="J144" s="8">
        <v>678.44833719141718</v>
      </c>
      <c r="K144" s="8">
        <v>1079.1812460476249</v>
      </c>
      <c r="L144" s="8">
        <v>1041.392685158225</v>
      </c>
      <c r="M144" s="8"/>
      <c r="N144" s="8"/>
      <c r="O144" s="8">
        <v>2889.4617815652196</v>
      </c>
      <c r="P144" s="8">
        <v>1397.9400086720377</v>
      </c>
      <c r="Q144" s="8">
        <v>1440.9090820652177</v>
      </c>
      <c r="R144" s="8"/>
      <c r="S144" s="8"/>
      <c r="T144" s="8"/>
      <c r="U144" s="8"/>
      <c r="V144" s="8"/>
      <c r="W144" s="8"/>
      <c r="X144" s="8"/>
      <c r="Y144" s="8"/>
      <c r="Z144" s="8">
        <v>8527.3331406997422</v>
      </c>
      <c r="AA144" s="8"/>
      <c r="AB144" s="8"/>
      <c r="AI144">
        <f t="shared" si="9"/>
        <v>137</v>
      </c>
      <c r="AJ144" s="27" t="s">
        <v>1538</v>
      </c>
      <c r="AK144" s="8">
        <v>8527.3331406997422</v>
      </c>
      <c r="AM144">
        <f t="shared" si="10"/>
        <v>137</v>
      </c>
      <c r="AN144" s="27" t="s">
        <v>386</v>
      </c>
      <c r="AO144" s="8">
        <v>8</v>
      </c>
      <c r="AR144" s="27" t="s">
        <v>212</v>
      </c>
      <c r="AS144" s="21">
        <v>4424</v>
      </c>
      <c r="AU144" s="27" t="s">
        <v>888</v>
      </c>
      <c r="AV144" s="21">
        <v>1</v>
      </c>
    </row>
    <row r="145" spans="2:48" x14ac:dyDescent="0.35">
      <c r="B145">
        <f t="shared" si="8"/>
        <v>138</v>
      </c>
      <c r="C145" s="27" t="s">
        <v>852</v>
      </c>
      <c r="D145" s="8">
        <v>1393.7840489008802</v>
      </c>
      <c r="E145" s="8">
        <v>1496.9296480732148</v>
      </c>
      <c r="F145" s="8">
        <v>940.62714730592756</v>
      </c>
      <c r="G145" s="8">
        <v>2338.4564936046045</v>
      </c>
      <c r="H145" s="8">
        <v>1136.7205671564068</v>
      </c>
      <c r="I145" s="8">
        <v>1105.5101847699739</v>
      </c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>
        <v>8412.0280898110086</v>
      </c>
      <c r="AA145" s="8"/>
      <c r="AB145" s="8"/>
      <c r="AI145">
        <f t="shared" si="9"/>
        <v>138</v>
      </c>
      <c r="AJ145" s="27" t="s">
        <v>852</v>
      </c>
      <c r="AK145" s="8">
        <v>8412.0280898110086</v>
      </c>
      <c r="AM145">
        <f t="shared" si="10"/>
        <v>138</v>
      </c>
      <c r="AN145" s="27" t="s">
        <v>184</v>
      </c>
      <c r="AO145" s="8">
        <v>8</v>
      </c>
      <c r="AR145" s="27" t="s">
        <v>1613</v>
      </c>
      <c r="AS145" s="21">
        <v>4392</v>
      </c>
      <c r="AU145" s="27" t="s">
        <v>1554</v>
      </c>
      <c r="AV145" s="21">
        <v>1</v>
      </c>
    </row>
    <row r="146" spans="2:48" x14ac:dyDescent="0.35">
      <c r="B146">
        <f t="shared" si="8"/>
        <v>139</v>
      </c>
      <c r="C146" s="27" t="s">
        <v>738</v>
      </c>
      <c r="D146" s="8"/>
      <c r="E146" s="8"/>
      <c r="F146" s="8"/>
      <c r="G146" s="8"/>
      <c r="H146" s="8"/>
      <c r="I146" s="8">
        <v>5493.6113863404898</v>
      </c>
      <c r="J146" s="8"/>
      <c r="K146" s="8"/>
      <c r="L146" s="8">
        <v>912.04482964486999</v>
      </c>
      <c r="M146" s="8">
        <v>1848.1891169913984</v>
      </c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>
        <v>8253.8453329767581</v>
      </c>
      <c r="AA146" s="8"/>
      <c r="AB146" s="8"/>
      <c r="AI146">
        <f t="shared" si="9"/>
        <v>139</v>
      </c>
      <c r="AJ146" s="27" t="s">
        <v>738</v>
      </c>
      <c r="AK146" s="8">
        <v>8253.8453329767581</v>
      </c>
      <c r="AM146">
        <f t="shared" si="10"/>
        <v>139</v>
      </c>
      <c r="AN146" s="27" t="s">
        <v>1462</v>
      </c>
      <c r="AO146" s="8">
        <v>8</v>
      </c>
      <c r="AR146" s="27" t="s">
        <v>723</v>
      </c>
      <c r="AS146" s="21">
        <v>4385</v>
      </c>
      <c r="AU146" s="27" t="s">
        <v>733</v>
      </c>
      <c r="AV146" s="21">
        <v>1</v>
      </c>
    </row>
    <row r="147" spans="2:48" x14ac:dyDescent="0.35">
      <c r="B147">
        <f t="shared" si="8"/>
        <v>140</v>
      </c>
      <c r="C147" s="27" t="s">
        <v>624</v>
      </c>
      <c r="D147" s="8"/>
      <c r="E147" s="8"/>
      <c r="F147" s="8"/>
      <c r="G147" s="8">
        <v>1908.4850188786495</v>
      </c>
      <c r="H147" s="8">
        <v>2217.9323639562776</v>
      </c>
      <c r="I147" s="8">
        <v>2879.1341247981381</v>
      </c>
      <c r="J147" s="8"/>
      <c r="K147" s="8">
        <v>1173.6717849322683</v>
      </c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>
        <v>8179.2232925653334</v>
      </c>
      <c r="AA147" s="8"/>
      <c r="AB147" s="8"/>
      <c r="AI147">
        <f t="shared" si="9"/>
        <v>140</v>
      </c>
      <c r="AJ147" s="27" t="s">
        <v>624</v>
      </c>
      <c r="AK147" s="8">
        <v>8179.2232925653334</v>
      </c>
      <c r="AM147">
        <f t="shared" si="10"/>
        <v>140</v>
      </c>
      <c r="AN147" s="27" t="s">
        <v>823</v>
      </c>
      <c r="AO147" s="8">
        <v>8</v>
      </c>
      <c r="AR147" t="s">
        <v>2477</v>
      </c>
      <c r="AS147" s="21">
        <v>4381</v>
      </c>
      <c r="AU147" s="27" t="s">
        <v>2339</v>
      </c>
      <c r="AV147" s="21">
        <v>1</v>
      </c>
    </row>
    <row r="148" spans="2:48" x14ac:dyDescent="0.35">
      <c r="B148">
        <f t="shared" si="8"/>
        <v>141</v>
      </c>
      <c r="C148" s="27" t="s">
        <v>1417</v>
      </c>
      <c r="D148" s="8">
        <v>1301.0299956639813</v>
      </c>
      <c r="E148" s="8"/>
      <c r="F148" s="8"/>
      <c r="G148" s="8"/>
      <c r="H148" s="8"/>
      <c r="I148" s="8"/>
      <c r="J148" s="8"/>
      <c r="K148" s="8"/>
      <c r="L148" s="8"/>
      <c r="M148" s="8">
        <v>1880.8135922807915</v>
      </c>
      <c r="N148" s="8"/>
      <c r="O148" s="8"/>
      <c r="P148" s="8">
        <v>1680.5174650162428</v>
      </c>
      <c r="Q148" s="8"/>
      <c r="R148" s="8"/>
      <c r="S148" s="8"/>
      <c r="T148" s="8"/>
      <c r="U148" s="8">
        <v>1146.1280356782379</v>
      </c>
      <c r="V148" s="8">
        <v>2105.850674385144</v>
      </c>
      <c r="W148" s="8"/>
      <c r="X148" s="8"/>
      <c r="Y148" s="8"/>
      <c r="Z148" s="8">
        <v>8114.3397630243971</v>
      </c>
      <c r="AA148" s="8"/>
      <c r="AB148" s="8"/>
      <c r="AI148">
        <f t="shared" si="9"/>
        <v>141</v>
      </c>
      <c r="AJ148" s="27" t="s">
        <v>1417</v>
      </c>
      <c r="AK148" s="8">
        <v>8114.3397630243962</v>
      </c>
      <c r="AM148">
        <f t="shared" si="10"/>
        <v>141</v>
      </c>
      <c r="AN148" s="27" t="s">
        <v>1540</v>
      </c>
      <c r="AO148" s="8">
        <v>8</v>
      </c>
      <c r="AR148" s="27" t="s">
        <v>157</v>
      </c>
      <c r="AS148" s="21">
        <v>4363</v>
      </c>
      <c r="AU148" s="27" t="s">
        <v>738</v>
      </c>
      <c r="AV148" s="21">
        <v>1</v>
      </c>
    </row>
    <row r="149" spans="2:48" x14ac:dyDescent="0.35">
      <c r="B149">
        <f t="shared" si="8"/>
        <v>142</v>
      </c>
      <c r="C149" s="27" t="s">
        <v>1593</v>
      </c>
      <c r="D149" s="8"/>
      <c r="E149" s="8"/>
      <c r="F149" s="8"/>
      <c r="G149" s="8"/>
      <c r="H149" s="8"/>
      <c r="I149" s="8">
        <v>1198.6570869544225</v>
      </c>
      <c r="J149" s="8"/>
      <c r="K149" s="8"/>
      <c r="L149" s="8"/>
      <c r="M149" s="8">
        <v>1025.3058652647699</v>
      </c>
      <c r="N149" s="8"/>
      <c r="O149" s="8"/>
      <c r="P149" s="8"/>
      <c r="Q149" s="8">
        <v>819.54393554186868</v>
      </c>
      <c r="R149" s="8">
        <v>379.83392234481522</v>
      </c>
      <c r="S149" s="8"/>
      <c r="T149" s="8"/>
      <c r="U149" s="8">
        <v>2054.6130545568876</v>
      </c>
      <c r="V149" s="8">
        <v>2604.5346104558175</v>
      </c>
      <c r="W149" s="8"/>
      <c r="X149" s="8"/>
      <c r="Y149" s="8"/>
      <c r="Z149" s="8">
        <v>8082.4884751185818</v>
      </c>
      <c r="AA149" s="8"/>
      <c r="AB149" s="8"/>
      <c r="AI149">
        <f t="shared" si="9"/>
        <v>142</v>
      </c>
      <c r="AJ149" s="27" t="s">
        <v>1593</v>
      </c>
      <c r="AK149" s="8">
        <v>8082.4884751185818</v>
      </c>
      <c r="AM149">
        <f t="shared" si="10"/>
        <v>142</v>
      </c>
      <c r="AN149" s="27" t="s">
        <v>560</v>
      </c>
      <c r="AO149" s="8">
        <v>8</v>
      </c>
      <c r="AR149" s="27" t="s">
        <v>973</v>
      </c>
      <c r="AS149" s="21">
        <v>4355</v>
      </c>
      <c r="AU149" s="27" t="s">
        <v>1607</v>
      </c>
      <c r="AV149" s="21">
        <v>1</v>
      </c>
    </row>
    <row r="150" spans="2:48" x14ac:dyDescent="0.35">
      <c r="B150">
        <f t="shared" si="8"/>
        <v>143</v>
      </c>
      <c r="C150" s="27" t="s">
        <v>288</v>
      </c>
      <c r="D150" s="8">
        <v>1462.3979978989562</v>
      </c>
      <c r="E150" s="8"/>
      <c r="F150" s="8"/>
      <c r="G150" s="8"/>
      <c r="H150" s="8"/>
      <c r="I150" s="8">
        <v>1018.5964884916585</v>
      </c>
      <c r="J150" s="8"/>
      <c r="K150" s="8">
        <v>1138.9096786730565</v>
      </c>
      <c r="L150" s="8"/>
      <c r="M150" s="8"/>
      <c r="N150" s="8">
        <v>1041.392685158225</v>
      </c>
      <c r="O150" s="8"/>
      <c r="P150" s="8"/>
      <c r="Q150" s="8">
        <v>954.24250943932498</v>
      </c>
      <c r="R150" s="8">
        <v>962.21143911060028</v>
      </c>
      <c r="S150" s="8">
        <v>1467.3614174305062</v>
      </c>
      <c r="T150" s="8"/>
      <c r="U150" s="8"/>
      <c r="V150" s="8"/>
      <c r="W150" s="8"/>
      <c r="X150" s="8"/>
      <c r="Y150" s="8"/>
      <c r="Z150" s="8">
        <v>8045.1122162023275</v>
      </c>
      <c r="AA150" s="8"/>
      <c r="AB150" s="8"/>
      <c r="AI150">
        <f t="shared" si="9"/>
        <v>143</v>
      </c>
      <c r="AJ150" s="27" t="s">
        <v>288</v>
      </c>
      <c r="AK150" s="8">
        <v>8045.1122162023275</v>
      </c>
      <c r="AM150">
        <f t="shared" si="10"/>
        <v>143</v>
      </c>
      <c r="AN150" s="27" t="s">
        <v>157</v>
      </c>
      <c r="AO150" s="8">
        <v>8</v>
      </c>
      <c r="AR150" s="27" t="s">
        <v>456</v>
      </c>
      <c r="AS150" s="21">
        <v>4335</v>
      </c>
      <c r="AU150" s="27" t="s">
        <v>1641</v>
      </c>
      <c r="AV150" s="21">
        <v>1</v>
      </c>
    </row>
    <row r="151" spans="2:48" x14ac:dyDescent="0.35">
      <c r="B151">
        <f t="shared" si="8"/>
        <v>144</v>
      </c>
      <c r="C151" s="27" t="s">
        <v>1583</v>
      </c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>
        <v>1337.4592612906563</v>
      </c>
      <c r="P151" s="8"/>
      <c r="Q151" s="8"/>
      <c r="R151" s="8"/>
      <c r="S151" s="8">
        <v>1556.3025007672873</v>
      </c>
      <c r="T151" s="8">
        <v>954.24250943932498</v>
      </c>
      <c r="U151" s="8"/>
      <c r="V151" s="8"/>
      <c r="W151" s="8"/>
      <c r="X151" s="8"/>
      <c r="Y151" s="8">
        <v>4188.2955550864235</v>
      </c>
      <c r="Z151" s="8">
        <v>8036.2998265836923</v>
      </c>
      <c r="AA151" s="8"/>
      <c r="AB151" s="8"/>
      <c r="AI151">
        <f t="shared" si="9"/>
        <v>144</v>
      </c>
      <c r="AJ151" s="27" t="s">
        <v>1583</v>
      </c>
      <c r="AK151" s="8">
        <v>8036.2998265836923</v>
      </c>
      <c r="AM151">
        <f t="shared" si="10"/>
        <v>144</v>
      </c>
      <c r="AN151" s="27" t="s">
        <v>447</v>
      </c>
      <c r="AO151" s="8">
        <v>8</v>
      </c>
      <c r="AR151" t="s">
        <v>2509</v>
      </c>
      <c r="AS151" s="21">
        <v>4330</v>
      </c>
      <c r="AU151" t="s">
        <v>2296</v>
      </c>
      <c r="AV151" s="21">
        <v>1</v>
      </c>
    </row>
    <row r="152" spans="2:48" x14ac:dyDescent="0.35">
      <c r="B152">
        <f t="shared" si="8"/>
        <v>145</v>
      </c>
      <c r="C152" t="s">
        <v>2513</v>
      </c>
      <c r="D152" s="8"/>
      <c r="E152" s="8"/>
      <c r="F152" s="8"/>
      <c r="G152" s="8"/>
      <c r="H152" s="8"/>
      <c r="I152" s="8">
        <v>2436.1626470407559</v>
      </c>
      <c r="J152" s="8">
        <v>1152.2883443830563</v>
      </c>
      <c r="K152" s="8"/>
      <c r="L152" s="8"/>
      <c r="M152" s="8"/>
      <c r="N152" s="8"/>
      <c r="O152" s="8">
        <v>1036.429265626675</v>
      </c>
      <c r="P152" s="8"/>
      <c r="Q152" s="8"/>
      <c r="R152" s="8"/>
      <c r="S152" s="8">
        <v>1204.1199826559248</v>
      </c>
      <c r="T152" s="8">
        <v>989.00461569853667</v>
      </c>
      <c r="U152" s="8">
        <v>1161.3680022349749</v>
      </c>
      <c r="V152" s="8"/>
      <c r="W152" s="8"/>
      <c r="X152" s="8"/>
      <c r="Y152" s="8"/>
      <c r="Z152" s="8">
        <v>7979.3728576399244</v>
      </c>
      <c r="AA152" s="8"/>
      <c r="AB152" s="8"/>
      <c r="AI152">
        <f t="shared" si="9"/>
        <v>145</v>
      </c>
      <c r="AJ152" t="s">
        <v>2513</v>
      </c>
      <c r="AK152" s="8">
        <v>7979.3728576399244</v>
      </c>
      <c r="AM152">
        <f t="shared" si="10"/>
        <v>145</v>
      </c>
      <c r="AN152" s="27" t="s">
        <v>1593</v>
      </c>
      <c r="AO152" s="8">
        <v>8</v>
      </c>
      <c r="AR152" s="27" t="s">
        <v>613</v>
      </c>
      <c r="AS152" s="21">
        <v>4261</v>
      </c>
      <c r="AU152" s="27" t="s">
        <v>129</v>
      </c>
      <c r="AV152" s="21">
        <v>1</v>
      </c>
    </row>
    <row r="153" spans="2:48" x14ac:dyDescent="0.35">
      <c r="B153">
        <f t="shared" si="8"/>
        <v>146</v>
      </c>
      <c r="C153" s="27" t="s">
        <v>959</v>
      </c>
      <c r="D153" s="8">
        <v>3318.0537129472323</v>
      </c>
      <c r="E153" s="8">
        <v>778.15125038364363</v>
      </c>
      <c r="F153" s="8">
        <v>1124.9387366082999</v>
      </c>
      <c r="G153" s="8"/>
      <c r="H153" s="8">
        <v>2676.2778178440371</v>
      </c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>
        <v>7897.4215177832139</v>
      </c>
      <c r="AA153" s="8"/>
      <c r="AB153" s="8"/>
      <c r="AI153">
        <f t="shared" si="9"/>
        <v>146</v>
      </c>
      <c r="AJ153" s="27" t="s">
        <v>959</v>
      </c>
      <c r="AK153" s="8">
        <v>7897.4215177832129</v>
      </c>
      <c r="AM153">
        <f t="shared" si="10"/>
        <v>146</v>
      </c>
      <c r="AN153" s="27" t="s">
        <v>172</v>
      </c>
      <c r="AO153" s="8">
        <v>8</v>
      </c>
      <c r="AR153" s="27" t="s">
        <v>749</v>
      </c>
      <c r="AS153" s="21">
        <v>4234</v>
      </c>
      <c r="AU153" t="s">
        <v>2351</v>
      </c>
      <c r="AV153" s="21">
        <v>1</v>
      </c>
    </row>
    <row r="154" spans="2:48" x14ac:dyDescent="0.35">
      <c r="B154">
        <f t="shared" si="8"/>
        <v>147</v>
      </c>
      <c r="C154" s="27" t="s">
        <v>137</v>
      </c>
      <c r="D154" s="8"/>
      <c r="E154" s="8"/>
      <c r="F154" s="8"/>
      <c r="G154" s="8"/>
      <c r="H154" s="8"/>
      <c r="I154" s="8"/>
      <c r="J154" s="8"/>
      <c r="K154" s="8"/>
      <c r="L154" s="8">
        <v>1121.585094600712</v>
      </c>
      <c r="M154" s="8"/>
      <c r="N154" s="8"/>
      <c r="O154" s="8">
        <v>709.69386972779193</v>
      </c>
      <c r="P154" s="8">
        <v>2090.7869279492675</v>
      </c>
      <c r="Q154" s="8"/>
      <c r="R154" s="8">
        <v>1342.4226808222061</v>
      </c>
      <c r="S154" s="8">
        <v>977.72360528884781</v>
      </c>
      <c r="T154" s="8"/>
      <c r="U154" s="8">
        <v>816.60950220281939</v>
      </c>
      <c r="V154" s="8">
        <v>829.30377283102496</v>
      </c>
      <c r="W154" s="8"/>
      <c r="X154" s="8"/>
      <c r="Y154" s="8"/>
      <c r="Z154" s="8">
        <v>7888.1254534226691</v>
      </c>
      <c r="AA154" s="8"/>
      <c r="AB154" s="8"/>
      <c r="AI154">
        <f t="shared" si="9"/>
        <v>147</v>
      </c>
      <c r="AJ154" s="27" t="s">
        <v>137</v>
      </c>
      <c r="AK154" s="8">
        <v>7888.1254534226691</v>
      </c>
      <c r="AM154">
        <f t="shared" si="10"/>
        <v>147</v>
      </c>
      <c r="AN154" t="s">
        <v>2375</v>
      </c>
      <c r="AO154" s="8">
        <v>7</v>
      </c>
      <c r="AR154" s="27" t="s">
        <v>907</v>
      </c>
      <c r="AS154" s="21">
        <v>4225</v>
      </c>
      <c r="AU154" s="27" t="s">
        <v>690</v>
      </c>
      <c r="AV154" s="21">
        <v>1</v>
      </c>
    </row>
    <row r="155" spans="2:48" x14ac:dyDescent="0.35">
      <c r="B155">
        <f t="shared" si="8"/>
        <v>148</v>
      </c>
      <c r="C155" s="27" t="s">
        <v>1107</v>
      </c>
      <c r="D155" s="8">
        <v>1311.7538610557542</v>
      </c>
      <c r="E155" s="8"/>
      <c r="F155" s="8">
        <v>903.08998699194342</v>
      </c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>
        <v>3191.4510144648953</v>
      </c>
      <c r="W155" s="8"/>
      <c r="X155" s="8">
        <v>903.08998699194342</v>
      </c>
      <c r="Y155" s="8">
        <v>1544.0680443502756</v>
      </c>
      <c r="Z155" s="8">
        <v>7853.4528938548119</v>
      </c>
      <c r="AA155" s="8"/>
      <c r="AB155" s="8"/>
      <c r="AI155">
        <f t="shared" si="9"/>
        <v>148</v>
      </c>
      <c r="AJ155" s="27" t="s">
        <v>1107</v>
      </c>
      <c r="AK155" s="8">
        <v>7853.4528938548119</v>
      </c>
      <c r="AM155">
        <f t="shared" si="10"/>
        <v>148</v>
      </c>
      <c r="AN155" t="s">
        <v>2433</v>
      </c>
      <c r="AO155" s="8">
        <v>7</v>
      </c>
      <c r="AR155" s="27" t="s">
        <v>1523</v>
      </c>
      <c r="AS155" s="21">
        <v>4215</v>
      </c>
      <c r="AU155" t="s">
        <v>2371</v>
      </c>
      <c r="AV155" s="21">
        <v>1</v>
      </c>
    </row>
    <row r="156" spans="2:48" x14ac:dyDescent="0.35">
      <c r="B156">
        <f t="shared" si="8"/>
        <v>149</v>
      </c>
      <c r="C156" s="27" t="s">
        <v>1560</v>
      </c>
      <c r="D156" s="8"/>
      <c r="E156" s="8"/>
      <c r="F156" s="8"/>
      <c r="G156" s="8"/>
      <c r="H156" s="8"/>
      <c r="I156" s="8">
        <v>672.64106561366964</v>
      </c>
      <c r="J156" s="8"/>
      <c r="K156" s="8">
        <v>1301.0299956639813</v>
      </c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>
        <v>2099.2200954861305</v>
      </c>
      <c r="W156" s="8"/>
      <c r="X156" s="8">
        <v>1071.8820073061254</v>
      </c>
      <c r="Y156" s="8">
        <v>2680.4650182558098</v>
      </c>
      <c r="Z156" s="8">
        <v>7825.2381823257165</v>
      </c>
      <c r="AA156" s="8"/>
      <c r="AB156" s="8"/>
      <c r="AI156">
        <f t="shared" si="9"/>
        <v>149</v>
      </c>
      <c r="AJ156" s="27" t="s">
        <v>1560</v>
      </c>
      <c r="AK156" s="8">
        <v>7825.2381823257165</v>
      </c>
      <c r="AM156">
        <f t="shared" si="10"/>
        <v>149</v>
      </c>
      <c r="AN156" t="s">
        <v>2513</v>
      </c>
      <c r="AO156" s="8">
        <v>7</v>
      </c>
      <c r="AR156" s="27" t="s">
        <v>1560</v>
      </c>
      <c r="AS156" s="21">
        <v>4211</v>
      </c>
      <c r="AU156" s="27" t="s">
        <v>1576</v>
      </c>
      <c r="AV156" s="21">
        <v>1</v>
      </c>
    </row>
    <row r="157" spans="2:48" x14ac:dyDescent="0.35">
      <c r="B157">
        <f t="shared" si="8"/>
        <v>150</v>
      </c>
      <c r="C157" s="27" t="s">
        <v>1557</v>
      </c>
      <c r="D157" s="8"/>
      <c r="E157" s="8"/>
      <c r="F157" s="8"/>
      <c r="G157" s="8"/>
      <c r="H157" s="8"/>
      <c r="I157" s="8">
        <v>1319.6264841556397</v>
      </c>
      <c r="J157" s="8"/>
      <c r="K157" s="8">
        <v>1047.424649928138</v>
      </c>
      <c r="L157" s="8">
        <v>1249.1983573911129</v>
      </c>
      <c r="M157" s="8"/>
      <c r="N157" s="8"/>
      <c r="O157" s="8"/>
      <c r="P157" s="8"/>
      <c r="Q157" s="8"/>
      <c r="R157" s="8"/>
      <c r="S157" s="8"/>
      <c r="T157" s="8"/>
      <c r="U157" s="8">
        <v>1190.3316981702915</v>
      </c>
      <c r="V157" s="8"/>
      <c r="W157" s="8"/>
      <c r="X157" s="8">
        <v>3001.3009330204177</v>
      </c>
      <c r="Y157" s="8"/>
      <c r="Z157" s="8">
        <v>7807.8821226655991</v>
      </c>
      <c r="AA157" s="8"/>
      <c r="AB157" s="8"/>
      <c r="AI157">
        <f t="shared" si="9"/>
        <v>150</v>
      </c>
      <c r="AJ157" s="27" t="s">
        <v>1557</v>
      </c>
      <c r="AK157" s="8">
        <v>7807.8821226656</v>
      </c>
      <c r="AM157">
        <f t="shared" si="10"/>
        <v>150</v>
      </c>
      <c r="AN157" s="27" t="s">
        <v>1527</v>
      </c>
      <c r="AO157" s="8">
        <v>7</v>
      </c>
      <c r="AR157" s="27" t="s">
        <v>806</v>
      </c>
      <c r="AS157" s="21">
        <v>4200</v>
      </c>
      <c r="AU157" s="27" t="s">
        <v>262</v>
      </c>
      <c r="AV157" s="21">
        <v>1</v>
      </c>
    </row>
    <row r="158" spans="2:48" x14ac:dyDescent="0.35">
      <c r="B158">
        <f t="shared" si="8"/>
        <v>151</v>
      </c>
      <c r="C158" s="27" t="s">
        <v>806</v>
      </c>
      <c r="D158" s="8">
        <v>2102.2465501163178</v>
      </c>
      <c r="E158" s="8">
        <v>1361.7278360175926</v>
      </c>
      <c r="F158" s="8">
        <v>2118.8645888961069</v>
      </c>
      <c r="G158" s="8"/>
      <c r="H158" s="8"/>
      <c r="I158" s="8">
        <v>2222.7164711475834</v>
      </c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>
        <v>7805.555446177601</v>
      </c>
      <c r="AA158" s="8"/>
      <c r="AB158" s="8"/>
      <c r="AI158">
        <f t="shared" si="9"/>
        <v>151</v>
      </c>
      <c r="AJ158" s="27" t="s">
        <v>806</v>
      </c>
      <c r="AK158" s="8">
        <v>7805.555446177601</v>
      </c>
      <c r="AM158">
        <f t="shared" si="10"/>
        <v>151</v>
      </c>
      <c r="AN158" t="s">
        <v>2477</v>
      </c>
      <c r="AO158" s="8">
        <v>7</v>
      </c>
      <c r="AR158" s="27" t="s">
        <v>500</v>
      </c>
      <c r="AS158" s="21">
        <v>4197</v>
      </c>
      <c r="AU158" s="27" t="s">
        <v>613</v>
      </c>
      <c r="AV158" s="21">
        <v>1</v>
      </c>
    </row>
    <row r="159" spans="2:48" x14ac:dyDescent="0.35">
      <c r="B159">
        <f t="shared" si="8"/>
        <v>152</v>
      </c>
      <c r="C159" t="s">
        <v>2433</v>
      </c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>
        <v>1000</v>
      </c>
      <c r="T159" s="8">
        <v>1431.3637641589874</v>
      </c>
      <c r="U159" s="8"/>
      <c r="V159" s="8">
        <v>4468.3473304121571</v>
      </c>
      <c r="W159" s="8"/>
      <c r="X159" s="8"/>
      <c r="Y159" s="8">
        <v>887.29571980871185</v>
      </c>
      <c r="Z159" s="8">
        <v>7787.0068143798562</v>
      </c>
      <c r="AA159" s="8"/>
      <c r="AB159" s="8"/>
      <c r="AI159">
        <f t="shared" si="9"/>
        <v>152</v>
      </c>
      <c r="AJ159" t="s">
        <v>2433</v>
      </c>
      <c r="AK159" s="8">
        <v>7787.0068143798562</v>
      </c>
      <c r="AM159">
        <f t="shared" si="10"/>
        <v>152</v>
      </c>
      <c r="AN159" s="27" t="s">
        <v>309</v>
      </c>
      <c r="AO159" s="8">
        <v>7</v>
      </c>
      <c r="AR159" s="27" t="s">
        <v>776</v>
      </c>
      <c r="AS159" s="21">
        <v>4196</v>
      </c>
      <c r="AU159" s="27" t="s">
        <v>1626</v>
      </c>
      <c r="AV159" s="21">
        <v>1</v>
      </c>
    </row>
    <row r="160" spans="2:48" x14ac:dyDescent="0.35">
      <c r="B160">
        <f t="shared" si="8"/>
        <v>153</v>
      </c>
      <c r="C160" s="27" t="s">
        <v>892</v>
      </c>
      <c r="D160" s="8">
        <v>2309.8189500769495</v>
      </c>
      <c r="E160" s="8">
        <v>2066.8049560297759</v>
      </c>
      <c r="F160" s="8">
        <v>1052.5290512761844</v>
      </c>
      <c r="G160" s="8"/>
      <c r="H160" s="8">
        <v>868.32788073273161</v>
      </c>
      <c r="I160" s="8"/>
      <c r="J160" s="8"/>
      <c r="K160" s="8"/>
      <c r="L160" s="8"/>
      <c r="M160" s="8"/>
      <c r="N160" s="8"/>
      <c r="O160" s="8"/>
      <c r="P160" s="8"/>
      <c r="Q160" s="8"/>
      <c r="R160" s="8">
        <v>1484.2998393467858</v>
      </c>
      <c r="S160" s="8"/>
      <c r="T160" s="8"/>
      <c r="U160" s="8"/>
      <c r="V160" s="8"/>
      <c r="W160" s="8"/>
      <c r="X160" s="8"/>
      <c r="Y160" s="8"/>
      <c r="Z160" s="8">
        <v>7781.7806774624278</v>
      </c>
      <c r="AA160" s="8"/>
      <c r="AB160" s="8"/>
      <c r="AI160">
        <f t="shared" si="9"/>
        <v>153</v>
      </c>
      <c r="AJ160" s="27" t="s">
        <v>892</v>
      </c>
      <c r="AK160" s="8">
        <v>7781.7806774624278</v>
      </c>
      <c r="AM160">
        <f t="shared" si="10"/>
        <v>153</v>
      </c>
      <c r="AN160" s="27" t="s">
        <v>1547</v>
      </c>
      <c r="AO160" s="8">
        <v>7</v>
      </c>
      <c r="AR160" s="27" t="s">
        <v>262</v>
      </c>
      <c r="AS160" s="21">
        <v>4177</v>
      </c>
      <c r="AU160" s="27" t="s">
        <v>599</v>
      </c>
      <c r="AV160" s="21">
        <v>1</v>
      </c>
    </row>
    <row r="161" spans="2:48" x14ac:dyDescent="0.35">
      <c r="B161">
        <f t="shared" si="8"/>
        <v>154</v>
      </c>
      <c r="C161" s="27" t="s">
        <v>378</v>
      </c>
      <c r="D161" s="8">
        <v>1064.4579892269187</v>
      </c>
      <c r="E161" s="8"/>
      <c r="F161" s="8"/>
      <c r="G161" s="8">
        <v>1364.4169745283739</v>
      </c>
      <c r="H161" s="8">
        <v>2228.1202590596913</v>
      </c>
      <c r="I161" s="8"/>
      <c r="J161" s="8"/>
      <c r="K161" s="8"/>
      <c r="L161" s="8">
        <v>1457.377196523905</v>
      </c>
      <c r="M161" s="8">
        <v>845.09804001425687</v>
      </c>
      <c r="N161" s="8"/>
      <c r="O161" s="8"/>
      <c r="P161" s="8"/>
      <c r="Q161" s="8">
        <v>787.10609303657009</v>
      </c>
      <c r="R161" s="8"/>
      <c r="S161" s="8"/>
      <c r="T161" s="8"/>
      <c r="U161" s="8"/>
      <c r="V161" s="8"/>
      <c r="W161" s="8"/>
      <c r="X161" s="8"/>
      <c r="Y161" s="8"/>
      <c r="Z161" s="8">
        <v>7746.5765523897162</v>
      </c>
      <c r="AA161" s="8"/>
      <c r="AB161" s="8"/>
      <c r="AI161">
        <f t="shared" si="9"/>
        <v>154</v>
      </c>
      <c r="AJ161" s="27" t="s">
        <v>378</v>
      </c>
      <c r="AK161" s="8">
        <v>7746.5765523897162</v>
      </c>
      <c r="AM161">
        <f t="shared" si="10"/>
        <v>154</v>
      </c>
      <c r="AN161" s="27" t="s">
        <v>1243</v>
      </c>
      <c r="AO161" s="8">
        <v>7</v>
      </c>
      <c r="AR161" s="27" t="s">
        <v>643</v>
      </c>
      <c r="AS161" s="21">
        <v>4171</v>
      </c>
      <c r="AU161" s="27" t="s">
        <v>1312</v>
      </c>
      <c r="AV161" s="21">
        <v>1</v>
      </c>
    </row>
    <row r="162" spans="2:48" x14ac:dyDescent="0.35">
      <c r="B162">
        <f t="shared" si="8"/>
        <v>155</v>
      </c>
      <c r="C162" s="27" t="s">
        <v>453</v>
      </c>
      <c r="D162" s="8"/>
      <c r="E162" s="8"/>
      <c r="F162" s="8"/>
      <c r="G162" s="8"/>
      <c r="H162" s="8"/>
      <c r="I162" s="8">
        <v>2149.2191126553798</v>
      </c>
      <c r="J162" s="8">
        <v>1892.0946026904803</v>
      </c>
      <c r="K162" s="8">
        <v>1917.5459034029132</v>
      </c>
      <c r="L162" s="8">
        <v>1765.9389507179342</v>
      </c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>
        <v>7724.7985694667068</v>
      </c>
      <c r="AA162" s="8"/>
      <c r="AB162" s="8"/>
      <c r="AI162">
        <f t="shared" si="9"/>
        <v>155</v>
      </c>
      <c r="AJ162" s="27" t="s">
        <v>453</v>
      </c>
      <c r="AK162" s="8">
        <v>7724.7985694667077</v>
      </c>
      <c r="AM162">
        <f t="shared" si="10"/>
        <v>155</v>
      </c>
      <c r="AN162" s="27" t="s">
        <v>223</v>
      </c>
      <c r="AO162" s="8">
        <v>7</v>
      </c>
      <c r="AR162" s="27" t="s">
        <v>1056</v>
      </c>
      <c r="AS162" s="21">
        <v>4140</v>
      </c>
      <c r="AU162" s="27" t="s">
        <v>650</v>
      </c>
      <c r="AV162" s="21">
        <v>1</v>
      </c>
    </row>
    <row r="163" spans="2:48" x14ac:dyDescent="0.35">
      <c r="B163">
        <f t="shared" si="8"/>
        <v>156</v>
      </c>
      <c r="C163" s="27" t="s">
        <v>311</v>
      </c>
      <c r="D163" s="8">
        <v>1308.1251193000548</v>
      </c>
      <c r="E163" s="8">
        <v>3726.9194547250736</v>
      </c>
      <c r="F163" s="8"/>
      <c r="G163" s="8">
        <v>1025.3058652647699</v>
      </c>
      <c r="H163" s="8"/>
      <c r="I163" s="8"/>
      <c r="J163" s="8"/>
      <c r="K163" s="8"/>
      <c r="L163" s="8"/>
      <c r="M163" s="8"/>
      <c r="N163" s="8">
        <v>981.51659430598693</v>
      </c>
      <c r="O163" s="8"/>
      <c r="P163" s="8"/>
      <c r="Q163" s="8"/>
      <c r="R163" s="8"/>
      <c r="S163" s="8"/>
      <c r="T163" s="8">
        <v>653.21251377534372</v>
      </c>
      <c r="U163" s="8"/>
      <c r="V163" s="8"/>
      <c r="W163" s="8"/>
      <c r="X163" s="8"/>
      <c r="Y163" s="8"/>
      <c r="Z163" s="8">
        <v>7695.0795473712287</v>
      </c>
      <c r="AA163" s="8"/>
      <c r="AB163" s="8"/>
      <c r="AI163">
        <f t="shared" si="9"/>
        <v>156</v>
      </c>
      <c r="AJ163" s="27" t="s">
        <v>311</v>
      </c>
      <c r="AK163" s="8">
        <v>7695.0795473712287</v>
      </c>
      <c r="AM163">
        <f t="shared" si="10"/>
        <v>156</v>
      </c>
      <c r="AN163" s="27" t="s">
        <v>718</v>
      </c>
      <c r="AO163" s="8">
        <v>7</v>
      </c>
      <c r="AR163" s="27" t="s">
        <v>1536</v>
      </c>
      <c r="AS163" s="21">
        <v>4080</v>
      </c>
      <c r="AU163" t="s">
        <v>2591</v>
      </c>
      <c r="AV163" s="21">
        <v>1</v>
      </c>
    </row>
    <row r="164" spans="2:48" x14ac:dyDescent="0.35">
      <c r="B164">
        <f t="shared" si="8"/>
        <v>157</v>
      </c>
      <c r="C164" s="27" t="s">
        <v>373</v>
      </c>
      <c r="D164" s="8"/>
      <c r="E164" s="8"/>
      <c r="F164" s="8"/>
      <c r="G164" s="8">
        <v>1444.3704803414462</v>
      </c>
      <c r="H164" s="8">
        <v>460.40937697618756</v>
      </c>
      <c r="I164" s="8">
        <v>520.69634257911241</v>
      </c>
      <c r="J164" s="8">
        <v>989.00461569853678</v>
      </c>
      <c r="K164" s="8">
        <v>1099.0338400965984</v>
      </c>
      <c r="L164" s="8"/>
      <c r="M164" s="8">
        <v>954.24250943932498</v>
      </c>
      <c r="N164" s="8"/>
      <c r="O164" s="8"/>
      <c r="P164" s="8">
        <v>1214.843848047698</v>
      </c>
      <c r="Q164" s="8"/>
      <c r="R164" s="8"/>
      <c r="S164" s="8">
        <v>989.00461569853678</v>
      </c>
      <c r="T164" s="8"/>
      <c r="U164" s="8"/>
      <c r="V164" s="8"/>
      <c r="W164" s="8"/>
      <c r="X164" s="8"/>
      <c r="Y164" s="8"/>
      <c r="Z164" s="8">
        <v>7671.6056288774398</v>
      </c>
      <c r="AA164" s="8"/>
      <c r="AB164" s="8"/>
      <c r="AI164">
        <f t="shared" si="9"/>
        <v>157</v>
      </c>
      <c r="AJ164" s="27" t="s">
        <v>373</v>
      </c>
      <c r="AK164" s="8">
        <v>7671.6056288774398</v>
      </c>
      <c r="AM164">
        <f t="shared" si="10"/>
        <v>157</v>
      </c>
      <c r="AN164" s="27" t="s">
        <v>867</v>
      </c>
      <c r="AO164" s="8">
        <v>7</v>
      </c>
      <c r="AR164" s="27" t="s">
        <v>602</v>
      </c>
      <c r="AS164" s="21">
        <v>4075</v>
      </c>
      <c r="AU164" s="27" t="s">
        <v>1667</v>
      </c>
      <c r="AV164" s="21">
        <v>1</v>
      </c>
    </row>
    <row r="165" spans="2:48" x14ac:dyDescent="0.35">
      <c r="B165">
        <f t="shared" si="8"/>
        <v>158</v>
      </c>
      <c r="C165" s="27" t="s">
        <v>447</v>
      </c>
      <c r="D165" s="8">
        <v>2195.1209590365306</v>
      </c>
      <c r="E165" s="8"/>
      <c r="F165" s="8"/>
      <c r="G165" s="8">
        <v>1406.5401804339549</v>
      </c>
      <c r="H165" s="8"/>
      <c r="I165" s="8">
        <v>3108.3052767078793</v>
      </c>
      <c r="J165" s="8">
        <v>483.0708663695163</v>
      </c>
      <c r="K165" s="8"/>
      <c r="L165" s="8">
        <v>437.53063169585005</v>
      </c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>
        <v>7630.5679142437311</v>
      </c>
      <c r="AA165" s="8"/>
      <c r="AB165" s="8"/>
      <c r="AI165">
        <f t="shared" si="9"/>
        <v>158</v>
      </c>
      <c r="AJ165" s="27" t="s">
        <v>447</v>
      </c>
      <c r="AK165" s="8">
        <v>7630.5679142437311</v>
      </c>
      <c r="AM165">
        <f t="shared" si="10"/>
        <v>158</v>
      </c>
      <c r="AN165" s="27" t="s">
        <v>378</v>
      </c>
      <c r="AO165" s="8">
        <v>7</v>
      </c>
      <c r="AR165" s="27" t="s">
        <v>1538</v>
      </c>
      <c r="AS165" s="21">
        <v>4070</v>
      </c>
      <c r="AU165" s="27" t="s">
        <v>176</v>
      </c>
      <c r="AV165" s="21">
        <v>1</v>
      </c>
    </row>
    <row r="166" spans="2:48" x14ac:dyDescent="0.35">
      <c r="B166">
        <f t="shared" si="8"/>
        <v>159</v>
      </c>
      <c r="C166" t="s">
        <v>2375</v>
      </c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>
        <v>994.53710429849787</v>
      </c>
      <c r="S166" s="8">
        <v>2431.3637641589876</v>
      </c>
      <c r="T166" s="8">
        <v>1987.3310318089707</v>
      </c>
      <c r="U166" s="8">
        <v>1079.1812460476249</v>
      </c>
      <c r="V166" s="8">
        <v>1130.3337684950061</v>
      </c>
      <c r="W166" s="8"/>
      <c r="X166" s="8"/>
      <c r="Y166" s="8"/>
      <c r="Z166" s="8">
        <v>7622.7469148090877</v>
      </c>
      <c r="AA166" s="8"/>
      <c r="AB166" s="8"/>
      <c r="AI166">
        <f t="shared" si="9"/>
        <v>159</v>
      </c>
      <c r="AJ166" t="s">
        <v>2375</v>
      </c>
      <c r="AK166" s="8">
        <v>7622.7469148090859</v>
      </c>
      <c r="AM166">
        <f t="shared" si="10"/>
        <v>159</v>
      </c>
      <c r="AN166" s="27" t="s">
        <v>852</v>
      </c>
      <c r="AO166" s="8">
        <v>7</v>
      </c>
      <c r="AR166" s="27" t="s">
        <v>1593</v>
      </c>
      <c r="AS166" s="21">
        <v>4012</v>
      </c>
      <c r="AU166" s="27" t="s">
        <v>1625</v>
      </c>
      <c r="AV166" s="21">
        <v>1</v>
      </c>
    </row>
    <row r="167" spans="2:48" x14ac:dyDescent="0.35">
      <c r="B167">
        <f t="shared" si="8"/>
        <v>160</v>
      </c>
      <c r="C167" s="27" t="s">
        <v>594</v>
      </c>
      <c r="D167" s="8"/>
      <c r="E167" s="8"/>
      <c r="F167" s="8">
        <v>1550.228353055094</v>
      </c>
      <c r="G167" s="8"/>
      <c r="H167" s="8">
        <v>2448.5657942666094</v>
      </c>
      <c r="I167" s="8"/>
      <c r="J167" s="8"/>
      <c r="K167" s="8">
        <v>3584.3312243675309</v>
      </c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>
        <v>7583.1253716892343</v>
      </c>
      <c r="AA167" s="8"/>
      <c r="AB167" s="8"/>
      <c r="AI167">
        <f t="shared" si="9"/>
        <v>160</v>
      </c>
      <c r="AJ167" s="27" t="s">
        <v>594</v>
      </c>
      <c r="AK167" s="8">
        <v>7583.1253716892334</v>
      </c>
      <c r="AM167">
        <f t="shared" si="10"/>
        <v>160</v>
      </c>
      <c r="AN167" s="27" t="s">
        <v>749</v>
      </c>
      <c r="AO167" s="8">
        <v>7</v>
      </c>
      <c r="AR167" s="27" t="s">
        <v>1557</v>
      </c>
      <c r="AS167" s="21">
        <v>4002</v>
      </c>
      <c r="AU167" s="27" t="s">
        <v>369</v>
      </c>
      <c r="AV167" s="21">
        <v>1</v>
      </c>
    </row>
    <row r="168" spans="2:48" x14ac:dyDescent="0.35">
      <c r="B168">
        <f t="shared" si="8"/>
        <v>161</v>
      </c>
      <c r="C168" s="27" t="s">
        <v>560</v>
      </c>
      <c r="D168" s="8"/>
      <c r="E168" s="8"/>
      <c r="F168" s="8"/>
      <c r="G168" s="8">
        <v>1096.9100130080565</v>
      </c>
      <c r="H168" s="8">
        <v>1265.0851622198099</v>
      </c>
      <c r="I168" s="8">
        <v>1848.1891169913984</v>
      </c>
      <c r="J168" s="8"/>
      <c r="K168" s="8">
        <v>2146.1280356782381</v>
      </c>
      <c r="L168" s="8">
        <v>826.60625688767186</v>
      </c>
      <c r="M168" s="8"/>
      <c r="N168" s="8"/>
      <c r="O168" s="8"/>
      <c r="P168" s="8"/>
      <c r="Q168" s="8"/>
      <c r="R168" s="8"/>
      <c r="S168" s="8">
        <v>374.0940135031002</v>
      </c>
      <c r="T168" s="8"/>
      <c r="U168" s="8"/>
      <c r="V168" s="8"/>
      <c r="W168" s="8"/>
      <c r="X168" s="8"/>
      <c r="Y168" s="8"/>
      <c r="Z168" s="8">
        <v>7557.0125982882755</v>
      </c>
      <c r="AA168" s="8"/>
      <c r="AB168" s="8"/>
      <c r="AI168">
        <f t="shared" si="9"/>
        <v>161</v>
      </c>
      <c r="AJ168" s="27" t="s">
        <v>560</v>
      </c>
      <c r="AK168" s="8">
        <v>7557.0125982882755</v>
      </c>
      <c r="AM168">
        <f t="shared" si="10"/>
        <v>161</v>
      </c>
      <c r="AN168" s="27" t="s">
        <v>643</v>
      </c>
      <c r="AO168" s="8">
        <v>7</v>
      </c>
      <c r="AR168" s="27" t="s">
        <v>943</v>
      </c>
      <c r="AS168" s="21">
        <v>3988</v>
      </c>
      <c r="AU168" s="27" t="s">
        <v>1654</v>
      </c>
      <c r="AV168" s="21">
        <v>1</v>
      </c>
    </row>
    <row r="169" spans="2:48" x14ac:dyDescent="0.35">
      <c r="B169">
        <f t="shared" si="8"/>
        <v>162</v>
      </c>
      <c r="C169" s="27" t="s">
        <v>223</v>
      </c>
      <c r="D169" s="8"/>
      <c r="E169" s="8"/>
      <c r="F169" s="8">
        <v>798.35463647193058</v>
      </c>
      <c r="G169" s="8"/>
      <c r="H169" s="8">
        <v>1041.392685158225</v>
      </c>
      <c r="I169" s="8"/>
      <c r="J169" s="8"/>
      <c r="K169" s="8"/>
      <c r="L169" s="8"/>
      <c r="M169" s="8"/>
      <c r="N169" s="8">
        <v>765.91679396663199</v>
      </c>
      <c r="O169" s="8"/>
      <c r="P169" s="8">
        <v>1423.2458739368076</v>
      </c>
      <c r="Q169" s="8"/>
      <c r="R169" s="8"/>
      <c r="S169" s="8"/>
      <c r="T169" s="8">
        <v>999.99999999999989</v>
      </c>
      <c r="U169" s="8">
        <v>1763.4279935629374</v>
      </c>
      <c r="V169" s="8"/>
      <c r="W169" s="8"/>
      <c r="X169" s="8"/>
      <c r="Y169" s="8">
        <v>698.97000433601886</v>
      </c>
      <c r="Z169" s="8">
        <v>7491.3079874325513</v>
      </c>
      <c r="AA169" s="8"/>
      <c r="AB169" s="8"/>
      <c r="AI169">
        <f t="shared" si="9"/>
        <v>162</v>
      </c>
      <c r="AJ169" s="27" t="s">
        <v>223</v>
      </c>
      <c r="AK169" s="8">
        <v>7491.3079874325513</v>
      </c>
      <c r="AM169">
        <f t="shared" si="10"/>
        <v>162</v>
      </c>
      <c r="AN169" s="27" t="s">
        <v>1560</v>
      </c>
      <c r="AO169" s="8">
        <v>7</v>
      </c>
      <c r="AR169" s="27" t="s">
        <v>373</v>
      </c>
      <c r="AS169" s="21">
        <v>3935</v>
      </c>
      <c r="AU169" s="27" t="s">
        <v>1462</v>
      </c>
      <c r="AV169" s="21">
        <v>1</v>
      </c>
    </row>
    <row r="170" spans="2:48" x14ac:dyDescent="0.35">
      <c r="B170">
        <f t="shared" si="8"/>
        <v>163</v>
      </c>
      <c r="C170" s="27" t="s">
        <v>1529</v>
      </c>
      <c r="D170" s="8"/>
      <c r="E170" s="8"/>
      <c r="F170" s="8"/>
      <c r="G170" s="8"/>
      <c r="H170" s="8"/>
      <c r="I170" s="8"/>
      <c r="J170" s="8"/>
      <c r="K170" s="8"/>
      <c r="L170" s="8">
        <v>1564.2714304385624</v>
      </c>
      <c r="M170" s="8">
        <v>946.12461921714532</v>
      </c>
      <c r="N170" s="8"/>
      <c r="O170" s="8">
        <v>3221.5260109691694</v>
      </c>
      <c r="P170" s="8">
        <v>1035.2757603485429</v>
      </c>
      <c r="Q170" s="8">
        <v>698.97000433601886</v>
      </c>
      <c r="R170" s="8"/>
      <c r="S170" s="8"/>
      <c r="T170" s="8"/>
      <c r="U170" s="8"/>
      <c r="V170" s="8"/>
      <c r="W170" s="8"/>
      <c r="X170" s="8"/>
      <c r="Y170" s="8"/>
      <c r="Z170" s="8">
        <v>7466.1678253094396</v>
      </c>
      <c r="AA170" s="8"/>
      <c r="AB170" s="8"/>
      <c r="AI170">
        <f t="shared" si="9"/>
        <v>163</v>
      </c>
      <c r="AJ170" s="27" t="s">
        <v>1529</v>
      </c>
      <c r="AK170" s="8">
        <v>7466.1678253094396</v>
      </c>
      <c r="AM170">
        <f t="shared" si="10"/>
        <v>163</v>
      </c>
      <c r="AN170" s="27" t="s">
        <v>435</v>
      </c>
      <c r="AO170" s="8">
        <v>7</v>
      </c>
      <c r="AR170" t="s">
        <v>2643</v>
      </c>
      <c r="AS170" s="21">
        <v>3916</v>
      </c>
      <c r="AU170" s="27" t="s">
        <v>1491</v>
      </c>
      <c r="AV170" s="21">
        <v>1</v>
      </c>
    </row>
    <row r="171" spans="2:48" x14ac:dyDescent="0.35">
      <c r="B171">
        <f t="shared" si="8"/>
        <v>164</v>
      </c>
      <c r="C171" s="27" t="s">
        <v>1096</v>
      </c>
      <c r="D171" s="8">
        <v>385.35088136401697</v>
      </c>
      <c r="E171" s="8"/>
      <c r="F171" s="8">
        <v>871.83229326150172</v>
      </c>
      <c r="G171" s="8"/>
      <c r="H171" s="8">
        <v>1792.391689498254</v>
      </c>
      <c r="I171" s="8"/>
      <c r="J171" s="8"/>
      <c r="K171" s="8">
        <v>533.47339481530662</v>
      </c>
      <c r="L171" s="8"/>
      <c r="M171" s="8"/>
      <c r="N171" s="8"/>
      <c r="O171" s="8">
        <v>444.65085125315511</v>
      </c>
      <c r="P171" s="8">
        <v>1010.7238653917732</v>
      </c>
      <c r="Q171" s="8">
        <v>1025.3058652647699</v>
      </c>
      <c r="R171" s="8"/>
      <c r="S171" s="8"/>
      <c r="T171" s="8"/>
      <c r="U171" s="8"/>
      <c r="V171" s="8"/>
      <c r="W171" s="8"/>
      <c r="X171" s="8">
        <v>1322.2192947339192</v>
      </c>
      <c r="Y171" s="8"/>
      <c r="Z171" s="8">
        <v>7385.9481355826956</v>
      </c>
      <c r="AA171" s="8"/>
      <c r="AB171" s="8"/>
      <c r="AI171">
        <f t="shared" si="9"/>
        <v>164</v>
      </c>
      <c r="AJ171" s="27" t="s">
        <v>1096</v>
      </c>
      <c r="AK171" s="8">
        <v>7385.9481355826956</v>
      </c>
      <c r="AM171">
        <f t="shared" si="10"/>
        <v>164</v>
      </c>
      <c r="AN171" s="27" t="s">
        <v>1538</v>
      </c>
      <c r="AO171" s="8">
        <v>7</v>
      </c>
      <c r="AR171" s="27" t="s">
        <v>738</v>
      </c>
      <c r="AS171" s="21">
        <v>3900</v>
      </c>
      <c r="AU171" s="27" t="s">
        <v>647</v>
      </c>
      <c r="AV171" s="21">
        <v>1</v>
      </c>
    </row>
    <row r="172" spans="2:48" x14ac:dyDescent="0.35">
      <c r="B172">
        <f t="shared" si="8"/>
        <v>165</v>
      </c>
      <c r="C172" s="27" t="s">
        <v>210</v>
      </c>
      <c r="D172" s="8"/>
      <c r="E172" s="8"/>
      <c r="F172" s="8"/>
      <c r="G172" s="8"/>
      <c r="H172" s="8"/>
      <c r="I172" s="8"/>
      <c r="J172" s="8"/>
      <c r="K172" s="8">
        <v>1204.1199826559248</v>
      </c>
      <c r="L172" s="8"/>
      <c r="M172" s="8">
        <v>1469.8220159781629</v>
      </c>
      <c r="N172" s="8">
        <v>929.41892571429275</v>
      </c>
      <c r="O172" s="8"/>
      <c r="P172" s="8">
        <v>2608.5260335771941</v>
      </c>
      <c r="Q172" s="8">
        <v>1156.347200859924</v>
      </c>
      <c r="R172" s="8"/>
      <c r="S172" s="8"/>
      <c r="T172" s="8"/>
      <c r="U172" s="8"/>
      <c r="V172" s="8"/>
      <c r="W172" s="8"/>
      <c r="X172" s="8"/>
      <c r="Y172" s="8"/>
      <c r="Z172" s="8">
        <v>7368.2341587854989</v>
      </c>
      <c r="AA172" s="8"/>
      <c r="AB172" s="8"/>
      <c r="AI172">
        <f t="shared" si="9"/>
        <v>165</v>
      </c>
      <c r="AJ172" s="27" t="s">
        <v>210</v>
      </c>
      <c r="AK172" s="8">
        <v>7368.234158785498</v>
      </c>
      <c r="AM172">
        <f t="shared" si="10"/>
        <v>165</v>
      </c>
      <c r="AN172" s="27" t="s">
        <v>959</v>
      </c>
      <c r="AO172" s="8">
        <v>7</v>
      </c>
      <c r="AR172" s="27" t="s">
        <v>619</v>
      </c>
      <c r="AS172" s="21">
        <v>3880</v>
      </c>
      <c r="AU172" s="27" t="s">
        <v>723</v>
      </c>
      <c r="AV172" s="21">
        <v>1</v>
      </c>
    </row>
    <row r="173" spans="2:48" x14ac:dyDescent="0.35">
      <c r="B173">
        <f t="shared" si="8"/>
        <v>166</v>
      </c>
      <c r="C173" s="27" t="s">
        <v>698</v>
      </c>
      <c r="D173" s="8">
        <v>985.2767431792937</v>
      </c>
      <c r="E173" s="8"/>
      <c r="F173" s="8">
        <v>903.08998699194353</v>
      </c>
      <c r="G173" s="8">
        <v>1162.3652345489234</v>
      </c>
      <c r="H173" s="8"/>
      <c r="I173" s="8"/>
      <c r="J173" s="8">
        <v>1607.4550232146685</v>
      </c>
      <c r="K173" s="8">
        <v>1425.9687322722812</v>
      </c>
      <c r="L173" s="8"/>
      <c r="M173" s="8">
        <v>1168.7920203141816</v>
      </c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>
        <v>7252.9477405212911</v>
      </c>
      <c r="AA173" s="8"/>
      <c r="AB173" s="8"/>
      <c r="AI173">
        <f t="shared" si="9"/>
        <v>166</v>
      </c>
      <c r="AJ173" s="27" t="s">
        <v>698</v>
      </c>
      <c r="AK173" s="8">
        <v>7252.9477405212911</v>
      </c>
      <c r="AM173">
        <f t="shared" si="10"/>
        <v>166</v>
      </c>
      <c r="AN173" s="27" t="s">
        <v>685</v>
      </c>
      <c r="AO173" s="8">
        <v>7</v>
      </c>
      <c r="AR173" s="27" t="s">
        <v>447</v>
      </c>
      <c r="AS173" s="21">
        <v>3826</v>
      </c>
      <c r="AU173" s="27" t="s">
        <v>1643</v>
      </c>
      <c r="AV173" s="21">
        <v>1</v>
      </c>
    </row>
    <row r="174" spans="2:48" x14ac:dyDescent="0.35">
      <c r="B174">
        <f t="shared" si="8"/>
        <v>167</v>
      </c>
      <c r="C174" s="27" t="s">
        <v>1553</v>
      </c>
      <c r="D174" s="8">
        <v>1459.392487759231</v>
      </c>
      <c r="E174" s="8"/>
      <c r="F174" s="8"/>
      <c r="G174" s="8"/>
      <c r="H174" s="8"/>
      <c r="I174" s="8"/>
      <c r="J174" s="8">
        <v>1217.4839442139062</v>
      </c>
      <c r="K174" s="8"/>
      <c r="L174" s="8"/>
      <c r="M174" s="8"/>
      <c r="N174" s="8">
        <v>2349.4933796005816</v>
      </c>
      <c r="O174" s="8"/>
      <c r="P174" s="8"/>
      <c r="Q174" s="8"/>
      <c r="R174" s="8">
        <v>1120.5739312058499</v>
      </c>
      <c r="S174" s="8"/>
      <c r="T174" s="8"/>
      <c r="U174" s="8">
        <v>1033.4237554869499</v>
      </c>
      <c r="V174" s="8"/>
      <c r="W174" s="8"/>
      <c r="X174" s="8"/>
      <c r="Y174" s="8"/>
      <c r="Z174" s="8">
        <v>7180.3674982665189</v>
      </c>
      <c r="AA174" s="8"/>
      <c r="AB174" s="8"/>
      <c r="AI174">
        <f t="shared" si="9"/>
        <v>167</v>
      </c>
      <c r="AJ174" s="27" t="s">
        <v>1553</v>
      </c>
      <c r="AK174" s="8">
        <v>7180.3674982665189</v>
      </c>
      <c r="AM174">
        <f t="shared" si="10"/>
        <v>167</v>
      </c>
      <c r="AN174" s="27" t="s">
        <v>160</v>
      </c>
      <c r="AO174" s="8">
        <v>7</v>
      </c>
      <c r="AR174" s="27" t="s">
        <v>210</v>
      </c>
      <c r="AS174" s="21">
        <v>3740</v>
      </c>
      <c r="AU174" s="27" t="s">
        <v>386</v>
      </c>
      <c r="AV174" s="21">
        <v>1</v>
      </c>
    </row>
    <row r="175" spans="2:48" x14ac:dyDescent="0.35">
      <c r="B175">
        <f t="shared" si="8"/>
        <v>168</v>
      </c>
      <c r="C175" s="27" t="s">
        <v>1536</v>
      </c>
      <c r="D175" s="8"/>
      <c r="E175" s="8"/>
      <c r="F175" s="8"/>
      <c r="G175" s="8">
        <v>2661.8126855372611</v>
      </c>
      <c r="H175" s="8"/>
      <c r="I175" s="8">
        <v>4452.7820223536301</v>
      </c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>
        <v>7114.5947078908912</v>
      </c>
      <c r="AA175" s="8"/>
      <c r="AB175" s="8"/>
      <c r="AI175">
        <f t="shared" si="9"/>
        <v>168</v>
      </c>
      <c r="AJ175" s="27" t="s">
        <v>1536</v>
      </c>
      <c r="AK175" s="8">
        <v>7114.5947078908912</v>
      </c>
      <c r="AM175">
        <f t="shared" si="10"/>
        <v>168</v>
      </c>
      <c r="AN175" s="27" t="s">
        <v>806</v>
      </c>
      <c r="AO175" s="8">
        <v>7</v>
      </c>
      <c r="AR175" s="27" t="s">
        <v>478</v>
      </c>
      <c r="AS175" s="21">
        <v>3733</v>
      </c>
      <c r="AU175" s="27" t="s">
        <v>2338</v>
      </c>
      <c r="AV175" s="21">
        <v>1</v>
      </c>
    </row>
    <row r="176" spans="2:48" x14ac:dyDescent="0.35">
      <c r="B176">
        <f t="shared" si="8"/>
        <v>169</v>
      </c>
      <c r="C176" s="27" t="s">
        <v>1543</v>
      </c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>
        <v>3002.7058933759249</v>
      </c>
      <c r="O176" s="8"/>
      <c r="P176" s="8">
        <v>1458.6378490256493</v>
      </c>
      <c r="Q176" s="8"/>
      <c r="R176" s="8">
        <v>2640.2826296966805</v>
      </c>
      <c r="S176" s="8"/>
      <c r="T176" s="8"/>
      <c r="U176" s="8"/>
      <c r="V176" s="8"/>
      <c r="W176" s="8"/>
      <c r="X176" s="8"/>
      <c r="Y176" s="8"/>
      <c r="Z176" s="8">
        <v>7101.6263720982543</v>
      </c>
      <c r="AA176" s="8"/>
      <c r="AB176" s="8"/>
      <c r="AI176">
        <f t="shared" si="9"/>
        <v>169</v>
      </c>
      <c r="AJ176" s="27" t="s">
        <v>1543</v>
      </c>
      <c r="AK176" s="8">
        <v>7101.6263720982543</v>
      </c>
      <c r="AM176">
        <f t="shared" si="10"/>
        <v>169</v>
      </c>
      <c r="AN176" s="27" t="s">
        <v>1417</v>
      </c>
      <c r="AO176" s="8">
        <v>7</v>
      </c>
      <c r="AR176" s="27" t="s">
        <v>596</v>
      </c>
      <c r="AS176" s="21">
        <v>3730</v>
      </c>
      <c r="AU176" s="27" t="s">
        <v>143</v>
      </c>
      <c r="AV176" s="21">
        <v>1</v>
      </c>
    </row>
    <row r="177" spans="2:48" x14ac:dyDescent="0.35">
      <c r="B177">
        <f t="shared" si="8"/>
        <v>170</v>
      </c>
      <c r="C177" s="27" t="s">
        <v>613</v>
      </c>
      <c r="D177" s="8"/>
      <c r="E177" s="8"/>
      <c r="F177" s="8"/>
      <c r="G177" s="8"/>
      <c r="H177" s="8"/>
      <c r="I177" s="8"/>
      <c r="J177" s="8"/>
      <c r="K177" s="8">
        <v>1650.7930396519307</v>
      </c>
      <c r="L177" s="8"/>
      <c r="M177" s="8">
        <v>1157.2644017961975</v>
      </c>
      <c r="N177" s="8"/>
      <c r="O177" s="8">
        <v>985.27674317929359</v>
      </c>
      <c r="P177" s="8"/>
      <c r="Q177" s="8"/>
      <c r="R177" s="8"/>
      <c r="S177" s="8"/>
      <c r="T177" s="8"/>
      <c r="U177" s="8"/>
      <c r="V177" s="8"/>
      <c r="W177" s="8"/>
      <c r="X177" s="8"/>
      <c r="Y177" s="8">
        <v>3236.1844428801496</v>
      </c>
      <c r="Z177" s="8">
        <v>7029.5186275075712</v>
      </c>
      <c r="AA177" s="8"/>
      <c r="AB177" s="8"/>
      <c r="AI177">
        <f t="shared" si="9"/>
        <v>170</v>
      </c>
      <c r="AJ177" s="27" t="s">
        <v>613</v>
      </c>
      <c r="AK177" s="8">
        <v>7029.5186275075712</v>
      </c>
      <c r="AM177">
        <f t="shared" si="10"/>
        <v>170</v>
      </c>
      <c r="AN177" s="27" t="s">
        <v>1095</v>
      </c>
      <c r="AO177" s="8">
        <v>6</v>
      </c>
      <c r="AR177" s="27" t="s">
        <v>460</v>
      </c>
      <c r="AS177" s="21">
        <v>3729</v>
      </c>
      <c r="AU177" s="27" t="s">
        <v>511</v>
      </c>
      <c r="AV177" s="21">
        <v>1</v>
      </c>
    </row>
    <row r="178" spans="2:48" x14ac:dyDescent="0.35">
      <c r="B178">
        <f t="shared" si="8"/>
        <v>171</v>
      </c>
      <c r="C178" s="27" t="s">
        <v>596</v>
      </c>
      <c r="D178" s="8">
        <v>1351.2624023394278</v>
      </c>
      <c r="E178" s="8">
        <v>1729.7046213121871</v>
      </c>
      <c r="F178" s="8">
        <v>798.35463647193058</v>
      </c>
      <c r="G178" s="8"/>
      <c r="H178" s="8">
        <v>1462.3979978989562</v>
      </c>
      <c r="I178" s="8"/>
      <c r="J178" s="8"/>
      <c r="K178" s="8">
        <v>1681.2412373755872</v>
      </c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>
        <v>7022.9608953980887</v>
      </c>
      <c r="AA178" s="8"/>
      <c r="AB178" s="8"/>
      <c r="AI178">
        <f t="shared" si="9"/>
        <v>171</v>
      </c>
      <c r="AJ178" s="27" t="s">
        <v>596</v>
      </c>
      <c r="AK178" s="8">
        <v>7022.9608953980887</v>
      </c>
      <c r="AM178">
        <f t="shared" si="10"/>
        <v>171</v>
      </c>
      <c r="AN178" t="s">
        <v>2399</v>
      </c>
      <c r="AO178" s="8">
        <v>6</v>
      </c>
      <c r="AR178" s="27" t="s">
        <v>1532</v>
      </c>
      <c r="AS178" s="21">
        <v>3705</v>
      </c>
      <c r="AU178" s="27" t="s">
        <v>1009</v>
      </c>
      <c r="AV178" s="21">
        <v>1</v>
      </c>
    </row>
    <row r="179" spans="2:48" x14ac:dyDescent="0.35">
      <c r="B179">
        <f t="shared" si="8"/>
        <v>172</v>
      </c>
      <c r="C179" s="27" t="s">
        <v>1243</v>
      </c>
      <c r="D179" s="8">
        <v>2015.6499593294691</v>
      </c>
      <c r="E179" s="8">
        <v>1681.2412373755872</v>
      </c>
      <c r="F179" s="8"/>
      <c r="G179" s="8"/>
      <c r="H179" s="8"/>
      <c r="I179" s="8"/>
      <c r="J179" s="8"/>
      <c r="K179" s="8"/>
      <c r="L179" s="8"/>
      <c r="M179" s="8">
        <v>1198.6570869544225</v>
      </c>
      <c r="N179" s="8"/>
      <c r="O179" s="8"/>
      <c r="P179" s="8"/>
      <c r="Q179" s="8"/>
      <c r="R179" s="8"/>
      <c r="S179" s="8"/>
      <c r="T179" s="8"/>
      <c r="U179" s="8">
        <v>1602.0599913279623</v>
      </c>
      <c r="V179" s="8">
        <v>495.61303784624738</v>
      </c>
      <c r="W179" s="8"/>
      <c r="X179" s="8"/>
      <c r="Y179" s="8"/>
      <c r="Z179" s="8">
        <v>6993.221312833688</v>
      </c>
      <c r="AA179" s="8"/>
      <c r="AB179" s="8"/>
      <c r="AI179">
        <f t="shared" si="9"/>
        <v>172</v>
      </c>
      <c r="AJ179" s="27" t="s">
        <v>1243</v>
      </c>
      <c r="AK179" s="8">
        <v>6993.221312833688</v>
      </c>
      <c r="AM179">
        <f t="shared" si="10"/>
        <v>172</v>
      </c>
      <c r="AN179" s="27" t="s">
        <v>624</v>
      </c>
      <c r="AO179" s="8">
        <v>6</v>
      </c>
      <c r="AR179" t="s">
        <v>2449</v>
      </c>
      <c r="AS179" s="21">
        <v>3697</v>
      </c>
      <c r="AU179" s="27" t="s">
        <v>1117</v>
      </c>
      <c r="AV179" s="21">
        <v>1</v>
      </c>
    </row>
    <row r="180" spans="2:48" x14ac:dyDescent="0.35">
      <c r="B180">
        <f t="shared" si="8"/>
        <v>173</v>
      </c>
      <c r="C180" s="27" t="s">
        <v>309</v>
      </c>
      <c r="D180" s="8"/>
      <c r="E180" s="8">
        <v>1054.3576623225924</v>
      </c>
      <c r="F180" s="8"/>
      <c r="G180" s="8">
        <v>2444.7623027084733</v>
      </c>
      <c r="H180" s="8">
        <v>1278.7536009528289</v>
      </c>
      <c r="I180" s="8"/>
      <c r="J180" s="8"/>
      <c r="K180" s="8"/>
      <c r="L180" s="8"/>
      <c r="M180" s="8">
        <v>1149.2191126553796</v>
      </c>
      <c r="N180" s="8">
        <v>1060.6978403536118</v>
      </c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>
        <v>6987.7905189928861</v>
      </c>
      <c r="AA180" s="8"/>
      <c r="AB180" s="8"/>
      <c r="AI180">
        <f t="shared" si="9"/>
        <v>173</v>
      </c>
      <c r="AJ180" s="27" t="s">
        <v>309</v>
      </c>
      <c r="AK180" s="8">
        <v>6987.7905189928861</v>
      </c>
      <c r="AM180">
        <f t="shared" si="10"/>
        <v>173</v>
      </c>
      <c r="AN180" s="27" t="s">
        <v>1553</v>
      </c>
      <c r="AO180" s="8">
        <v>6</v>
      </c>
      <c r="AR180" s="27" t="s">
        <v>966</v>
      </c>
      <c r="AS180" s="21">
        <v>3668</v>
      </c>
      <c r="AU180" s="27" t="s">
        <v>1492</v>
      </c>
      <c r="AV180" s="21">
        <v>1</v>
      </c>
    </row>
    <row r="181" spans="2:48" x14ac:dyDescent="0.35">
      <c r="B181">
        <f t="shared" si="8"/>
        <v>174</v>
      </c>
      <c r="C181" s="27" t="s">
        <v>1323</v>
      </c>
      <c r="D181" s="8">
        <v>5540.9423110633743</v>
      </c>
      <c r="E181" s="8">
        <v>1420.5058365707789</v>
      </c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>
        <v>6961.4481476341534</v>
      </c>
      <c r="AA181" s="8"/>
      <c r="AB181" s="8"/>
      <c r="AI181">
        <f t="shared" si="9"/>
        <v>174</v>
      </c>
      <c r="AJ181" s="27" t="s">
        <v>1323</v>
      </c>
      <c r="AK181" s="8">
        <v>6961.4481476341534</v>
      </c>
      <c r="AM181">
        <f t="shared" si="10"/>
        <v>174</v>
      </c>
      <c r="AN181" s="27" t="s">
        <v>863</v>
      </c>
      <c r="AO181" s="8">
        <v>6</v>
      </c>
      <c r="AR181" s="27" t="s">
        <v>305</v>
      </c>
      <c r="AS181" s="21">
        <v>3666</v>
      </c>
      <c r="AU181" s="27" t="s">
        <v>1500</v>
      </c>
      <c r="AV181" s="21">
        <v>1</v>
      </c>
    </row>
    <row r="182" spans="2:48" x14ac:dyDescent="0.35">
      <c r="B182">
        <f t="shared" si="8"/>
        <v>175</v>
      </c>
      <c r="C182" s="27" t="s">
        <v>1527</v>
      </c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>
        <v>1246.1291256634361</v>
      </c>
      <c r="Q182" s="8">
        <v>1130.3337684950061</v>
      </c>
      <c r="R182" s="8">
        <v>1808.1144737610869</v>
      </c>
      <c r="S182" s="8">
        <v>812.91335664285555</v>
      </c>
      <c r="T182" s="8">
        <v>1100.3705451175629</v>
      </c>
      <c r="U182" s="8">
        <v>792.39168949825375</v>
      </c>
      <c r="V182" s="8"/>
      <c r="W182" s="8"/>
      <c r="X182" s="8"/>
      <c r="Y182" s="8"/>
      <c r="Z182" s="8">
        <v>6890.2529591782013</v>
      </c>
      <c r="AA182" s="8"/>
      <c r="AB182" s="8"/>
      <c r="AI182">
        <f t="shared" si="9"/>
        <v>175</v>
      </c>
      <c r="AJ182" s="27" t="s">
        <v>1527</v>
      </c>
      <c r="AK182" s="8">
        <v>6890.2529591782013</v>
      </c>
      <c r="AM182">
        <f t="shared" si="10"/>
        <v>175</v>
      </c>
      <c r="AN182" s="27" t="s">
        <v>453</v>
      </c>
      <c r="AO182" s="8">
        <v>6</v>
      </c>
      <c r="AR182" s="27" t="s">
        <v>842</v>
      </c>
      <c r="AS182" s="21">
        <v>3640</v>
      </c>
      <c r="AU182" s="27" t="s">
        <v>1540</v>
      </c>
      <c r="AV182" s="21">
        <v>1</v>
      </c>
    </row>
    <row r="183" spans="2:48" x14ac:dyDescent="0.35">
      <c r="B183">
        <f t="shared" si="8"/>
        <v>176</v>
      </c>
      <c r="C183" s="27" t="s">
        <v>1178</v>
      </c>
      <c r="D183" s="8"/>
      <c r="E183" s="8"/>
      <c r="F183" s="8">
        <v>1641.4741105040998</v>
      </c>
      <c r="G183" s="8"/>
      <c r="H183" s="8"/>
      <c r="I183" s="8"/>
      <c r="J183" s="8">
        <v>1541.9950357274106</v>
      </c>
      <c r="K183" s="8"/>
      <c r="L183" s="8"/>
      <c r="M183" s="8"/>
      <c r="N183" s="8"/>
      <c r="O183" s="8"/>
      <c r="P183" s="8"/>
      <c r="Q183" s="8">
        <v>924.27928606188175</v>
      </c>
      <c r="R183" s="8"/>
      <c r="S183" s="8"/>
      <c r="T183" s="8"/>
      <c r="U183" s="8"/>
      <c r="V183" s="8">
        <v>1079.1812460476249</v>
      </c>
      <c r="W183" s="8"/>
      <c r="X183" s="8"/>
      <c r="Y183" s="8">
        <v>1694.6051989335685</v>
      </c>
      <c r="Z183" s="8">
        <v>6881.5348772745856</v>
      </c>
      <c r="AA183" s="8"/>
      <c r="AB183" s="8"/>
      <c r="AI183">
        <f t="shared" si="9"/>
        <v>176</v>
      </c>
      <c r="AJ183" s="27" t="s">
        <v>1178</v>
      </c>
      <c r="AK183" s="8">
        <v>6881.5348772745856</v>
      </c>
      <c r="AM183">
        <f t="shared" si="10"/>
        <v>176</v>
      </c>
      <c r="AN183" s="27" t="s">
        <v>698</v>
      </c>
      <c r="AO183" s="8">
        <v>6</v>
      </c>
      <c r="AR183" s="27" t="s">
        <v>2344</v>
      </c>
      <c r="AS183" s="21">
        <v>3615</v>
      </c>
      <c r="AU183" s="27" t="s">
        <v>1577</v>
      </c>
      <c r="AV183" s="21">
        <v>1</v>
      </c>
    </row>
    <row r="184" spans="2:48" x14ac:dyDescent="0.35">
      <c r="B184">
        <f t="shared" si="8"/>
        <v>177</v>
      </c>
      <c r="C184" s="27" t="s">
        <v>643</v>
      </c>
      <c r="D184" s="8">
        <v>674.14642061098664</v>
      </c>
      <c r="E184" s="8"/>
      <c r="F184" s="8"/>
      <c r="G184" s="8">
        <v>1431.3637641589874</v>
      </c>
      <c r="H184" s="8">
        <v>1469.8220159781629</v>
      </c>
      <c r="I184" s="8">
        <v>2593.3954610988171</v>
      </c>
      <c r="J184" s="8">
        <v>483.0708663695163</v>
      </c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>
        <v>6651.7985282164691</v>
      </c>
      <c r="AA184" s="8"/>
      <c r="AB184" s="8"/>
      <c r="AI184">
        <f t="shared" si="9"/>
        <v>177</v>
      </c>
      <c r="AJ184" s="27" t="s">
        <v>643</v>
      </c>
      <c r="AK184" s="8">
        <v>6651.7985282164691</v>
      </c>
      <c r="AM184">
        <f t="shared" si="10"/>
        <v>177</v>
      </c>
      <c r="AN184" s="27" t="s">
        <v>464</v>
      </c>
      <c r="AO184" s="8">
        <v>6</v>
      </c>
      <c r="AR184" s="27" t="s">
        <v>376</v>
      </c>
      <c r="AS184" s="21">
        <v>3607</v>
      </c>
      <c r="AU184" s="27" t="s">
        <v>274</v>
      </c>
      <c r="AV184" s="21">
        <v>1</v>
      </c>
    </row>
    <row r="185" spans="2:48" x14ac:dyDescent="0.35">
      <c r="B185">
        <f t="shared" si="8"/>
        <v>178</v>
      </c>
      <c r="C185" s="27" t="s">
        <v>123</v>
      </c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>
        <v>1255.272505103306</v>
      </c>
      <c r="Q185" s="8"/>
      <c r="R185" s="8"/>
      <c r="S185" s="8"/>
      <c r="T185" s="8"/>
      <c r="U185" s="8"/>
      <c r="V185" s="8"/>
      <c r="W185" s="8">
        <v>1952.3080096621252</v>
      </c>
      <c r="X185" s="8">
        <v>2820.5298485235198</v>
      </c>
      <c r="Y185" s="8">
        <v>617.29995788469932</v>
      </c>
      <c r="Z185" s="8">
        <v>6645.4103211736501</v>
      </c>
      <c r="AA185" s="8"/>
      <c r="AB185" s="8"/>
      <c r="AI185">
        <f t="shared" si="9"/>
        <v>178</v>
      </c>
      <c r="AJ185" s="27" t="s">
        <v>123</v>
      </c>
      <c r="AK185" s="8">
        <v>6645.4103211736492</v>
      </c>
      <c r="AM185">
        <f t="shared" si="10"/>
        <v>178</v>
      </c>
      <c r="AN185" s="27" t="s">
        <v>456</v>
      </c>
      <c r="AO185" s="8">
        <v>6</v>
      </c>
      <c r="AR185" t="s">
        <v>2513</v>
      </c>
      <c r="AS185" s="21">
        <v>3583</v>
      </c>
      <c r="AU185" s="27" t="s">
        <v>624</v>
      </c>
      <c r="AV185" s="21">
        <v>1</v>
      </c>
    </row>
    <row r="186" spans="2:48" x14ac:dyDescent="0.35">
      <c r="B186">
        <f t="shared" si="8"/>
        <v>179</v>
      </c>
      <c r="C186" s="27" t="s">
        <v>749</v>
      </c>
      <c r="D186" s="8"/>
      <c r="E186" s="8"/>
      <c r="F186" s="8">
        <v>2715.7944980035068</v>
      </c>
      <c r="G186" s="8">
        <v>1990.1279709021214</v>
      </c>
      <c r="H186" s="8">
        <v>1188.9732496511665</v>
      </c>
      <c r="I186" s="8">
        <v>671.21134041110304</v>
      </c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>
        <v>6566.1070589678975</v>
      </c>
      <c r="AA186" s="8"/>
      <c r="AB186" s="8"/>
      <c r="AI186">
        <f t="shared" si="9"/>
        <v>179</v>
      </c>
      <c r="AJ186" s="27" t="s">
        <v>749</v>
      </c>
      <c r="AK186" s="8">
        <v>6566.1070589678975</v>
      </c>
      <c r="AM186">
        <f t="shared" si="10"/>
        <v>179</v>
      </c>
      <c r="AN186" s="27" t="s">
        <v>914</v>
      </c>
      <c r="AO186" s="8">
        <v>6</v>
      </c>
      <c r="AR186" s="27" t="s">
        <v>867</v>
      </c>
      <c r="AS186" s="21">
        <v>3556</v>
      </c>
      <c r="AU186" s="27" t="s">
        <v>219</v>
      </c>
      <c r="AV186" s="21">
        <v>1</v>
      </c>
    </row>
    <row r="187" spans="2:48" x14ac:dyDescent="0.35">
      <c r="B187">
        <f t="shared" si="8"/>
        <v>180</v>
      </c>
      <c r="C187" s="27" t="s">
        <v>986</v>
      </c>
      <c r="D187" s="8">
        <v>750.393233319562</v>
      </c>
      <c r="E187" s="8">
        <v>1317.0181010481117</v>
      </c>
      <c r="F187" s="8">
        <v>1047.9235523171828</v>
      </c>
      <c r="G187" s="8">
        <v>1482.9117187295044</v>
      </c>
      <c r="H187" s="8">
        <v>1961.1837098124356</v>
      </c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>
        <v>6559.4303152267967</v>
      </c>
      <c r="AA187" s="8"/>
      <c r="AB187" s="8"/>
      <c r="AI187">
        <f t="shared" si="9"/>
        <v>180</v>
      </c>
      <c r="AJ187" s="27" t="s">
        <v>986</v>
      </c>
      <c r="AK187" s="8">
        <v>6559.4303152267967</v>
      </c>
      <c r="AM187">
        <f t="shared" si="10"/>
        <v>180</v>
      </c>
      <c r="AN187" s="27" t="s">
        <v>738</v>
      </c>
      <c r="AO187" s="8">
        <v>6</v>
      </c>
      <c r="AR187" s="27" t="s">
        <v>1068</v>
      </c>
      <c r="AS187" s="21">
        <v>3553</v>
      </c>
      <c r="AU187" s="27" t="s">
        <v>1583</v>
      </c>
      <c r="AV187" s="21">
        <v>1</v>
      </c>
    </row>
    <row r="188" spans="2:48" x14ac:dyDescent="0.35">
      <c r="B188">
        <f t="shared" si="8"/>
        <v>181</v>
      </c>
      <c r="C188" t="s">
        <v>2379</v>
      </c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>
        <v>1643.4526764861873</v>
      </c>
      <c r="S188" s="8"/>
      <c r="T188" s="8"/>
      <c r="U188" s="8">
        <v>3488.5225146444063</v>
      </c>
      <c r="V188" s="8">
        <v>1392.1104650113139</v>
      </c>
      <c r="W188" s="8"/>
      <c r="X188" s="8"/>
      <c r="Y188" s="8"/>
      <c r="Z188" s="8">
        <v>6524.0856561419077</v>
      </c>
      <c r="AA188" s="8"/>
      <c r="AB188" s="8"/>
      <c r="AI188">
        <f t="shared" si="9"/>
        <v>181</v>
      </c>
      <c r="AJ188" t="s">
        <v>2379</v>
      </c>
      <c r="AK188" s="8">
        <v>6524.0856561419077</v>
      </c>
      <c r="AM188">
        <f t="shared" si="10"/>
        <v>181</v>
      </c>
      <c r="AN188" s="27" t="s">
        <v>1147</v>
      </c>
      <c r="AO188" s="8">
        <v>6</v>
      </c>
      <c r="AR188" s="27" t="s">
        <v>386</v>
      </c>
      <c r="AS188" s="21">
        <v>3553</v>
      </c>
      <c r="AU188" s="27" t="s">
        <v>988</v>
      </c>
      <c r="AV188" s="21">
        <v>1</v>
      </c>
    </row>
    <row r="189" spans="2:48" x14ac:dyDescent="0.35">
      <c r="B189">
        <f t="shared" si="8"/>
        <v>182</v>
      </c>
      <c r="C189" s="27" t="s">
        <v>900</v>
      </c>
      <c r="D189" s="8">
        <v>2476.7561479458232</v>
      </c>
      <c r="E189" s="8"/>
      <c r="F189" s="8"/>
      <c r="G189" s="8"/>
      <c r="H189" s="8">
        <v>2677.9489617802237</v>
      </c>
      <c r="I189" s="8"/>
      <c r="J189" s="8"/>
      <c r="K189" s="8"/>
      <c r="L189" s="8"/>
      <c r="M189" s="8">
        <v>1332.4384599156053</v>
      </c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>
        <v>6487.143569641652</v>
      </c>
      <c r="AA189" s="8"/>
      <c r="AB189" s="8"/>
      <c r="AI189">
        <f t="shared" si="9"/>
        <v>182</v>
      </c>
      <c r="AJ189" s="27" t="s">
        <v>900</v>
      </c>
      <c r="AK189" s="8">
        <v>6487.143569641652</v>
      </c>
      <c r="AM189">
        <f t="shared" si="10"/>
        <v>182</v>
      </c>
      <c r="AN189" s="27" t="s">
        <v>210</v>
      </c>
      <c r="AO189" s="8">
        <v>6</v>
      </c>
      <c r="AR189" s="27" t="s">
        <v>378</v>
      </c>
      <c r="AS189" s="21">
        <v>3532</v>
      </c>
      <c r="AU189" s="27" t="s">
        <v>1616</v>
      </c>
      <c r="AV189" s="21">
        <v>1</v>
      </c>
    </row>
    <row r="190" spans="2:48" x14ac:dyDescent="0.35">
      <c r="B190">
        <f t="shared" si="8"/>
        <v>183</v>
      </c>
      <c r="C190" s="27" t="s">
        <v>535</v>
      </c>
      <c r="D190" s="8"/>
      <c r="E190" s="8"/>
      <c r="F190" s="8"/>
      <c r="G190" s="8">
        <v>1639.486489268586</v>
      </c>
      <c r="H190" s="8"/>
      <c r="I190" s="8"/>
      <c r="J190" s="8"/>
      <c r="K190" s="8"/>
      <c r="L190" s="8">
        <v>1172.862288925483</v>
      </c>
      <c r="M190" s="8">
        <v>1335.7921019231933</v>
      </c>
      <c r="N190" s="8"/>
      <c r="O190" s="8"/>
      <c r="P190" s="8"/>
      <c r="Q190" s="8">
        <v>602.05999132796239</v>
      </c>
      <c r="R190" s="8"/>
      <c r="S190" s="8"/>
      <c r="T190" s="8"/>
      <c r="U190" s="8"/>
      <c r="V190" s="8">
        <v>720.15930340595696</v>
      </c>
      <c r="W190" s="8"/>
      <c r="X190" s="8"/>
      <c r="Y190" s="8">
        <v>954.24250943932475</v>
      </c>
      <c r="Z190" s="8">
        <v>6424.6026842905057</v>
      </c>
      <c r="AA190" s="8"/>
      <c r="AB190" s="8"/>
      <c r="AI190">
        <f t="shared" si="9"/>
        <v>183</v>
      </c>
      <c r="AJ190" s="27" t="s">
        <v>535</v>
      </c>
      <c r="AK190" s="8">
        <v>6424.6026842905057</v>
      </c>
      <c r="AM190">
        <f t="shared" si="10"/>
        <v>183</v>
      </c>
      <c r="AN190" s="27" t="s">
        <v>1360</v>
      </c>
      <c r="AO190" s="8">
        <v>6</v>
      </c>
      <c r="AR190" s="27" t="s">
        <v>1605</v>
      </c>
      <c r="AS190" s="21">
        <v>3505</v>
      </c>
      <c r="AU190" s="27" t="s">
        <v>806</v>
      </c>
      <c r="AV190" s="21">
        <v>1</v>
      </c>
    </row>
    <row r="191" spans="2:48" x14ac:dyDescent="0.35">
      <c r="B191">
        <f t="shared" si="8"/>
        <v>184</v>
      </c>
      <c r="C191" s="27" t="s">
        <v>478</v>
      </c>
      <c r="D191" s="8"/>
      <c r="E191" s="8"/>
      <c r="F191" s="8">
        <v>1164.3528557844372</v>
      </c>
      <c r="G191" s="8"/>
      <c r="H191" s="8"/>
      <c r="I191" s="8"/>
      <c r="J191" s="8"/>
      <c r="K191" s="8"/>
      <c r="L191" s="8">
        <v>1380.2112417116059</v>
      </c>
      <c r="M191" s="8"/>
      <c r="N191" s="8"/>
      <c r="O191" s="8"/>
      <c r="P191" s="8"/>
      <c r="Q191" s="8"/>
      <c r="R191" s="8"/>
      <c r="S191" s="8">
        <v>1408.2399653118496</v>
      </c>
      <c r="T191" s="8"/>
      <c r="U191" s="8">
        <v>1431.3637641589874</v>
      </c>
      <c r="V191" s="8">
        <v>1028.0287236002434</v>
      </c>
      <c r="W191" s="8"/>
      <c r="X191" s="8"/>
      <c r="Y191" s="8"/>
      <c r="Z191" s="8">
        <v>6412.1965505671233</v>
      </c>
      <c r="AA191" s="8"/>
      <c r="AB191" s="8"/>
      <c r="AI191">
        <f t="shared" si="9"/>
        <v>184</v>
      </c>
      <c r="AJ191" s="27" t="s">
        <v>478</v>
      </c>
      <c r="AK191" s="8">
        <v>6412.1965505671233</v>
      </c>
      <c r="AM191">
        <f t="shared" si="10"/>
        <v>184</v>
      </c>
      <c r="AN191" s="27" t="s">
        <v>1552</v>
      </c>
      <c r="AO191" s="8">
        <v>6</v>
      </c>
      <c r="AR191" s="27" t="s">
        <v>622</v>
      </c>
      <c r="AS191" s="21">
        <v>3505</v>
      </c>
      <c r="AU191" s="27" t="s">
        <v>1568</v>
      </c>
      <c r="AV191" s="21">
        <v>1</v>
      </c>
    </row>
    <row r="192" spans="2:48" x14ac:dyDescent="0.35">
      <c r="B192">
        <f t="shared" si="8"/>
        <v>185</v>
      </c>
      <c r="C192" s="27" t="s">
        <v>1585</v>
      </c>
      <c r="D192" s="8"/>
      <c r="E192" s="8"/>
      <c r="F192" s="8"/>
      <c r="G192" s="8"/>
      <c r="H192" s="8"/>
      <c r="I192" s="8"/>
      <c r="J192" s="8"/>
      <c r="K192" s="8"/>
      <c r="L192" s="8"/>
      <c r="M192" s="8">
        <v>1012.2344564170116</v>
      </c>
      <c r="N192" s="8"/>
      <c r="O192" s="8"/>
      <c r="P192" s="8">
        <v>1282.5465899699682</v>
      </c>
      <c r="Q192" s="8"/>
      <c r="R192" s="8">
        <v>1113.9433523068367</v>
      </c>
      <c r="S192" s="8"/>
      <c r="T192" s="8"/>
      <c r="U192" s="8">
        <v>954.24250943932498</v>
      </c>
      <c r="V192" s="8">
        <v>990.24016271084383</v>
      </c>
      <c r="W192" s="8"/>
      <c r="X192" s="8"/>
      <c r="Y192" s="8">
        <v>1041.3926851582248</v>
      </c>
      <c r="Z192" s="8">
        <v>6394.5997560022097</v>
      </c>
      <c r="AA192" s="8"/>
      <c r="AB192" s="8"/>
      <c r="AI192">
        <f t="shared" si="9"/>
        <v>185</v>
      </c>
      <c r="AJ192" s="27" t="s">
        <v>1585</v>
      </c>
      <c r="AK192" s="8">
        <v>6394.5997560022097</v>
      </c>
      <c r="AM192">
        <f t="shared" si="10"/>
        <v>185</v>
      </c>
      <c r="AN192" s="27" t="s">
        <v>690</v>
      </c>
      <c r="AO192" s="8">
        <v>6</v>
      </c>
      <c r="AR192" s="27" t="s">
        <v>126</v>
      </c>
      <c r="AS192" s="21">
        <v>3494</v>
      </c>
      <c r="AU192" s="27" t="s">
        <v>1360</v>
      </c>
      <c r="AV192" s="21">
        <v>1</v>
      </c>
    </row>
    <row r="193" spans="2:48" x14ac:dyDescent="0.35">
      <c r="B193">
        <f t="shared" si="8"/>
        <v>186</v>
      </c>
      <c r="C193" s="27" t="s">
        <v>914</v>
      </c>
      <c r="D193" s="8"/>
      <c r="E193" s="8"/>
      <c r="F193" s="8"/>
      <c r="G193" s="8"/>
      <c r="H193" s="8">
        <v>1568.201724066995</v>
      </c>
      <c r="I193" s="8"/>
      <c r="J193" s="8"/>
      <c r="K193" s="8"/>
      <c r="L193" s="8"/>
      <c r="M193" s="8"/>
      <c r="N193" s="8"/>
      <c r="O193" s="8"/>
      <c r="P193" s="8">
        <v>903.08998699194365</v>
      </c>
      <c r="Q193" s="8"/>
      <c r="R193" s="8"/>
      <c r="S193" s="8"/>
      <c r="T193" s="8">
        <v>756.96195131370553</v>
      </c>
      <c r="U193" s="8">
        <v>1213.0748253088514</v>
      </c>
      <c r="V193" s="8"/>
      <c r="W193" s="8"/>
      <c r="X193" s="8">
        <v>1096.9100130080562</v>
      </c>
      <c r="Y193" s="8">
        <v>845.09804001425687</v>
      </c>
      <c r="Z193" s="8">
        <v>6383.3365407038091</v>
      </c>
      <c r="AA193" s="8"/>
      <c r="AB193" s="8"/>
      <c r="AI193">
        <f t="shared" si="9"/>
        <v>186</v>
      </c>
      <c r="AJ193" s="27" t="s">
        <v>914</v>
      </c>
      <c r="AK193" s="8">
        <v>6383.3365407038091</v>
      </c>
      <c r="AM193">
        <f t="shared" si="10"/>
        <v>186</v>
      </c>
      <c r="AN193" s="27" t="s">
        <v>1326</v>
      </c>
      <c r="AO193" s="8">
        <v>6</v>
      </c>
      <c r="AR193" s="27" t="s">
        <v>1417</v>
      </c>
      <c r="AS193" s="21">
        <v>3450</v>
      </c>
      <c r="AU193" s="27" t="s">
        <v>1587</v>
      </c>
      <c r="AV193" s="21">
        <v>1</v>
      </c>
    </row>
    <row r="194" spans="2:48" x14ac:dyDescent="0.35">
      <c r="B194">
        <f t="shared" si="8"/>
        <v>187</v>
      </c>
      <c r="C194" s="27" t="s">
        <v>1605</v>
      </c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>
        <v>895.26464947998704</v>
      </c>
      <c r="O194" s="8">
        <v>1311.7538610557542</v>
      </c>
      <c r="P194" s="8"/>
      <c r="Q194" s="8"/>
      <c r="R194" s="8">
        <v>1740.3626894942438</v>
      </c>
      <c r="S194" s="8">
        <v>1556.3025007672873</v>
      </c>
      <c r="T194" s="8"/>
      <c r="U194" s="8">
        <v>860.3380065709938</v>
      </c>
      <c r="V194" s="8"/>
      <c r="W194" s="8"/>
      <c r="X194" s="8"/>
      <c r="Y194" s="8"/>
      <c r="Z194" s="8">
        <v>6364.0217073682652</v>
      </c>
      <c r="AA194" s="8"/>
      <c r="AB194" s="8"/>
      <c r="AI194">
        <f t="shared" si="9"/>
        <v>187</v>
      </c>
      <c r="AJ194" s="27" t="s">
        <v>1605</v>
      </c>
      <c r="AK194" s="8">
        <v>6364.0217073682652</v>
      </c>
      <c r="AM194">
        <f t="shared" si="10"/>
        <v>187</v>
      </c>
      <c r="AN194" s="27" t="s">
        <v>354</v>
      </c>
      <c r="AO194" s="8">
        <v>6</v>
      </c>
      <c r="AR194" s="27" t="s">
        <v>535</v>
      </c>
      <c r="AS194" s="21">
        <v>3429</v>
      </c>
      <c r="AU194" s="27" t="s">
        <v>916</v>
      </c>
      <c r="AV194" s="21">
        <v>1</v>
      </c>
    </row>
    <row r="195" spans="2:48" x14ac:dyDescent="0.35">
      <c r="B195">
        <f t="shared" si="8"/>
        <v>188</v>
      </c>
      <c r="C195" s="27" t="s">
        <v>975</v>
      </c>
      <c r="D195" s="8"/>
      <c r="E195" s="8">
        <v>2012.837224705172</v>
      </c>
      <c r="F195" s="8">
        <v>1226.5007625332819</v>
      </c>
      <c r="G195" s="8">
        <v>1736.3965022766422</v>
      </c>
      <c r="H195" s="8">
        <v>1359.6247109298286</v>
      </c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>
        <v>6335.3592004449247</v>
      </c>
      <c r="AA195" s="8"/>
      <c r="AB195" s="8"/>
      <c r="AI195">
        <f t="shared" si="9"/>
        <v>188</v>
      </c>
      <c r="AJ195" s="27" t="s">
        <v>975</v>
      </c>
      <c r="AK195" s="8">
        <v>6335.3592004449247</v>
      </c>
      <c r="AM195">
        <f t="shared" si="10"/>
        <v>188</v>
      </c>
      <c r="AN195" s="27" t="s">
        <v>1583</v>
      </c>
      <c r="AO195" s="8">
        <v>6</v>
      </c>
      <c r="AR195" s="27" t="s">
        <v>1243</v>
      </c>
      <c r="AS195" s="21">
        <v>3423</v>
      </c>
      <c r="AU195" s="27" t="s">
        <v>809</v>
      </c>
      <c r="AV195" s="21">
        <v>1</v>
      </c>
    </row>
    <row r="196" spans="2:48" x14ac:dyDescent="0.35">
      <c r="B196">
        <f t="shared" si="8"/>
        <v>189</v>
      </c>
      <c r="C196" s="27" t="s">
        <v>1616</v>
      </c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>
        <v>1596.59709562646</v>
      </c>
      <c r="O196" s="8">
        <v>1091.0804693473326</v>
      </c>
      <c r="P196" s="8">
        <v>1007.1785846271235</v>
      </c>
      <c r="Q196" s="8"/>
      <c r="R196" s="8"/>
      <c r="S196" s="8">
        <v>2619.6150057428063</v>
      </c>
      <c r="T196" s="8"/>
      <c r="U196" s="8"/>
      <c r="V196" s="8"/>
      <c r="W196" s="8"/>
      <c r="X196" s="8"/>
      <c r="Y196" s="8"/>
      <c r="Z196" s="8">
        <v>6314.4711553437228</v>
      </c>
      <c r="AA196" s="8"/>
      <c r="AB196" s="8"/>
      <c r="AI196">
        <f t="shared" si="9"/>
        <v>189</v>
      </c>
      <c r="AJ196" s="27" t="s">
        <v>1616</v>
      </c>
      <c r="AK196" s="8">
        <v>6314.4711553437228</v>
      </c>
      <c r="AM196">
        <f t="shared" si="10"/>
        <v>189</v>
      </c>
      <c r="AN196" s="27" t="s">
        <v>123</v>
      </c>
      <c r="AO196" s="8">
        <v>6</v>
      </c>
      <c r="AR196" s="27" t="s">
        <v>891</v>
      </c>
      <c r="AS196" s="21">
        <v>3414</v>
      </c>
      <c r="AU196" s="27" t="s">
        <v>1178</v>
      </c>
      <c r="AV196" s="21">
        <v>1</v>
      </c>
    </row>
    <row r="197" spans="2:48" x14ac:dyDescent="0.35">
      <c r="B197">
        <f t="shared" si="8"/>
        <v>190</v>
      </c>
      <c r="C197" s="27" t="s">
        <v>456</v>
      </c>
      <c r="D197" s="8"/>
      <c r="E197" s="8"/>
      <c r="F197" s="8"/>
      <c r="G197" s="8"/>
      <c r="H197" s="8"/>
      <c r="I197" s="8"/>
      <c r="J197" s="8"/>
      <c r="K197" s="8"/>
      <c r="L197" s="8">
        <v>1397.9400086720375</v>
      </c>
      <c r="M197" s="8"/>
      <c r="N197" s="8"/>
      <c r="O197" s="8">
        <v>2151.4683498524328</v>
      </c>
      <c r="P197" s="8"/>
      <c r="Q197" s="8">
        <v>1267.1717284030137</v>
      </c>
      <c r="R197" s="8"/>
      <c r="S197" s="8"/>
      <c r="T197" s="8"/>
      <c r="U197" s="8">
        <v>340.62061868779352</v>
      </c>
      <c r="V197" s="8"/>
      <c r="W197" s="8"/>
      <c r="X197" s="8"/>
      <c r="Y197" s="8">
        <v>1091.0804693473326</v>
      </c>
      <c r="Z197" s="8">
        <v>6248.2811749626107</v>
      </c>
      <c r="AA197" s="8"/>
      <c r="AB197" s="8"/>
      <c r="AI197">
        <f t="shared" si="9"/>
        <v>190</v>
      </c>
      <c r="AJ197" s="27" t="s">
        <v>456</v>
      </c>
      <c r="AK197" s="8">
        <v>6248.2811749626107</v>
      </c>
      <c r="AM197">
        <f t="shared" si="10"/>
        <v>190</v>
      </c>
      <c r="AN197" s="27" t="s">
        <v>1585</v>
      </c>
      <c r="AO197" s="8">
        <v>6</v>
      </c>
      <c r="AR197" s="27" t="s">
        <v>587</v>
      </c>
      <c r="AS197" s="21">
        <v>3403</v>
      </c>
      <c r="AU197" s="27" t="s">
        <v>1068</v>
      </c>
      <c r="AV197" s="21">
        <v>1</v>
      </c>
    </row>
    <row r="198" spans="2:48" x14ac:dyDescent="0.35">
      <c r="B198">
        <f t="shared" si="8"/>
        <v>191</v>
      </c>
      <c r="C198" s="27" t="s">
        <v>2343</v>
      </c>
      <c r="D198" s="8">
        <v>1351.4262367153638</v>
      </c>
      <c r="E198" s="8">
        <v>1119.4758409067977</v>
      </c>
      <c r="F198" s="8"/>
      <c r="G198" s="8">
        <v>1045.7574905606753</v>
      </c>
      <c r="H198" s="8">
        <v>1568.201724066995</v>
      </c>
      <c r="I198" s="8"/>
      <c r="J198" s="8"/>
      <c r="K198" s="8"/>
      <c r="L198" s="8">
        <v>1138.3026981662813</v>
      </c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>
        <v>6223.1639904161129</v>
      </c>
      <c r="AA198" s="8"/>
      <c r="AB198" s="8"/>
      <c r="AI198">
        <f t="shared" si="9"/>
        <v>191</v>
      </c>
      <c r="AJ198" s="27" t="s">
        <v>2343</v>
      </c>
      <c r="AK198" s="8">
        <v>6223.1639904161129</v>
      </c>
      <c r="AM198">
        <f t="shared" si="10"/>
        <v>191</v>
      </c>
      <c r="AN198" s="27" t="s">
        <v>1323</v>
      </c>
      <c r="AO198" s="8">
        <v>6</v>
      </c>
      <c r="AR198" s="27" t="s">
        <v>1552</v>
      </c>
      <c r="AS198" s="21">
        <v>3313</v>
      </c>
      <c r="AU198" s="27" t="s">
        <v>1567</v>
      </c>
      <c r="AV198" s="21">
        <v>1</v>
      </c>
    </row>
    <row r="199" spans="2:48" x14ac:dyDescent="0.35">
      <c r="B199">
        <f t="shared" si="8"/>
        <v>192</v>
      </c>
      <c r="C199" s="27" t="s">
        <v>1614</v>
      </c>
      <c r="D199" s="8"/>
      <c r="E199" s="8"/>
      <c r="F199" s="8"/>
      <c r="G199" s="8"/>
      <c r="H199" s="8"/>
      <c r="I199" s="8"/>
      <c r="J199" s="8"/>
      <c r="K199" s="8">
        <v>920.81875395237523</v>
      </c>
      <c r="L199" s="8">
        <v>1374.1370939994129</v>
      </c>
      <c r="M199" s="8"/>
      <c r="N199" s="8"/>
      <c r="O199" s="8">
        <v>1800.7743390751245</v>
      </c>
      <c r="P199" s="8"/>
      <c r="Q199" s="8">
        <v>999.99999999999989</v>
      </c>
      <c r="R199" s="8">
        <v>1093.4216851622352</v>
      </c>
      <c r="S199" s="8"/>
      <c r="T199" s="8"/>
      <c r="U199" s="8"/>
      <c r="V199" s="8"/>
      <c r="W199" s="8"/>
      <c r="X199" s="8"/>
      <c r="Y199" s="8"/>
      <c r="Z199" s="8">
        <v>6189.151872189148</v>
      </c>
      <c r="AA199" s="8"/>
      <c r="AB199" s="8"/>
      <c r="AI199">
        <f t="shared" si="9"/>
        <v>192</v>
      </c>
      <c r="AJ199" s="27" t="s">
        <v>1614</v>
      </c>
      <c r="AK199" s="8">
        <v>6189.151872189148</v>
      </c>
      <c r="AM199">
        <f t="shared" si="10"/>
        <v>192</v>
      </c>
      <c r="AN199" s="27" t="s">
        <v>900</v>
      </c>
      <c r="AO199" s="8">
        <v>6</v>
      </c>
      <c r="AR199" s="27" t="s">
        <v>385</v>
      </c>
      <c r="AS199" s="21">
        <v>3306</v>
      </c>
      <c r="AU199" s="27" t="s">
        <v>1323</v>
      </c>
      <c r="AV199" s="21">
        <v>1</v>
      </c>
    </row>
    <row r="200" spans="2:48" x14ac:dyDescent="0.35">
      <c r="B200">
        <f t="shared" si="8"/>
        <v>193</v>
      </c>
      <c r="C200" s="27" t="s">
        <v>973</v>
      </c>
      <c r="D200" s="8"/>
      <c r="E200" s="8">
        <v>2281.6014438256548</v>
      </c>
      <c r="F200" s="8"/>
      <c r="G200" s="8">
        <v>2923.5487653145256</v>
      </c>
      <c r="H200" s="8">
        <v>977.72360528884758</v>
      </c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>
        <v>6182.8738144290273</v>
      </c>
      <c r="AA200" s="8"/>
      <c r="AB200" s="8"/>
      <c r="AI200">
        <f t="shared" si="9"/>
        <v>193</v>
      </c>
      <c r="AJ200" s="27" t="s">
        <v>973</v>
      </c>
      <c r="AK200" s="8">
        <v>6182.8738144290273</v>
      </c>
      <c r="AM200">
        <f t="shared" si="10"/>
        <v>193</v>
      </c>
      <c r="AN200" s="27" t="s">
        <v>1256</v>
      </c>
      <c r="AO200" s="8">
        <v>6</v>
      </c>
      <c r="AR200" s="27" t="s">
        <v>606</v>
      </c>
      <c r="AS200" s="21">
        <v>3280</v>
      </c>
      <c r="AU200" s="27" t="s">
        <v>1614</v>
      </c>
      <c r="AV200" s="21">
        <v>1</v>
      </c>
    </row>
    <row r="201" spans="2:48" x14ac:dyDescent="0.35">
      <c r="B201">
        <f t="shared" si="8"/>
        <v>194</v>
      </c>
      <c r="C201" s="27" t="s">
        <v>1552</v>
      </c>
      <c r="D201" s="8"/>
      <c r="E201" s="8"/>
      <c r="F201" s="8"/>
      <c r="G201" s="8"/>
      <c r="H201" s="8"/>
      <c r="I201" s="8"/>
      <c r="J201" s="8">
        <v>1974.4325602037889</v>
      </c>
      <c r="K201" s="8">
        <v>1316.2699622207178</v>
      </c>
      <c r="L201" s="8"/>
      <c r="M201" s="8"/>
      <c r="N201" s="8"/>
      <c r="O201" s="8"/>
      <c r="P201" s="8"/>
      <c r="Q201" s="8">
        <v>1837.2727025023003</v>
      </c>
      <c r="R201" s="8"/>
      <c r="S201" s="8"/>
      <c r="T201" s="8"/>
      <c r="U201" s="8"/>
      <c r="V201" s="8"/>
      <c r="W201" s="8"/>
      <c r="X201" s="8">
        <v>1008.6001717619175</v>
      </c>
      <c r="Y201" s="8"/>
      <c r="Z201" s="8">
        <v>6136.5753966887241</v>
      </c>
      <c r="AA201" s="8"/>
      <c r="AB201" s="8"/>
      <c r="AI201">
        <f t="shared" si="9"/>
        <v>194</v>
      </c>
      <c r="AJ201" s="27" t="s">
        <v>1552</v>
      </c>
      <c r="AK201" s="8">
        <v>6136.5753966887241</v>
      </c>
      <c r="AM201">
        <f t="shared" si="10"/>
        <v>194</v>
      </c>
      <c r="AN201" s="27" t="s">
        <v>1557</v>
      </c>
      <c r="AO201" s="8">
        <v>6</v>
      </c>
      <c r="AR201" s="27" t="s">
        <v>766</v>
      </c>
      <c r="AS201" s="21">
        <v>3264</v>
      </c>
      <c r="AU201" s="27" t="s">
        <v>969</v>
      </c>
      <c r="AV201" s="21">
        <v>1</v>
      </c>
    </row>
    <row r="202" spans="2:48" x14ac:dyDescent="0.35">
      <c r="B202">
        <f t="shared" ref="B202:B265" si="11">B201+1</f>
        <v>195</v>
      </c>
      <c r="C202" s="27" t="s">
        <v>690</v>
      </c>
      <c r="D202" s="8">
        <v>2174.1567592784813</v>
      </c>
      <c r="E202" s="8">
        <v>2049.2180226701817</v>
      </c>
      <c r="F202" s="8"/>
      <c r="G202" s="8"/>
      <c r="H202" s="8"/>
      <c r="I202" s="8">
        <v>1204.1199826559248</v>
      </c>
      <c r="J202" s="8">
        <v>602.05999132796239</v>
      </c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>
        <v>6029.5547559325505</v>
      </c>
      <c r="AA202" s="8"/>
      <c r="AB202" s="8"/>
      <c r="AI202">
        <f t="shared" ref="AI202:AI265" si="12">AI201+1</f>
        <v>195</v>
      </c>
      <c r="AJ202" s="27" t="s">
        <v>690</v>
      </c>
      <c r="AK202" s="8">
        <v>6029.5547559325505</v>
      </c>
      <c r="AM202">
        <f t="shared" ref="AM202:AM265" si="13">AM201+1</f>
        <v>195</v>
      </c>
      <c r="AN202" s="27" t="s">
        <v>1524</v>
      </c>
      <c r="AO202" s="8">
        <v>6</v>
      </c>
      <c r="AR202" s="27" t="s">
        <v>599</v>
      </c>
      <c r="AS202" s="21">
        <v>3260</v>
      </c>
      <c r="AU202" t="s">
        <v>2674</v>
      </c>
      <c r="AV202" s="21">
        <v>1</v>
      </c>
    </row>
    <row r="203" spans="2:48" x14ac:dyDescent="0.35">
      <c r="B203">
        <f t="shared" si="11"/>
        <v>196</v>
      </c>
      <c r="C203" s="27" t="s">
        <v>1054</v>
      </c>
      <c r="D203" s="8"/>
      <c r="E203" s="8">
        <v>1058.5947152658473</v>
      </c>
      <c r="F203" s="8">
        <v>1249.1983573911129</v>
      </c>
      <c r="G203" s="8">
        <v>1230.4489213782736</v>
      </c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>
        <v>1612.7838567197355</v>
      </c>
      <c r="Y203" s="8">
        <v>836.14319736133041</v>
      </c>
      <c r="Z203" s="8">
        <v>5987.1690481163005</v>
      </c>
      <c r="AA203" s="8"/>
      <c r="AB203" s="8"/>
      <c r="AI203">
        <f t="shared" si="12"/>
        <v>196</v>
      </c>
      <c r="AJ203" s="27" t="s">
        <v>1054</v>
      </c>
      <c r="AK203" s="8">
        <v>5987.1690481163005</v>
      </c>
      <c r="AM203">
        <f t="shared" si="13"/>
        <v>196</v>
      </c>
      <c r="AN203" s="27" t="s">
        <v>596</v>
      </c>
      <c r="AO203" s="8">
        <v>6</v>
      </c>
      <c r="AR203" s="27" t="s">
        <v>1473</v>
      </c>
      <c r="AS203" s="21">
        <v>3208</v>
      </c>
      <c r="AU203" s="27" t="s">
        <v>1571</v>
      </c>
      <c r="AV203" s="21">
        <v>1</v>
      </c>
    </row>
    <row r="204" spans="2:48" x14ac:dyDescent="0.35">
      <c r="B204">
        <f t="shared" si="11"/>
        <v>197</v>
      </c>
      <c r="C204" s="27" t="s">
        <v>280</v>
      </c>
      <c r="D204" s="8"/>
      <c r="E204" s="8"/>
      <c r="F204" s="8"/>
      <c r="G204" s="8"/>
      <c r="H204" s="8"/>
      <c r="I204" s="8">
        <v>967.44396604427732</v>
      </c>
      <c r="J204" s="8">
        <v>1417.0562991191107</v>
      </c>
      <c r="K204" s="8"/>
      <c r="L204" s="8">
        <v>956.77484595471981</v>
      </c>
      <c r="M204" s="8"/>
      <c r="N204" s="8">
        <v>1342.4226808222061</v>
      </c>
      <c r="O204" s="8"/>
      <c r="P204" s="8"/>
      <c r="Q204" s="8"/>
      <c r="R204" s="8"/>
      <c r="S204" s="8">
        <v>1255.272505103306</v>
      </c>
      <c r="T204" s="8"/>
      <c r="U204" s="8"/>
      <c r="V204" s="8"/>
      <c r="W204" s="8"/>
      <c r="X204" s="8"/>
      <c r="Y204" s="8"/>
      <c r="Z204" s="8">
        <v>5938.9702970436201</v>
      </c>
      <c r="AA204" s="8"/>
      <c r="AB204" s="8"/>
      <c r="AI204">
        <f t="shared" si="12"/>
        <v>197</v>
      </c>
      <c r="AJ204" s="27" t="s">
        <v>280</v>
      </c>
      <c r="AK204" s="8">
        <v>5938.9702970436201</v>
      </c>
      <c r="AM204">
        <f t="shared" si="13"/>
        <v>197</v>
      </c>
      <c r="AN204" s="27" t="s">
        <v>1614</v>
      </c>
      <c r="AO204" s="8">
        <v>6</v>
      </c>
      <c r="AR204" s="27" t="s">
        <v>371</v>
      </c>
      <c r="AS204" s="21">
        <v>3201</v>
      </c>
      <c r="AU204" t="s">
        <v>2678</v>
      </c>
      <c r="AV204" s="21">
        <v>1</v>
      </c>
    </row>
    <row r="205" spans="2:48" x14ac:dyDescent="0.35">
      <c r="B205">
        <f t="shared" si="11"/>
        <v>198</v>
      </c>
      <c r="C205" s="27" t="s">
        <v>1246</v>
      </c>
      <c r="D205" s="8">
        <v>3175.6305462933351</v>
      </c>
      <c r="E205" s="8">
        <v>1824.5630734513222</v>
      </c>
      <c r="F205" s="8"/>
      <c r="G205" s="8"/>
      <c r="H205" s="8">
        <v>869.23171973097612</v>
      </c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>
        <v>5869.4253394756333</v>
      </c>
      <c r="AA205" s="8"/>
      <c r="AB205" s="8"/>
      <c r="AI205">
        <f t="shared" si="12"/>
        <v>198</v>
      </c>
      <c r="AJ205" s="27" t="s">
        <v>1246</v>
      </c>
      <c r="AK205" s="8">
        <v>5869.4253394756333</v>
      </c>
      <c r="AM205">
        <f t="shared" si="13"/>
        <v>198</v>
      </c>
      <c r="AN205" s="27" t="s">
        <v>152</v>
      </c>
      <c r="AO205" s="8">
        <v>6</v>
      </c>
      <c r="AR205" t="s">
        <v>2547</v>
      </c>
      <c r="AS205" s="21">
        <v>3180</v>
      </c>
      <c r="AU205" s="27" t="s">
        <v>1603</v>
      </c>
      <c r="AV205" s="21">
        <v>1</v>
      </c>
    </row>
    <row r="206" spans="2:48" x14ac:dyDescent="0.35">
      <c r="B206">
        <f t="shared" si="11"/>
        <v>199</v>
      </c>
      <c r="C206" s="27" t="s">
        <v>819</v>
      </c>
      <c r="D206" s="8">
        <v>458.6378490256493</v>
      </c>
      <c r="E206" s="8"/>
      <c r="F206" s="8"/>
      <c r="G206" s="8">
        <v>2716.6524440808853</v>
      </c>
      <c r="H206" s="8">
        <v>736.75856522541847</v>
      </c>
      <c r="I206" s="8">
        <v>1903.0899869919435</v>
      </c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>
        <v>5815.138845323896</v>
      </c>
      <c r="AA206" s="8"/>
      <c r="AB206" s="8"/>
      <c r="AI206">
        <f t="shared" si="12"/>
        <v>199</v>
      </c>
      <c r="AJ206" s="27" t="s">
        <v>819</v>
      </c>
      <c r="AK206" s="8">
        <v>5815.138845323896</v>
      </c>
      <c r="AM206">
        <f t="shared" si="13"/>
        <v>199</v>
      </c>
      <c r="AN206" s="27" t="s">
        <v>535</v>
      </c>
      <c r="AO206" s="8">
        <v>6</v>
      </c>
      <c r="AR206" s="27" t="s">
        <v>2339</v>
      </c>
      <c r="AS206" s="21">
        <v>3170</v>
      </c>
      <c r="AU206" s="27" t="s">
        <v>154</v>
      </c>
      <c r="AV206" s="21">
        <v>1</v>
      </c>
    </row>
    <row r="207" spans="2:48" x14ac:dyDescent="0.35">
      <c r="B207">
        <f t="shared" si="11"/>
        <v>200</v>
      </c>
      <c r="C207" t="s">
        <v>2399</v>
      </c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>
        <v>1840.9420802430991</v>
      </c>
      <c r="T207" s="8">
        <v>1842.8765800202987</v>
      </c>
      <c r="U207" s="8">
        <v>889.30170250631022</v>
      </c>
      <c r="V207" s="8"/>
      <c r="W207" s="8">
        <v>1220.108088040055</v>
      </c>
      <c r="X207" s="8"/>
      <c r="Y207" s="8"/>
      <c r="Z207" s="8">
        <v>5793.2284508097628</v>
      </c>
      <c r="AA207" s="8"/>
      <c r="AB207" s="8"/>
      <c r="AI207">
        <f t="shared" si="12"/>
        <v>200</v>
      </c>
      <c r="AJ207" t="s">
        <v>2399</v>
      </c>
      <c r="AK207" s="8">
        <v>5793.2284508097628</v>
      </c>
      <c r="AM207">
        <f t="shared" si="13"/>
        <v>200</v>
      </c>
      <c r="AN207" s="27" t="s">
        <v>921</v>
      </c>
      <c r="AO207" s="8">
        <v>6</v>
      </c>
      <c r="AR207" s="27" t="s">
        <v>1568</v>
      </c>
      <c r="AS207" s="21">
        <v>3142</v>
      </c>
      <c r="AU207" t="s">
        <v>2288</v>
      </c>
      <c r="AV207" s="21">
        <v>1</v>
      </c>
    </row>
    <row r="208" spans="2:48" x14ac:dyDescent="0.35">
      <c r="B208">
        <f t="shared" si="11"/>
        <v>201</v>
      </c>
      <c r="C208" s="27" t="s">
        <v>776</v>
      </c>
      <c r="D208" s="8"/>
      <c r="E208" s="8"/>
      <c r="F208" s="8"/>
      <c r="G208" s="8"/>
      <c r="H208" s="8"/>
      <c r="I208" s="8">
        <v>1547.1591213274171</v>
      </c>
      <c r="J208" s="8"/>
      <c r="K208" s="8"/>
      <c r="L208" s="8"/>
      <c r="M208" s="8"/>
      <c r="N208" s="8"/>
      <c r="O208" s="8"/>
      <c r="P208" s="8"/>
      <c r="Q208" s="8">
        <v>1423.2458739368076</v>
      </c>
      <c r="R208" s="8">
        <v>1826.9919536870345</v>
      </c>
      <c r="S208" s="8"/>
      <c r="T208" s="8"/>
      <c r="U208" s="8"/>
      <c r="V208" s="8"/>
      <c r="W208" s="8">
        <v>977.72360528884769</v>
      </c>
      <c r="X208" s="8"/>
      <c r="Y208" s="8"/>
      <c r="Z208" s="8">
        <v>5775.1205542401067</v>
      </c>
      <c r="AA208" s="8"/>
      <c r="AB208" s="8"/>
      <c r="AI208">
        <f t="shared" si="12"/>
        <v>201</v>
      </c>
      <c r="AJ208" s="27" t="s">
        <v>776</v>
      </c>
      <c r="AK208" s="8">
        <v>5775.1205542401067</v>
      </c>
      <c r="AM208">
        <f t="shared" si="13"/>
        <v>201</v>
      </c>
      <c r="AN208" s="27" t="s">
        <v>613</v>
      </c>
      <c r="AO208" s="8">
        <v>6</v>
      </c>
      <c r="AR208" s="27" t="s">
        <v>1312</v>
      </c>
      <c r="AS208" s="21">
        <v>3139</v>
      </c>
      <c r="AU208" s="27" t="s">
        <v>1580</v>
      </c>
      <c r="AV208" s="21">
        <v>1</v>
      </c>
    </row>
    <row r="209" spans="2:48" x14ac:dyDescent="0.35">
      <c r="B209">
        <f t="shared" si="11"/>
        <v>202</v>
      </c>
      <c r="C209" s="27" t="s">
        <v>157</v>
      </c>
      <c r="D209" s="8"/>
      <c r="E209" s="8"/>
      <c r="F209" s="8"/>
      <c r="G209" s="8">
        <v>829.30377283102507</v>
      </c>
      <c r="H209" s="8">
        <v>849.48500216800937</v>
      </c>
      <c r="I209" s="8"/>
      <c r="J209" s="8">
        <v>1240.1232768559325</v>
      </c>
      <c r="K209" s="8">
        <v>422.54902000712843</v>
      </c>
      <c r="L209" s="8"/>
      <c r="M209" s="8">
        <v>765.91679396663199</v>
      </c>
      <c r="N209" s="8">
        <v>1649.5739695856373</v>
      </c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>
        <v>5756.9518354143647</v>
      </c>
      <c r="AA209" s="8"/>
      <c r="AB209" s="8"/>
      <c r="AI209">
        <f t="shared" si="12"/>
        <v>202</v>
      </c>
      <c r="AJ209" s="27" t="s">
        <v>157</v>
      </c>
      <c r="AK209" s="8">
        <v>5756.9518354143638</v>
      </c>
      <c r="AM209">
        <f t="shared" si="13"/>
        <v>202</v>
      </c>
      <c r="AN209" s="27" t="s">
        <v>1529</v>
      </c>
      <c r="AO209" s="8">
        <v>6</v>
      </c>
      <c r="AR209" s="27" t="s">
        <v>611</v>
      </c>
      <c r="AS209" s="21">
        <v>3124</v>
      </c>
      <c r="AU209" s="27" t="s">
        <v>1529</v>
      </c>
      <c r="AV209" s="21">
        <v>1</v>
      </c>
    </row>
    <row r="210" spans="2:48" x14ac:dyDescent="0.35">
      <c r="B210">
        <f t="shared" si="11"/>
        <v>203</v>
      </c>
      <c r="C210" s="27" t="s">
        <v>891</v>
      </c>
      <c r="D210" s="8"/>
      <c r="E210" s="8"/>
      <c r="F210" s="8"/>
      <c r="G210" s="8"/>
      <c r="H210" s="8">
        <v>1079.1812460476247</v>
      </c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>
        <v>2519.4998528595388</v>
      </c>
      <c r="T210" s="8">
        <v>1397.9400086720375</v>
      </c>
      <c r="U210" s="8"/>
      <c r="V210" s="8"/>
      <c r="W210" s="8"/>
      <c r="X210" s="8"/>
      <c r="Y210" s="8">
        <v>748.1880270062004</v>
      </c>
      <c r="Z210" s="8">
        <v>5744.8091345854018</v>
      </c>
      <c r="AA210" s="8"/>
      <c r="AB210" s="8"/>
      <c r="AI210">
        <f t="shared" si="12"/>
        <v>203</v>
      </c>
      <c r="AJ210" s="27" t="s">
        <v>891</v>
      </c>
      <c r="AK210" s="8">
        <v>5744.8091345854018</v>
      </c>
      <c r="AM210">
        <f t="shared" si="13"/>
        <v>203</v>
      </c>
      <c r="AN210" s="27" t="s">
        <v>1107</v>
      </c>
      <c r="AO210" s="8">
        <v>6</v>
      </c>
      <c r="AR210" s="27" t="s">
        <v>186</v>
      </c>
      <c r="AS210" s="21">
        <v>3120</v>
      </c>
      <c r="AU210" s="27" t="s">
        <v>1618</v>
      </c>
      <c r="AV210" s="21">
        <v>1</v>
      </c>
    </row>
    <row r="211" spans="2:48" x14ac:dyDescent="0.35">
      <c r="B211">
        <f t="shared" si="11"/>
        <v>204</v>
      </c>
      <c r="C211" s="27" t="s">
        <v>733</v>
      </c>
      <c r="D211" s="8">
        <v>1229.6318101646953</v>
      </c>
      <c r="E211" s="8"/>
      <c r="F211" s="8">
        <v>1596.59709562646</v>
      </c>
      <c r="G211" s="8"/>
      <c r="H211" s="8"/>
      <c r="I211" s="8">
        <v>1884.1957065472434</v>
      </c>
      <c r="J211" s="8"/>
      <c r="K211" s="8"/>
      <c r="L211" s="8"/>
      <c r="M211" s="8"/>
      <c r="N211" s="8"/>
      <c r="O211" s="8"/>
      <c r="P211" s="8"/>
      <c r="Q211" s="8"/>
      <c r="R211" s="8">
        <v>1014.2404391146102</v>
      </c>
      <c r="S211" s="8"/>
      <c r="T211" s="8"/>
      <c r="U211" s="8"/>
      <c r="V211" s="8"/>
      <c r="W211" s="8"/>
      <c r="X211" s="8"/>
      <c r="Y211" s="8"/>
      <c r="Z211" s="8">
        <v>5724.6650514530083</v>
      </c>
      <c r="AA211" s="8"/>
      <c r="AB211" s="8"/>
      <c r="AI211">
        <f t="shared" si="12"/>
        <v>204</v>
      </c>
      <c r="AJ211" s="27" t="s">
        <v>733</v>
      </c>
      <c r="AK211" s="8">
        <v>5724.6650514530083</v>
      </c>
      <c r="AM211">
        <f t="shared" si="13"/>
        <v>204</v>
      </c>
      <c r="AN211" s="27" t="s">
        <v>513</v>
      </c>
      <c r="AO211" s="8">
        <v>6</v>
      </c>
      <c r="AR211" s="27" t="s">
        <v>1607</v>
      </c>
      <c r="AS211" s="21">
        <v>3095</v>
      </c>
      <c r="AU211" t="s">
        <v>2316</v>
      </c>
      <c r="AV211" s="21">
        <v>1</v>
      </c>
    </row>
    <row r="212" spans="2:48" x14ac:dyDescent="0.35">
      <c r="B212">
        <f t="shared" si="11"/>
        <v>205</v>
      </c>
      <c r="C212" s="27" t="s">
        <v>513</v>
      </c>
      <c r="D212" s="8">
        <v>496.4224736102023</v>
      </c>
      <c r="E212" s="8"/>
      <c r="F212" s="8">
        <v>1136.3241321841938</v>
      </c>
      <c r="G212" s="8">
        <v>2726.6366649874863</v>
      </c>
      <c r="H212" s="8"/>
      <c r="I212" s="8"/>
      <c r="J212" s="8"/>
      <c r="K212" s="8"/>
      <c r="L212" s="8">
        <v>1342.4226808222061</v>
      </c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>
        <v>5701.8059516040885</v>
      </c>
      <c r="AA212" s="8"/>
      <c r="AB212" s="8"/>
      <c r="AI212">
        <f t="shared" si="12"/>
        <v>205</v>
      </c>
      <c r="AJ212" s="27" t="s">
        <v>513</v>
      </c>
      <c r="AK212" s="8">
        <v>5701.8059516040885</v>
      </c>
      <c r="AM212">
        <f t="shared" si="13"/>
        <v>205</v>
      </c>
      <c r="AN212" s="27" t="s">
        <v>869</v>
      </c>
      <c r="AO212" s="8">
        <v>6</v>
      </c>
      <c r="AR212" t="s">
        <v>2433</v>
      </c>
      <c r="AS212" s="21">
        <v>3092</v>
      </c>
      <c r="AU212" s="27" t="s">
        <v>805</v>
      </c>
      <c r="AV212" s="21">
        <v>1</v>
      </c>
    </row>
    <row r="213" spans="2:48" x14ac:dyDescent="0.35">
      <c r="B213">
        <f t="shared" si="11"/>
        <v>206</v>
      </c>
      <c r="C213" s="27" t="s">
        <v>1675</v>
      </c>
      <c r="D213" s="8"/>
      <c r="E213" s="8"/>
      <c r="F213" s="8"/>
      <c r="G213" s="8"/>
      <c r="H213" s="8">
        <v>889.30170250631033</v>
      </c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>
        <v>2230.448921378274</v>
      </c>
      <c r="V213" s="8">
        <v>1113.9433523068365</v>
      </c>
      <c r="W213" s="8"/>
      <c r="X213" s="8">
        <v>1406.5401804339549</v>
      </c>
      <c r="Y213" s="8"/>
      <c r="Z213" s="8">
        <v>5640.2341566253763</v>
      </c>
      <c r="AA213" s="8"/>
      <c r="AB213" s="8"/>
      <c r="AI213">
        <f t="shared" si="12"/>
        <v>206</v>
      </c>
      <c r="AJ213" s="27" t="s">
        <v>1675</v>
      </c>
      <c r="AK213" s="8">
        <v>5640.2341566253763</v>
      </c>
      <c r="AM213">
        <f t="shared" si="13"/>
        <v>206</v>
      </c>
      <c r="AN213" s="27" t="s">
        <v>1312</v>
      </c>
      <c r="AO213" s="8">
        <v>6</v>
      </c>
      <c r="AR213" s="27" t="s">
        <v>997</v>
      </c>
      <c r="AS213" s="21">
        <v>3057</v>
      </c>
      <c r="AU213" t="s">
        <v>2327</v>
      </c>
      <c r="AV213" s="21">
        <v>1</v>
      </c>
    </row>
    <row r="214" spans="2:48" x14ac:dyDescent="0.35">
      <c r="B214">
        <f t="shared" si="11"/>
        <v>207</v>
      </c>
      <c r="C214" s="27" t="s">
        <v>1620</v>
      </c>
      <c r="D214" s="8"/>
      <c r="E214" s="8"/>
      <c r="F214" s="8"/>
      <c r="G214" s="8">
        <v>853.87196432176199</v>
      </c>
      <c r="H214" s="8">
        <v>943.38458185111654</v>
      </c>
      <c r="I214" s="8"/>
      <c r="J214" s="8"/>
      <c r="K214" s="8"/>
      <c r="L214" s="8"/>
      <c r="M214" s="8">
        <v>1204.1199826559248</v>
      </c>
      <c r="N214" s="8"/>
      <c r="O214" s="8"/>
      <c r="P214" s="8"/>
      <c r="Q214" s="8"/>
      <c r="R214" s="8">
        <v>1315.2704347785916</v>
      </c>
      <c r="S214" s="8"/>
      <c r="T214" s="8">
        <v>1278.7536009528292</v>
      </c>
      <c r="U214" s="8"/>
      <c r="V214" s="8"/>
      <c r="W214" s="8"/>
      <c r="X214" s="8"/>
      <c r="Y214" s="8"/>
      <c r="Z214" s="8">
        <v>5595.4005645602238</v>
      </c>
      <c r="AA214" s="8"/>
      <c r="AB214" s="8"/>
      <c r="AI214">
        <f t="shared" si="12"/>
        <v>207</v>
      </c>
      <c r="AJ214" s="27" t="s">
        <v>1620</v>
      </c>
      <c r="AK214" s="8">
        <v>5595.4005645602238</v>
      </c>
      <c r="AM214">
        <f t="shared" si="13"/>
        <v>207</v>
      </c>
      <c r="AN214" s="27" t="s">
        <v>1258</v>
      </c>
      <c r="AO214" s="8">
        <v>5</v>
      </c>
      <c r="AR214" s="27" t="s">
        <v>733</v>
      </c>
      <c r="AS214" s="21">
        <v>3038</v>
      </c>
      <c r="AU214" s="27" t="s">
        <v>1409</v>
      </c>
      <c r="AV214" s="21">
        <v>1</v>
      </c>
    </row>
    <row r="215" spans="2:48" x14ac:dyDescent="0.35">
      <c r="B215">
        <f t="shared" si="11"/>
        <v>208</v>
      </c>
      <c r="C215" s="27" t="s">
        <v>666</v>
      </c>
      <c r="D215" s="8">
        <v>3478.3603268352108</v>
      </c>
      <c r="E215" s="8"/>
      <c r="F215" s="8"/>
      <c r="G215" s="8"/>
      <c r="H215" s="8"/>
      <c r="I215" s="8"/>
      <c r="J215" s="8">
        <v>2079.1812460476249</v>
      </c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>
        <v>5557.5415728828357</v>
      </c>
      <c r="AA215" s="8"/>
      <c r="AB215" s="8"/>
      <c r="AI215">
        <f t="shared" si="12"/>
        <v>208</v>
      </c>
      <c r="AJ215" s="27" t="s">
        <v>666</v>
      </c>
      <c r="AK215" s="8">
        <v>5557.5415728828357</v>
      </c>
      <c r="AM215">
        <f t="shared" si="13"/>
        <v>208</v>
      </c>
      <c r="AN215" s="27" t="s">
        <v>1620</v>
      </c>
      <c r="AO215" s="8">
        <v>5</v>
      </c>
      <c r="AR215" s="27" t="s">
        <v>1617</v>
      </c>
      <c r="AS215" s="21">
        <v>3027</v>
      </c>
      <c r="AU215" t="s">
        <v>2340</v>
      </c>
      <c r="AV215" s="21">
        <v>1</v>
      </c>
    </row>
    <row r="216" spans="2:48" x14ac:dyDescent="0.35">
      <c r="B216">
        <f t="shared" si="11"/>
        <v>209</v>
      </c>
      <c r="C216" t="s">
        <v>2643</v>
      </c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>
        <v>924.27928606188175</v>
      </c>
      <c r="Y216" s="8">
        <v>4570.8230395252112</v>
      </c>
      <c r="Z216" s="8">
        <v>5495.1023255870932</v>
      </c>
      <c r="AA216" s="8"/>
      <c r="AB216" s="8"/>
      <c r="AI216">
        <f t="shared" si="12"/>
        <v>209</v>
      </c>
      <c r="AJ216" t="s">
        <v>2643</v>
      </c>
      <c r="AK216" s="8">
        <v>5495.1023255870923</v>
      </c>
      <c r="AM216">
        <f t="shared" si="13"/>
        <v>209</v>
      </c>
      <c r="AN216" t="s">
        <v>2379</v>
      </c>
      <c r="AO216" s="8">
        <v>5</v>
      </c>
      <c r="AR216" s="27" t="s">
        <v>914</v>
      </c>
      <c r="AS216" s="21">
        <v>3019</v>
      </c>
      <c r="AU216" s="27" t="s">
        <v>685</v>
      </c>
      <c r="AV216" s="21">
        <v>1</v>
      </c>
    </row>
    <row r="217" spans="2:48" x14ac:dyDescent="0.35">
      <c r="B217">
        <f t="shared" si="11"/>
        <v>210</v>
      </c>
      <c r="C217" s="27" t="s">
        <v>1596</v>
      </c>
      <c r="D217" s="8"/>
      <c r="E217" s="8"/>
      <c r="F217" s="8"/>
      <c r="G217" s="8"/>
      <c r="H217" s="8"/>
      <c r="I217" s="8"/>
      <c r="J217" s="8"/>
      <c r="K217" s="8"/>
      <c r="L217" s="8">
        <v>1099.3846321359117</v>
      </c>
      <c r="M217" s="8"/>
      <c r="N217" s="8"/>
      <c r="O217" s="8"/>
      <c r="P217" s="8"/>
      <c r="Q217" s="8">
        <v>1397.9400086720377</v>
      </c>
      <c r="R217" s="8"/>
      <c r="S217" s="8"/>
      <c r="T217" s="8">
        <v>1091.0804693473326</v>
      </c>
      <c r="U217" s="8"/>
      <c r="V217" s="8">
        <v>985.2767431792937</v>
      </c>
      <c r="W217" s="8"/>
      <c r="X217" s="8"/>
      <c r="Y217" s="8">
        <v>893.94660755207394</v>
      </c>
      <c r="Z217" s="8">
        <v>5467.6284608866499</v>
      </c>
      <c r="AA217" s="8"/>
      <c r="AB217" s="8"/>
      <c r="AI217">
        <f t="shared" si="12"/>
        <v>210</v>
      </c>
      <c r="AJ217" s="27" t="s">
        <v>1596</v>
      </c>
      <c r="AK217" s="8">
        <v>5467.6284608866499</v>
      </c>
      <c r="AM217">
        <f t="shared" si="13"/>
        <v>210</v>
      </c>
      <c r="AN217" s="27" t="s">
        <v>1675</v>
      </c>
      <c r="AO217" s="8">
        <v>5</v>
      </c>
      <c r="AR217" s="27" t="s">
        <v>1089</v>
      </c>
      <c r="AS217" s="21">
        <v>2975</v>
      </c>
      <c r="AU217" t="s">
        <v>2381</v>
      </c>
      <c r="AV217" s="21">
        <v>1</v>
      </c>
    </row>
    <row r="218" spans="2:48" x14ac:dyDescent="0.35">
      <c r="B218">
        <f t="shared" si="11"/>
        <v>211</v>
      </c>
      <c r="C218" s="27" t="s">
        <v>382</v>
      </c>
      <c r="D218" s="8"/>
      <c r="E218" s="8"/>
      <c r="F218" s="8"/>
      <c r="G218" s="8"/>
      <c r="H218" s="8"/>
      <c r="I218" s="8"/>
      <c r="J218" s="8"/>
      <c r="K218" s="8"/>
      <c r="L218" s="8"/>
      <c r="M218" s="8">
        <v>1690.1960800285137</v>
      </c>
      <c r="N218" s="8"/>
      <c r="O218" s="8">
        <v>1099.7957012455445</v>
      </c>
      <c r="P218" s="8"/>
      <c r="Q218" s="8">
        <v>1466.1258704181992</v>
      </c>
      <c r="R218" s="8"/>
      <c r="S218" s="8">
        <v>1190.3316981702915</v>
      </c>
      <c r="T218" s="8"/>
      <c r="U218" s="8"/>
      <c r="V218" s="8"/>
      <c r="W218" s="8"/>
      <c r="X218" s="8"/>
      <c r="Y218" s="8"/>
      <c r="Z218" s="8">
        <v>5446.4493498625488</v>
      </c>
      <c r="AA218" s="8"/>
      <c r="AB218" s="8"/>
      <c r="AI218">
        <f t="shared" si="12"/>
        <v>211</v>
      </c>
      <c r="AJ218" s="27" t="s">
        <v>382</v>
      </c>
      <c r="AK218" s="8">
        <v>5446.4493498625488</v>
      </c>
      <c r="AM218">
        <f t="shared" si="13"/>
        <v>211</v>
      </c>
      <c r="AN218" s="27" t="s">
        <v>1570</v>
      </c>
      <c r="AO218" s="8">
        <v>5</v>
      </c>
      <c r="AR218" t="s">
        <v>2375</v>
      </c>
      <c r="AS218" s="21">
        <v>2915</v>
      </c>
      <c r="AU218" s="27" t="s">
        <v>447</v>
      </c>
      <c r="AV218" s="21">
        <v>1</v>
      </c>
    </row>
    <row r="219" spans="2:48" x14ac:dyDescent="0.35">
      <c r="B219">
        <f t="shared" si="11"/>
        <v>212</v>
      </c>
      <c r="C219" s="27" t="s">
        <v>1068</v>
      </c>
      <c r="D219" s="8"/>
      <c r="E219" s="8">
        <v>2635.4837468149121</v>
      </c>
      <c r="F219" s="8"/>
      <c r="G219" s="8">
        <v>1192.3284579263666</v>
      </c>
      <c r="H219" s="8"/>
      <c r="I219" s="8"/>
      <c r="J219" s="8">
        <v>1615.4239528859437</v>
      </c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>
        <v>5443.2361576272224</v>
      </c>
      <c r="AA219" s="8"/>
      <c r="AB219" s="8"/>
      <c r="AI219">
        <f t="shared" si="12"/>
        <v>212</v>
      </c>
      <c r="AJ219" s="27" t="s">
        <v>1068</v>
      </c>
      <c r="AK219" s="8">
        <v>5443.2361576272224</v>
      </c>
      <c r="AM219">
        <f t="shared" si="13"/>
        <v>212</v>
      </c>
      <c r="AN219" s="27" t="s">
        <v>1616</v>
      </c>
      <c r="AO219" s="8">
        <v>5</v>
      </c>
      <c r="AR219" s="27" t="s">
        <v>311</v>
      </c>
      <c r="AS219" s="21">
        <v>2896</v>
      </c>
      <c r="AU219" t="s">
        <v>2385</v>
      </c>
      <c r="AV219" s="21">
        <v>1</v>
      </c>
    </row>
    <row r="220" spans="2:48" x14ac:dyDescent="0.35">
      <c r="B220">
        <f t="shared" si="11"/>
        <v>213</v>
      </c>
      <c r="C220" s="27" t="s">
        <v>1360</v>
      </c>
      <c r="D220" s="8">
        <v>2345.7347615606204</v>
      </c>
      <c r="E220" s="8">
        <v>1183.2698436828045</v>
      </c>
      <c r="F220" s="8"/>
      <c r="G220" s="8"/>
      <c r="H220" s="8">
        <v>881.44806205310067</v>
      </c>
      <c r="I220" s="8"/>
      <c r="J220" s="8"/>
      <c r="K220" s="8">
        <v>1028.0287236002437</v>
      </c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>
        <v>5438.4813908967699</v>
      </c>
      <c r="AA220" s="8"/>
      <c r="AB220" s="8"/>
      <c r="AI220">
        <f t="shared" si="12"/>
        <v>213</v>
      </c>
      <c r="AJ220" s="27" t="s">
        <v>1360</v>
      </c>
      <c r="AK220" s="8">
        <v>5438.4813908967699</v>
      </c>
      <c r="AM220">
        <f t="shared" si="13"/>
        <v>213</v>
      </c>
      <c r="AN220" t="s">
        <v>2384</v>
      </c>
      <c r="AO220" s="8">
        <v>5</v>
      </c>
      <c r="AR220" s="27" t="s">
        <v>834</v>
      </c>
      <c r="AS220" s="21">
        <v>2895</v>
      </c>
      <c r="AU220" s="27" t="s">
        <v>522</v>
      </c>
      <c r="AV220" s="21">
        <v>1</v>
      </c>
    </row>
    <row r="221" spans="2:48" x14ac:dyDescent="0.35">
      <c r="B221">
        <f t="shared" si="11"/>
        <v>214</v>
      </c>
      <c r="C221" s="27" t="s">
        <v>1607</v>
      </c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>
        <v>763.42799356293722</v>
      </c>
      <c r="Q221" s="8">
        <v>1068.1858617461617</v>
      </c>
      <c r="R221" s="8"/>
      <c r="S221" s="8"/>
      <c r="T221" s="8"/>
      <c r="U221" s="8">
        <v>829.30377283102507</v>
      </c>
      <c r="V221" s="8"/>
      <c r="W221" s="8"/>
      <c r="X221" s="8">
        <v>1355.3876579865739</v>
      </c>
      <c r="Y221" s="8">
        <v>1414.9733479708179</v>
      </c>
      <c r="Z221" s="8">
        <v>5431.2786340975163</v>
      </c>
      <c r="AA221" s="8"/>
      <c r="AB221" s="8"/>
      <c r="AI221">
        <f t="shared" si="12"/>
        <v>214</v>
      </c>
      <c r="AJ221" s="27" t="s">
        <v>1607</v>
      </c>
      <c r="AK221" s="8">
        <v>5431.2786340975163</v>
      </c>
      <c r="AM221">
        <f t="shared" si="13"/>
        <v>214</v>
      </c>
      <c r="AN221" s="27" t="s">
        <v>1273</v>
      </c>
      <c r="AO221" s="8">
        <v>5</v>
      </c>
      <c r="AR221" s="27" t="s">
        <v>382</v>
      </c>
      <c r="AS221" s="21">
        <v>2874</v>
      </c>
      <c r="AU221" t="s">
        <v>2399</v>
      </c>
      <c r="AV221" s="21">
        <v>1</v>
      </c>
    </row>
    <row r="222" spans="2:48" x14ac:dyDescent="0.35">
      <c r="B222">
        <f t="shared" si="11"/>
        <v>215</v>
      </c>
      <c r="C222" s="27" t="s">
        <v>1065</v>
      </c>
      <c r="D222" s="8"/>
      <c r="E222" s="8"/>
      <c r="F222" s="8"/>
      <c r="G222" s="8">
        <v>2037.4264979406234</v>
      </c>
      <c r="H222" s="8"/>
      <c r="I222" s="8"/>
      <c r="J222" s="8">
        <v>2320.146286111054</v>
      </c>
      <c r="K222" s="8"/>
      <c r="L222" s="8"/>
      <c r="M222" s="8"/>
      <c r="N222" s="8"/>
      <c r="O222" s="8"/>
      <c r="P222" s="8">
        <v>1025.3058652647699</v>
      </c>
      <c r="Q222" s="8"/>
      <c r="R222" s="8"/>
      <c r="S222" s="8"/>
      <c r="T222" s="8"/>
      <c r="U222" s="8"/>
      <c r="V222" s="8"/>
      <c r="W222" s="8"/>
      <c r="X222" s="8"/>
      <c r="Y222" s="8"/>
      <c r="Z222" s="8">
        <v>5382.8786493164471</v>
      </c>
      <c r="AA222" s="8"/>
      <c r="AB222" s="8"/>
      <c r="AI222">
        <f t="shared" si="12"/>
        <v>215</v>
      </c>
      <c r="AJ222" s="27" t="s">
        <v>1065</v>
      </c>
      <c r="AK222" s="8">
        <v>5382.8786493164471</v>
      </c>
      <c r="AM222">
        <f t="shared" si="13"/>
        <v>215</v>
      </c>
      <c r="AN222" t="s">
        <v>2382</v>
      </c>
      <c r="AO222" s="8">
        <v>5</v>
      </c>
      <c r="AR222" s="27" t="s">
        <v>435</v>
      </c>
      <c r="AS222" s="21">
        <v>2845</v>
      </c>
      <c r="AU222" s="27" t="s">
        <v>1477</v>
      </c>
      <c r="AV222" s="21">
        <v>1</v>
      </c>
    </row>
    <row r="223" spans="2:48" x14ac:dyDescent="0.35">
      <c r="B223">
        <f t="shared" si="11"/>
        <v>216</v>
      </c>
      <c r="C223" s="27" t="s">
        <v>622</v>
      </c>
      <c r="D223" s="8"/>
      <c r="E223" s="8"/>
      <c r="F223" s="8"/>
      <c r="G223" s="8"/>
      <c r="H223" s="8">
        <v>1836.7459656494909</v>
      </c>
      <c r="I223" s="8">
        <v>1194.9766032160549</v>
      </c>
      <c r="J223" s="8"/>
      <c r="K223" s="8">
        <v>1211.4603458216682</v>
      </c>
      <c r="L223" s="8"/>
      <c r="M223" s="8"/>
      <c r="N223" s="8"/>
      <c r="O223" s="8"/>
      <c r="P223" s="8"/>
      <c r="Q223" s="8"/>
      <c r="R223" s="8"/>
      <c r="S223" s="8">
        <v>1028.0287236002434</v>
      </c>
      <c r="T223" s="8"/>
      <c r="U223" s="8"/>
      <c r="V223" s="8"/>
      <c r="W223" s="8"/>
      <c r="X223" s="8"/>
      <c r="Y223" s="8"/>
      <c r="Z223" s="8">
        <v>5271.2116382874574</v>
      </c>
      <c r="AA223" s="8"/>
      <c r="AB223" s="8"/>
      <c r="AI223">
        <f t="shared" si="12"/>
        <v>216</v>
      </c>
      <c r="AJ223" s="27" t="s">
        <v>622</v>
      </c>
      <c r="AK223" s="8">
        <v>5271.2116382874574</v>
      </c>
      <c r="AM223">
        <f t="shared" si="13"/>
        <v>216</v>
      </c>
      <c r="AN223" s="27" t="s">
        <v>1607</v>
      </c>
      <c r="AO223" s="8">
        <v>5</v>
      </c>
      <c r="AR223" s="27" t="s">
        <v>669</v>
      </c>
      <c r="AS223" s="21">
        <v>2760</v>
      </c>
      <c r="AU223" t="s">
        <v>2412</v>
      </c>
      <c r="AV223" s="21">
        <v>1</v>
      </c>
    </row>
    <row r="224" spans="2:48" x14ac:dyDescent="0.35">
      <c r="B224">
        <f t="shared" si="11"/>
        <v>217</v>
      </c>
      <c r="C224" s="27" t="s">
        <v>262</v>
      </c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>
        <v>1102.6623418971478</v>
      </c>
      <c r="O224" s="8"/>
      <c r="P224" s="8">
        <v>1135.6626020000731</v>
      </c>
      <c r="Q224" s="8">
        <v>2031.4084642516241</v>
      </c>
      <c r="R224" s="8"/>
      <c r="S224" s="8"/>
      <c r="T224" s="8"/>
      <c r="U224" s="8"/>
      <c r="V224" s="8"/>
      <c r="W224" s="8"/>
      <c r="X224" s="8">
        <v>987.41087269197953</v>
      </c>
      <c r="Y224" s="8"/>
      <c r="Z224" s="8">
        <v>5257.1442808408237</v>
      </c>
      <c r="AA224" s="8"/>
      <c r="AB224" s="8"/>
      <c r="AI224">
        <f t="shared" si="12"/>
        <v>217</v>
      </c>
      <c r="AJ224" s="27" t="s">
        <v>262</v>
      </c>
      <c r="AK224" s="8">
        <v>5257.1442808408237</v>
      </c>
      <c r="AM224">
        <f t="shared" si="13"/>
        <v>217</v>
      </c>
      <c r="AN224" s="27" t="s">
        <v>1247</v>
      </c>
      <c r="AO224" s="8">
        <v>5</v>
      </c>
      <c r="AR224" t="s">
        <v>2288</v>
      </c>
      <c r="AS224" s="21">
        <v>2745</v>
      </c>
      <c r="AU224" s="27" t="s">
        <v>619</v>
      </c>
      <c r="AV224" s="21">
        <v>1</v>
      </c>
    </row>
    <row r="225" spans="2:48" x14ac:dyDescent="0.35">
      <c r="B225">
        <f t="shared" si="11"/>
        <v>218</v>
      </c>
      <c r="C225" s="27" t="s">
        <v>1532</v>
      </c>
      <c r="D225" s="8"/>
      <c r="E225" s="8"/>
      <c r="F225" s="8"/>
      <c r="G225" s="8"/>
      <c r="H225" s="8">
        <v>1755.8748556724913</v>
      </c>
      <c r="I225" s="8"/>
      <c r="J225" s="8">
        <v>678.44833719141718</v>
      </c>
      <c r="K225" s="8"/>
      <c r="L225" s="8">
        <v>1536.5584425715299</v>
      </c>
      <c r="M225" s="8"/>
      <c r="N225" s="8"/>
      <c r="O225" s="8">
        <v>1240.5492482825996</v>
      </c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>
        <v>5211.4308837180379</v>
      </c>
      <c r="AA225" s="8"/>
      <c r="AB225" s="8"/>
      <c r="AI225">
        <f t="shared" si="12"/>
        <v>218</v>
      </c>
      <c r="AJ225" s="27" t="s">
        <v>1532</v>
      </c>
      <c r="AK225" s="8">
        <v>5211.4308837180379</v>
      </c>
      <c r="AM225">
        <f t="shared" si="13"/>
        <v>218</v>
      </c>
      <c r="AN225" s="27" t="s">
        <v>819</v>
      </c>
      <c r="AO225" s="8">
        <v>5</v>
      </c>
      <c r="AR225" s="27" t="s">
        <v>223</v>
      </c>
      <c r="AS225" s="21">
        <v>2709</v>
      </c>
      <c r="AU225" t="s">
        <v>2422</v>
      </c>
      <c r="AV225" s="21">
        <v>1</v>
      </c>
    </row>
    <row r="226" spans="2:48" x14ac:dyDescent="0.35">
      <c r="B226">
        <f t="shared" si="11"/>
        <v>219</v>
      </c>
      <c r="C226" s="27" t="s">
        <v>685</v>
      </c>
      <c r="D226" s="8">
        <v>620.45639021373029</v>
      </c>
      <c r="E226" s="8">
        <v>3218.1151863045488</v>
      </c>
      <c r="F226" s="8"/>
      <c r="G226" s="8"/>
      <c r="H226" s="8">
        <v>801.63234623316646</v>
      </c>
      <c r="I226" s="8"/>
      <c r="J226" s="8">
        <v>531.47891704225503</v>
      </c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>
        <v>5171.6828397937006</v>
      </c>
      <c r="AA226" s="8"/>
      <c r="AB226" s="8"/>
      <c r="AI226">
        <f t="shared" si="12"/>
        <v>219</v>
      </c>
      <c r="AJ226" s="27" t="s">
        <v>685</v>
      </c>
      <c r="AK226" s="8">
        <v>5171.6828397937006</v>
      </c>
      <c r="AM226">
        <f t="shared" si="13"/>
        <v>219</v>
      </c>
      <c r="AN226" t="s">
        <v>2288</v>
      </c>
      <c r="AO226" s="8">
        <v>5</v>
      </c>
      <c r="AR226" s="27" t="s">
        <v>1527</v>
      </c>
      <c r="AS226" s="21">
        <v>2682</v>
      </c>
      <c r="AU226" s="27" t="s">
        <v>698</v>
      </c>
      <c r="AV226" s="21">
        <v>1</v>
      </c>
    </row>
    <row r="227" spans="2:48" x14ac:dyDescent="0.35">
      <c r="B227">
        <f t="shared" si="11"/>
        <v>220</v>
      </c>
      <c r="C227" s="27" t="s">
        <v>921</v>
      </c>
      <c r="D227" s="8">
        <v>1493.6723124787052</v>
      </c>
      <c r="E227" s="8"/>
      <c r="F227" s="8"/>
      <c r="G227" s="8"/>
      <c r="H227" s="8">
        <v>2529.197680126942</v>
      </c>
      <c r="I227" s="8"/>
      <c r="J227" s="8">
        <v>1073.1070983354316</v>
      </c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>
        <v>5095.9770909410781</v>
      </c>
      <c r="AA227" s="8"/>
      <c r="AB227" s="8"/>
      <c r="AI227">
        <f t="shared" si="12"/>
        <v>220</v>
      </c>
      <c r="AJ227" s="27" t="s">
        <v>921</v>
      </c>
      <c r="AK227" s="8">
        <v>5095.9770909410781</v>
      </c>
      <c r="AM227">
        <f t="shared" si="13"/>
        <v>220</v>
      </c>
      <c r="AN227" s="27" t="s">
        <v>319</v>
      </c>
      <c r="AO227" s="8">
        <v>5</v>
      </c>
      <c r="AR227" s="27" t="s">
        <v>1587</v>
      </c>
      <c r="AS227" s="21">
        <v>2672</v>
      </c>
      <c r="AU227" t="s">
        <v>2494</v>
      </c>
      <c r="AV227" s="21">
        <v>1</v>
      </c>
    </row>
    <row r="228" spans="2:48" x14ac:dyDescent="0.35">
      <c r="B228">
        <f t="shared" si="11"/>
        <v>221</v>
      </c>
      <c r="C228" s="27" t="s">
        <v>160</v>
      </c>
      <c r="D228" s="8"/>
      <c r="E228" s="8"/>
      <c r="F228" s="8"/>
      <c r="G228" s="8"/>
      <c r="H228" s="8">
        <v>849.48500216800937</v>
      </c>
      <c r="I228" s="8"/>
      <c r="J228" s="8">
        <v>395.02523684167568</v>
      </c>
      <c r="K228" s="8">
        <v>1501.730266054753</v>
      </c>
      <c r="L228" s="8">
        <v>868.32788073273161</v>
      </c>
      <c r="M228" s="8"/>
      <c r="N228" s="8">
        <v>633.58586420150687</v>
      </c>
      <c r="O228" s="8"/>
      <c r="P228" s="8"/>
      <c r="Q228" s="8">
        <v>845.09804001425687</v>
      </c>
      <c r="R228" s="8"/>
      <c r="S228" s="8"/>
      <c r="T228" s="8"/>
      <c r="U228" s="8"/>
      <c r="V228" s="8"/>
      <c r="W228" s="8"/>
      <c r="X228" s="8"/>
      <c r="Y228" s="8"/>
      <c r="Z228" s="8">
        <v>5093.2522900129334</v>
      </c>
      <c r="AA228" s="8"/>
      <c r="AB228" s="8"/>
      <c r="AI228">
        <f t="shared" si="12"/>
        <v>221</v>
      </c>
      <c r="AJ228" s="27" t="s">
        <v>160</v>
      </c>
      <c r="AK228" s="8">
        <v>5093.2522900129334</v>
      </c>
      <c r="AM228">
        <f t="shared" si="13"/>
        <v>221</v>
      </c>
      <c r="AN228" s="27" t="s">
        <v>891</v>
      </c>
      <c r="AO228" s="8">
        <v>5</v>
      </c>
      <c r="AR228" s="27" t="s">
        <v>1540</v>
      </c>
      <c r="AS228" s="21">
        <v>2661</v>
      </c>
      <c r="AU228" s="27" t="s">
        <v>802</v>
      </c>
      <c r="AV228" s="21">
        <v>1</v>
      </c>
    </row>
    <row r="229" spans="2:48" x14ac:dyDescent="0.35">
      <c r="B229">
        <f t="shared" si="11"/>
        <v>222</v>
      </c>
      <c r="C229" s="27" t="s">
        <v>1326</v>
      </c>
      <c r="D229" s="8">
        <v>2410.2459480094485</v>
      </c>
      <c r="E229" s="8">
        <v>2635.4837468149121</v>
      </c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>
        <v>5045.7296948243602</v>
      </c>
      <c r="AA229" s="8"/>
      <c r="AB229" s="8"/>
      <c r="AI229">
        <f t="shared" si="12"/>
        <v>222</v>
      </c>
      <c r="AJ229" s="27" t="s">
        <v>1326</v>
      </c>
      <c r="AK229" s="8">
        <v>5045.7296948243602</v>
      </c>
      <c r="AM229">
        <f t="shared" si="13"/>
        <v>222</v>
      </c>
      <c r="AN229" s="27" t="s">
        <v>460</v>
      </c>
      <c r="AO229" s="8">
        <v>5</v>
      </c>
      <c r="AR229" t="s">
        <v>2399</v>
      </c>
      <c r="AS229" s="21">
        <v>2625</v>
      </c>
      <c r="AU229" t="s">
        <v>2477</v>
      </c>
      <c r="AV229" s="21">
        <v>1</v>
      </c>
    </row>
    <row r="230" spans="2:48" x14ac:dyDescent="0.35">
      <c r="B230">
        <f t="shared" si="11"/>
        <v>223</v>
      </c>
      <c r="C230" s="27" t="s">
        <v>1070</v>
      </c>
      <c r="D230" s="8">
        <v>2189.3967258352186</v>
      </c>
      <c r="E230" s="8">
        <v>1618.0480967120927</v>
      </c>
      <c r="F230" s="8"/>
      <c r="G230" s="8">
        <v>1134.3365109486799</v>
      </c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>
        <v>4941.7813334959919</v>
      </c>
      <c r="AA230" s="8"/>
      <c r="AB230" s="8"/>
      <c r="AI230">
        <f t="shared" si="12"/>
        <v>223</v>
      </c>
      <c r="AJ230" s="27" t="s">
        <v>1070</v>
      </c>
      <c r="AK230" s="8">
        <v>4941.7813334959919</v>
      </c>
      <c r="AM230">
        <f t="shared" si="13"/>
        <v>223</v>
      </c>
      <c r="AN230" s="27" t="s">
        <v>594</v>
      </c>
      <c r="AO230" s="8">
        <v>5</v>
      </c>
      <c r="AR230" s="27" t="s">
        <v>2341</v>
      </c>
      <c r="AS230" s="21">
        <v>2617</v>
      </c>
      <c r="AU230" s="27" t="s">
        <v>693</v>
      </c>
      <c r="AV230" s="21">
        <v>1</v>
      </c>
    </row>
    <row r="231" spans="2:48" x14ac:dyDescent="0.35">
      <c r="B231">
        <f t="shared" si="11"/>
        <v>224</v>
      </c>
      <c r="C231" t="s">
        <v>2384</v>
      </c>
      <c r="D231" s="8"/>
      <c r="E231" s="8"/>
      <c r="F231" s="8"/>
      <c r="G231" s="8"/>
      <c r="H231" s="8">
        <v>1272.474535210928</v>
      </c>
      <c r="I231" s="8">
        <v>1278.7536009528292</v>
      </c>
      <c r="J231" s="8"/>
      <c r="K231" s="8"/>
      <c r="L231" s="8">
        <v>990.24016271084383</v>
      </c>
      <c r="M231" s="8"/>
      <c r="N231" s="8"/>
      <c r="O231" s="8"/>
      <c r="P231" s="8"/>
      <c r="Q231" s="8"/>
      <c r="R231" s="8">
        <v>331.37891584078699</v>
      </c>
      <c r="S231" s="8">
        <v>1041.3926851582248</v>
      </c>
      <c r="T231" s="8"/>
      <c r="U231" s="8"/>
      <c r="V231" s="8"/>
      <c r="W231" s="8"/>
      <c r="X231" s="8"/>
      <c r="Y231" s="8"/>
      <c r="Z231" s="8">
        <v>4914.2398998736126</v>
      </c>
      <c r="AA231" s="8"/>
      <c r="AB231" s="8"/>
      <c r="AI231">
        <f t="shared" si="12"/>
        <v>224</v>
      </c>
      <c r="AJ231" t="s">
        <v>2384</v>
      </c>
      <c r="AK231" s="8">
        <v>4914.2398998736126</v>
      </c>
      <c r="AM231">
        <f t="shared" si="13"/>
        <v>224</v>
      </c>
      <c r="AN231" s="27" t="s">
        <v>1023</v>
      </c>
      <c r="AO231" s="8">
        <v>5</v>
      </c>
      <c r="AR231" s="27" t="s">
        <v>969</v>
      </c>
      <c r="AS231" s="21">
        <v>2593</v>
      </c>
      <c r="AU231" t="s">
        <v>2574</v>
      </c>
      <c r="AV231" s="21">
        <v>1</v>
      </c>
    </row>
    <row r="232" spans="2:48" x14ac:dyDescent="0.35">
      <c r="B232">
        <f t="shared" si="11"/>
        <v>225</v>
      </c>
      <c r="C232" s="27" t="s">
        <v>319</v>
      </c>
      <c r="D232" s="8">
        <v>2546.3256789710431</v>
      </c>
      <c r="E232" s="8"/>
      <c r="F232" s="8"/>
      <c r="G232" s="8"/>
      <c r="H232" s="8"/>
      <c r="I232" s="8"/>
      <c r="J232" s="8"/>
      <c r="K232" s="8"/>
      <c r="L232" s="8"/>
      <c r="M232" s="8">
        <v>926.57108284146648</v>
      </c>
      <c r="N232" s="8">
        <v>1380.2112417116061</v>
      </c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>
        <v>4853.1080035241157</v>
      </c>
      <c r="AA232" s="8"/>
      <c r="AB232" s="8"/>
      <c r="AI232">
        <f t="shared" si="12"/>
        <v>225</v>
      </c>
      <c r="AJ232" s="27" t="s">
        <v>319</v>
      </c>
      <c r="AK232" s="8">
        <v>4853.1080035241157</v>
      </c>
      <c r="AM232">
        <f t="shared" si="13"/>
        <v>225</v>
      </c>
      <c r="AN232" s="27" t="s">
        <v>1348</v>
      </c>
      <c r="AO232" s="8">
        <v>5</v>
      </c>
      <c r="AR232" s="27" t="s">
        <v>152</v>
      </c>
      <c r="AS232" s="21">
        <v>2592</v>
      </c>
      <c r="AU232" s="27" t="s">
        <v>1496</v>
      </c>
      <c r="AV232" s="21">
        <v>1</v>
      </c>
    </row>
    <row r="233" spans="2:48" x14ac:dyDescent="0.35">
      <c r="B233">
        <f t="shared" si="11"/>
        <v>226</v>
      </c>
      <c r="C233" s="27" t="s">
        <v>581</v>
      </c>
      <c r="D233" s="8"/>
      <c r="E233" s="8">
        <v>1318.0633349627615</v>
      </c>
      <c r="F233" s="8"/>
      <c r="G233" s="8"/>
      <c r="H233" s="8">
        <v>1137.775961313472</v>
      </c>
      <c r="I233" s="8">
        <v>1602.0599913279623</v>
      </c>
      <c r="J233" s="8"/>
      <c r="K233" s="8">
        <v>790.05047368335158</v>
      </c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>
        <v>4847.9497612875475</v>
      </c>
      <c r="AA233" s="8"/>
      <c r="AB233" s="8"/>
      <c r="AI233">
        <f t="shared" si="12"/>
        <v>226</v>
      </c>
      <c r="AJ233" s="27" t="s">
        <v>581</v>
      </c>
      <c r="AK233" s="8">
        <v>4847.9497612875475</v>
      </c>
      <c r="AM233">
        <f t="shared" si="13"/>
        <v>226</v>
      </c>
      <c r="AN233" s="27" t="s">
        <v>776</v>
      </c>
      <c r="AO233" s="8">
        <v>5</v>
      </c>
      <c r="AR233" s="27" t="s">
        <v>698</v>
      </c>
      <c r="AS233" s="21">
        <v>2580</v>
      </c>
      <c r="AU233" t="s">
        <v>2585</v>
      </c>
      <c r="AV233" s="21">
        <v>1</v>
      </c>
    </row>
    <row r="234" spans="2:48" x14ac:dyDescent="0.35">
      <c r="B234">
        <f t="shared" si="11"/>
        <v>227</v>
      </c>
      <c r="C234" s="27" t="s">
        <v>674</v>
      </c>
      <c r="D234" s="8">
        <v>831.39676233686873</v>
      </c>
      <c r="E234" s="8">
        <v>1116.7184063616087</v>
      </c>
      <c r="F234" s="8"/>
      <c r="G234" s="8">
        <v>1718.7783976895712</v>
      </c>
      <c r="H234" s="8"/>
      <c r="I234" s="8"/>
      <c r="J234" s="8">
        <v>1176.0912590556813</v>
      </c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>
        <v>4842.9848254437293</v>
      </c>
      <c r="AA234" s="8"/>
      <c r="AB234" s="8"/>
      <c r="AI234">
        <f t="shared" si="12"/>
        <v>227</v>
      </c>
      <c r="AJ234" s="27" t="s">
        <v>674</v>
      </c>
      <c r="AK234" s="8">
        <v>4842.9848254437293</v>
      </c>
      <c r="AM234">
        <f t="shared" si="13"/>
        <v>227</v>
      </c>
      <c r="AN234" s="27" t="s">
        <v>478</v>
      </c>
      <c r="AO234" s="8">
        <v>5</v>
      </c>
      <c r="AR234" s="27" t="s">
        <v>1176</v>
      </c>
      <c r="AS234" s="21">
        <v>2570</v>
      </c>
      <c r="AU234" s="27" t="s">
        <v>749</v>
      </c>
      <c r="AV234" s="21">
        <v>1</v>
      </c>
    </row>
    <row r="235" spans="2:48" x14ac:dyDescent="0.35">
      <c r="B235">
        <f t="shared" si="11"/>
        <v>228</v>
      </c>
      <c r="C235" s="27" t="s">
        <v>493</v>
      </c>
      <c r="D235" s="8"/>
      <c r="E235" s="8"/>
      <c r="F235" s="8"/>
      <c r="G235" s="8"/>
      <c r="H235" s="8">
        <v>1659.5993124367444</v>
      </c>
      <c r="I235" s="8"/>
      <c r="J235" s="8"/>
      <c r="K235" s="8"/>
      <c r="L235" s="8">
        <v>1073.1070983354316</v>
      </c>
      <c r="M235" s="8">
        <v>893.94660755207371</v>
      </c>
      <c r="N235" s="8"/>
      <c r="O235" s="8">
        <v>1214.843848047698</v>
      </c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>
        <v>4841.4968663719483</v>
      </c>
      <c r="AA235" s="8"/>
      <c r="AB235" s="8"/>
      <c r="AI235">
        <f t="shared" si="12"/>
        <v>228</v>
      </c>
      <c r="AJ235" s="27" t="s">
        <v>493</v>
      </c>
      <c r="AK235" s="8">
        <v>4841.4968663719483</v>
      </c>
      <c r="AM235">
        <f t="shared" si="13"/>
        <v>228</v>
      </c>
      <c r="AN235" s="27" t="s">
        <v>1054</v>
      </c>
      <c r="AO235" s="8">
        <v>5</v>
      </c>
      <c r="AR235" s="27" t="s">
        <v>499</v>
      </c>
      <c r="AS235" s="21">
        <v>2547</v>
      </c>
      <c r="AU235" t="s">
        <v>2624</v>
      </c>
      <c r="AV235" s="21">
        <v>1</v>
      </c>
    </row>
    <row r="236" spans="2:48" x14ac:dyDescent="0.35">
      <c r="B236">
        <f t="shared" si="11"/>
        <v>229</v>
      </c>
      <c r="C236" s="27" t="s">
        <v>435</v>
      </c>
      <c r="D236" s="8"/>
      <c r="E236" s="8"/>
      <c r="F236" s="8"/>
      <c r="G236" s="8"/>
      <c r="H236" s="8">
        <v>426.93598216088094</v>
      </c>
      <c r="I236" s="8"/>
      <c r="J236" s="8"/>
      <c r="K236" s="8"/>
      <c r="L236" s="8">
        <v>1622.4862742317471</v>
      </c>
      <c r="M236" s="8"/>
      <c r="N236" s="8"/>
      <c r="O236" s="8"/>
      <c r="P236" s="8"/>
      <c r="Q236" s="8"/>
      <c r="R236" s="8"/>
      <c r="S236" s="8">
        <v>374.0940135031002</v>
      </c>
      <c r="T236" s="8"/>
      <c r="U236" s="8"/>
      <c r="V236" s="8"/>
      <c r="W236" s="8">
        <v>1369.7458080334409</v>
      </c>
      <c r="X236" s="8"/>
      <c r="Y236" s="8">
        <v>1041.3926851582248</v>
      </c>
      <c r="Z236" s="8">
        <v>4834.6547630873938</v>
      </c>
      <c r="AA236" s="8"/>
      <c r="AB236" s="8"/>
      <c r="AI236">
        <f t="shared" si="12"/>
        <v>229</v>
      </c>
      <c r="AJ236" s="27" t="s">
        <v>435</v>
      </c>
      <c r="AK236" s="8">
        <v>4834.6547630873938</v>
      </c>
      <c r="AM236">
        <f t="shared" si="13"/>
        <v>229</v>
      </c>
      <c r="AN236" s="27" t="s">
        <v>1536</v>
      </c>
      <c r="AO236" s="8">
        <v>5</v>
      </c>
      <c r="AR236" s="27" t="s">
        <v>819</v>
      </c>
      <c r="AS236" s="21">
        <v>2545</v>
      </c>
      <c r="AU236" s="27" t="s">
        <v>222</v>
      </c>
      <c r="AV236" s="21">
        <v>1</v>
      </c>
    </row>
    <row r="237" spans="2:48" x14ac:dyDescent="0.35">
      <c r="B237">
        <f t="shared" si="11"/>
        <v>230</v>
      </c>
      <c r="C237" s="27" t="s">
        <v>1587</v>
      </c>
      <c r="D237" s="8"/>
      <c r="E237" s="8"/>
      <c r="F237" s="8"/>
      <c r="G237" s="8">
        <v>1245.5126678141498</v>
      </c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>
        <v>1130.3337684950061</v>
      </c>
      <c r="T237" s="8">
        <v>1406.5401804339549</v>
      </c>
      <c r="U237" s="8"/>
      <c r="V237" s="8"/>
      <c r="W237" s="8"/>
      <c r="X237" s="8"/>
      <c r="Y237" s="8">
        <v>1041.392685158225</v>
      </c>
      <c r="Z237" s="8">
        <v>4823.7793019013361</v>
      </c>
      <c r="AA237" s="8"/>
      <c r="AB237" s="8"/>
      <c r="AI237">
        <f t="shared" si="12"/>
        <v>230</v>
      </c>
      <c r="AJ237" s="27" t="s">
        <v>1587</v>
      </c>
      <c r="AK237" s="8">
        <v>4823.7793019013361</v>
      </c>
      <c r="AM237">
        <f t="shared" si="13"/>
        <v>230</v>
      </c>
      <c r="AN237" s="27" t="s">
        <v>666</v>
      </c>
      <c r="AO237" s="8">
        <v>5</v>
      </c>
      <c r="AR237" s="27" t="s">
        <v>674</v>
      </c>
      <c r="AS237" s="21">
        <v>2537</v>
      </c>
      <c r="AU237" s="27" t="s">
        <v>1108</v>
      </c>
      <c r="AV237" s="21">
        <v>1</v>
      </c>
    </row>
    <row r="238" spans="2:48" x14ac:dyDescent="0.35">
      <c r="B238">
        <f t="shared" si="11"/>
        <v>231</v>
      </c>
      <c r="C238" s="27" t="s">
        <v>1098</v>
      </c>
      <c r="D238" s="8"/>
      <c r="E238" s="8">
        <v>3792.4967480356936</v>
      </c>
      <c r="F238" s="8">
        <v>954.24250943932486</v>
      </c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>
        <v>4746.7392574750183</v>
      </c>
      <c r="AA238" s="8"/>
      <c r="AB238" s="8"/>
      <c r="AI238">
        <f t="shared" si="12"/>
        <v>231</v>
      </c>
      <c r="AJ238" s="27" t="s">
        <v>1098</v>
      </c>
      <c r="AK238" s="8">
        <v>4746.7392574750183</v>
      </c>
      <c r="AM238">
        <f t="shared" si="13"/>
        <v>231</v>
      </c>
      <c r="AN238" s="27" t="s">
        <v>832</v>
      </c>
      <c r="AO238" s="8">
        <v>5</v>
      </c>
      <c r="AR238" t="s">
        <v>2580</v>
      </c>
      <c r="AS238" s="21">
        <v>2509</v>
      </c>
      <c r="AU238" s="27" t="s">
        <v>936</v>
      </c>
      <c r="AV238" s="21">
        <v>1</v>
      </c>
    </row>
    <row r="239" spans="2:48" x14ac:dyDescent="0.35">
      <c r="B239">
        <f t="shared" si="11"/>
        <v>232</v>
      </c>
      <c r="C239" s="27" t="s">
        <v>152</v>
      </c>
      <c r="D239" s="8"/>
      <c r="E239" s="8"/>
      <c r="F239" s="8"/>
      <c r="G239" s="8"/>
      <c r="H239" s="8"/>
      <c r="I239" s="8"/>
      <c r="J239" s="8"/>
      <c r="K239" s="8"/>
      <c r="L239" s="8">
        <v>349.48500216800943</v>
      </c>
      <c r="M239" s="8"/>
      <c r="N239" s="8">
        <v>806.17997398388718</v>
      </c>
      <c r="O239" s="8"/>
      <c r="P239" s="8"/>
      <c r="Q239" s="8">
        <v>507.12021955730512</v>
      </c>
      <c r="R239" s="8">
        <v>903.08998699194365</v>
      </c>
      <c r="S239" s="8"/>
      <c r="T239" s="8"/>
      <c r="U239" s="8"/>
      <c r="V239" s="8"/>
      <c r="W239" s="8">
        <v>363.49936396813121</v>
      </c>
      <c r="X239" s="8">
        <v>1799.3405494535816</v>
      </c>
      <c r="Y239" s="8"/>
      <c r="Z239" s="8">
        <v>4728.7150961228581</v>
      </c>
      <c r="AA239" s="8"/>
      <c r="AB239" s="8"/>
      <c r="AI239">
        <f t="shared" si="12"/>
        <v>232</v>
      </c>
      <c r="AJ239" s="27" t="s">
        <v>152</v>
      </c>
      <c r="AK239" s="8">
        <v>4728.7150961228581</v>
      </c>
      <c r="AM239">
        <f t="shared" si="13"/>
        <v>232</v>
      </c>
      <c r="AN239" s="27" t="s">
        <v>1605</v>
      </c>
      <c r="AO239" s="8">
        <v>5</v>
      </c>
      <c r="AR239" t="s">
        <v>2294</v>
      </c>
      <c r="AS239" s="21">
        <v>2483</v>
      </c>
      <c r="AU239" t="s">
        <v>2686</v>
      </c>
      <c r="AV239" s="21">
        <v>1</v>
      </c>
    </row>
    <row r="240" spans="2:48" x14ac:dyDescent="0.35">
      <c r="B240">
        <f t="shared" si="11"/>
        <v>233</v>
      </c>
      <c r="C240" s="27" t="s">
        <v>1312</v>
      </c>
      <c r="D240" s="8">
        <v>441.12360144814386</v>
      </c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>
        <v>2351.2624023394283</v>
      </c>
      <c r="Q240" s="8"/>
      <c r="R240" s="8"/>
      <c r="S240" s="8"/>
      <c r="T240" s="8"/>
      <c r="U240" s="8">
        <v>1924.2792860618815</v>
      </c>
      <c r="V240" s="8"/>
      <c r="W240" s="8"/>
      <c r="X240" s="8"/>
      <c r="Y240" s="8"/>
      <c r="Z240" s="8">
        <v>4716.665289849454</v>
      </c>
      <c r="AA240" s="8"/>
      <c r="AB240" s="8"/>
      <c r="AI240">
        <f t="shared" si="12"/>
        <v>233</v>
      </c>
      <c r="AJ240" s="27" t="s">
        <v>1312</v>
      </c>
      <c r="AK240" s="8">
        <v>4716.665289849454</v>
      </c>
      <c r="AM240">
        <f t="shared" si="13"/>
        <v>233</v>
      </c>
      <c r="AN240" s="27" t="s">
        <v>466</v>
      </c>
      <c r="AO240" s="8">
        <v>5</v>
      </c>
      <c r="AR240" s="27" t="s">
        <v>129</v>
      </c>
      <c r="AS240" s="21">
        <v>2475</v>
      </c>
      <c r="AU240" s="27" t="s">
        <v>845</v>
      </c>
      <c r="AV240" s="21">
        <v>1</v>
      </c>
    </row>
    <row r="241" spans="2:48" x14ac:dyDescent="0.35">
      <c r="B241">
        <f t="shared" si="11"/>
        <v>234</v>
      </c>
      <c r="C241" t="s">
        <v>2449</v>
      </c>
      <c r="D241" s="8"/>
      <c r="E241" s="8"/>
      <c r="F241" s="8"/>
      <c r="G241" s="8"/>
      <c r="H241" s="8"/>
      <c r="I241" s="8"/>
      <c r="J241" s="8"/>
      <c r="K241" s="8"/>
      <c r="L241" s="8">
        <v>4696.7712606900768</v>
      </c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>
        <v>4696.7712606900768</v>
      </c>
      <c r="AA241" s="8"/>
      <c r="AB241" s="8"/>
      <c r="AI241">
        <f t="shared" si="12"/>
        <v>234</v>
      </c>
      <c r="AJ241" t="s">
        <v>2449</v>
      </c>
      <c r="AK241" s="8">
        <v>4696.7712606900768</v>
      </c>
      <c r="AM241">
        <f t="shared" si="13"/>
        <v>234</v>
      </c>
      <c r="AN241" s="27" t="s">
        <v>1635</v>
      </c>
      <c r="AO241" s="8">
        <v>5</v>
      </c>
      <c r="AR241" s="27" t="s">
        <v>493</v>
      </c>
      <c r="AS241" s="21">
        <v>2431</v>
      </c>
      <c r="AU241" s="27" t="s">
        <v>150</v>
      </c>
      <c r="AV241" s="21">
        <v>1</v>
      </c>
    </row>
    <row r="242" spans="2:48" x14ac:dyDescent="0.35">
      <c r="B242">
        <f t="shared" si="11"/>
        <v>235</v>
      </c>
      <c r="C242" s="27" t="s">
        <v>176</v>
      </c>
      <c r="D242" s="8"/>
      <c r="E242" s="8"/>
      <c r="F242" s="8"/>
      <c r="G242" s="8">
        <v>1425.9687322722812</v>
      </c>
      <c r="H242" s="8"/>
      <c r="I242" s="8">
        <v>1371.067862271736</v>
      </c>
      <c r="J242" s="8"/>
      <c r="K242" s="8">
        <v>382.95839698331599</v>
      </c>
      <c r="L242" s="8"/>
      <c r="M242" s="8">
        <v>1107.8264274971546</v>
      </c>
      <c r="N242" s="8">
        <v>395.02523684167568</v>
      </c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>
        <v>4682.8466558661639</v>
      </c>
      <c r="AA242" s="8"/>
      <c r="AB242" s="8"/>
      <c r="AI242">
        <f t="shared" si="12"/>
        <v>235</v>
      </c>
      <c r="AJ242" s="27" t="s">
        <v>176</v>
      </c>
      <c r="AK242" s="8">
        <v>4682.8466558661639</v>
      </c>
      <c r="AM242">
        <f t="shared" si="13"/>
        <v>235</v>
      </c>
      <c r="AN242" s="27" t="s">
        <v>1039</v>
      </c>
      <c r="AO242" s="8">
        <v>5</v>
      </c>
      <c r="AR242" t="s">
        <v>2419</v>
      </c>
      <c r="AS242" s="21">
        <v>2381</v>
      </c>
      <c r="AU242" s="27" t="s">
        <v>1615</v>
      </c>
      <c r="AV242" s="21"/>
    </row>
    <row r="243" spans="2:48" x14ac:dyDescent="0.35">
      <c r="B243">
        <f t="shared" si="11"/>
        <v>236</v>
      </c>
      <c r="C243" s="27" t="s">
        <v>2344</v>
      </c>
      <c r="D243" s="8"/>
      <c r="E243" s="8"/>
      <c r="F243" s="8"/>
      <c r="G243" s="8"/>
      <c r="H243" s="8"/>
      <c r="I243" s="8">
        <v>1875.0612633917003</v>
      </c>
      <c r="J243" s="8">
        <v>1851.2583487190752</v>
      </c>
      <c r="K243" s="8"/>
      <c r="L243" s="8">
        <v>897.01583927975037</v>
      </c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>
        <v>4623.335451390526</v>
      </c>
      <c r="AA243" s="8"/>
      <c r="AB243" s="8"/>
      <c r="AI243">
        <f t="shared" si="12"/>
        <v>236</v>
      </c>
      <c r="AJ243" s="27" t="s">
        <v>2344</v>
      </c>
      <c r="AK243" s="8">
        <v>4623.335451390526</v>
      </c>
      <c r="AM243">
        <f t="shared" si="13"/>
        <v>236</v>
      </c>
      <c r="AN243" s="27" t="s">
        <v>1079</v>
      </c>
      <c r="AO243" s="8">
        <v>5</v>
      </c>
      <c r="AR243" s="27" t="s">
        <v>1614</v>
      </c>
      <c r="AS243" s="21">
        <v>2376</v>
      </c>
      <c r="AU243" s="27" t="s">
        <v>852</v>
      </c>
      <c r="AV243" s="21"/>
    </row>
    <row r="244" spans="2:48" x14ac:dyDescent="0.35">
      <c r="B244">
        <f t="shared" si="11"/>
        <v>237</v>
      </c>
      <c r="C244" s="27" t="s">
        <v>741</v>
      </c>
      <c r="D244" s="8">
        <v>1913.1867291989013</v>
      </c>
      <c r="E244" s="8"/>
      <c r="F244" s="8"/>
      <c r="G244" s="8">
        <v>1054.3576623225927</v>
      </c>
      <c r="H244" s="8"/>
      <c r="I244" s="8">
        <v>1634.2446746993637</v>
      </c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>
        <v>4601.7890662208574</v>
      </c>
      <c r="AA244" s="8"/>
      <c r="AB244" s="8"/>
      <c r="AI244">
        <f t="shared" si="12"/>
        <v>237</v>
      </c>
      <c r="AJ244" s="27" t="s">
        <v>741</v>
      </c>
      <c r="AK244" s="8">
        <v>4601.7890662208574</v>
      </c>
      <c r="AM244">
        <f t="shared" si="13"/>
        <v>237</v>
      </c>
      <c r="AN244" s="27" t="s">
        <v>805</v>
      </c>
      <c r="AO244" s="8">
        <v>5</v>
      </c>
      <c r="AR244" t="s">
        <v>2379</v>
      </c>
      <c r="AS244" s="21">
        <v>2362</v>
      </c>
      <c r="AU244" s="27" t="s">
        <v>1302</v>
      </c>
      <c r="AV244" s="21"/>
    </row>
    <row r="245" spans="2:48" x14ac:dyDescent="0.35">
      <c r="B245">
        <f t="shared" si="11"/>
        <v>238</v>
      </c>
      <c r="C245" s="27" t="s">
        <v>460</v>
      </c>
      <c r="D245" s="8">
        <v>611.81982861711879</v>
      </c>
      <c r="E245" s="8"/>
      <c r="F245" s="8">
        <v>1894.8696567452523</v>
      </c>
      <c r="G245" s="8"/>
      <c r="H245" s="8"/>
      <c r="I245" s="8"/>
      <c r="J245" s="8"/>
      <c r="K245" s="8"/>
      <c r="L245" s="8">
        <v>1154.9019599857431</v>
      </c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>
        <v>924.27928606188175</v>
      </c>
      <c r="Y245" s="8"/>
      <c r="Z245" s="8">
        <v>4585.8707314099966</v>
      </c>
      <c r="AA245" s="8"/>
      <c r="AB245" s="8"/>
      <c r="AI245">
        <f t="shared" si="12"/>
        <v>238</v>
      </c>
      <c r="AJ245" s="27" t="s">
        <v>460</v>
      </c>
      <c r="AK245" s="8">
        <v>4585.8707314099966</v>
      </c>
      <c r="AM245">
        <f t="shared" si="13"/>
        <v>238</v>
      </c>
      <c r="AN245" s="27" t="s">
        <v>176</v>
      </c>
      <c r="AO245" s="8">
        <v>5</v>
      </c>
      <c r="AR245" s="27" t="s">
        <v>1603</v>
      </c>
      <c r="AS245" s="21">
        <v>2355</v>
      </c>
      <c r="AU245" s="27" t="s">
        <v>1332</v>
      </c>
      <c r="AV245" s="21"/>
    </row>
    <row r="246" spans="2:48" x14ac:dyDescent="0.35">
      <c r="B246">
        <f t="shared" si="11"/>
        <v>239</v>
      </c>
      <c r="C246" s="27" t="s">
        <v>126</v>
      </c>
      <c r="D246" s="8"/>
      <c r="E246" s="8"/>
      <c r="F246" s="8"/>
      <c r="G246" s="8"/>
      <c r="H246" s="8"/>
      <c r="I246" s="8">
        <v>1035.2757603485429</v>
      </c>
      <c r="J246" s="8"/>
      <c r="K246" s="8"/>
      <c r="L246" s="8"/>
      <c r="M246" s="8"/>
      <c r="N246" s="8">
        <v>977.72360528884769</v>
      </c>
      <c r="O246" s="8">
        <v>1410.7772333772095</v>
      </c>
      <c r="P246" s="8">
        <v>1158.3624920952498</v>
      </c>
      <c r="Q246" s="8"/>
      <c r="R246" s="8"/>
      <c r="S246" s="8"/>
      <c r="T246" s="8"/>
      <c r="U246" s="8"/>
      <c r="V246" s="8"/>
      <c r="W246" s="8"/>
      <c r="X246" s="8"/>
      <c r="Y246" s="8"/>
      <c r="Z246" s="8">
        <v>4582.1390911098497</v>
      </c>
      <c r="AA246" s="8"/>
      <c r="AB246" s="8"/>
      <c r="AI246">
        <f t="shared" si="12"/>
        <v>239</v>
      </c>
      <c r="AJ246" s="27" t="s">
        <v>126</v>
      </c>
      <c r="AK246" s="8">
        <v>4582.1390911098497</v>
      </c>
      <c r="AM246">
        <f t="shared" si="13"/>
        <v>239</v>
      </c>
      <c r="AN246" s="27" t="s">
        <v>1604</v>
      </c>
      <c r="AO246" s="8">
        <v>5</v>
      </c>
      <c r="AR246" s="27" t="s">
        <v>589</v>
      </c>
      <c r="AS246" s="21">
        <v>2353</v>
      </c>
      <c r="AU246" s="27" t="s">
        <v>1070</v>
      </c>
      <c r="AV246" s="21"/>
    </row>
    <row r="247" spans="2:48" x14ac:dyDescent="0.35">
      <c r="B247">
        <f t="shared" si="11"/>
        <v>240</v>
      </c>
      <c r="C247" t="s">
        <v>2307</v>
      </c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>
        <v>1342.4226808222061</v>
      </c>
      <c r="R247" s="8"/>
      <c r="S247" s="8"/>
      <c r="T247" s="8"/>
      <c r="U247" s="8">
        <v>1005.3950318867062</v>
      </c>
      <c r="V247" s="8"/>
      <c r="W247" s="8"/>
      <c r="X247" s="8">
        <v>2225.309281725863</v>
      </c>
      <c r="Y247" s="8"/>
      <c r="Z247" s="8">
        <v>4573.126994434775</v>
      </c>
      <c r="AA247" s="8"/>
      <c r="AB247" s="8"/>
      <c r="AI247">
        <f t="shared" si="12"/>
        <v>240</v>
      </c>
      <c r="AJ247" t="s">
        <v>2307</v>
      </c>
      <c r="AK247" s="8">
        <v>4573.126994434775</v>
      </c>
      <c r="AM247">
        <f t="shared" si="13"/>
        <v>240</v>
      </c>
      <c r="AN247" s="27" t="s">
        <v>262</v>
      </c>
      <c r="AO247" s="8">
        <v>5</v>
      </c>
      <c r="AR247" s="27" t="s">
        <v>2343</v>
      </c>
      <c r="AS247" s="21">
        <v>2350</v>
      </c>
      <c r="AU247" s="27" t="s">
        <v>1242</v>
      </c>
      <c r="AV247" s="21"/>
    </row>
    <row r="248" spans="2:48" x14ac:dyDescent="0.35">
      <c r="B248">
        <f t="shared" si="11"/>
        <v>241</v>
      </c>
      <c r="C248" s="27" t="s">
        <v>1570</v>
      </c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>
        <v>1638.4892569546373</v>
      </c>
      <c r="P248" s="8"/>
      <c r="Q248" s="8">
        <v>323.13182691000793</v>
      </c>
      <c r="R248" s="8"/>
      <c r="S248" s="8">
        <v>2267.7582166513657</v>
      </c>
      <c r="T248" s="8">
        <v>340.62061868779352</v>
      </c>
      <c r="U248" s="8"/>
      <c r="V248" s="8"/>
      <c r="W248" s="8"/>
      <c r="X248" s="8"/>
      <c r="Y248" s="8"/>
      <c r="Z248" s="8">
        <v>4569.9999192038049</v>
      </c>
      <c r="AA248" s="8"/>
      <c r="AB248" s="8"/>
      <c r="AI248">
        <f t="shared" si="12"/>
        <v>241</v>
      </c>
      <c r="AJ248" s="27" t="s">
        <v>1570</v>
      </c>
      <c r="AK248" s="8">
        <v>4569.999919203804</v>
      </c>
      <c r="AM248">
        <f t="shared" si="13"/>
        <v>241</v>
      </c>
      <c r="AN248" s="27" t="s">
        <v>973</v>
      </c>
      <c r="AO248" s="8">
        <v>5</v>
      </c>
      <c r="AR248" t="s">
        <v>2682</v>
      </c>
      <c r="AS248" s="21">
        <v>2342</v>
      </c>
      <c r="AU248" s="27" t="s">
        <v>1350</v>
      </c>
      <c r="AV248" s="21"/>
    </row>
    <row r="249" spans="2:48" x14ac:dyDescent="0.35">
      <c r="B249">
        <f t="shared" si="11"/>
        <v>242</v>
      </c>
      <c r="C249" s="27" t="s">
        <v>1409</v>
      </c>
      <c r="D249" s="8">
        <v>1618.0480967120927</v>
      </c>
      <c r="E249" s="8">
        <v>2950.6893179563276</v>
      </c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>
        <v>4568.7374146684206</v>
      </c>
      <c r="AA249" s="8"/>
      <c r="AB249" s="8"/>
      <c r="AI249">
        <f t="shared" si="12"/>
        <v>242</v>
      </c>
      <c r="AJ249" s="27" t="s">
        <v>1409</v>
      </c>
      <c r="AK249" s="8">
        <v>4568.7374146684206</v>
      </c>
      <c r="AM249">
        <f t="shared" si="13"/>
        <v>242</v>
      </c>
      <c r="AN249" s="27" t="s">
        <v>1596</v>
      </c>
      <c r="AO249" s="8">
        <v>5</v>
      </c>
      <c r="AR249" s="27" t="s">
        <v>767</v>
      </c>
      <c r="AS249" s="21">
        <v>2328</v>
      </c>
      <c r="AU249" s="27" t="s">
        <v>1326</v>
      </c>
      <c r="AV249" s="21"/>
    </row>
    <row r="250" spans="2:48" x14ac:dyDescent="0.35">
      <c r="B250">
        <f t="shared" si="11"/>
        <v>243</v>
      </c>
      <c r="C250" t="s">
        <v>2509</v>
      </c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>
        <v>1124.9387366082999</v>
      </c>
      <c r="V250" s="8">
        <v>3393.5752032695873</v>
      </c>
      <c r="W250" s="8"/>
      <c r="X250" s="8"/>
      <c r="Y250" s="8"/>
      <c r="Z250" s="8">
        <v>4518.5139398778874</v>
      </c>
      <c r="AA250" s="8"/>
      <c r="AB250" s="8"/>
      <c r="AI250">
        <f t="shared" si="12"/>
        <v>243</v>
      </c>
      <c r="AJ250" t="s">
        <v>2509</v>
      </c>
      <c r="AK250" s="8">
        <v>4518.5139398778874</v>
      </c>
      <c r="AM250">
        <f t="shared" si="13"/>
        <v>243</v>
      </c>
      <c r="AN250" s="27" t="s">
        <v>499</v>
      </c>
      <c r="AO250" s="8">
        <v>5</v>
      </c>
      <c r="AR250" s="27" t="s">
        <v>280</v>
      </c>
      <c r="AS250" s="21">
        <v>2320</v>
      </c>
      <c r="AU250" s="27" t="s">
        <v>966</v>
      </c>
      <c r="AV250" s="21"/>
    </row>
    <row r="251" spans="2:48" x14ac:dyDescent="0.35">
      <c r="B251">
        <f t="shared" si="11"/>
        <v>244</v>
      </c>
      <c r="C251" s="27" t="s">
        <v>1095</v>
      </c>
      <c r="D251" s="8">
        <v>1281.141629614461</v>
      </c>
      <c r="E251" s="8">
        <v>1781.9048993507624</v>
      </c>
      <c r="F251" s="8">
        <v>896.65587698653383</v>
      </c>
      <c r="G251" s="8"/>
      <c r="H251" s="8">
        <v>548.45500650402812</v>
      </c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>
        <v>4508.1574124557856</v>
      </c>
      <c r="AA251" s="8"/>
      <c r="AB251" s="8"/>
      <c r="AI251">
        <f t="shared" si="12"/>
        <v>244</v>
      </c>
      <c r="AJ251" s="27" t="s">
        <v>1095</v>
      </c>
      <c r="AK251" s="8">
        <v>4508.1574124557856</v>
      </c>
      <c r="AM251">
        <f t="shared" si="13"/>
        <v>244</v>
      </c>
      <c r="AN251" s="27" t="s">
        <v>1178</v>
      </c>
      <c r="AO251" s="8">
        <v>5</v>
      </c>
      <c r="AR251" t="s">
        <v>2299</v>
      </c>
      <c r="AS251" s="21">
        <v>2317</v>
      </c>
      <c r="AU251" s="27" t="s">
        <v>921</v>
      </c>
      <c r="AV251" s="21"/>
    </row>
    <row r="252" spans="2:48" x14ac:dyDescent="0.35">
      <c r="B252">
        <f t="shared" si="11"/>
        <v>245</v>
      </c>
      <c r="C252" s="27" t="s">
        <v>466</v>
      </c>
      <c r="D252" s="8">
        <v>1880.7270018145682</v>
      </c>
      <c r="E252" s="8"/>
      <c r="F252" s="8">
        <v>393.06009002745952</v>
      </c>
      <c r="G252" s="8"/>
      <c r="H252" s="8">
        <v>1372.9120029701066</v>
      </c>
      <c r="I252" s="8"/>
      <c r="J252" s="8"/>
      <c r="K252" s="8"/>
      <c r="L252" s="8">
        <v>853.87196432176199</v>
      </c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>
        <v>4500.5710591338966</v>
      </c>
      <c r="AA252" s="8"/>
      <c r="AB252" s="8"/>
      <c r="AI252">
        <f t="shared" si="12"/>
        <v>245</v>
      </c>
      <c r="AJ252" s="27" t="s">
        <v>466</v>
      </c>
      <c r="AK252" s="8">
        <v>4500.5710591338966</v>
      </c>
      <c r="AM252">
        <f t="shared" si="13"/>
        <v>245</v>
      </c>
      <c r="AN252" s="27" t="s">
        <v>1334</v>
      </c>
      <c r="AO252" s="8">
        <v>5</v>
      </c>
      <c r="AR252" t="s">
        <v>2574</v>
      </c>
      <c r="AS252" s="21">
        <v>2314</v>
      </c>
    </row>
    <row r="253" spans="2:48" x14ac:dyDescent="0.35">
      <c r="B253">
        <f t="shared" si="11"/>
        <v>246</v>
      </c>
      <c r="C253" s="27" t="s">
        <v>1551</v>
      </c>
      <c r="D253" s="8"/>
      <c r="E253" s="8">
        <v>1238.8820889151366</v>
      </c>
      <c r="F253" s="8">
        <v>1301.0299956639813</v>
      </c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>
        <v>1906.694111260769</v>
      </c>
      <c r="R253" s="8"/>
      <c r="S253" s="8"/>
      <c r="T253" s="8"/>
      <c r="U253" s="8"/>
      <c r="V253" s="8"/>
      <c r="W253" s="8"/>
      <c r="X253" s="8"/>
      <c r="Y253" s="8"/>
      <c r="Z253" s="8">
        <v>4446.6061958398868</v>
      </c>
      <c r="AA253" s="8"/>
      <c r="AB253" s="8"/>
      <c r="AI253">
        <f t="shared" si="12"/>
        <v>246</v>
      </c>
      <c r="AJ253" s="27" t="s">
        <v>1551</v>
      </c>
      <c r="AK253" s="8">
        <v>4446.6061958398868</v>
      </c>
      <c r="AM253">
        <f t="shared" si="13"/>
        <v>246</v>
      </c>
      <c r="AN253" s="27" t="s">
        <v>280</v>
      </c>
      <c r="AO253" s="8">
        <v>5</v>
      </c>
      <c r="AR253" s="27" t="s">
        <v>1585</v>
      </c>
      <c r="AS253" s="21">
        <v>2314</v>
      </c>
    </row>
    <row r="254" spans="2:48" x14ac:dyDescent="0.35">
      <c r="B254">
        <f t="shared" si="11"/>
        <v>247</v>
      </c>
      <c r="C254" s="27" t="s">
        <v>191</v>
      </c>
      <c r="D254" s="8"/>
      <c r="E254" s="8"/>
      <c r="F254" s="8"/>
      <c r="G254" s="8"/>
      <c r="H254" s="8">
        <v>1315.2704347785916</v>
      </c>
      <c r="I254" s="8"/>
      <c r="J254" s="8"/>
      <c r="K254" s="8"/>
      <c r="L254" s="8"/>
      <c r="M254" s="8">
        <v>2158.3624920952498</v>
      </c>
      <c r="N254" s="8">
        <v>964.83558293674912</v>
      </c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>
        <v>4438.4685098105901</v>
      </c>
      <c r="AA254" s="8"/>
      <c r="AB254" s="8"/>
      <c r="AI254">
        <f t="shared" si="12"/>
        <v>247</v>
      </c>
      <c r="AJ254" s="27" t="s">
        <v>191</v>
      </c>
      <c r="AK254" s="8">
        <v>4438.4685098105901</v>
      </c>
      <c r="AM254">
        <f t="shared" si="13"/>
        <v>247</v>
      </c>
      <c r="AN254" s="27" t="s">
        <v>674</v>
      </c>
      <c r="AO254" s="8">
        <v>5</v>
      </c>
      <c r="AR254" s="27" t="s">
        <v>261</v>
      </c>
      <c r="AS254" s="21">
        <v>2300</v>
      </c>
    </row>
    <row r="255" spans="2:48" x14ac:dyDescent="0.35">
      <c r="B255">
        <f t="shared" si="11"/>
        <v>248</v>
      </c>
      <c r="C255" s="27" t="s">
        <v>1581</v>
      </c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>
        <v>1348.9535479811641</v>
      </c>
      <c r="P255" s="8"/>
      <c r="Q255" s="8"/>
      <c r="R255" s="8">
        <v>1054.3576623225927</v>
      </c>
      <c r="S255" s="8"/>
      <c r="T255" s="8">
        <v>1170.2617153949575</v>
      </c>
      <c r="U255" s="8"/>
      <c r="V255" s="8"/>
      <c r="W255" s="8"/>
      <c r="X255" s="8"/>
      <c r="Y255" s="8">
        <v>855.31720519594273</v>
      </c>
      <c r="Z255" s="8">
        <v>4428.890130894657</v>
      </c>
      <c r="AA255" s="8"/>
      <c r="AB255" s="8"/>
      <c r="AI255">
        <f t="shared" si="12"/>
        <v>248</v>
      </c>
      <c r="AJ255" s="27" t="s">
        <v>1581</v>
      </c>
      <c r="AK255" s="8">
        <v>4428.890130894657</v>
      </c>
      <c r="AM255">
        <f t="shared" si="13"/>
        <v>248</v>
      </c>
      <c r="AN255" s="27" t="s">
        <v>1370</v>
      </c>
      <c r="AO255" s="8">
        <v>5</v>
      </c>
      <c r="AR255" s="27" t="s">
        <v>137</v>
      </c>
      <c r="AS255" s="21">
        <v>2289</v>
      </c>
    </row>
    <row r="256" spans="2:48" x14ac:dyDescent="0.35">
      <c r="B256">
        <f t="shared" si="11"/>
        <v>249</v>
      </c>
      <c r="C256" s="27" t="s">
        <v>907</v>
      </c>
      <c r="D256" s="8">
        <v>591.59455764979737</v>
      </c>
      <c r="E256" s="8"/>
      <c r="F256" s="8">
        <v>2201.3971243204514</v>
      </c>
      <c r="G256" s="8"/>
      <c r="H256" s="8">
        <v>1591.0646070264991</v>
      </c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>
        <v>4384.0562889967478</v>
      </c>
      <c r="AA256" s="8"/>
      <c r="AB256" s="8"/>
      <c r="AI256">
        <f t="shared" si="12"/>
        <v>249</v>
      </c>
      <c r="AJ256" s="27" t="s">
        <v>907</v>
      </c>
      <c r="AK256" s="8">
        <v>4384.0562889967478</v>
      </c>
      <c r="AM256">
        <f t="shared" si="13"/>
        <v>249</v>
      </c>
      <c r="AN256" s="27" t="s">
        <v>1543</v>
      </c>
      <c r="AO256" s="8">
        <v>5</v>
      </c>
      <c r="AR256" s="27" t="s">
        <v>1675</v>
      </c>
      <c r="AS256" s="21">
        <v>2277</v>
      </c>
    </row>
    <row r="257" spans="2:45" x14ac:dyDescent="0.35">
      <c r="B257">
        <f t="shared" si="11"/>
        <v>250</v>
      </c>
      <c r="C257" t="s">
        <v>2382</v>
      </c>
      <c r="D257" s="8"/>
      <c r="E257" s="8"/>
      <c r="F257" s="8"/>
      <c r="G257" s="8">
        <v>948.84747755261867</v>
      </c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>
        <v>795.88001734407533</v>
      </c>
      <c r="S257" s="8"/>
      <c r="T257" s="8"/>
      <c r="U257" s="8">
        <v>912.04482964486999</v>
      </c>
      <c r="V257" s="8">
        <v>1714.3297597452331</v>
      </c>
      <c r="W257" s="8"/>
      <c r="X257" s="8"/>
      <c r="Y257" s="8"/>
      <c r="Z257" s="8">
        <v>4371.1020842867974</v>
      </c>
      <c r="AA257" s="8"/>
      <c r="AB257" s="8"/>
      <c r="AI257">
        <f t="shared" si="12"/>
        <v>250</v>
      </c>
      <c r="AJ257" t="s">
        <v>2382</v>
      </c>
      <c r="AK257" s="8">
        <v>4371.1020842867965</v>
      </c>
      <c r="AM257">
        <f t="shared" si="13"/>
        <v>250</v>
      </c>
      <c r="AN257" s="27" t="s">
        <v>1074</v>
      </c>
      <c r="AO257" s="8">
        <v>5</v>
      </c>
      <c r="AR257" s="27" t="s">
        <v>1562</v>
      </c>
      <c r="AS257" s="21">
        <v>2240</v>
      </c>
    </row>
    <row r="258" spans="2:45" x14ac:dyDescent="0.35">
      <c r="B258">
        <f t="shared" si="11"/>
        <v>251</v>
      </c>
      <c r="C258" s="27" t="s">
        <v>539</v>
      </c>
      <c r="D258" s="8">
        <v>1036.429265626675</v>
      </c>
      <c r="E258" s="8"/>
      <c r="F258" s="8"/>
      <c r="G258" s="8"/>
      <c r="H258" s="8"/>
      <c r="I258" s="8"/>
      <c r="J258" s="8"/>
      <c r="K258" s="8"/>
      <c r="L258" s="8">
        <v>951.01353930912637</v>
      </c>
      <c r="M258" s="8"/>
      <c r="N258" s="8">
        <v>1079.1812460476249</v>
      </c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>
        <v>1296.6651902615308</v>
      </c>
      <c r="Z258" s="8">
        <v>4363.2892412449564</v>
      </c>
      <c r="AA258" s="8"/>
      <c r="AB258" s="8"/>
      <c r="AI258">
        <f t="shared" si="12"/>
        <v>251</v>
      </c>
      <c r="AJ258" s="27" t="s">
        <v>539</v>
      </c>
      <c r="AK258" s="8">
        <v>4363.2892412449564</v>
      </c>
      <c r="AM258">
        <f t="shared" si="13"/>
        <v>251</v>
      </c>
      <c r="AN258" t="s">
        <v>2643</v>
      </c>
      <c r="AO258" s="8">
        <v>4</v>
      </c>
      <c r="AR258" s="27" t="s">
        <v>1054</v>
      </c>
      <c r="AS258" s="21">
        <v>2236</v>
      </c>
    </row>
    <row r="259" spans="2:45" x14ac:dyDescent="0.35">
      <c r="B259">
        <f t="shared" si="11"/>
        <v>252</v>
      </c>
      <c r="C259" s="27" t="s">
        <v>499</v>
      </c>
      <c r="D259" s="8"/>
      <c r="E259" s="8"/>
      <c r="F259" s="8"/>
      <c r="G259" s="8"/>
      <c r="H259" s="8"/>
      <c r="I259" s="8"/>
      <c r="J259" s="8"/>
      <c r="K259" s="8"/>
      <c r="L259" s="8">
        <v>2503.790683057181</v>
      </c>
      <c r="M259" s="8"/>
      <c r="N259" s="8"/>
      <c r="O259" s="8"/>
      <c r="P259" s="8"/>
      <c r="Q259" s="8"/>
      <c r="R259" s="8">
        <v>680.86391800879642</v>
      </c>
      <c r="S259" s="8">
        <v>778.15125038364351</v>
      </c>
      <c r="T259" s="8">
        <v>389.07562519182176</v>
      </c>
      <c r="U259" s="8"/>
      <c r="V259" s="8"/>
      <c r="W259" s="8"/>
      <c r="X259" s="8"/>
      <c r="Y259" s="8"/>
      <c r="Z259" s="8">
        <v>4351.8814766414425</v>
      </c>
      <c r="AA259" s="8"/>
      <c r="AB259" s="8"/>
      <c r="AI259">
        <f t="shared" si="12"/>
        <v>252</v>
      </c>
      <c r="AJ259" s="27" t="s">
        <v>499</v>
      </c>
      <c r="AK259" s="8">
        <v>4351.8814766414425</v>
      </c>
      <c r="AM259">
        <f t="shared" si="13"/>
        <v>252</v>
      </c>
      <c r="AN259" s="27" t="s">
        <v>652</v>
      </c>
      <c r="AO259" s="8">
        <v>4</v>
      </c>
      <c r="AR259" s="27" t="s">
        <v>255</v>
      </c>
      <c r="AS259" s="21">
        <v>2220</v>
      </c>
    </row>
    <row r="260" spans="2:45" x14ac:dyDescent="0.35">
      <c r="B260">
        <f t="shared" si="11"/>
        <v>253</v>
      </c>
      <c r="C260" s="27" t="s">
        <v>1463</v>
      </c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>
        <v>2264.6890604997516</v>
      </c>
      <c r="P260" s="8">
        <v>2049.2180226701817</v>
      </c>
      <c r="Q260" s="8"/>
      <c r="R260" s="8"/>
      <c r="S260" s="8"/>
      <c r="T260" s="8"/>
      <c r="U260" s="8"/>
      <c r="V260" s="8"/>
      <c r="W260" s="8"/>
      <c r="X260" s="8"/>
      <c r="Y260" s="8"/>
      <c r="Z260" s="8">
        <v>4313.9070831699337</v>
      </c>
      <c r="AA260" s="8"/>
      <c r="AB260" s="8"/>
      <c r="AI260">
        <f t="shared" si="12"/>
        <v>253</v>
      </c>
      <c r="AJ260" s="27" t="s">
        <v>1463</v>
      </c>
      <c r="AK260" s="8">
        <v>4313.9070831699337</v>
      </c>
      <c r="AM260">
        <f t="shared" si="13"/>
        <v>253</v>
      </c>
      <c r="AN260" s="27" t="s">
        <v>2344</v>
      </c>
      <c r="AO260" s="8">
        <v>4</v>
      </c>
      <c r="AR260" t="s">
        <v>2340</v>
      </c>
      <c r="AS260" s="21">
        <v>2210</v>
      </c>
    </row>
    <row r="261" spans="2:45" x14ac:dyDescent="0.35">
      <c r="B261">
        <f t="shared" si="11"/>
        <v>254</v>
      </c>
      <c r="C261" s="27" t="s">
        <v>1074</v>
      </c>
      <c r="D261" s="8">
        <v>1226.7795436374752</v>
      </c>
      <c r="E261" s="8"/>
      <c r="F261" s="8">
        <v>3060.1104617552496</v>
      </c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>
        <v>4286.8900053927246</v>
      </c>
      <c r="AA261" s="8"/>
      <c r="AB261" s="8"/>
      <c r="AI261">
        <f t="shared" si="12"/>
        <v>254</v>
      </c>
      <c r="AJ261" s="27" t="s">
        <v>1074</v>
      </c>
      <c r="AK261" s="8">
        <v>4286.8900053927246</v>
      </c>
      <c r="AM261">
        <f t="shared" si="13"/>
        <v>254</v>
      </c>
      <c r="AN261" s="27" t="s">
        <v>493</v>
      </c>
      <c r="AO261" s="8">
        <v>4</v>
      </c>
      <c r="AR261" s="27" t="s">
        <v>242</v>
      </c>
      <c r="AS261" s="21">
        <v>2201</v>
      </c>
    </row>
    <row r="262" spans="2:45" x14ac:dyDescent="0.35">
      <c r="B262">
        <f t="shared" si="11"/>
        <v>255</v>
      </c>
      <c r="C262" s="27" t="s">
        <v>1302</v>
      </c>
      <c r="D262" s="8">
        <v>4275.5416884013093</v>
      </c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>
        <v>4275.5416884013093</v>
      </c>
      <c r="AA262" s="8"/>
      <c r="AB262" s="8"/>
      <c r="AI262">
        <f t="shared" si="12"/>
        <v>255</v>
      </c>
      <c r="AJ262" s="27" t="s">
        <v>1302</v>
      </c>
      <c r="AK262" s="8">
        <v>4275.5416884013093</v>
      </c>
      <c r="AM262">
        <f t="shared" si="13"/>
        <v>255</v>
      </c>
      <c r="AN262" t="s">
        <v>2537</v>
      </c>
      <c r="AO262" s="8">
        <v>4</v>
      </c>
      <c r="AR262" s="27" t="s">
        <v>179</v>
      </c>
      <c r="AS262" s="21">
        <v>2191</v>
      </c>
    </row>
    <row r="263" spans="2:45" x14ac:dyDescent="0.35">
      <c r="B263">
        <f t="shared" si="11"/>
        <v>256</v>
      </c>
      <c r="C263" s="27" t="s">
        <v>1635</v>
      </c>
      <c r="D263" s="8"/>
      <c r="E263" s="8"/>
      <c r="F263" s="8"/>
      <c r="G263" s="8"/>
      <c r="H263" s="8"/>
      <c r="I263" s="8"/>
      <c r="J263" s="8"/>
      <c r="K263" s="8"/>
      <c r="L263" s="8">
        <v>588.04562952784067</v>
      </c>
      <c r="M263" s="8"/>
      <c r="N263" s="8"/>
      <c r="O263" s="8">
        <v>954.24250943932486</v>
      </c>
      <c r="P263" s="8"/>
      <c r="Q263" s="8">
        <v>922.98481570888293</v>
      </c>
      <c r="R263" s="8">
        <v>1782.9501332654122</v>
      </c>
      <c r="S263" s="8"/>
      <c r="T263" s="8"/>
      <c r="U263" s="8"/>
      <c r="V263" s="8"/>
      <c r="W263" s="8"/>
      <c r="X263" s="8"/>
      <c r="Y263" s="8"/>
      <c r="Z263" s="8">
        <v>4248.2230879414601</v>
      </c>
      <c r="AA263" s="8"/>
      <c r="AB263" s="8"/>
      <c r="AI263">
        <f t="shared" si="12"/>
        <v>256</v>
      </c>
      <c r="AJ263" s="27" t="s">
        <v>1635</v>
      </c>
      <c r="AK263" s="8">
        <v>4248.223087941461</v>
      </c>
      <c r="AM263">
        <f t="shared" si="13"/>
        <v>256</v>
      </c>
      <c r="AN263" s="27" t="s">
        <v>1347</v>
      </c>
      <c r="AO263" s="8">
        <v>4</v>
      </c>
      <c r="AR263" s="27" t="s">
        <v>392</v>
      </c>
      <c r="AS263" s="21">
        <v>2182</v>
      </c>
    </row>
    <row r="264" spans="2:45" x14ac:dyDescent="0.35">
      <c r="B264">
        <f t="shared" si="11"/>
        <v>257</v>
      </c>
      <c r="C264" s="27" t="s">
        <v>242</v>
      </c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>
        <v>1119.4758409067977</v>
      </c>
      <c r="O264" s="8">
        <v>1058.5947152658473</v>
      </c>
      <c r="P264" s="8"/>
      <c r="Q264" s="8"/>
      <c r="R264" s="8"/>
      <c r="S264" s="8"/>
      <c r="T264" s="8"/>
      <c r="U264" s="8"/>
      <c r="V264" s="8"/>
      <c r="W264" s="8"/>
      <c r="X264" s="8">
        <v>795.88001734407533</v>
      </c>
      <c r="Y264" s="8">
        <v>1263.2414347745814</v>
      </c>
      <c r="Z264" s="8">
        <v>4237.192008291302</v>
      </c>
      <c r="AA264" s="8"/>
      <c r="AB264" s="8"/>
      <c r="AI264">
        <f t="shared" si="12"/>
        <v>257</v>
      </c>
      <c r="AJ264" s="27" t="s">
        <v>242</v>
      </c>
      <c r="AK264" s="8">
        <v>4237.192008291302</v>
      </c>
      <c r="AM264">
        <f t="shared" si="13"/>
        <v>257</v>
      </c>
      <c r="AN264" s="27" t="s">
        <v>1587</v>
      </c>
      <c r="AO264" s="8">
        <v>4</v>
      </c>
      <c r="AR264" s="27" t="s">
        <v>1565</v>
      </c>
      <c r="AS264" s="21">
        <v>2175</v>
      </c>
    </row>
    <row r="265" spans="2:45" x14ac:dyDescent="0.35">
      <c r="B265">
        <f t="shared" si="11"/>
        <v>258</v>
      </c>
      <c r="C265" s="27" t="s">
        <v>631</v>
      </c>
      <c r="D265" s="8"/>
      <c r="E265" s="8"/>
      <c r="F265" s="8"/>
      <c r="G265" s="8"/>
      <c r="H265" s="8"/>
      <c r="I265" s="8">
        <v>1156.347200859924</v>
      </c>
      <c r="J265" s="8">
        <v>1209.5150145426308</v>
      </c>
      <c r="K265" s="8">
        <v>974.0994300270645</v>
      </c>
      <c r="L265" s="8"/>
      <c r="M265" s="8"/>
      <c r="N265" s="8"/>
      <c r="O265" s="8"/>
      <c r="P265" s="8"/>
      <c r="Q265" s="8">
        <v>896.2505624616382</v>
      </c>
      <c r="R265" s="8"/>
      <c r="S265" s="8"/>
      <c r="T265" s="8"/>
      <c r="U265" s="8"/>
      <c r="V265" s="8"/>
      <c r="W265" s="8"/>
      <c r="X265" s="8"/>
      <c r="Y265" s="8"/>
      <c r="Z265" s="8">
        <v>4236.2122078912571</v>
      </c>
      <c r="AA265" s="8"/>
      <c r="AB265" s="8"/>
      <c r="AI265">
        <f t="shared" si="12"/>
        <v>258</v>
      </c>
      <c r="AJ265" s="27" t="s">
        <v>631</v>
      </c>
      <c r="AK265" s="8">
        <v>4236.2122078912571</v>
      </c>
      <c r="AM265">
        <f t="shared" si="13"/>
        <v>258</v>
      </c>
      <c r="AN265" s="27" t="s">
        <v>1068</v>
      </c>
      <c r="AO265" s="8">
        <v>4</v>
      </c>
      <c r="AR265" s="27" t="s">
        <v>987</v>
      </c>
      <c r="AS265" s="21">
        <v>2164</v>
      </c>
    </row>
    <row r="266" spans="2:45" x14ac:dyDescent="0.35">
      <c r="B266">
        <f t="shared" ref="B266:B329" si="14">B265+1</f>
        <v>259</v>
      </c>
      <c r="C266" s="27" t="s">
        <v>1604</v>
      </c>
      <c r="D266" s="8">
        <v>1079.1812460476247</v>
      </c>
      <c r="E266" s="8"/>
      <c r="F266" s="8">
        <v>763.42799356293722</v>
      </c>
      <c r="G266" s="8"/>
      <c r="H266" s="8"/>
      <c r="I266" s="8">
        <v>1477.1212547196624</v>
      </c>
      <c r="J266" s="8"/>
      <c r="K266" s="8"/>
      <c r="L266" s="8"/>
      <c r="M266" s="8"/>
      <c r="N266" s="8">
        <v>914.98921029165137</v>
      </c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>
        <v>4234.7197046218753</v>
      </c>
      <c r="AA266" s="8"/>
      <c r="AB266" s="8"/>
      <c r="AI266">
        <f t="shared" ref="AI266:AI329" si="15">AI265+1</f>
        <v>259</v>
      </c>
      <c r="AJ266" s="27" t="s">
        <v>1604</v>
      </c>
      <c r="AK266" s="8">
        <v>4234.7197046218753</v>
      </c>
      <c r="AM266">
        <f t="shared" ref="AM266:AM329" si="16">AM265+1</f>
        <v>259</v>
      </c>
      <c r="AN266" t="s">
        <v>2291</v>
      </c>
      <c r="AO266" s="8">
        <v>4</v>
      </c>
      <c r="AR266" s="27" t="s">
        <v>892</v>
      </c>
      <c r="AS266" s="21">
        <v>2130</v>
      </c>
    </row>
    <row r="267" spans="2:45" x14ac:dyDescent="0.35">
      <c r="B267">
        <f t="shared" si="14"/>
        <v>260</v>
      </c>
      <c r="C267" s="27" t="s">
        <v>1412</v>
      </c>
      <c r="D267" s="8">
        <v>2255.2725051033062</v>
      </c>
      <c r="E267" s="8">
        <v>778.15125038364374</v>
      </c>
      <c r="F267" s="8"/>
      <c r="G267" s="8"/>
      <c r="H267" s="8"/>
      <c r="I267" s="8"/>
      <c r="J267" s="8">
        <v>1041.3926851582248</v>
      </c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>
        <v>4074.8164406451751</v>
      </c>
      <c r="AA267" s="8"/>
      <c r="AB267" s="8"/>
      <c r="AI267">
        <f t="shared" si="15"/>
        <v>260</v>
      </c>
      <c r="AJ267" s="27" t="s">
        <v>1412</v>
      </c>
      <c r="AK267" s="8">
        <v>4074.8164406451751</v>
      </c>
      <c r="AM267">
        <f t="shared" si="16"/>
        <v>260</v>
      </c>
      <c r="AN267" s="27" t="s">
        <v>1622</v>
      </c>
      <c r="AO267" s="8">
        <v>4</v>
      </c>
      <c r="AR267" s="27" t="s">
        <v>1077</v>
      </c>
      <c r="AS267" s="21">
        <v>2089</v>
      </c>
    </row>
    <row r="268" spans="2:45" x14ac:dyDescent="0.35">
      <c r="B268">
        <f t="shared" si="14"/>
        <v>261</v>
      </c>
      <c r="C268" s="27" t="s">
        <v>565</v>
      </c>
      <c r="D268" s="8"/>
      <c r="E268" s="8"/>
      <c r="F268" s="8">
        <v>1127.1047983648077</v>
      </c>
      <c r="G268" s="8"/>
      <c r="H268" s="8"/>
      <c r="I268" s="8"/>
      <c r="J268" s="8"/>
      <c r="K268" s="8">
        <v>2033.8935170058758</v>
      </c>
      <c r="L268" s="8"/>
      <c r="M268" s="8"/>
      <c r="N268" s="8"/>
      <c r="O268" s="8"/>
      <c r="P268" s="8"/>
      <c r="Q268" s="8"/>
      <c r="R268" s="8"/>
      <c r="S268" s="8"/>
      <c r="T268" s="8">
        <v>855.31720519594273</v>
      </c>
      <c r="U268" s="8"/>
      <c r="V268" s="8"/>
      <c r="W268" s="8"/>
      <c r="X268" s="8"/>
      <c r="Y268" s="8"/>
      <c r="Z268" s="8">
        <v>4016.3155205666262</v>
      </c>
      <c r="AA268" s="8"/>
      <c r="AB268" s="8"/>
      <c r="AI268">
        <f t="shared" si="15"/>
        <v>261</v>
      </c>
      <c r="AJ268" s="27" t="s">
        <v>565</v>
      </c>
      <c r="AK268" s="8">
        <v>4016.3155205666262</v>
      </c>
      <c r="AM268">
        <f t="shared" si="16"/>
        <v>261</v>
      </c>
      <c r="AN268" s="27" t="s">
        <v>581</v>
      </c>
      <c r="AO268" s="8">
        <v>4</v>
      </c>
      <c r="AR268" s="27" t="s">
        <v>1570</v>
      </c>
      <c r="AS268" s="21">
        <v>2061</v>
      </c>
    </row>
    <row r="269" spans="2:45" x14ac:dyDescent="0.35">
      <c r="B269">
        <f t="shared" si="14"/>
        <v>262</v>
      </c>
      <c r="C269" s="27" t="s">
        <v>328</v>
      </c>
      <c r="D269" s="8"/>
      <c r="E269" s="8"/>
      <c r="F269" s="8"/>
      <c r="G269" s="8"/>
      <c r="H269" s="8"/>
      <c r="I269" s="8"/>
      <c r="J269" s="8"/>
      <c r="K269" s="8">
        <v>2787.9662326772423</v>
      </c>
      <c r="L269" s="8"/>
      <c r="M269" s="8"/>
      <c r="N269" s="8">
        <v>1204.119982655925</v>
      </c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>
        <v>3992.0862153331673</v>
      </c>
      <c r="AA269" s="8"/>
      <c r="AB269" s="8"/>
      <c r="AI269">
        <f t="shared" si="15"/>
        <v>262</v>
      </c>
      <c r="AJ269" s="27" t="s">
        <v>328</v>
      </c>
      <c r="AK269" s="8">
        <v>3992.0862153331673</v>
      </c>
      <c r="AM269">
        <f t="shared" si="16"/>
        <v>262</v>
      </c>
      <c r="AN269" s="27" t="s">
        <v>949</v>
      </c>
      <c r="AO269" s="8">
        <v>4</v>
      </c>
      <c r="AR269" s="27" t="s">
        <v>581</v>
      </c>
      <c r="AS269" s="21">
        <v>2047</v>
      </c>
    </row>
    <row r="270" spans="2:45" x14ac:dyDescent="0.35">
      <c r="B270">
        <f t="shared" si="14"/>
        <v>263</v>
      </c>
      <c r="C270" s="27" t="s">
        <v>1568</v>
      </c>
      <c r="D270" s="8"/>
      <c r="E270" s="8"/>
      <c r="F270" s="8"/>
      <c r="G270" s="8"/>
      <c r="H270" s="8"/>
      <c r="I270" s="8"/>
      <c r="J270" s="8"/>
      <c r="K270" s="8"/>
      <c r="L270" s="8">
        <v>1649.9835436451453</v>
      </c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>
        <v>1146.1280356782381</v>
      </c>
      <c r="X270" s="8"/>
      <c r="Y270" s="8">
        <v>1193.1245983544616</v>
      </c>
      <c r="Z270" s="8">
        <v>3989.2361776778453</v>
      </c>
      <c r="AA270" s="8"/>
      <c r="AB270" s="8"/>
      <c r="AI270">
        <f t="shared" si="15"/>
        <v>263</v>
      </c>
      <c r="AJ270" s="27" t="s">
        <v>1568</v>
      </c>
      <c r="AK270" s="8">
        <v>3989.2361776778453</v>
      </c>
      <c r="AM270">
        <f t="shared" si="16"/>
        <v>263</v>
      </c>
      <c r="AN270" t="s">
        <v>2307</v>
      </c>
      <c r="AO270" s="8">
        <v>4</v>
      </c>
      <c r="AR270" s="27" t="s">
        <v>1581</v>
      </c>
      <c r="AS270" s="21">
        <v>2026</v>
      </c>
    </row>
    <row r="271" spans="2:45" x14ac:dyDescent="0.35">
      <c r="B271">
        <f t="shared" si="14"/>
        <v>264</v>
      </c>
      <c r="C271" t="s">
        <v>2291</v>
      </c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>
        <v>1322.2192947339192</v>
      </c>
      <c r="R271" s="8">
        <v>845.09804001425687</v>
      </c>
      <c r="S271" s="8"/>
      <c r="T271" s="8">
        <v>1802.7737252919756</v>
      </c>
      <c r="U271" s="8"/>
      <c r="V271" s="8"/>
      <c r="W271" s="8"/>
      <c r="X271" s="8"/>
      <c r="Y271" s="8"/>
      <c r="Z271" s="8">
        <v>3970.0910600401517</v>
      </c>
      <c r="AA271" s="8"/>
      <c r="AB271" s="8"/>
      <c r="AI271">
        <f t="shared" si="15"/>
        <v>264</v>
      </c>
      <c r="AJ271" t="s">
        <v>2291</v>
      </c>
      <c r="AK271" s="8">
        <v>3970.0910600401517</v>
      </c>
      <c r="AM271">
        <f t="shared" si="16"/>
        <v>264</v>
      </c>
      <c r="AN271" s="27" t="s">
        <v>761</v>
      </c>
      <c r="AO271" s="8">
        <v>4</v>
      </c>
      <c r="AR271" s="27" t="s">
        <v>900</v>
      </c>
      <c r="AS271" s="21">
        <v>2025</v>
      </c>
    </row>
    <row r="272" spans="2:45" x14ac:dyDescent="0.35">
      <c r="B272">
        <f t="shared" si="14"/>
        <v>265</v>
      </c>
      <c r="C272" t="s">
        <v>2537</v>
      </c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>
        <v>1978.6369483844742</v>
      </c>
      <c r="W272" s="8"/>
      <c r="X272" s="8">
        <v>1021.1892990699381</v>
      </c>
      <c r="Y272" s="8">
        <v>929.41892571429264</v>
      </c>
      <c r="Z272" s="8">
        <v>3929.2451731687047</v>
      </c>
      <c r="AA272" s="8"/>
      <c r="AB272" s="8"/>
      <c r="AI272">
        <f t="shared" si="15"/>
        <v>265</v>
      </c>
      <c r="AJ272" t="s">
        <v>2537</v>
      </c>
      <c r="AK272" s="8">
        <v>3929.2451731687047</v>
      </c>
      <c r="AM272">
        <f t="shared" si="16"/>
        <v>265</v>
      </c>
      <c r="AN272" s="27" t="s">
        <v>802</v>
      </c>
      <c r="AO272" s="8">
        <v>4</v>
      </c>
      <c r="AR272" t="s">
        <v>2289</v>
      </c>
      <c r="AS272" s="21">
        <v>1994</v>
      </c>
    </row>
    <row r="273" spans="2:45" x14ac:dyDescent="0.35">
      <c r="B273">
        <f t="shared" si="14"/>
        <v>266</v>
      </c>
      <c r="C273" s="27" t="s">
        <v>392</v>
      </c>
      <c r="D273" s="8">
        <v>1352.1825181113625</v>
      </c>
      <c r="E273" s="8"/>
      <c r="F273" s="8"/>
      <c r="G273" s="8"/>
      <c r="H273" s="8"/>
      <c r="I273" s="8"/>
      <c r="J273" s="8"/>
      <c r="K273" s="8"/>
      <c r="L273" s="8"/>
      <c r="M273" s="8">
        <v>804.48018910599274</v>
      </c>
      <c r="N273" s="8"/>
      <c r="O273" s="8"/>
      <c r="P273" s="8"/>
      <c r="Q273" s="8"/>
      <c r="R273" s="8"/>
      <c r="S273" s="8">
        <v>1724.2758696007891</v>
      </c>
      <c r="T273" s="8"/>
      <c r="U273" s="8"/>
      <c r="V273" s="8"/>
      <c r="W273" s="8"/>
      <c r="X273" s="8"/>
      <c r="Y273" s="8"/>
      <c r="Z273" s="8">
        <v>3880.9385768181442</v>
      </c>
      <c r="AA273" s="8"/>
      <c r="AB273" s="8"/>
      <c r="AI273">
        <f t="shared" si="15"/>
        <v>266</v>
      </c>
      <c r="AJ273" s="27" t="s">
        <v>392</v>
      </c>
      <c r="AK273" s="8">
        <v>3880.9385768181442</v>
      </c>
      <c r="AM273">
        <f t="shared" si="16"/>
        <v>266</v>
      </c>
      <c r="AN273" s="27" t="s">
        <v>1081</v>
      </c>
      <c r="AO273" s="8">
        <v>4</v>
      </c>
      <c r="AR273" s="27" t="s">
        <v>1553</v>
      </c>
      <c r="AS273" s="21">
        <v>1990</v>
      </c>
    </row>
    <row r="274" spans="2:45" x14ac:dyDescent="0.35">
      <c r="B274">
        <f t="shared" si="14"/>
        <v>267</v>
      </c>
      <c r="C274" s="27" t="s">
        <v>1575</v>
      </c>
      <c r="D274" s="8"/>
      <c r="E274" s="8"/>
      <c r="F274" s="8"/>
      <c r="G274" s="8">
        <v>714.0337507718948</v>
      </c>
      <c r="H274" s="8"/>
      <c r="I274" s="8">
        <v>756.96195131370564</v>
      </c>
      <c r="J274" s="8"/>
      <c r="K274" s="8"/>
      <c r="L274" s="8"/>
      <c r="M274" s="8"/>
      <c r="N274" s="8"/>
      <c r="O274" s="8"/>
      <c r="P274" s="8"/>
      <c r="Q274" s="8"/>
      <c r="R274" s="8">
        <v>1295.5670999624788</v>
      </c>
      <c r="S274" s="8">
        <v>1079.1812460476249</v>
      </c>
      <c r="T274" s="8"/>
      <c r="U274" s="8"/>
      <c r="V274" s="8"/>
      <c r="W274" s="8"/>
      <c r="X274" s="8"/>
      <c r="Y274" s="8"/>
      <c r="Z274" s="8">
        <v>3845.7440480957039</v>
      </c>
      <c r="AA274" s="8"/>
      <c r="AB274" s="8"/>
      <c r="AI274">
        <f t="shared" si="15"/>
        <v>267</v>
      </c>
      <c r="AJ274" s="27" t="s">
        <v>1575</v>
      </c>
      <c r="AK274" s="8">
        <v>3845.7440480957039</v>
      </c>
      <c r="AM274">
        <f t="shared" si="16"/>
        <v>267</v>
      </c>
      <c r="AN274" s="27" t="s">
        <v>985</v>
      </c>
      <c r="AO274" s="8">
        <v>4</v>
      </c>
      <c r="AR274" s="27" t="s">
        <v>685</v>
      </c>
      <c r="AS274" s="21">
        <v>1977.75</v>
      </c>
    </row>
    <row r="275" spans="2:45" x14ac:dyDescent="0.35">
      <c r="B275">
        <f t="shared" si="14"/>
        <v>268</v>
      </c>
      <c r="C275" t="s">
        <v>2288</v>
      </c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>
        <v>507.12021955730512</v>
      </c>
      <c r="R275" s="8"/>
      <c r="S275" s="8">
        <v>1465.1586205295994</v>
      </c>
      <c r="T275" s="8">
        <v>1866.1968799114841</v>
      </c>
      <c r="U275" s="8"/>
      <c r="V275" s="8"/>
      <c r="W275" s="8"/>
      <c r="X275" s="8"/>
      <c r="Y275" s="8"/>
      <c r="Z275" s="8">
        <v>3838.4757199983887</v>
      </c>
      <c r="AA275" s="8"/>
      <c r="AB275" s="8"/>
      <c r="AI275">
        <f t="shared" si="15"/>
        <v>268</v>
      </c>
      <c r="AJ275" t="s">
        <v>2288</v>
      </c>
      <c r="AK275" s="8">
        <v>3838.4757199983887</v>
      </c>
      <c r="AM275">
        <f t="shared" si="16"/>
        <v>268</v>
      </c>
      <c r="AN275" s="27" t="s">
        <v>987</v>
      </c>
      <c r="AO275" s="8">
        <v>4</v>
      </c>
      <c r="AR275" s="27" t="s">
        <v>349</v>
      </c>
      <c r="AS275" s="21">
        <v>1969</v>
      </c>
    </row>
    <row r="276" spans="2:45" x14ac:dyDescent="0.35">
      <c r="B276">
        <f t="shared" si="14"/>
        <v>269</v>
      </c>
      <c r="C276" s="27" t="s">
        <v>767</v>
      </c>
      <c r="D276" s="8"/>
      <c r="E276" s="8"/>
      <c r="F276" s="8">
        <v>1224.0148113728642</v>
      </c>
      <c r="G276" s="8"/>
      <c r="H276" s="8">
        <v>841.43308592785161</v>
      </c>
      <c r="I276" s="8">
        <v>1748.1880270062004</v>
      </c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>
        <v>3813.6359243069164</v>
      </c>
      <c r="AA276" s="8"/>
      <c r="AB276" s="8"/>
      <c r="AI276">
        <f t="shared" si="15"/>
        <v>269</v>
      </c>
      <c r="AJ276" s="27" t="s">
        <v>767</v>
      </c>
      <c r="AK276" s="8">
        <v>3813.6359243069164</v>
      </c>
      <c r="AM276">
        <f t="shared" si="16"/>
        <v>269</v>
      </c>
      <c r="AN276" s="27" t="s">
        <v>126</v>
      </c>
      <c r="AO276" s="8">
        <v>4</v>
      </c>
      <c r="AR276" s="27" t="s">
        <v>1596</v>
      </c>
      <c r="AS276" s="21">
        <v>1943</v>
      </c>
    </row>
    <row r="277" spans="2:45" x14ac:dyDescent="0.35">
      <c r="B277">
        <f t="shared" si="14"/>
        <v>270</v>
      </c>
      <c r="C277" s="27" t="s">
        <v>987</v>
      </c>
      <c r="D277" s="8"/>
      <c r="E277" s="8"/>
      <c r="F277" s="8">
        <v>1525.0448070368452</v>
      </c>
      <c r="G277" s="8">
        <v>467.24922562178381</v>
      </c>
      <c r="H277" s="8"/>
      <c r="I277" s="8">
        <v>1817.3393760893412</v>
      </c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>
        <v>3809.63340874797</v>
      </c>
      <c r="AA277" s="8"/>
      <c r="AB277" s="8"/>
      <c r="AI277">
        <f t="shared" si="15"/>
        <v>270</v>
      </c>
      <c r="AJ277" s="27" t="s">
        <v>987</v>
      </c>
      <c r="AK277" s="8">
        <v>3809.63340874797</v>
      </c>
      <c r="AM277">
        <f t="shared" si="16"/>
        <v>270</v>
      </c>
      <c r="AN277" s="27" t="s">
        <v>565</v>
      </c>
      <c r="AO277" s="8">
        <v>4</v>
      </c>
      <c r="AR277" t="s">
        <v>2455</v>
      </c>
      <c r="AS277" s="21">
        <v>1935</v>
      </c>
    </row>
    <row r="278" spans="2:45" x14ac:dyDescent="0.35">
      <c r="B278">
        <f t="shared" si="14"/>
        <v>271</v>
      </c>
      <c r="C278" s="27" t="s">
        <v>834</v>
      </c>
      <c r="D278" s="8"/>
      <c r="E278" s="8"/>
      <c r="F278" s="8"/>
      <c r="G278" s="8"/>
      <c r="H278" s="8"/>
      <c r="I278" s="8">
        <v>2309.6301674258984</v>
      </c>
      <c r="J278" s="8">
        <v>361.55184202636906</v>
      </c>
      <c r="K278" s="8"/>
      <c r="L278" s="8"/>
      <c r="M278" s="8"/>
      <c r="N278" s="8"/>
      <c r="O278" s="8">
        <v>1130.3337684950061</v>
      </c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>
        <v>3801.5157779472734</v>
      </c>
      <c r="AA278" s="8"/>
      <c r="AB278" s="8"/>
      <c r="AI278">
        <f t="shared" si="15"/>
        <v>271</v>
      </c>
      <c r="AJ278" s="27" t="s">
        <v>834</v>
      </c>
      <c r="AK278" s="8">
        <v>3801.5157779472734</v>
      </c>
      <c r="AM278">
        <f t="shared" si="16"/>
        <v>271</v>
      </c>
      <c r="AN278" s="27" t="s">
        <v>1575</v>
      </c>
      <c r="AO278" s="8">
        <v>4</v>
      </c>
      <c r="AR278" s="27" t="s">
        <v>199</v>
      </c>
      <c r="AS278" s="21">
        <v>1918</v>
      </c>
    </row>
    <row r="279" spans="2:45" x14ac:dyDescent="0.35">
      <c r="B279">
        <f t="shared" si="14"/>
        <v>272</v>
      </c>
      <c r="C279" s="27" t="s">
        <v>1615</v>
      </c>
      <c r="D279" s="8">
        <v>2099.3846321359119</v>
      </c>
      <c r="E279" s="8">
        <v>1681.2412373755872</v>
      </c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>
        <v>3780.6258695114993</v>
      </c>
      <c r="AA279" s="8"/>
      <c r="AB279" s="8"/>
      <c r="AI279">
        <f t="shared" si="15"/>
        <v>272</v>
      </c>
      <c r="AJ279" s="27" t="s">
        <v>1615</v>
      </c>
      <c r="AK279" s="8">
        <v>3780.6258695114993</v>
      </c>
      <c r="AM279">
        <f t="shared" si="16"/>
        <v>272</v>
      </c>
      <c r="AN279" s="27" t="s">
        <v>1491</v>
      </c>
      <c r="AO279" s="8">
        <v>4</v>
      </c>
      <c r="AR279" s="27" t="s">
        <v>1564</v>
      </c>
      <c r="AS279" s="21">
        <v>1910</v>
      </c>
    </row>
    <row r="280" spans="2:45" x14ac:dyDescent="0.35">
      <c r="B280">
        <f t="shared" si="14"/>
        <v>273</v>
      </c>
      <c r="C280" s="27" t="s">
        <v>1669</v>
      </c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>
        <v>970.03677662255677</v>
      </c>
      <c r="Q280" s="8"/>
      <c r="R280" s="8"/>
      <c r="S280" s="8"/>
      <c r="T280" s="8"/>
      <c r="U280" s="8">
        <v>845.09804001425687</v>
      </c>
      <c r="V280" s="8"/>
      <c r="W280" s="8"/>
      <c r="X280" s="8">
        <v>1929.4189257142925</v>
      </c>
      <c r="Y280" s="8"/>
      <c r="Z280" s="8">
        <v>3744.5537423511059</v>
      </c>
      <c r="AA280" s="8"/>
      <c r="AB280" s="8"/>
      <c r="AI280">
        <f t="shared" si="15"/>
        <v>273</v>
      </c>
      <c r="AJ280" s="27" t="s">
        <v>1669</v>
      </c>
      <c r="AK280" s="8">
        <v>3744.5537423511059</v>
      </c>
      <c r="AM280">
        <f t="shared" si="16"/>
        <v>273</v>
      </c>
      <c r="AN280" s="27" t="s">
        <v>983</v>
      </c>
      <c r="AO280" s="8">
        <v>4</v>
      </c>
      <c r="AR280" t="s">
        <v>2307</v>
      </c>
      <c r="AS280" s="21">
        <v>1889</v>
      </c>
    </row>
    <row r="281" spans="2:45" x14ac:dyDescent="0.35">
      <c r="B281">
        <f t="shared" si="14"/>
        <v>274</v>
      </c>
      <c r="C281" s="27" t="s">
        <v>1079</v>
      </c>
      <c r="D281" s="8">
        <v>189.85998934626002</v>
      </c>
      <c r="E281" s="8">
        <v>2971.2758487381052</v>
      </c>
      <c r="F281" s="8">
        <v>569.15134908314076</v>
      </c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>
        <v>3730.2871871675061</v>
      </c>
      <c r="AA281" s="8"/>
      <c r="AB281" s="8"/>
      <c r="AI281">
        <f t="shared" si="15"/>
        <v>274</v>
      </c>
      <c r="AJ281" s="27" t="s">
        <v>1079</v>
      </c>
      <c r="AK281" s="8">
        <v>3730.2871871675056</v>
      </c>
      <c r="AM281">
        <f t="shared" si="16"/>
        <v>274</v>
      </c>
      <c r="AN281" s="27" t="s">
        <v>382</v>
      </c>
      <c r="AO281" s="8">
        <v>4</v>
      </c>
      <c r="AR281" s="27" t="s">
        <v>1479</v>
      </c>
      <c r="AS281" s="21">
        <v>1884</v>
      </c>
    </row>
    <row r="282" spans="2:45" x14ac:dyDescent="0.35">
      <c r="B282">
        <f t="shared" si="14"/>
        <v>275</v>
      </c>
      <c r="C282" s="27" t="s">
        <v>1467</v>
      </c>
      <c r="D282" s="8">
        <v>2097.8817447138681</v>
      </c>
      <c r="E282" s="8">
        <v>1614.8972160331346</v>
      </c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>
        <v>3712.7789607470027</v>
      </c>
      <c r="AA282" s="8"/>
      <c r="AB282" s="8"/>
      <c r="AI282">
        <f t="shared" si="15"/>
        <v>275</v>
      </c>
      <c r="AJ282" s="27" t="s">
        <v>1467</v>
      </c>
      <c r="AK282" s="8">
        <v>3712.7789607470027</v>
      </c>
      <c r="AM282">
        <f t="shared" si="16"/>
        <v>275</v>
      </c>
      <c r="AN282" s="27" t="s">
        <v>1077</v>
      </c>
      <c r="AO282" s="8">
        <v>4</v>
      </c>
      <c r="AR282" s="27" t="s">
        <v>497</v>
      </c>
      <c r="AS282" s="21">
        <v>1870</v>
      </c>
    </row>
    <row r="283" spans="2:45" x14ac:dyDescent="0.35">
      <c r="B283">
        <f t="shared" si="14"/>
        <v>276</v>
      </c>
      <c r="C283" s="27" t="s">
        <v>1256</v>
      </c>
      <c r="D283" s="8">
        <v>791.37218661314296</v>
      </c>
      <c r="E283" s="8">
        <v>2917.4354846439937</v>
      </c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>
        <v>3708.8076712571365</v>
      </c>
      <c r="AA283" s="8"/>
      <c r="AB283" s="8"/>
      <c r="AI283">
        <f t="shared" si="15"/>
        <v>276</v>
      </c>
      <c r="AJ283" s="27" t="s">
        <v>1256</v>
      </c>
      <c r="AK283" s="8">
        <v>3708.8076712571365</v>
      </c>
      <c r="AM283">
        <f t="shared" si="16"/>
        <v>276</v>
      </c>
      <c r="AN283" s="27" t="s">
        <v>1551</v>
      </c>
      <c r="AO283" s="8">
        <v>4</v>
      </c>
      <c r="AR283" s="27" t="s">
        <v>328</v>
      </c>
      <c r="AS283" s="21">
        <v>1870</v>
      </c>
    </row>
    <row r="284" spans="2:45" x14ac:dyDescent="0.35">
      <c r="B284">
        <f t="shared" si="14"/>
        <v>277</v>
      </c>
      <c r="C284" s="27" t="s">
        <v>1617</v>
      </c>
      <c r="D284" s="8"/>
      <c r="E284" s="8"/>
      <c r="F284" s="8"/>
      <c r="G284" s="8"/>
      <c r="H284" s="8"/>
      <c r="I284" s="8"/>
      <c r="J284" s="8">
        <v>3027.3496077747568</v>
      </c>
      <c r="K284" s="8"/>
      <c r="L284" s="8"/>
      <c r="M284" s="8"/>
      <c r="N284" s="8"/>
      <c r="O284" s="8">
        <v>665.11173707505145</v>
      </c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>
        <v>3692.4613448498085</v>
      </c>
      <c r="AA284" s="8"/>
      <c r="AB284" s="8"/>
      <c r="AI284">
        <f t="shared" si="15"/>
        <v>277</v>
      </c>
      <c r="AJ284" s="27" t="s">
        <v>1617</v>
      </c>
      <c r="AK284" s="8">
        <v>3692.4613448498085</v>
      </c>
      <c r="AM284">
        <f t="shared" si="16"/>
        <v>277</v>
      </c>
      <c r="AN284" s="27" t="s">
        <v>244</v>
      </c>
      <c r="AO284" s="8">
        <v>4</v>
      </c>
      <c r="AR284" s="27" t="s">
        <v>541</v>
      </c>
      <c r="AS284" s="21">
        <v>1860</v>
      </c>
    </row>
    <row r="285" spans="2:45" x14ac:dyDescent="0.35">
      <c r="B285">
        <f t="shared" si="14"/>
        <v>278</v>
      </c>
      <c r="C285" t="s">
        <v>2547</v>
      </c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>
        <v>3687.707279624819</v>
      </c>
      <c r="W285" s="8"/>
      <c r="X285" s="8"/>
      <c r="Y285" s="8"/>
      <c r="Z285" s="8">
        <v>3687.707279624819</v>
      </c>
      <c r="AA285" s="8"/>
      <c r="AB285" s="8"/>
      <c r="AI285">
        <f t="shared" si="15"/>
        <v>278</v>
      </c>
      <c r="AJ285" t="s">
        <v>2547</v>
      </c>
      <c r="AK285" s="8">
        <v>3687.707279624819</v>
      </c>
      <c r="AM285">
        <f t="shared" si="16"/>
        <v>278</v>
      </c>
      <c r="AN285" s="27" t="s">
        <v>1104</v>
      </c>
      <c r="AO285" s="8">
        <v>4</v>
      </c>
      <c r="AR285" s="27" t="s">
        <v>1525</v>
      </c>
      <c r="AS285" s="21">
        <v>1850</v>
      </c>
    </row>
    <row r="286" spans="2:45" x14ac:dyDescent="0.35">
      <c r="B286">
        <f t="shared" si="14"/>
        <v>279</v>
      </c>
      <c r="C286" s="27" t="s">
        <v>179</v>
      </c>
      <c r="D286" s="8"/>
      <c r="E286" s="8"/>
      <c r="F286" s="8"/>
      <c r="G286" s="8"/>
      <c r="H286" s="8"/>
      <c r="I286" s="8"/>
      <c r="J286" s="8">
        <v>1623.2492903979005</v>
      </c>
      <c r="K286" s="8"/>
      <c r="L286" s="8"/>
      <c r="M286" s="8"/>
      <c r="N286" s="8">
        <v>1441.9568376564116</v>
      </c>
      <c r="O286" s="8"/>
      <c r="P286" s="8"/>
      <c r="Q286" s="8"/>
      <c r="R286" s="8"/>
      <c r="S286" s="8"/>
      <c r="T286" s="8"/>
      <c r="U286" s="8">
        <v>602.05999132796251</v>
      </c>
      <c r="V286" s="8"/>
      <c r="W286" s="8"/>
      <c r="X286" s="8"/>
      <c r="Y286" s="8"/>
      <c r="Z286" s="8">
        <v>3667.2661193822746</v>
      </c>
      <c r="AA286" s="8"/>
      <c r="AB286" s="8"/>
      <c r="AI286">
        <f t="shared" si="15"/>
        <v>279</v>
      </c>
      <c r="AJ286" s="27" t="s">
        <v>179</v>
      </c>
      <c r="AK286" s="8">
        <v>3667.2661193822746</v>
      </c>
      <c r="AM286">
        <f t="shared" si="16"/>
        <v>279</v>
      </c>
      <c r="AN286" s="27" t="s">
        <v>474</v>
      </c>
      <c r="AO286" s="8">
        <v>4</v>
      </c>
      <c r="AR286" s="27" t="s">
        <v>1079</v>
      </c>
      <c r="AS286" s="21">
        <v>1848</v>
      </c>
    </row>
    <row r="287" spans="2:45" x14ac:dyDescent="0.35">
      <c r="B287">
        <f t="shared" si="14"/>
        <v>280</v>
      </c>
      <c r="C287" s="27" t="s">
        <v>805</v>
      </c>
      <c r="D287" s="8">
        <v>2117.7810310216801</v>
      </c>
      <c r="E287" s="8">
        <v>1066.9467896306132</v>
      </c>
      <c r="F287" s="8"/>
      <c r="G287" s="8"/>
      <c r="H287" s="8"/>
      <c r="I287" s="8">
        <v>477.12125471966249</v>
      </c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>
        <v>3661.8490753719557</v>
      </c>
      <c r="AA287" s="8"/>
      <c r="AB287" s="8"/>
      <c r="AI287">
        <f t="shared" si="15"/>
        <v>280</v>
      </c>
      <c r="AJ287" s="27" t="s">
        <v>805</v>
      </c>
      <c r="AK287" s="8">
        <v>3661.8490753719557</v>
      </c>
      <c r="AM287">
        <f t="shared" si="16"/>
        <v>280</v>
      </c>
      <c r="AN287" s="27" t="s">
        <v>236</v>
      </c>
      <c r="AO287" s="8">
        <v>4</v>
      </c>
      <c r="AR287" s="27" t="s">
        <v>1571</v>
      </c>
      <c r="AS287" s="21">
        <v>1840</v>
      </c>
    </row>
    <row r="288" spans="2:45" x14ac:dyDescent="0.35">
      <c r="B288">
        <f t="shared" si="14"/>
        <v>281</v>
      </c>
      <c r="C288" s="27" t="s">
        <v>1039</v>
      </c>
      <c r="D288" s="8">
        <v>1336.0900741351591</v>
      </c>
      <c r="E288" s="8">
        <v>1154.5069672510085</v>
      </c>
      <c r="F288" s="8"/>
      <c r="G288" s="8">
        <v>1154.5069672510085</v>
      </c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>
        <v>3645.1040086371763</v>
      </c>
      <c r="AA288" s="8"/>
      <c r="AB288" s="8"/>
      <c r="AI288">
        <f t="shared" si="15"/>
        <v>281</v>
      </c>
      <c r="AJ288" s="27" t="s">
        <v>1039</v>
      </c>
      <c r="AK288" s="8">
        <v>3645.1040086371763</v>
      </c>
      <c r="AM288">
        <f t="shared" si="16"/>
        <v>281</v>
      </c>
      <c r="AN288" s="27" t="s">
        <v>1094</v>
      </c>
      <c r="AO288" s="8">
        <v>4</v>
      </c>
      <c r="AR288" t="s">
        <v>2609</v>
      </c>
      <c r="AS288" s="21">
        <v>1839</v>
      </c>
    </row>
    <row r="289" spans="2:45" x14ac:dyDescent="0.35">
      <c r="B289">
        <f t="shared" si="14"/>
        <v>282</v>
      </c>
      <c r="C289" s="27" t="s">
        <v>1147</v>
      </c>
      <c r="D289" s="8">
        <v>1119.6099031032334</v>
      </c>
      <c r="E289" s="8"/>
      <c r="F289" s="8">
        <v>974.44589552761192</v>
      </c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>
        <v>356.60522172531449</v>
      </c>
      <c r="R289" s="8"/>
      <c r="S289" s="8"/>
      <c r="T289" s="8"/>
      <c r="U289" s="8"/>
      <c r="V289" s="8"/>
      <c r="W289" s="8"/>
      <c r="X289" s="8">
        <v>1176.0912590556813</v>
      </c>
      <c r="Y289" s="8"/>
      <c r="Z289" s="8">
        <v>3626.7522794118413</v>
      </c>
      <c r="AA289" s="8"/>
      <c r="AB289" s="8"/>
      <c r="AI289">
        <f t="shared" si="15"/>
        <v>282</v>
      </c>
      <c r="AJ289" s="27" t="s">
        <v>1147</v>
      </c>
      <c r="AK289" s="8">
        <v>3626.7522794118413</v>
      </c>
      <c r="AM289">
        <f t="shared" si="16"/>
        <v>282</v>
      </c>
      <c r="AN289" s="27" t="s">
        <v>631</v>
      </c>
      <c r="AO289" s="8">
        <v>4</v>
      </c>
      <c r="AR289" s="27" t="s">
        <v>345</v>
      </c>
      <c r="AS289" s="21">
        <v>1839</v>
      </c>
    </row>
    <row r="290" spans="2:45" x14ac:dyDescent="0.35">
      <c r="B290">
        <f t="shared" si="14"/>
        <v>283</v>
      </c>
      <c r="C290" s="27" t="s">
        <v>650</v>
      </c>
      <c r="D290" s="8"/>
      <c r="E290" s="8"/>
      <c r="F290" s="8"/>
      <c r="G290" s="8"/>
      <c r="H290" s="8">
        <v>1594.760752586463</v>
      </c>
      <c r="I290" s="8">
        <v>726.99872793626241</v>
      </c>
      <c r="J290" s="8">
        <v>1290.0346113625178</v>
      </c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>
        <v>3611.7940918852432</v>
      </c>
      <c r="AA290" s="8"/>
      <c r="AB290" s="8"/>
      <c r="AI290">
        <f t="shared" si="15"/>
        <v>283</v>
      </c>
      <c r="AJ290" s="27" t="s">
        <v>650</v>
      </c>
      <c r="AK290" s="8">
        <v>3611.7940918852432</v>
      </c>
      <c r="AM290">
        <f t="shared" si="16"/>
        <v>283</v>
      </c>
      <c r="AN290" s="27" t="s">
        <v>1532</v>
      </c>
      <c r="AO290" s="8">
        <v>4</v>
      </c>
      <c r="AR290" s="27" t="s">
        <v>1567</v>
      </c>
      <c r="AS290" s="21">
        <v>1820</v>
      </c>
    </row>
    <row r="291" spans="2:45" x14ac:dyDescent="0.35">
      <c r="B291">
        <f t="shared" si="14"/>
        <v>284</v>
      </c>
      <c r="C291" s="27" t="s">
        <v>1621</v>
      </c>
      <c r="D291" s="8"/>
      <c r="E291" s="8">
        <v>954.24250943932498</v>
      </c>
      <c r="F291" s="8"/>
      <c r="G291" s="8">
        <v>1122.2158782728266</v>
      </c>
      <c r="H291" s="8"/>
      <c r="I291" s="8">
        <v>472.24133607508429</v>
      </c>
      <c r="J291" s="8"/>
      <c r="K291" s="8"/>
      <c r="L291" s="8"/>
      <c r="M291" s="8"/>
      <c r="N291" s="8"/>
      <c r="O291" s="8"/>
      <c r="P291" s="8"/>
      <c r="Q291" s="8"/>
      <c r="R291" s="8"/>
      <c r="S291" s="8">
        <v>1025.3058652647703</v>
      </c>
      <c r="T291" s="8"/>
      <c r="U291" s="8"/>
      <c r="V291" s="8"/>
      <c r="W291" s="8"/>
      <c r="X291" s="8"/>
      <c r="Y291" s="8"/>
      <c r="Z291" s="8">
        <v>3574.0055890520061</v>
      </c>
      <c r="AA291" s="8"/>
      <c r="AB291" s="8"/>
      <c r="AI291">
        <f t="shared" si="15"/>
        <v>284</v>
      </c>
      <c r="AJ291" s="27" t="s">
        <v>1621</v>
      </c>
      <c r="AK291" s="8">
        <v>3574.0055890520061</v>
      </c>
      <c r="AM291">
        <f t="shared" si="16"/>
        <v>284</v>
      </c>
      <c r="AN291" s="27" t="s">
        <v>834</v>
      </c>
      <c r="AO291" s="8">
        <v>4</v>
      </c>
      <c r="AR291" s="27" t="s">
        <v>423</v>
      </c>
      <c r="AS291" s="21">
        <v>1800</v>
      </c>
    </row>
    <row r="292" spans="2:45" x14ac:dyDescent="0.35">
      <c r="B292">
        <f t="shared" si="14"/>
        <v>285</v>
      </c>
      <c r="C292" s="27" t="s">
        <v>129</v>
      </c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>
        <v>1544.0680443502758</v>
      </c>
      <c r="O292" s="8"/>
      <c r="P292" s="8">
        <v>1079.1812460476249</v>
      </c>
      <c r="Q292" s="8">
        <v>946.12461921714532</v>
      </c>
      <c r="R292" s="8"/>
      <c r="S292" s="8"/>
      <c r="T292" s="8"/>
      <c r="U292" s="8"/>
      <c r="V292" s="8"/>
      <c r="W292" s="8"/>
      <c r="X292" s="8"/>
      <c r="Y292" s="8"/>
      <c r="Z292" s="8">
        <v>3569.3739096150462</v>
      </c>
      <c r="AA292" s="8"/>
      <c r="AB292" s="8"/>
      <c r="AI292">
        <f t="shared" si="15"/>
        <v>285</v>
      </c>
      <c r="AJ292" s="27" t="s">
        <v>129</v>
      </c>
      <c r="AK292" s="8">
        <v>3569.3739096150462</v>
      </c>
      <c r="AM292">
        <f t="shared" si="16"/>
        <v>285</v>
      </c>
      <c r="AN292" s="27" t="s">
        <v>1467</v>
      </c>
      <c r="AO292" s="8">
        <v>4</v>
      </c>
      <c r="AR292" t="s">
        <v>2461</v>
      </c>
      <c r="AS292" s="21">
        <v>1793</v>
      </c>
    </row>
    <row r="293" spans="2:45" x14ac:dyDescent="0.35">
      <c r="B293">
        <f t="shared" si="14"/>
        <v>286</v>
      </c>
      <c r="C293" s="27" t="s">
        <v>1370</v>
      </c>
      <c r="D293" s="8">
        <v>2031.5717506253566</v>
      </c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>
        <v>1521.7916496391235</v>
      </c>
      <c r="X293" s="8"/>
      <c r="Y293" s="8"/>
      <c r="Z293" s="8">
        <v>3553.3634002644803</v>
      </c>
      <c r="AA293" s="8"/>
      <c r="AB293" s="8"/>
      <c r="AI293">
        <f t="shared" si="15"/>
        <v>286</v>
      </c>
      <c r="AJ293" s="27" t="s">
        <v>1370</v>
      </c>
      <c r="AK293" s="8">
        <v>3553.3634002644803</v>
      </c>
      <c r="AM293">
        <f t="shared" si="16"/>
        <v>286</v>
      </c>
      <c r="AN293" s="27" t="s">
        <v>975</v>
      </c>
      <c r="AO293" s="8">
        <v>4</v>
      </c>
      <c r="AR293" s="27" t="s">
        <v>650</v>
      </c>
      <c r="AS293" s="21">
        <v>1783</v>
      </c>
    </row>
    <row r="294" spans="2:45" x14ac:dyDescent="0.35">
      <c r="B294">
        <f t="shared" si="14"/>
        <v>287</v>
      </c>
      <c r="C294" s="27" t="s">
        <v>677</v>
      </c>
      <c r="D294" s="8"/>
      <c r="E294" s="8"/>
      <c r="F294" s="8"/>
      <c r="G294" s="8"/>
      <c r="H294" s="8"/>
      <c r="I294" s="8">
        <v>477.12125471966249</v>
      </c>
      <c r="J294" s="8">
        <v>1783.903579272735</v>
      </c>
      <c r="K294" s="8"/>
      <c r="L294" s="8"/>
      <c r="M294" s="8"/>
      <c r="N294" s="8"/>
      <c r="O294" s="8">
        <v>1282.0067583505509</v>
      </c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>
        <v>3543.031592342948</v>
      </c>
      <c r="AA294" s="8"/>
      <c r="AB294" s="8"/>
      <c r="AI294">
        <f t="shared" si="15"/>
        <v>287</v>
      </c>
      <c r="AJ294" s="27" t="s">
        <v>677</v>
      </c>
      <c r="AK294" s="8">
        <v>3543.031592342948</v>
      </c>
      <c r="AM294">
        <f t="shared" si="16"/>
        <v>287</v>
      </c>
      <c r="AN294" s="27" t="s">
        <v>1618</v>
      </c>
      <c r="AO294" s="8">
        <v>4</v>
      </c>
      <c r="AR294" s="27" t="s">
        <v>1637</v>
      </c>
      <c r="AS294" s="21">
        <v>1757</v>
      </c>
    </row>
    <row r="295" spans="2:45" x14ac:dyDescent="0.35">
      <c r="B295">
        <f t="shared" si="14"/>
        <v>288</v>
      </c>
      <c r="C295" s="27" t="s">
        <v>867</v>
      </c>
      <c r="D295" s="8">
        <v>493.90929919017503</v>
      </c>
      <c r="E295" s="8">
        <v>965.45073103095967</v>
      </c>
      <c r="F295" s="8"/>
      <c r="G295" s="8"/>
      <c r="H295" s="8">
        <v>2071.8820073061256</v>
      </c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>
        <v>3531.2420375272604</v>
      </c>
      <c r="AA295" s="8"/>
      <c r="AB295" s="8"/>
      <c r="AI295">
        <f t="shared" si="15"/>
        <v>288</v>
      </c>
      <c r="AJ295" s="27" t="s">
        <v>867</v>
      </c>
      <c r="AK295" s="8">
        <v>3531.2420375272604</v>
      </c>
      <c r="AM295">
        <f t="shared" si="16"/>
        <v>288</v>
      </c>
      <c r="AN295" s="27" t="s">
        <v>655</v>
      </c>
      <c r="AO295" s="8">
        <v>4</v>
      </c>
      <c r="AR295" s="27" t="s">
        <v>191</v>
      </c>
      <c r="AS295" s="21">
        <v>1755</v>
      </c>
    </row>
    <row r="296" spans="2:45" x14ac:dyDescent="0.35">
      <c r="B296">
        <f t="shared" si="14"/>
        <v>289</v>
      </c>
      <c r="C296" s="27" t="s">
        <v>761</v>
      </c>
      <c r="D296" s="8"/>
      <c r="E296" s="8"/>
      <c r="F296" s="8">
        <v>994.53710429849787</v>
      </c>
      <c r="G296" s="8"/>
      <c r="H296" s="8">
        <v>1395.7907482504443</v>
      </c>
      <c r="I296" s="8">
        <v>1056.9048513364728</v>
      </c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>
        <v>3447.232703885415</v>
      </c>
      <c r="AA296" s="8"/>
      <c r="AB296" s="8"/>
      <c r="AI296">
        <f t="shared" si="15"/>
        <v>289</v>
      </c>
      <c r="AJ296" s="27" t="s">
        <v>761</v>
      </c>
      <c r="AK296" s="8">
        <v>3447.232703885415</v>
      </c>
      <c r="AM296">
        <f t="shared" si="16"/>
        <v>289</v>
      </c>
      <c r="AN296" s="27" t="s">
        <v>1070</v>
      </c>
      <c r="AO296" s="8">
        <v>4</v>
      </c>
      <c r="AR296" s="27" t="s">
        <v>632</v>
      </c>
      <c r="AS296" s="21">
        <v>1750</v>
      </c>
    </row>
    <row r="297" spans="2:45" x14ac:dyDescent="0.35">
      <c r="B297">
        <f t="shared" si="14"/>
        <v>290</v>
      </c>
      <c r="C297" s="27" t="s">
        <v>1077</v>
      </c>
      <c r="D297" s="8">
        <v>316.63506899455717</v>
      </c>
      <c r="E297" s="8"/>
      <c r="F297" s="8">
        <v>569.15134908314076</v>
      </c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>
        <v>1021.1892990699382</v>
      </c>
      <c r="T297" s="8"/>
      <c r="U297" s="8"/>
      <c r="V297" s="8">
        <v>1531.478917042255</v>
      </c>
      <c r="W297" s="8"/>
      <c r="X297" s="8"/>
      <c r="Y297" s="8"/>
      <c r="Z297" s="8">
        <v>3438.4546341898913</v>
      </c>
      <c r="AA297" s="8"/>
      <c r="AB297" s="8"/>
      <c r="AI297">
        <f t="shared" si="15"/>
        <v>290</v>
      </c>
      <c r="AJ297" s="27" t="s">
        <v>1077</v>
      </c>
      <c r="AK297" s="8">
        <v>3438.4546341898913</v>
      </c>
      <c r="AM297">
        <f t="shared" si="16"/>
        <v>290</v>
      </c>
      <c r="AN297" s="27" t="s">
        <v>1621</v>
      </c>
      <c r="AO297" s="8">
        <v>4</v>
      </c>
      <c r="AR297" s="27" t="s">
        <v>1635</v>
      </c>
      <c r="AS297" s="21">
        <v>1749</v>
      </c>
    </row>
    <row r="298" spans="2:45" x14ac:dyDescent="0.35">
      <c r="B298">
        <f t="shared" si="14"/>
        <v>291</v>
      </c>
      <c r="C298" s="27" t="s">
        <v>199</v>
      </c>
      <c r="D298" s="8"/>
      <c r="E298" s="8"/>
      <c r="F298" s="8"/>
      <c r="G298" s="8"/>
      <c r="H298" s="8"/>
      <c r="I298" s="8">
        <v>1692.2366216770504</v>
      </c>
      <c r="J298" s="8"/>
      <c r="K298" s="8"/>
      <c r="L298" s="8"/>
      <c r="M298" s="8"/>
      <c r="N298" s="8">
        <v>966.14173273903259</v>
      </c>
      <c r="O298" s="8">
        <v>745.68084691713636</v>
      </c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>
        <v>3404.0592013332193</v>
      </c>
      <c r="AA298" s="8"/>
      <c r="AB298" s="8"/>
      <c r="AI298">
        <f t="shared" si="15"/>
        <v>291</v>
      </c>
      <c r="AJ298" s="27" t="s">
        <v>199</v>
      </c>
      <c r="AK298" s="8">
        <v>3404.0592013332193</v>
      </c>
      <c r="AM298">
        <f t="shared" si="16"/>
        <v>291</v>
      </c>
      <c r="AN298" s="27" t="s">
        <v>199</v>
      </c>
      <c r="AO298" s="8">
        <v>4</v>
      </c>
      <c r="AR298" t="s">
        <v>2537</v>
      </c>
      <c r="AS298" s="21">
        <v>1746</v>
      </c>
    </row>
    <row r="299" spans="2:45" x14ac:dyDescent="0.35">
      <c r="B299">
        <f t="shared" si="14"/>
        <v>292</v>
      </c>
      <c r="C299" s="27" t="s">
        <v>1325</v>
      </c>
      <c r="D299" s="8">
        <v>2027.604400672592</v>
      </c>
      <c r="E299" s="8">
        <v>1367.6221144035853</v>
      </c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>
        <v>3395.2265150761773</v>
      </c>
      <c r="AA299" s="8"/>
      <c r="AB299" s="8"/>
      <c r="AI299">
        <f t="shared" si="15"/>
        <v>292</v>
      </c>
      <c r="AJ299" s="27" t="s">
        <v>1325</v>
      </c>
      <c r="AK299" s="8">
        <v>3395.2265150761777</v>
      </c>
      <c r="AM299">
        <f t="shared" si="16"/>
        <v>292</v>
      </c>
      <c r="AN299" s="27" t="s">
        <v>1534</v>
      </c>
      <c r="AO299" s="8">
        <v>4</v>
      </c>
      <c r="AR299" s="27" t="s">
        <v>1620</v>
      </c>
      <c r="AS299" s="21">
        <v>1734</v>
      </c>
    </row>
    <row r="300" spans="2:45" x14ac:dyDescent="0.35">
      <c r="B300">
        <f t="shared" si="14"/>
        <v>293</v>
      </c>
      <c r="C300" s="27" t="s">
        <v>349</v>
      </c>
      <c r="D300" s="8"/>
      <c r="E300" s="8"/>
      <c r="F300" s="8"/>
      <c r="G300" s="8"/>
      <c r="H300" s="8"/>
      <c r="I300" s="8"/>
      <c r="J300" s="8"/>
      <c r="K300" s="8"/>
      <c r="L300" s="8"/>
      <c r="M300" s="8">
        <v>621.51902434314718</v>
      </c>
      <c r="N300" s="8"/>
      <c r="O300" s="8"/>
      <c r="P300" s="8">
        <v>1913.8138523837167</v>
      </c>
      <c r="Q300" s="8"/>
      <c r="R300" s="8">
        <v>845.09804001425687</v>
      </c>
      <c r="S300" s="8"/>
      <c r="T300" s="8"/>
      <c r="U300" s="8"/>
      <c r="V300" s="8"/>
      <c r="W300" s="8"/>
      <c r="X300" s="8"/>
      <c r="Y300" s="8"/>
      <c r="Z300" s="8">
        <v>3380.4309167411211</v>
      </c>
      <c r="AA300" s="8"/>
      <c r="AB300" s="8"/>
      <c r="AI300">
        <f t="shared" si="15"/>
        <v>293</v>
      </c>
      <c r="AJ300" s="27" t="s">
        <v>349</v>
      </c>
      <c r="AK300" s="8">
        <v>3380.4309167411211</v>
      </c>
      <c r="AM300">
        <f t="shared" si="16"/>
        <v>293</v>
      </c>
      <c r="AN300" s="27" t="s">
        <v>1581</v>
      </c>
      <c r="AO300" s="8">
        <v>4</v>
      </c>
      <c r="AR300" s="27" t="s">
        <v>1326</v>
      </c>
      <c r="AS300" s="21">
        <v>1711</v>
      </c>
    </row>
    <row r="301" spans="2:45" x14ac:dyDescent="0.35">
      <c r="B301">
        <f t="shared" si="14"/>
        <v>294</v>
      </c>
      <c r="C301" s="27" t="s">
        <v>657</v>
      </c>
      <c r="D301" s="8">
        <v>938.34309893590785</v>
      </c>
      <c r="E301" s="8"/>
      <c r="F301" s="8">
        <v>1498.3105537896004</v>
      </c>
      <c r="G301" s="8"/>
      <c r="H301" s="8"/>
      <c r="I301" s="8"/>
      <c r="J301" s="8">
        <v>924.27928606188175</v>
      </c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>
        <v>3360.9329387873904</v>
      </c>
      <c r="AA301" s="8"/>
      <c r="AB301" s="8"/>
      <c r="AI301">
        <f t="shared" si="15"/>
        <v>294</v>
      </c>
      <c r="AJ301" s="27" t="s">
        <v>657</v>
      </c>
      <c r="AK301" s="8">
        <v>3360.9329387873904</v>
      </c>
      <c r="AM301">
        <f t="shared" si="16"/>
        <v>294</v>
      </c>
      <c r="AN301" s="27" t="s">
        <v>1463</v>
      </c>
      <c r="AO301" s="8">
        <v>4</v>
      </c>
      <c r="AR301" t="s">
        <v>2475</v>
      </c>
      <c r="AS301" s="21">
        <v>1696</v>
      </c>
    </row>
    <row r="302" spans="2:45" x14ac:dyDescent="0.35">
      <c r="B302">
        <f t="shared" si="14"/>
        <v>295</v>
      </c>
      <c r="C302" s="27" t="s">
        <v>186</v>
      </c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>
        <v>2383.9648906787252</v>
      </c>
      <c r="O302" s="8"/>
      <c r="P302" s="8"/>
      <c r="Q302" s="8">
        <v>970.03677662255677</v>
      </c>
      <c r="R302" s="8"/>
      <c r="S302" s="8"/>
      <c r="T302" s="8"/>
      <c r="U302" s="8"/>
      <c r="V302" s="8"/>
      <c r="W302" s="8"/>
      <c r="X302" s="8"/>
      <c r="Y302" s="8"/>
      <c r="Z302" s="8">
        <v>3354.0016673012819</v>
      </c>
      <c r="AA302" s="8"/>
      <c r="AB302" s="8"/>
      <c r="AI302">
        <f t="shared" si="15"/>
        <v>295</v>
      </c>
      <c r="AJ302" s="27" t="s">
        <v>186</v>
      </c>
      <c r="AK302" s="8">
        <v>3354.0016673012819</v>
      </c>
      <c r="AM302">
        <f t="shared" si="16"/>
        <v>295</v>
      </c>
      <c r="AN302" s="27" t="s">
        <v>1325</v>
      </c>
      <c r="AO302" s="8">
        <v>4</v>
      </c>
      <c r="AR302" s="27" t="s">
        <v>474</v>
      </c>
      <c r="AS302" s="21">
        <v>1694</v>
      </c>
    </row>
    <row r="303" spans="2:45" x14ac:dyDescent="0.35">
      <c r="B303">
        <f t="shared" si="14"/>
        <v>296</v>
      </c>
      <c r="C303" s="27" t="s">
        <v>1023</v>
      </c>
      <c r="D303" s="8">
        <v>854.12735655605718</v>
      </c>
      <c r="E303" s="8">
        <v>422.54902000712843</v>
      </c>
      <c r="F303" s="8">
        <v>1109.9951934618446</v>
      </c>
      <c r="G303" s="8">
        <v>958.60731484177484</v>
      </c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>
        <v>3345.2788848668051</v>
      </c>
      <c r="AA303" s="8"/>
      <c r="AB303" s="8"/>
      <c r="AI303">
        <f t="shared" si="15"/>
        <v>296</v>
      </c>
      <c r="AJ303" s="27" t="s">
        <v>1023</v>
      </c>
      <c r="AK303" s="8">
        <v>3345.2788848668051</v>
      </c>
      <c r="AM303">
        <f t="shared" si="16"/>
        <v>296</v>
      </c>
      <c r="AN303" s="27" t="s">
        <v>191</v>
      </c>
      <c r="AO303" s="8">
        <v>4</v>
      </c>
      <c r="AR303" t="s">
        <v>2498</v>
      </c>
      <c r="AS303" s="21">
        <v>1683</v>
      </c>
    </row>
    <row r="304" spans="2:45" x14ac:dyDescent="0.35">
      <c r="B304">
        <f t="shared" si="14"/>
        <v>297</v>
      </c>
      <c r="C304" s="27" t="s">
        <v>1618</v>
      </c>
      <c r="D304" s="8">
        <v>1222.0658425885867</v>
      </c>
      <c r="E304" s="8">
        <v>989.00461569853667</v>
      </c>
      <c r="F304" s="8">
        <v>1124.9387366082999</v>
      </c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>
        <v>3336.0091948954232</v>
      </c>
      <c r="AA304" s="8"/>
      <c r="AB304" s="8"/>
      <c r="AI304">
        <f t="shared" si="15"/>
        <v>297</v>
      </c>
      <c r="AJ304" s="27" t="s">
        <v>1618</v>
      </c>
      <c r="AK304" s="8">
        <v>3336.0091948954232</v>
      </c>
      <c r="AM304">
        <f t="shared" si="16"/>
        <v>297</v>
      </c>
      <c r="AN304" s="27" t="s">
        <v>622</v>
      </c>
      <c r="AO304" s="8">
        <v>4</v>
      </c>
      <c r="AR304" s="27" t="s">
        <v>959</v>
      </c>
      <c r="AS304" s="21">
        <v>1675</v>
      </c>
    </row>
    <row r="305" spans="2:45" x14ac:dyDescent="0.35">
      <c r="B305">
        <f t="shared" si="14"/>
        <v>298</v>
      </c>
      <c r="C305" t="s">
        <v>2574</v>
      </c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>
        <v>2307.4960379132126</v>
      </c>
      <c r="X305" s="8"/>
      <c r="Y305" s="8">
        <v>1028.0287236002437</v>
      </c>
      <c r="Z305" s="8">
        <v>3335.5247615134563</v>
      </c>
      <c r="AA305" s="8"/>
      <c r="AB305" s="8"/>
      <c r="AI305">
        <f t="shared" si="15"/>
        <v>298</v>
      </c>
      <c r="AJ305" t="s">
        <v>2574</v>
      </c>
      <c r="AK305" s="8">
        <v>3335.5247615134563</v>
      </c>
      <c r="AM305">
        <f t="shared" si="16"/>
        <v>298</v>
      </c>
      <c r="AN305" s="27" t="s">
        <v>569</v>
      </c>
      <c r="AO305" s="8">
        <v>4</v>
      </c>
      <c r="AR305" s="27" t="s">
        <v>513</v>
      </c>
      <c r="AS305" s="21">
        <v>1670</v>
      </c>
    </row>
    <row r="306" spans="2:45" x14ac:dyDescent="0.35">
      <c r="B306">
        <f t="shared" si="14"/>
        <v>299</v>
      </c>
      <c r="C306" s="27" t="s">
        <v>371</v>
      </c>
      <c r="D306" s="8">
        <v>248.17768833870545</v>
      </c>
      <c r="E306" s="8"/>
      <c r="F306" s="8"/>
      <c r="G306" s="8"/>
      <c r="H306" s="8"/>
      <c r="I306" s="8"/>
      <c r="J306" s="8"/>
      <c r="K306" s="8">
        <v>1924.2792860618815</v>
      </c>
      <c r="L306" s="8"/>
      <c r="M306" s="8">
        <v>1158.3624920952498</v>
      </c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>
        <v>3330.8194664958369</v>
      </c>
      <c r="AA306" s="8"/>
      <c r="AB306" s="8"/>
      <c r="AI306">
        <f t="shared" si="15"/>
        <v>299</v>
      </c>
      <c r="AJ306" s="27" t="s">
        <v>371</v>
      </c>
      <c r="AK306" s="8">
        <v>3330.8194664958369</v>
      </c>
      <c r="AM306">
        <f t="shared" si="16"/>
        <v>299</v>
      </c>
      <c r="AN306" s="27" t="s">
        <v>677</v>
      </c>
      <c r="AO306" s="8">
        <v>4</v>
      </c>
      <c r="AR306" s="27" t="s">
        <v>488</v>
      </c>
      <c r="AS306" s="21">
        <v>1660</v>
      </c>
    </row>
    <row r="307" spans="2:45" x14ac:dyDescent="0.35">
      <c r="B307">
        <f t="shared" si="14"/>
        <v>300</v>
      </c>
      <c r="C307" t="s">
        <v>2299</v>
      </c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>
        <v>1819.5439355418687</v>
      </c>
      <c r="R307" s="8"/>
      <c r="S307" s="8"/>
      <c r="T307" s="8"/>
      <c r="U307" s="8"/>
      <c r="V307" s="8"/>
      <c r="W307" s="8">
        <v>1505.149978319906</v>
      </c>
      <c r="X307" s="8"/>
      <c r="Y307" s="8"/>
      <c r="Z307" s="8">
        <v>3324.6939138617745</v>
      </c>
      <c r="AA307" s="8"/>
      <c r="AB307" s="8"/>
      <c r="AI307">
        <f t="shared" si="15"/>
        <v>300</v>
      </c>
      <c r="AJ307" t="s">
        <v>2299</v>
      </c>
      <c r="AK307" s="8">
        <v>3324.6939138617745</v>
      </c>
      <c r="AM307">
        <f t="shared" si="16"/>
        <v>300</v>
      </c>
      <c r="AN307" s="27" t="s">
        <v>1245</v>
      </c>
      <c r="AO307" s="8">
        <v>4</v>
      </c>
      <c r="AR307" s="27" t="s">
        <v>1575</v>
      </c>
      <c r="AS307" s="21">
        <v>1660</v>
      </c>
    </row>
    <row r="308" spans="2:45" x14ac:dyDescent="0.35">
      <c r="B308">
        <f t="shared" si="14"/>
        <v>301</v>
      </c>
      <c r="C308" s="27" t="s">
        <v>354</v>
      </c>
      <c r="D308" s="8">
        <v>276.20641193894892</v>
      </c>
      <c r="E308" s="8">
        <v>1073.9800523618173</v>
      </c>
      <c r="F308" s="8"/>
      <c r="G308" s="8">
        <v>832.50891270623617</v>
      </c>
      <c r="H308" s="8">
        <v>372.36374744834694</v>
      </c>
      <c r="I308" s="8"/>
      <c r="J308" s="8"/>
      <c r="K308" s="8">
        <v>320.48902867916604</v>
      </c>
      <c r="L308" s="8"/>
      <c r="M308" s="8">
        <v>422.54902000712843</v>
      </c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>
        <v>3298.0971731416439</v>
      </c>
      <c r="AA308" s="8"/>
      <c r="AB308" s="8"/>
      <c r="AI308">
        <f t="shared" si="15"/>
        <v>301</v>
      </c>
      <c r="AJ308" s="27" t="s">
        <v>354</v>
      </c>
      <c r="AK308" s="8">
        <v>3298.0971731416439</v>
      </c>
      <c r="AM308">
        <f t="shared" si="16"/>
        <v>301</v>
      </c>
      <c r="AN308" s="27" t="s">
        <v>1669</v>
      </c>
      <c r="AO308" s="8">
        <v>4</v>
      </c>
      <c r="AR308" t="s">
        <v>2687</v>
      </c>
      <c r="AS308" s="21">
        <v>1623</v>
      </c>
    </row>
    <row r="309" spans="2:45" x14ac:dyDescent="0.35">
      <c r="B309">
        <f t="shared" si="14"/>
        <v>302</v>
      </c>
      <c r="C309" s="27" t="s">
        <v>1273</v>
      </c>
      <c r="D309" s="8">
        <v>1504.3266709986401</v>
      </c>
      <c r="E309" s="8">
        <v>1732.3937598229686</v>
      </c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>
        <v>3236.7204308216087</v>
      </c>
      <c r="AA309" s="8"/>
      <c r="AB309" s="8"/>
      <c r="AI309">
        <f t="shared" si="15"/>
        <v>302</v>
      </c>
      <c r="AJ309" s="27" t="s">
        <v>1273</v>
      </c>
      <c r="AK309" s="8">
        <v>3236.7204308216087</v>
      </c>
      <c r="AM309">
        <f t="shared" si="16"/>
        <v>302</v>
      </c>
      <c r="AN309" s="27" t="s">
        <v>539</v>
      </c>
      <c r="AO309" s="8">
        <v>4</v>
      </c>
      <c r="AR309" t="s">
        <v>2701</v>
      </c>
      <c r="AS309" s="21">
        <v>1567</v>
      </c>
    </row>
    <row r="310" spans="2:45" x14ac:dyDescent="0.35">
      <c r="B310">
        <f t="shared" si="14"/>
        <v>303</v>
      </c>
      <c r="C310" s="27" t="s">
        <v>244</v>
      </c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>
        <v>1052.5290512761844</v>
      </c>
      <c r="O310" s="8">
        <v>1012.2344564170116</v>
      </c>
      <c r="P310" s="8"/>
      <c r="Q310" s="8">
        <v>1167.7545353058931</v>
      </c>
      <c r="R310" s="8"/>
      <c r="S310" s="8"/>
      <c r="T310" s="8"/>
      <c r="U310" s="8"/>
      <c r="V310" s="8"/>
      <c r="W310" s="8"/>
      <c r="X310" s="8"/>
      <c r="Y310" s="8"/>
      <c r="Z310" s="8">
        <v>3232.5180429990892</v>
      </c>
      <c r="AA310" s="8"/>
      <c r="AB310" s="8"/>
      <c r="AI310">
        <f t="shared" si="15"/>
        <v>303</v>
      </c>
      <c r="AJ310" s="27" t="s">
        <v>244</v>
      </c>
      <c r="AK310" s="8">
        <v>3232.5180429990892</v>
      </c>
      <c r="AM310">
        <f t="shared" si="16"/>
        <v>303</v>
      </c>
      <c r="AN310" s="27" t="s">
        <v>657</v>
      </c>
      <c r="AO310" s="8">
        <v>4</v>
      </c>
      <c r="AR310" s="27" t="s">
        <v>652</v>
      </c>
      <c r="AS310" s="21">
        <v>1566</v>
      </c>
    </row>
    <row r="311" spans="2:45" x14ac:dyDescent="0.35">
      <c r="B311">
        <f t="shared" si="14"/>
        <v>304</v>
      </c>
      <c r="C311" s="27" t="s">
        <v>1619</v>
      </c>
      <c r="D311" s="8">
        <v>1979.0277939022922</v>
      </c>
      <c r="E311" s="8"/>
      <c r="F311" s="8"/>
      <c r="G311" s="8"/>
      <c r="H311" s="8">
        <v>1217.4839442139062</v>
      </c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>
        <v>3196.5117381161981</v>
      </c>
      <c r="AA311" s="8"/>
      <c r="AB311" s="8"/>
      <c r="AI311">
        <f t="shared" si="15"/>
        <v>304</v>
      </c>
      <c r="AJ311" s="27" t="s">
        <v>1619</v>
      </c>
      <c r="AK311" s="8">
        <v>3196.5117381161981</v>
      </c>
      <c r="AM311">
        <f t="shared" si="16"/>
        <v>304</v>
      </c>
      <c r="AN311" s="27" t="s">
        <v>242</v>
      </c>
      <c r="AO311" s="8">
        <v>4</v>
      </c>
      <c r="AR311" s="27" t="s">
        <v>1627</v>
      </c>
      <c r="AS311" s="21">
        <v>1547</v>
      </c>
    </row>
    <row r="312" spans="2:45" x14ac:dyDescent="0.35">
      <c r="B312">
        <f t="shared" si="14"/>
        <v>305</v>
      </c>
      <c r="C312" s="27" t="s">
        <v>488</v>
      </c>
      <c r="D312" s="8"/>
      <c r="E312" s="8"/>
      <c r="F312" s="8"/>
      <c r="G312" s="8"/>
      <c r="H312" s="8"/>
      <c r="I312" s="8"/>
      <c r="J312" s="8"/>
      <c r="K312" s="8"/>
      <c r="L312" s="8">
        <v>2512.4397921656941</v>
      </c>
      <c r="M312" s="8"/>
      <c r="N312" s="8"/>
      <c r="O312" s="8">
        <v>683.36493100544283</v>
      </c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>
        <v>3195.8047231711371</v>
      </c>
      <c r="AA312" s="8"/>
      <c r="AB312" s="8"/>
      <c r="AI312">
        <f t="shared" si="15"/>
        <v>305</v>
      </c>
      <c r="AJ312" s="27" t="s">
        <v>488</v>
      </c>
      <c r="AK312" s="8">
        <v>3195.8047231711371</v>
      </c>
      <c r="AM312">
        <f t="shared" si="16"/>
        <v>305</v>
      </c>
      <c r="AN312" t="s">
        <v>2449</v>
      </c>
      <c r="AO312" s="8">
        <v>3</v>
      </c>
      <c r="AR312" t="s">
        <v>2378</v>
      </c>
      <c r="AS312" s="21">
        <v>1544</v>
      </c>
    </row>
    <row r="313" spans="2:45" x14ac:dyDescent="0.35">
      <c r="B313">
        <f t="shared" si="14"/>
        <v>306</v>
      </c>
      <c r="C313" s="27" t="s">
        <v>1347</v>
      </c>
      <c r="D313" s="8">
        <v>1900.6887547873366</v>
      </c>
      <c r="E313" s="8">
        <v>1255.272505103306</v>
      </c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>
        <v>3155.9612598906424</v>
      </c>
      <c r="AA313" s="8"/>
      <c r="AB313" s="8"/>
      <c r="AI313">
        <f t="shared" si="15"/>
        <v>306</v>
      </c>
      <c r="AJ313" s="27" t="s">
        <v>1347</v>
      </c>
      <c r="AK313" s="8">
        <v>3155.9612598906424</v>
      </c>
      <c r="AM313">
        <f t="shared" si="16"/>
        <v>306</v>
      </c>
      <c r="AN313" t="s">
        <v>2394</v>
      </c>
      <c r="AO313" s="8">
        <v>3</v>
      </c>
      <c r="AR313" t="s">
        <v>2387</v>
      </c>
      <c r="AS313" s="21">
        <v>1541</v>
      </c>
    </row>
    <row r="314" spans="2:45" x14ac:dyDescent="0.35">
      <c r="B314">
        <f t="shared" si="14"/>
        <v>307</v>
      </c>
      <c r="C314" s="27" t="s">
        <v>985</v>
      </c>
      <c r="D314" s="8">
        <v>1700.2709373564367</v>
      </c>
      <c r="E314" s="8"/>
      <c r="F314" s="8"/>
      <c r="G314" s="8">
        <v>1445.1231578401048</v>
      </c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>
        <v>3145.3940951965415</v>
      </c>
      <c r="AA314" s="8"/>
      <c r="AB314" s="8"/>
      <c r="AI314">
        <f t="shared" si="15"/>
        <v>307</v>
      </c>
      <c r="AJ314" s="27" t="s">
        <v>985</v>
      </c>
      <c r="AK314" s="8">
        <v>3145.3940951965415</v>
      </c>
      <c r="AM314">
        <f t="shared" si="16"/>
        <v>307</v>
      </c>
      <c r="AN314" s="27" t="s">
        <v>1544</v>
      </c>
      <c r="AO314" s="8">
        <v>3</v>
      </c>
      <c r="AR314" s="27" t="s">
        <v>1551</v>
      </c>
      <c r="AS314" s="21">
        <v>1515</v>
      </c>
    </row>
    <row r="315" spans="2:45" x14ac:dyDescent="0.35">
      <c r="B315">
        <f t="shared" si="14"/>
        <v>308</v>
      </c>
      <c r="C315" s="27" t="s">
        <v>2341</v>
      </c>
      <c r="D315" s="8"/>
      <c r="E315" s="8"/>
      <c r="F315" s="8"/>
      <c r="G315" s="8">
        <v>1698.9700043360187</v>
      </c>
      <c r="H315" s="8">
        <v>1437.750562820388</v>
      </c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>
        <v>3136.720567156407</v>
      </c>
      <c r="AA315" s="8"/>
      <c r="AB315" s="8"/>
      <c r="AI315">
        <f t="shared" si="15"/>
        <v>308</v>
      </c>
      <c r="AJ315" s="27" t="s">
        <v>2341</v>
      </c>
      <c r="AK315" s="8">
        <v>3136.720567156407</v>
      </c>
      <c r="AM315">
        <f t="shared" si="16"/>
        <v>308</v>
      </c>
      <c r="AN315" s="27" t="s">
        <v>1378</v>
      </c>
      <c r="AO315" s="8">
        <v>3</v>
      </c>
      <c r="AR315" s="27" t="s">
        <v>1629</v>
      </c>
      <c r="AS315" s="21">
        <v>1512</v>
      </c>
    </row>
    <row r="316" spans="2:45" x14ac:dyDescent="0.35">
      <c r="B316">
        <f t="shared" si="14"/>
        <v>309</v>
      </c>
      <c r="C316" s="27" t="s">
        <v>1534</v>
      </c>
      <c r="D316" s="8">
        <v>2097.7816569435313</v>
      </c>
      <c r="E316" s="8"/>
      <c r="F316" s="8">
        <v>1031.4084642516241</v>
      </c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>
        <v>3129.1901211951554</v>
      </c>
      <c r="AA316" s="8"/>
      <c r="AB316" s="8"/>
      <c r="AI316">
        <f t="shared" si="15"/>
        <v>309</v>
      </c>
      <c r="AJ316" s="27" t="s">
        <v>1534</v>
      </c>
      <c r="AK316" s="8">
        <v>3129.1901211951554</v>
      </c>
      <c r="AM316">
        <f t="shared" si="16"/>
        <v>309</v>
      </c>
      <c r="AN316" s="27" t="s">
        <v>1606</v>
      </c>
      <c r="AO316" s="8">
        <v>3</v>
      </c>
      <c r="AR316" t="s">
        <v>2459</v>
      </c>
      <c r="AS316" s="21">
        <v>1500</v>
      </c>
    </row>
    <row r="317" spans="2:45" x14ac:dyDescent="0.35">
      <c r="B317">
        <f t="shared" si="14"/>
        <v>310</v>
      </c>
      <c r="C317" t="s">
        <v>2345</v>
      </c>
      <c r="D317" s="8"/>
      <c r="E317" s="8"/>
      <c r="F317" s="8"/>
      <c r="G317" s="8"/>
      <c r="H317" s="8"/>
      <c r="I317" s="8"/>
      <c r="J317" s="8"/>
      <c r="K317" s="8"/>
      <c r="L317" s="8"/>
      <c r="M317" s="8">
        <v>994.53710429849787</v>
      </c>
      <c r="N317" s="8"/>
      <c r="O317" s="8"/>
      <c r="P317" s="8"/>
      <c r="Q317" s="8"/>
      <c r="R317" s="8"/>
      <c r="S317" s="8"/>
      <c r="T317" s="8"/>
      <c r="U317" s="8"/>
      <c r="V317" s="8"/>
      <c r="W317" s="8">
        <v>1015.9881053841304</v>
      </c>
      <c r="X317" s="8"/>
      <c r="Y317" s="8">
        <v>1113.9433523068367</v>
      </c>
      <c r="Z317" s="8">
        <v>3124.4685619894653</v>
      </c>
      <c r="AA317" s="8"/>
      <c r="AB317" s="8"/>
      <c r="AI317">
        <f t="shared" si="15"/>
        <v>310</v>
      </c>
      <c r="AJ317" t="s">
        <v>2345</v>
      </c>
      <c r="AK317" s="8">
        <v>3124.4685619894653</v>
      </c>
      <c r="AM317">
        <f t="shared" si="16"/>
        <v>310</v>
      </c>
      <c r="AN317" s="27" t="s">
        <v>1568</v>
      </c>
      <c r="AO317" s="8">
        <v>3</v>
      </c>
      <c r="AR317" s="27" t="s">
        <v>1546</v>
      </c>
      <c r="AS317" s="21">
        <v>1500</v>
      </c>
    </row>
    <row r="318" spans="2:45" x14ac:dyDescent="0.35">
      <c r="B318">
        <f t="shared" si="14"/>
        <v>311</v>
      </c>
      <c r="C318" s="27" t="s">
        <v>1622</v>
      </c>
      <c r="D318" s="8"/>
      <c r="E318" s="8">
        <v>726.9987279362623</v>
      </c>
      <c r="F318" s="8">
        <v>860.33800657099368</v>
      </c>
      <c r="G318" s="8"/>
      <c r="H318" s="8">
        <v>579.78359661680997</v>
      </c>
      <c r="I318" s="8"/>
      <c r="J318" s="8">
        <v>929.41892571429264</v>
      </c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>
        <v>3096.5392568383586</v>
      </c>
      <c r="AA318" s="8"/>
      <c r="AB318" s="8"/>
      <c r="AI318">
        <f t="shared" si="15"/>
        <v>311</v>
      </c>
      <c r="AJ318" s="27" t="s">
        <v>1622</v>
      </c>
      <c r="AK318" s="8">
        <v>3096.5392568383586</v>
      </c>
      <c r="AM318">
        <f t="shared" si="16"/>
        <v>311</v>
      </c>
      <c r="AN318" t="s">
        <v>2574</v>
      </c>
      <c r="AO318" s="8">
        <v>3</v>
      </c>
      <c r="AR318" s="27" t="s">
        <v>1117</v>
      </c>
      <c r="AS318" s="21">
        <v>1492</v>
      </c>
    </row>
    <row r="319" spans="2:45" x14ac:dyDescent="0.35">
      <c r="B319">
        <f t="shared" si="14"/>
        <v>312</v>
      </c>
      <c r="C319" s="27" t="s">
        <v>1544</v>
      </c>
      <c r="D319" s="8"/>
      <c r="E319" s="8"/>
      <c r="F319" s="8"/>
      <c r="G319" s="8"/>
      <c r="H319" s="8"/>
      <c r="I319" s="8">
        <v>1301.0299956639813</v>
      </c>
      <c r="J319" s="8"/>
      <c r="K319" s="8"/>
      <c r="L319" s="8">
        <v>1085.7121132065827</v>
      </c>
      <c r="M319" s="8"/>
      <c r="N319" s="8"/>
      <c r="O319" s="8"/>
      <c r="P319" s="8">
        <v>698.97000433601886</v>
      </c>
      <c r="Q319" s="8"/>
      <c r="R319" s="8"/>
      <c r="S319" s="8"/>
      <c r="T319" s="8"/>
      <c r="U319" s="8"/>
      <c r="V319" s="8"/>
      <c r="W319" s="8"/>
      <c r="X319" s="8"/>
      <c r="Y319" s="8"/>
      <c r="Z319" s="8">
        <v>3085.7121132065831</v>
      </c>
      <c r="AA319" s="8"/>
      <c r="AB319" s="8"/>
      <c r="AI319">
        <f t="shared" si="15"/>
        <v>312</v>
      </c>
      <c r="AJ319" s="27" t="s">
        <v>1544</v>
      </c>
      <c r="AK319" s="8">
        <v>3085.7121132065831</v>
      </c>
      <c r="AM319">
        <f t="shared" si="16"/>
        <v>312</v>
      </c>
      <c r="AN319" s="27" t="s">
        <v>763</v>
      </c>
      <c r="AO319" s="8">
        <v>3</v>
      </c>
      <c r="AR319" t="s">
        <v>2291</v>
      </c>
      <c r="AS319" s="21">
        <v>1486</v>
      </c>
    </row>
    <row r="320" spans="2:45" x14ac:dyDescent="0.35">
      <c r="B320">
        <f t="shared" si="14"/>
        <v>313</v>
      </c>
      <c r="C320" s="27" t="s">
        <v>949</v>
      </c>
      <c r="D320" s="8">
        <v>2115.2858401823464</v>
      </c>
      <c r="E320" s="8"/>
      <c r="F320" s="8"/>
      <c r="G320" s="8"/>
      <c r="H320" s="8">
        <v>966.14173273903259</v>
      </c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>
        <v>3081.4275729213791</v>
      </c>
      <c r="AA320" s="8"/>
      <c r="AB320" s="8"/>
      <c r="AI320">
        <f t="shared" si="15"/>
        <v>313</v>
      </c>
      <c r="AJ320" s="27" t="s">
        <v>949</v>
      </c>
      <c r="AK320" s="8">
        <v>3081.4275729213791</v>
      </c>
      <c r="AM320">
        <f t="shared" si="16"/>
        <v>313</v>
      </c>
      <c r="AN320" s="27" t="s">
        <v>1615</v>
      </c>
      <c r="AO320" s="8">
        <v>3</v>
      </c>
      <c r="AR320" t="s">
        <v>2296</v>
      </c>
      <c r="AS320" s="21">
        <v>1475</v>
      </c>
    </row>
    <row r="321" spans="2:45" x14ac:dyDescent="0.35">
      <c r="B321">
        <f t="shared" si="14"/>
        <v>314</v>
      </c>
      <c r="C321" s="27" t="s">
        <v>1482</v>
      </c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>
        <v>1158.3624920952498</v>
      </c>
      <c r="P321" s="8"/>
      <c r="Q321" s="8"/>
      <c r="R321" s="8"/>
      <c r="S321" s="8"/>
      <c r="T321" s="8">
        <v>778.15125038364351</v>
      </c>
      <c r="U321" s="8"/>
      <c r="V321" s="8"/>
      <c r="W321" s="8"/>
      <c r="X321" s="8"/>
      <c r="Y321" s="8">
        <v>1138.3026981662815</v>
      </c>
      <c r="Z321" s="8">
        <v>3074.8164406451747</v>
      </c>
      <c r="AA321" s="8"/>
      <c r="AB321" s="8"/>
      <c r="AI321">
        <f t="shared" si="15"/>
        <v>314</v>
      </c>
      <c r="AJ321" s="27" t="s">
        <v>1482</v>
      </c>
      <c r="AK321" s="8">
        <v>3074.8164406451747</v>
      </c>
      <c r="AM321">
        <f t="shared" si="16"/>
        <v>314</v>
      </c>
      <c r="AN321" s="27" t="s">
        <v>932</v>
      </c>
      <c r="AO321" s="8">
        <v>3</v>
      </c>
      <c r="AR321" s="27" t="s">
        <v>844</v>
      </c>
      <c r="AS321" s="21">
        <v>1460</v>
      </c>
    </row>
    <row r="322" spans="2:45" x14ac:dyDescent="0.35">
      <c r="B322">
        <f t="shared" si="14"/>
        <v>315</v>
      </c>
      <c r="C322" t="s">
        <v>2419</v>
      </c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>
        <v>1255.272505103306</v>
      </c>
      <c r="T322" s="8"/>
      <c r="U322" s="8"/>
      <c r="V322" s="8"/>
      <c r="W322" s="8">
        <v>903.08998699194365</v>
      </c>
      <c r="X322" s="8">
        <v>875.06126339170009</v>
      </c>
      <c r="Y322" s="8"/>
      <c r="Z322" s="8">
        <v>3033.4237554869496</v>
      </c>
      <c r="AA322" s="8"/>
      <c r="AB322" s="8"/>
      <c r="AI322">
        <f t="shared" si="15"/>
        <v>315</v>
      </c>
      <c r="AJ322" t="s">
        <v>2419</v>
      </c>
      <c r="AK322" s="8">
        <v>3033.4237554869496</v>
      </c>
      <c r="AM322">
        <f t="shared" si="16"/>
        <v>315</v>
      </c>
      <c r="AN322" s="27" t="s">
        <v>1628</v>
      </c>
      <c r="AO322" s="8">
        <v>3</v>
      </c>
      <c r="AR322" s="27" t="s">
        <v>1467</v>
      </c>
      <c r="AS322" s="21">
        <v>1460</v>
      </c>
    </row>
    <row r="323" spans="2:45" x14ac:dyDescent="0.35">
      <c r="B323">
        <f t="shared" si="14"/>
        <v>316</v>
      </c>
      <c r="C323" t="s">
        <v>2316</v>
      </c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>
        <v>1025.9357340943998</v>
      </c>
      <c r="R323" s="8"/>
      <c r="S323" s="8"/>
      <c r="T323" s="8"/>
      <c r="U323" s="8"/>
      <c r="V323" s="8"/>
      <c r="W323" s="8"/>
      <c r="X323" s="8"/>
      <c r="Y323" s="8">
        <v>2005.7523288890914</v>
      </c>
      <c r="Z323" s="8">
        <v>3031.6880629834914</v>
      </c>
      <c r="AA323" s="8"/>
      <c r="AB323" s="8"/>
      <c r="AI323">
        <f t="shared" si="15"/>
        <v>316</v>
      </c>
      <c r="AJ323" t="s">
        <v>2316</v>
      </c>
      <c r="AK323" s="8">
        <v>3031.6880629834909</v>
      </c>
      <c r="AM323">
        <f t="shared" si="16"/>
        <v>316</v>
      </c>
      <c r="AN323" s="27" t="s">
        <v>371</v>
      </c>
      <c r="AO323" s="8">
        <v>3</v>
      </c>
      <c r="AR323" t="s">
        <v>2675</v>
      </c>
      <c r="AS323" s="21">
        <v>1450</v>
      </c>
    </row>
    <row r="324" spans="2:45" x14ac:dyDescent="0.35">
      <c r="B324">
        <f t="shared" si="14"/>
        <v>317</v>
      </c>
      <c r="C324" s="27" t="s">
        <v>1104</v>
      </c>
      <c r="D324" s="8">
        <v>1064.4579892269185</v>
      </c>
      <c r="E324" s="8">
        <v>954.24250943932486</v>
      </c>
      <c r="F324" s="8">
        <v>1000</v>
      </c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>
        <v>3018.7004986662432</v>
      </c>
      <c r="AA324" s="8"/>
      <c r="AB324" s="8"/>
      <c r="AI324">
        <f t="shared" si="15"/>
        <v>317</v>
      </c>
      <c r="AJ324" s="27" t="s">
        <v>1104</v>
      </c>
      <c r="AK324" s="8">
        <v>3018.7004986662432</v>
      </c>
      <c r="AM324">
        <f t="shared" si="16"/>
        <v>317</v>
      </c>
      <c r="AN324" t="s">
        <v>2419</v>
      </c>
      <c r="AO324" s="8">
        <v>3</v>
      </c>
      <c r="AR324" s="27" t="s">
        <v>897</v>
      </c>
      <c r="AS324" s="21">
        <v>1448</v>
      </c>
    </row>
    <row r="325" spans="2:45" x14ac:dyDescent="0.35">
      <c r="B325">
        <f t="shared" si="14"/>
        <v>318</v>
      </c>
      <c r="C325" s="27" t="s">
        <v>632</v>
      </c>
      <c r="D325" s="8"/>
      <c r="E325" s="8"/>
      <c r="F325" s="8"/>
      <c r="G325" s="8"/>
      <c r="H325" s="8"/>
      <c r="I325" s="8"/>
      <c r="J325" s="8">
        <v>1505.149978319906</v>
      </c>
      <c r="K325" s="8">
        <v>1505.149978319906</v>
      </c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>
        <v>3010.2999566398121</v>
      </c>
      <c r="AA325" s="8"/>
      <c r="AB325" s="8"/>
      <c r="AI325">
        <f t="shared" si="15"/>
        <v>318</v>
      </c>
      <c r="AJ325" s="27" t="s">
        <v>632</v>
      </c>
      <c r="AK325" s="8">
        <v>3010.2999566398121</v>
      </c>
      <c r="AM325">
        <f t="shared" si="16"/>
        <v>318</v>
      </c>
      <c r="AN325" t="s">
        <v>2316</v>
      </c>
      <c r="AO325" s="8">
        <v>3</v>
      </c>
      <c r="AR325" s="27" t="s">
        <v>1409</v>
      </c>
      <c r="AS325" s="21">
        <v>1440</v>
      </c>
    </row>
    <row r="326" spans="2:45" x14ac:dyDescent="0.35">
      <c r="B326">
        <f t="shared" si="14"/>
        <v>319</v>
      </c>
      <c r="C326" s="27" t="s">
        <v>1528</v>
      </c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>
        <v>1146.1280356782381</v>
      </c>
      <c r="Q326" s="8"/>
      <c r="R326" s="8">
        <v>973.12785359969871</v>
      </c>
      <c r="S326" s="8">
        <v>853.87196432176188</v>
      </c>
      <c r="T326" s="8"/>
      <c r="U326" s="8"/>
      <c r="V326" s="8"/>
      <c r="W326" s="8"/>
      <c r="X326" s="8"/>
      <c r="Y326" s="8"/>
      <c r="Z326" s="8">
        <v>2973.1278535996989</v>
      </c>
      <c r="AA326" s="8"/>
      <c r="AB326" s="8"/>
      <c r="AI326">
        <f t="shared" si="15"/>
        <v>319</v>
      </c>
      <c r="AJ326" s="27" t="s">
        <v>1528</v>
      </c>
      <c r="AK326" s="8">
        <v>2973.1278535996989</v>
      </c>
      <c r="AM326">
        <f t="shared" si="16"/>
        <v>319</v>
      </c>
      <c r="AN326" t="s">
        <v>2509</v>
      </c>
      <c r="AO326" s="8">
        <v>3</v>
      </c>
      <c r="AR326" s="27" t="s">
        <v>615</v>
      </c>
      <c r="AS326" s="21">
        <v>1430</v>
      </c>
    </row>
    <row r="327" spans="2:45" x14ac:dyDescent="0.35">
      <c r="B327">
        <f t="shared" si="14"/>
        <v>320</v>
      </c>
      <c r="C327" s="27" t="s">
        <v>932</v>
      </c>
      <c r="D327" s="8"/>
      <c r="E327" s="8"/>
      <c r="F327" s="8"/>
      <c r="G327" s="8">
        <v>1873.6803576753143</v>
      </c>
      <c r="H327" s="8">
        <v>1095.3278819981815</v>
      </c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>
        <v>2969.0082396734961</v>
      </c>
      <c r="AA327" s="8"/>
      <c r="AB327" s="8"/>
      <c r="AI327">
        <f t="shared" si="15"/>
        <v>320</v>
      </c>
      <c r="AJ327" s="27" t="s">
        <v>932</v>
      </c>
      <c r="AK327" s="8">
        <v>2969.0082396734961</v>
      </c>
      <c r="AM327">
        <f t="shared" si="16"/>
        <v>320</v>
      </c>
      <c r="AN327" s="27" t="s">
        <v>1617</v>
      </c>
      <c r="AO327" s="8">
        <v>3</v>
      </c>
      <c r="AR327" t="s">
        <v>2394</v>
      </c>
      <c r="AS327" s="21">
        <v>1418</v>
      </c>
    </row>
    <row r="328" spans="2:45" x14ac:dyDescent="0.35">
      <c r="B328">
        <f t="shared" si="14"/>
        <v>321</v>
      </c>
      <c r="C328" s="27" t="s">
        <v>1473</v>
      </c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>
        <v>2012.837224705172</v>
      </c>
      <c r="P328" s="8"/>
      <c r="Q328" s="8"/>
      <c r="R328" s="8"/>
      <c r="S328" s="8"/>
      <c r="T328" s="8"/>
      <c r="U328" s="8">
        <v>942.00805302231322</v>
      </c>
      <c r="V328" s="8"/>
      <c r="W328" s="8"/>
      <c r="X328" s="8"/>
      <c r="Y328" s="8"/>
      <c r="Z328" s="8">
        <v>2954.8452777274852</v>
      </c>
      <c r="AA328" s="8"/>
      <c r="AB328" s="8"/>
      <c r="AI328">
        <f t="shared" si="15"/>
        <v>321</v>
      </c>
      <c r="AJ328" s="27" t="s">
        <v>1473</v>
      </c>
      <c r="AK328" s="8">
        <v>2954.8452777274852</v>
      </c>
      <c r="AM328">
        <f t="shared" si="16"/>
        <v>321</v>
      </c>
      <c r="AN328" s="27" t="s">
        <v>1528</v>
      </c>
      <c r="AO328" s="8">
        <v>3</v>
      </c>
      <c r="AR328" s="27" t="s">
        <v>1463</v>
      </c>
      <c r="AS328" s="21">
        <v>1417</v>
      </c>
    </row>
    <row r="329" spans="2:45" x14ac:dyDescent="0.35">
      <c r="B329">
        <f t="shared" si="14"/>
        <v>322</v>
      </c>
      <c r="C329" s="27" t="s">
        <v>474</v>
      </c>
      <c r="D329" s="8"/>
      <c r="E329" s="8"/>
      <c r="F329" s="8"/>
      <c r="G329" s="8"/>
      <c r="H329" s="8"/>
      <c r="I329" s="8"/>
      <c r="J329" s="8"/>
      <c r="K329" s="8">
        <v>1322.219294733919</v>
      </c>
      <c r="L329" s="8">
        <v>660.05193830564929</v>
      </c>
      <c r="M329" s="8"/>
      <c r="N329" s="8"/>
      <c r="O329" s="8">
        <v>595.16584908514574</v>
      </c>
      <c r="P329" s="8"/>
      <c r="Q329" s="8"/>
      <c r="R329" s="8"/>
      <c r="S329" s="8"/>
      <c r="T329" s="8"/>
      <c r="U329" s="8">
        <v>340.62061868779352</v>
      </c>
      <c r="V329" s="8"/>
      <c r="W329" s="8"/>
      <c r="X329" s="8"/>
      <c r="Y329" s="8"/>
      <c r="Z329" s="8">
        <v>2918.0577008125074</v>
      </c>
      <c r="AA329" s="8"/>
      <c r="AB329" s="8"/>
      <c r="AI329">
        <f t="shared" si="15"/>
        <v>322</v>
      </c>
      <c r="AJ329" s="27" t="s">
        <v>474</v>
      </c>
      <c r="AK329" s="8">
        <v>2918.0577008125074</v>
      </c>
      <c r="AM329">
        <f t="shared" si="16"/>
        <v>322</v>
      </c>
      <c r="AN329" t="s">
        <v>2345</v>
      </c>
      <c r="AO329" s="8">
        <v>3</v>
      </c>
      <c r="AR329" s="27" t="s">
        <v>1623</v>
      </c>
      <c r="AS329" s="21">
        <v>1414</v>
      </c>
    </row>
    <row r="330" spans="2:45" x14ac:dyDescent="0.35">
      <c r="B330">
        <f t="shared" ref="B330:B393" si="17">B329+1</f>
        <v>323</v>
      </c>
      <c r="C330" s="27" t="s">
        <v>236</v>
      </c>
      <c r="D330" s="8">
        <v>534.04219133482388</v>
      </c>
      <c r="E330" s="8"/>
      <c r="F330" s="8"/>
      <c r="G330" s="8"/>
      <c r="H330" s="8"/>
      <c r="I330" s="8"/>
      <c r="J330" s="8"/>
      <c r="K330" s="8"/>
      <c r="L330" s="8"/>
      <c r="M330" s="8">
        <v>954.24250943932498</v>
      </c>
      <c r="N330" s="8">
        <v>1420.5058365707789</v>
      </c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>
        <v>2908.7905373449275</v>
      </c>
      <c r="AA330" s="8"/>
      <c r="AB330" s="8"/>
      <c r="AI330">
        <f t="shared" ref="AI330:AI393" si="18">AI329+1</f>
        <v>323</v>
      </c>
      <c r="AJ330" s="27" t="s">
        <v>236</v>
      </c>
      <c r="AK330" s="8">
        <v>2908.7905373449275</v>
      </c>
      <c r="AM330">
        <f t="shared" ref="AM330:AM393" si="19">AM329+1</f>
        <v>323</v>
      </c>
      <c r="AN330" s="27" t="s">
        <v>1457</v>
      </c>
      <c r="AO330" s="8">
        <v>3</v>
      </c>
      <c r="AR330" t="s">
        <v>2634</v>
      </c>
      <c r="AS330" s="21">
        <v>1408</v>
      </c>
    </row>
    <row r="331" spans="2:45" x14ac:dyDescent="0.35">
      <c r="B331">
        <f t="shared" si="17"/>
        <v>324</v>
      </c>
      <c r="C331" s="27" t="s">
        <v>943</v>
      </c>
      <c r="D331" s="8"/>
      <c r="E331" s="8"/>
      <c r="F331" s="8"/>
      <c r="G331" s="8">
        <v>2000</v>
      </c>
      <c r="H331" s="8">
        <v>906.27164577813278</v>
      </c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>
        <v>2906.2716457781326</v>
      </c>
      <c r="AA331" s="8"/>
      <c r="AB331" s="8"/>
      <c r="AI331">
        <f t="shared" si="18"/>
        <v>324</v>
      </c>
      <c r="AJ331" s="27" t="s">
        <v>943</v>
      </c>
      <c r="AK331" s="8">
        <v>2906.2716457781326</v>
      </c>
      <c r="AM331">
        <f t="shared" si="19"/>
        <v>324</v>
      </c>
      <c r="AN331" s="27" t="s">
        <v>1409</v>
      </c>
      <c r="AO331" s="8">
        <v>3</v>
      </c>
      <c r="AR331" s="27" t="s">
        <v>1677</v>
      </c>
      <c r="AS331" s="21">
        <v>1408</v>
      </c>
    </row>
    <row r="332" spans="2:45" x14ac:dyDescent="0.35">
      <c r="B332">
        <f t="shared" si="17"/>
        <v>325</v>
      </c>
      <c r="C332" s="27" t="s">
        <v>897</v>
      </c>
      <c r="D332" s="8"/>
      <c r="E332" s="8"/>
      <c r="F332" s="8"/>
      <c r="G332" s="8"/>
      <c r="H332" s="8">
        <v>2506.0538173181503</v>
      </c>
      <c r="I332" s="8"/>
      <c r="J332" s="8"/>
      <c r="K332" s="8"/>
      <c r="L332" s="8"/>
      <c r="M332" s="8"/>
      <c r="N332" s="8"/>
      <c r="O332" s="8"/>
      <c r="P332" s="8"/>
      <c r="Q332" s="8"/>
      <c r="R332" s="8">
        <v>379.83392234481522</v>
      </c>
      <c r="S332" s="8"/>
      <c r="T332" s="8"/>
      <c r="U332" s="8"/>
      <c r="V332" s="8"/>
      <c r="W332" s="8"/>
      <c r="X332" s="8"/>
      <c r="Y332" s="8"/>
      <c r="Z332" s="8">
        <v>2885.8877396629655</v>
      </c>
      <c r="AA332" s="8"/>
      <c r="AB332" s="8"/>
      <c r="AI332">
        <f t="shared" si="18"/>
        <v>325</v>
      </c>
      <c r="AJ332" s="27" t="s">
        <v>897</v>
      </c>
      <c r="AK332" s="8">
        <v>2885.8877396629655</v>
      </c>
      <c r="AM332">
        <f t="shared" si="19"/>
        <v>325</v>
      </c>
      <c r="AN332" s="27" t="s">
        <v>1412</v>
      </c>
      <c r="AO332" s="8">
        <v>3</v>
      </c>
      <c r="AR332" s="27" t="s">
        <v>1492</v>
      </c>
      <c r="AS332" s="21">
        <v>1400</v>
      </c>
    </row>
    <row r="333" spans="2:45" x14ac:dyDescent="0.35">
      <c r="B333">
        <f t="shared" si="17"/>
        <v>326</v>
      </c>
      <c r="C333" s="27" t="s">
        <v>423</v>
      </c>
      <c r="D333" s="8"/>
      <c r="E333" s="8"/>
      <c r="F333" s="8"/>
      <c r="G333" s="8"/>
      <c r="H333" s="8"/>
      <c r="I333" s="8"/>
      <c r="J333" s="8"/>
      <c r="K333" s="8">
        <v>1204.1199826559248</v>
      </c>
      <c r="L333" s="8">
        <v>1681.2412373755872</v>
      </c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>
        <v>2885.3612200315119</v>
      </c>
      <c r="AA333" s="8"/>
      <c r="AB333" s="8"/>
      <c r="AI333">
        <f t="shared" si="18"/>
        <v>326</v>
      </c>
      <c r="AJ333" s="27" t="s">
        <v>423</v>
      </c>
      <c r="AK333" s="8">
        <v>2885.3612200315119</v>
      </c>
      <c r="AM333">
        <f t="shared" si="19"/>
        <v>326</v>
      </c>
      <c r="AN333" s="27" t="s">
        <v>440</v>
      </c>
      <c r="AO333" s="8">
        <v>3</v>
      </c>
      <c r="AR333" s="27" t="s">
        <v>1669</v>
      </c>
      <c r="AS333" s="21">
        <v>1394</v>
      </c>
    </row>
    <row r="334" spans="2:45" x14ac:dyDescent="0.35">
      <c r="B334">
        <f t="shared" si="17"/>
        <v>327</v>
      </c>
      <c r="C334" s="27" t="s">
        <v>464</v>
      </c>
      <c r="D334" s="8">
        <v>833.98359827224203</v>
      </c>
      <c r="E334" s="8"/>
      <c r="F334" s="8">
        <v>393.06009002745952</v>
      </c>
      <c r="G334" s="8"/>
      <c r="H334" s="8"/>
      <c r="I334" s="8"/>
      <c r="J334" s="8"/>
      <c r="K334" s="8"/>
      <c r="L334" s="8">
        <v>886.05664769316331</v>
      </c>
      <c r="M334" s="8">
        <v>765.91679396663199</v>
      </c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>
        <v>2879.0171299594967</v>
      </c>
      <c r="AA334" s="8"/>
      <c r="AB334" s="8"/>
      <c r="AI334">
        <f t="shared" si="18"/>
        <v>327</v>
      </c>
      <c r="AJ334" s="27" t="s">
        <v>464</v>
      </c>
      <c r="AK334" s="8">
        <v>2879.0171299594967</v>
      </c>
      <c r="AM334">
        <f t="shared" si="19"/>
        <v>327</v>
      </c>
      <c r="AN334" s="27" t="s">
        <v>1482</v>
      </c>
      <c r="AO334" s="8">
        <v>3</v>
      </c>
      <c r="AR334" s="27" t="s">
        <v>1701</v>
      </c>
      <c r="AS334" s="21">
        <v>1382</v>
      </c>
    </row>
    <row r="335" spans="2:45" x14ac:dyDescent="0.35">
      <c r="B335">
        <f t="shared" si="17"/>
        <v>328</v>
      </c>
      <c r="C335" s="27" t="s">
        <v>606</v>
      </c>
      <c r="D335" s="8"/>
      <c r="E335" s="8"/>
      <c r="F335" s="8"/>
      <c r="G335" s="8"/>
      <c r="H335" s="8"/>
      <c r="I335" s="8"/>
      <c r="J335" s="8"/>
      <c r="K335" s="8">
        <v>2857.9185324475807</v>
      </c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>
        <v>2857.9185324475807</v>
      </c>
      <c r="AA335" s="8"/>
      <c r="AB335" s="8"/>
      <c r="AI335">
        <f t="shared" si="18"/>
        <v>328</v>
      </c>
      <c r="AJ335" s="27" t="s">
        <v>606</v>
      </c>
      <c r="AK335" s="8">
        <v>2857.9185324475807</v>
      </c>
      <c r="AM335">
        <f t="shared" si="19"/>
        <v>328</v>
      </c>
      <c r="AN335" s="27" t="s">
        <v>1145</v>
      </c>
      <c r="AO335" s="8">
        <v>3</v>
      </c>
      <c r="AR335" s="27" t="s">
        <v>986</v>
      </c>
      <c r="AS335" s="21">
        <v>1381</v>
      </c>
    </row>
    <row r="336" spans="2:45" x14ac:dyDescent="0.35">
      <c r="B336">
        <f t="shared" si="17"/>
        <v>329</v>
      </c>
      <c r="C336" s="27" t="s">
        <v>1044</v>
      </c>
      <c r="D336" s="8">
        <v>723.79358806105108</v>
      </c>
      <c r="E336" s="8"/>
      <c r="F336" s="8"/>
      <c r="G336" s="8">
        <v>965.45073103095967</v>
      </c>
      <c r="H336" s="8"/>
      <c r="I336" s="8"/>
      <c r="J336" s="8"/>
      <c r="K336" s="8"/>
      <c r="L336" s="8"/>
      <c r="M336" s="8"/>
      <c r="N336" s="8"/>
      <c r="O336" s="8">
        <v>1167.7391846909152</v>
      </c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>
        <v>2856.9835037829262</v>
      </c>
      <c r="AA336" s="8"/>
      <c r="AB336" s="8"/>
      <c r="AI336">
        <f t="shared" si="18"/>
        <v>329</v>
      </c>
      <c r="AJ336" s="27" t="s">
        <v>1044</v>
      </c>
      <c r="AK336" s="8">
        <v>2856.9835037829262</v>
      </c>
      <c r="AM336">
        <f t="shared" si="19"/>
        <v>329</v>
      </c>
      <c r="AN336" s="27" t="s">
        <v>392</v>
      </c>
      <c r="AO336" s="8">
        <v>3</v>
      </c>
      <c r="AR336" s="27" t="s">
        <v>921</v>
      </c>
      <c r="AS336" s="21">
        <v>1375</v>
      </c>
    </row>
    <row r="337" spans="2:45" x14ac:dyDescent="0.35">
      <c r="B337">
        <f t="shared" si="17"/>
        <v>330</v>
      </c>
      <c r="C337" s="27" t="s">
        <v>2339</v>
      </c>
      <c r="D337" s="8"/>
      <c r="E337" s="8"/>
      <c r="F337" s="8">
        <v>1863.3228601204562</v>
      </c>
      <c r="G337" s="8"/>
      <c r="H337" s="8"/>
      <c r="I337" s="8">
        <v>992.26754976930943</v>
      </c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>
        <v>2855.5904098897654</v>
      </c>
      <c r="AA337" s="8"/>
      <c r="AB337" s="8"/>
      <c r="AI337">
        <f t="shared" si="18"/>
        <v>330</v>
      </c>
      <c r="AJ337" s="27" t="s">
        <v>2339</v>
      </c>
      <c r="AK337" s="8">
        <v>2855.5904098897654</v>
      </c>
      <c r="AM337">
        <f t="shared" si="19"/>
        <v>330</v>
      </c>
      <c r="AN337" s="27" t="s">
        <v>650</v>
      </c>
      <c r="AO337" s="8">
        <v>3</v>
      </c>
      <c r="AR337" t="s">
        <v>2384</v>
      </c>
      <c r="AS337" s="21">
        <v>1370</v>
      </c>
    </row>
    <row r="338" spans="2:45" x14ac:dyDescent="0.35">
      <c r="B338">
        <f t="shared" si="17"/>
        <v>331</v>
      </c>
      <c r="C338" s="27" t="s">
        <v>1606</v>
      </c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>
        <v>845.09804001425687</v>
      </c>
      <c r="Q338" s="8">
        <v>1120.5739312058499</v>
      </c>
      <c r="R338" s="8"/>
      <c r="S338" s="8"/>
      <c r="T338" s="8">
        <v>875.06126339170009</v>
      </c>
      <c r="U338" s="8"/>
      <c r="V338" s="8"/>
      <c r="W338" s="8"/>
      <c r="X338" s="8"/>
      <c r="Y338" s="8"/>
      <c r="Z338" s="8">
        <v>2840.7332346118069</v>
      </c>
      <c r="AA338" s="8"/>
      <c r="AB338" s="8"/>
      <c r="AI338">
        <f t="shared" si="18"/>
        <v>331</v>
      </c>
      <c r="AJ338" s="27" t="s">
        <v>1606</v>
      </c>
      <c r="AK338" s="8">
        <v>2840.7332346118069</v>
      </c>
      <c r="AM338">
        <f t="shared" si="19"/>
        <v>331</v>
      </c>
      <c r="AN338" s="27" t="s">
        <v>1044</v>
      </c>
      <c r="AO338" s="8">
        <v>3</v>
      </c>
      <c r="AR338" t="s">
        <v>2314</v>
      </c>
      <c r="AS338" s="21">
        <v>1358</v>
      </c>
    </row>
    <row r="339" spans="2:45" x14ac:dyDescent="0.35">
      <c r="B339">
        <f t="shared" si="17"/>
        <v>332</v>
      </c>
      <c r="C339" s="27" t="s">
        <v>802</v>
      </c>
      <c r="D339" s="8"/>
      <c r="E339" s="8"/>
      <c r="F339" s="8"/>
      <c r="G339" s="8"/>
      <c r="H339" s="8">
        <v>623.2492903979005</v>
      </c>
      <c r="I339" s="8">
        <v>2176.0912590556813</v>
      </c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>
        <v>2799.3405494535818</v>
      </c>
      <c r="AA339" s="8"/>
      <c r="AB339" s="8"/>
      <c r="AI339">
        <f t="shared" si="18"/>
        <v>332</v>
      </c>
      <c r="AJ339" s="27" t="s">
        <v>802</v>
      </c>
      <c r="AK339" s="8">
        <v>2799.3405494535818</v>
      </c>
      <c r="AM339">
        <f t="shared" si="19"/>
        <v>332</v>
      </c>
      <c r="AN339" s="27" t="s">
        <v>1677</v>
      </c>
      <c r="AO339" s="8">
        <v>3</v>
      </c>
      <c r="AR339" s="27" t="s">
        <v>309</v>
      </c>
      <c r="AS339" s="21">
        <v>1351</v>
      </c>
    </row>
    <row r="340" spans="2:45" x14ac:dyDescent="0.35">
      <c r="B340">
        <f t="shared" si="17"/>
        <v>333</v>
      </c>
      <c r="C340" s="27" t="s">
        <v>1546</v>
      </c>
      <c r="D340" s="8"/>
      <c r="E340" s="8"/>
      <c r="F340" s="8">
        <v>1423.2458739368076</v>
      </c>
      <c r="G340" s="8">
        <v>1327.3589343863302</v>
      </c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>
        <v>2750.6048083231381</v>
      </c>
      <c r="AA340" s="8"/>
      <c r="AB340" s="8"/>
      <c r="AI340">
        <f t="shared" si="18"/>
        <v>333</v>
      </c>
      <c r="AJ340" s="27" t="s">
        <v>1546</v>
      </c>
      <c r="AK340" s="8">
        <v>2750.6048083231381</v>
      </c>
      <c r="AM340">
        <f t="shared" si="19"/>
        <v>333</v>
      </c>
      <c r="AN340" s="27" t="s">
        <v>767</v>
      </c>
      <c r="AO340" s="8">
        <v>3</v>
      </c>
      <c r="AR340" s="27" t="s">
        <v>176</v>
      </c>
      <c r="AS340" s="21">
        <v>1344</v>
      </c>
    </row>
    <row r="341" spans="2:45" x14ac:dyDescent="0.35">
      <c r="B341">
        <f t="shared" si="17"/>
        <v>334</v>
      </c>
      <c r="C341" s="27" t="s">
        <v>1634</v>
      </c>
      <c r="D341" s="8"/>
      <c r="E341" s="8"/>
      <c r="F341" s="8"/>
      <c r="G341" s="8"/>
      <c r="H341" s="8"/>
      <c r="I341" s="8"/>
      <c r="J341" s="8"/>
      <c r="K341" s="8"/>
      <c r="L341" s="8"/>
      <c r="M341" s="8">
        <v>1556.3025007672873</v>
      </c>
      <c r="N341" s="8"/>
      <c r="O341" s="8"/>
      <c r="P341" s="8"/>
      <c r="Q341" s="8"/>
      <c r="R341" s="8">
        <v>1183.2698436828045</v>
      </c>
      <c r="S341" s="8"/>
      <c r="T341" s="8"/>
      <c r="U341" s="8"/>
      <c r="V341" s="8"/>
      <c r="W341" s="8"/>
      <c r="X341" s="8"/>
      <c r="Y341" s="8"/>
      <c r="Z341" s="8">
        <v>2739.5723444500918</v>
      </c>
      <c r="AA341" s="8"/>
      <c r="AB341" s="8"/>
      <c r="AI341">
        <f t="shared" si="18"/>
        <v>334</v>
      </c>
      <c r="AJ341" s="27" t="s">
        <v>1634</v>
      </c>
      <c r="AK341" s="8">
        <v>2739.5723444500918</v>
      </c>
      <c r="AM341">
        <f t="shared" si="19"/>
        <v>334</v>
      </c>
      <c r="AN341" s="27" t="s">
        <v>907</v>
      </c>
      <c r="AO341" s="8">
        <v>3</v>
      </c>
      <c r="AR341" t="s">
        <v>2576</v>
      </c>
      <c r="AS341" s="21">
        <v>1336</v>
      </c>
    </row>
    <row r="342" spans="2:45" x14ac:dyDescent="0.35">
      <c r="B342">
        <f t="shared" si="17"/>
        <v>335</v>
      </c>
      <c r="C342" s="27" t="s">
        <v>1153</v>
      </c>
      <c r="D342" s="8"/>
      <c r="E342" s="8">
        <v>1869.5669528482802</v>
      </c>
      <c r="F342" s="8">
        <v>860.33800657099368</v>
      </c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>
        <v>2729.9049594192738</v>
      </c>
      <c r="AA342" s="8"/>
      <c r="AB342" s="8"/>
      <c r="AI342">
        <f t="shared" si="18"/>
        <v>335</v>
      </c>
      <c r="AJ342" s="27" t="s">
        <v>1153</v>
      </c>
      <c r="AK342" s="8">
        <v>2729.9049594192738</v>
      </c>
      <c r="AM342">
        <f t="shared" si="19"/>
        <v>335</v>
      </c>
      <c r="AN342" s="27" t="s">
        <v>1160</v>
      </c>
      <c r="AO342" s="8">
        <v>3</v>
      </c>
      <c r="AR342" s="27" t="s">
        <v>1561</v>
      </c>
      <c r="AS342" s="21">
        <v>1330</v>
      </c>
    </row>
    <row r="343" spans="2:45" x14ac:dyDescent="0.35">
      <c r="B343">
        <f t="shared" si="17"/>
        <v>336</v>
      </c>
      <c r="C343" s="27" t="s">
        <v>655</v>
      </c>
      <c r="D343" s="8">
        <v>876.14510343988798</v>
      </c>
      <c r="E343" s="8">
        <v>812.91335664285566</v>
      </c>
      <c r="F343" s="8"/>
      <c r="G343" s="8"/>
      <c r="H343" s="8"/>
      <c r="I343" s="8"/>
      <c r="J343" s="8">
        <v>1021.1892990699382</v>
      </c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>
        <v>2710.2477591526822</v>
      </c>
      <c r="AA343" s="8"/>
      <c r="AB343" s="8"/>
      <c r="AI343">
        <f t="shared" si="18"/>
        <v>336</v>
      </c>
      <c r="AJ343" s="27" t="s">
        <v>655</v>
      </c>
      <c r="AK343" s="8">
        <v>2710.2477591526822</v>
      </c>
      <c r="AM343">
        <f t="shared" si="19"/>
        <v>336</v>
      </c>
      <c r="AN343" s="27" t="s">
        <v>362</v>
      </c>
      <c r="AO343" s="8">
        <v>3</v>
      </c>
      <c r="AR343" s="27" t="s">
        <v>1482</v>
      </c>
      <c r="AS343" s="21">
        <v>1328</v>
      </c>
    </row>
    <row r="344" spans="2:45" x14ac:dyDescent="0.35">
      <c r="B344">
        <f t="shared" si="17"/>
        <v>337</v>
      </c>
      <c r="C344" s="27" t="s">
        <v>1548</v>
      </c>
      <c r="D344" s="8"/>
      <c r="E344" s="8"/>
      <c r="F344" s="8"/>
      <c r="G344" s="8"/>
      <c r="H344" s="8"/>
      <c r="I344" s="8"/>
      <c r="J344" s="8">
        <v>2704.0467551664105</v>
      </c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>
        <v>2704.0467551664105</v>
      </c>
      <c r="AA344" s="8"/>
      <c r="AB344" s="8"/>
      <c r="AI344">
        <f t="shared" si="18"/>
        <v>337</v>
      </c>
      <c r="AJ344" s="27" t="s">
        <v>1548</v>
      </c>
      <c r="AK344" s="8">
        <v>2704.0467551664105</v>
      </c>
      <c r="AM344">
        <f t="shared" si="19"/>
        <v>337</v>
      </c>
      <c r="AN344" s="27" t="s">
        <v>488</v>
      </c>
      <c r="AO344" s="8">
        <v>3</v>
      </c>
      <c r="AR344" s="27" t="s">
        <v>1246</v>
      </c>
      <c r="AS344" s="21">
        <v>1322</v>
      </c>
    </row>
    <row r="345" spans="2:45" x14ac:dyDescent="0.35">
      <c r="B345">
        <f t="shared" si="17"/>
        <v>338</v>
      </c>
      <c r="C345" s="27" t="s">
        <v>1549</v>
      </c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>
        <v>869.23171973097624</v>
      </c>
      <c r="O345" s="8">
        <v>1819.2618345368844</v>
      </c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>
        <v>2688.4935542678604</v>
      </c>
      <c r="AA345" s="8"/>
      <c r="AB345" s="8"/>
      <c r="AI345">
        <f t="shared" si="18"/>
        <v>338</v>
      </c>
      <c r="AJ345" s="27" t="s">
        <v>1549</v>
      </c>
      <c r="AK345" s="8">
        <v>2688.4935542678604</v>
      </c>
      <c r="AM345">
        <f t="shared" si="19"/>
        <v>338</v>
      </c>
      <c r="AN345" s="27" t="s">
        <v>129</v>
      </c>
      <c r="AO345" s="8">
        <v>3</v>
      </c>
      <c r="AR345" s="27" t="s">
        <v>288</v>
      </c>
      <c r="AS345" s="21">
        <v>1315</v>
      </c>
    </row>
    <row r="346" spans="2:45" x14ac:dyDescent="0.35">
      <c r="B346">
        <f t="shared" si="17"/>
        <v>339</v>
      </c>
      <c r="C346" s="27" t="s">
        <v>1160</v>
      </c>
      <c r="D346" s="8">
        <v>1748.3316191655194</v>
      </c>
      <c r="E346" s="8"/>
      <c r="F346" s="8">
        <v>929.41892571429275</v>
      </c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>
        <v>2677.750544879812</v>
      </c>
      <c r="AA346" s="8"/>
      <c r="AB346" s="8"/>
      <c r="AI346">
        <f t="shared" si="18"/>
        <v>339</v>
      </c>
      <c r="AJ346" s="27" t="s">
        <v>1160</v>
      </c>
      <c r="AK346" s="8">
        <v>2677.750544879812</v>
      </c>
      <c r="AM346">
        <f t="shared" si="19"/>
        <v>339</v>
      </c>
      <c r="AN346" s="27" t="s">
        <v>897</v>
      </c>
      <c r="AO346" s="8">
        <v>3</v>
      </c>
      <c r="AR346" t="s">
        <v>2636</v>
      </c>
      <c r="AS346" s="21">
        <v>1309</v>
      </c>
    </row>
    <row r="347" spans="2:45" x14ac:dyDescent="0.35">
      <c r="B347">
        <f t="shared" si="17"/>
        <v>340</v>
      </c>
      <c r="C347" s="27" t="s">
        <v>541</v>
      </c>
      <c r="D347" s="8"/>
      <c r="E347" s="8"/>
      <c r="F347" s="8"/>
      <c r="G347" s="8"/>
      <c r="H347" s="8"/>
      <c r="I347" s="8"/>
      <c r="J347" s="8"/>
      <c r="K347" s="8"/>
      <c r="L347" s="8">
        <v>1633.4684555795861</v>
      </c>
      <c r="M347" s="8"/>
      <c r="N347" s="8"/>
      <c r="O347" s="8">
        <v>1032.8489116149312</v>
      </c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>
        <v>2666.3173671945174</v>
      </c>
      <c r="AA347" s="8"/>
      <c r="AB347" s="8"/>
      <c r="AI347">
        <f t="shared" si="18"/>
        <v>340</v>
      </c>
      <c r="AJ347" s="27" t="s">
        <v>541</v>
      </c>
      <c r="AK347" s="8">
        <v>2666.3173671945174</v>
      </c>
      <c r="AM347">
        <f t="shared" si="19"/>
        <v>340</v>
      </c>
      <c r="AN347" s="27" t="s">
        <v>1631</v>
      </c>
      <c r="AO347" s="8">
        <v>3</v>
      </c>
      <c r="AR347" s="27" t="s">
        <v>1147</v>
      </c>
      <c r="AS347" s="21">
        <v>1306</v>
      </c>
    </row>
    <row r="348" spans="2:45" x14ac:dyDescent="0.35">
      <c r="B348">
        <f t="shared" si="17"/>
        <v>341</v>
      </c>
      <c r="C348" s="27" t="s">
        <v>1009</v>
      </c>
      <c r="D348" s="8"/>
      <c r="E348" s="8"/>
      <c r="F348" s="8">
        <v>1221.8487496163564</v>
      </c>
      <c r="G348" s="8">
        <v>1423.2458739368076</v>
      </c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>
        <v>2645.0946235531637</v>
      </c>
      <c r="AA348" s="8"/>
      <c r="AB348" s="8"/>
      <c r="AI348">
        <f t="shared" si="18"/>
        <v>341</v>
      </c>
      <c r="AJ348" s="27" t="s">
        <v>1009</v>
      </c>
      <c r="AK348" s="8">
        <v>2645.0946235531637</v>
      </c>
      <c r="AM348">
        <f t="shared" si="19"/>
        <v>341</v>
      </c>
      <c r="AN348" s="27" t="s">
        <v>679</v>
      </c>
      <c r="AO348" s="8">
        <v>3</v>
      </c>
      <c r="AR348" s="27" t="s">
        <v>1632</v>
      </c>
      <c r="AS348" s="21">
        <v>1296</v>
      </c>
    </row>
    <row r="349" spans="2:45" x14ac:dyDescent="0.35">
      <c r="B349">
        <f t="shared" si="17"/>
        <v>342</v>
      </c>
      <c r="C349" s="27" t="s">
        <v>1550</v>
      </c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>
        <v>2643.4526764861876</v>
      </c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>
        <v>2643.4526764861876</v>
      </c>
      <c r="AA349" s="8"/>
      <c r="AB349" s="8"/>
      <c r="AI349">
        <f t="shared" si="18"/>
        <v>342</v>
      </c>
      <c r="AJ349" s="27" t="s">
        <v>1550</v>
      </c>
      <c r="AK349" s="8">
        <v>2643.4526764861876</v>
      </c>
      <c r="AM349">
        <f t="shared" si="19"/>
        <v>342</v>
      </c>
      <c r="AN349" s="27" t="s">
        <v>1037</v>
      </c>
      <c r="AO349" s="8">
        <v>3</v>
      </c>
      <c r="AR349" s="27" t="s">
        <v>690</v>
      </c>
      <c r="AS349" s="21">
        <v>1279</v>
      </c>
    </row>
    <row r="350" spans="2:45" x14ac:dyDescent="0.35">
      <c r="B350">
        <f t="shared" si="17"/>
        <v>343</v>
      </c>
      <c r="C350" s="27" t="s">
        <v>569</v>
      </c>
      <c r="D350" s="8">
        <v>1200.1785422676933</v>
      </c>
      <c r="E350" s="8"/>
      <c r="F350" s="8"/>
      <c r="G350" s="8"/>
      <c r="H350" s="8"/>
      <c r="I350" s="8"/>
      <c r="J350" s="8"/>
      <c r="K350" s="8">
        <v>1443.2629874586951</v>
      </c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>
        <v>2643.4415297263886</v>
      </c>
      <c r="AA350" s="8"/>
      <c r="AB350" s="8"/>
      <c r="AI350">
        <f t="shared" si="18"/>
        <v>343</v>
      </c>
      <c r="AJ350" s="27" t="s">
        <v>569</v>
      </c>
      <c r="AK350" s="8">
        <v>2643.4415297263886</v>
      </c>
      <c r="AM350">
        <f t="shared" si="19"/>
        <v>343</v>
      </c>
      <c r="AN350" s="27" t="s">
        <v>1488</v>
      </c>
      <c r="AO350" s="8">
        <v>3</v>
      </c>
      <c r="AR350" s="27" t="s">
        <v>236</v>
      </c>
      <c r="AS350" s="21">
        <v>1278</v>
      </c>
    </row>
    <row r="351" spans="2:45" x14ac:dyDescent="0.35">
      <c r="B351">
        <f t="shared" si="17"/>
        <v>344</v>
      </c>
      <c r="C351" s="27" t="s">
        <v>788</v>
      </c>
      <c r="D351" s="8"/>
      <c r="E351" s="8">
        <v>1593.8396610812711</v>
      </c>
      <c r="F351" s="8"/>
      <c r="G351" s="8"/>
      <c r="H351" s="8"/>
      <c r="I351" s="8">
        <v>1003.0910769771417</v>
      </c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>
        <v>2596.9307380584128</v>
      </c>
      <c r="AA351" s="8"/>
      <c r="AB351" s="8"/>
      <c r="AI351">
        <f t="shared" si="18"/>
        <v>344</v>
      </c>
      <c r="AJ351" s="27" t="s">
        <v>788</v>
      </c>
      <c r="AK351" s="8">
        <v>2596.9307380584128</v>
      </c>
      <c r="AM351">
        <f t="shared" si="19"/>
        <v>344</v>
      </c>
      <c r="AN351" s="27" t="s">
        <v>1302</v>
      </c>
      <c r="AO351" s="8">
        <v>3</v>
      </c>
      <c r="AR351" s="27" t="s">
        <v>369</v>
      </c>
      <c r="AS351" s="21">
        <v>1267</v>
      </c>
    </row>
    <row r="352" spans="2:45" x14ac:dyDescent="0.35">
      <c r="B352">
        <f t="shared" si="17"/>
        <v>345</v>
      </c>
      <c r="C352" s="27" t="s">
        <v>1176</v>
      </c>
      <c r="D352" s="8"/>
      <c r="E352" s="8">
        <v>857.3324964312684</v>
      </c>
      <c r="F352" s="8">
        <v>1738.3841235121561</v>
      </c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>
        <v>2595.7166199434246</v>
      </c>
      <c r="AA352" s="8"/>
      <c r="AB352" s="8"/>
      <c r="AI352">
        <f t="shared" si="18"/>
        <v>345</v>
      </c>
      <c r="AJ352" s="27" t="s">
        <v>1176</v>
      </c>
      <c r="AK352" s="8">
        <v>2595.7166199434246</v>
      </c>
      <c r="AM352">
        <f t="shared" si="19"/>
        <v>345</v>
      </c>
      <c r="AN352" s="27" t="s">
        <v>1369</v>
      </c>
      <c r="AO352" s="8">
        <v>3</v>
      </c>
      <c r="AR352" t="s">
        <v>2511</v>
      </c>
      <c r="AS352" s="21">
        <v>1264</v>
      </c>
    </row>
    <row r="353" spans="2:45" x14ac:dyDescent="0.35">
      <c r="B353">
        <f t="shared" si="17"/>
        <v>346</v>
      </c>
      <c r="C353" t="s">
        <v>2312</v>
      </c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>
        <v>1414.9733479708179</v>
      </c>
      <c r="R353" s="8">
        <v>1176.0912590556813</v>
      </c>
      <c r="S353" s="8"/>
      <c r="T353" s="8"/>
      <c r="U353" s="8"/>
      <c r="V353" s="8"/>
      <c r="W353" s="8"/>
      <c r="X353" s="8"/>
      <c r="Y353" s="8"/>
      <c r="Z353" s="8">
        <v>2591.0646070264993</v>
      </c>
      <c r="AA353" s="8"/>
      <c r="AB353" s="8"/>
      <c r="AI353">
        <f t="shared" si="18"/>
        <v>346</v>
      </c>
      <c r="AJ353" t="s">
        <v>2312</v>
      </c>
      <c r="AK353" s="8">
        <v>2591.0646070264993</v>
      </c>
      <c r="AM353">
        <f t="shared" si="19"/>
        <v>346</v>
      </c>
      <c r="AN353" s="27" t="s">
        <v>1336</v>
      </c>
      <c r="AO353" s="8">
        <v>3</v>
      </c>
      <c r="AR353" t="s">
        <v>2637</v>
      </c>
      <c r="AS353" s="21">
        <v>1255</v>
      </c>
    </row>
    <row r="354" spans="2:45" x14ac:dyDescent="0.35">
      <c r="B354">
        <f t="shared" si="17"/>
        <v>347</v>
      </c>
      <c r="C354" s="27" t="s">
        <v>1603</v>
      </c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>
        <v>946.75448804677512</v>
      </c>
      <c r="Q354" s="8"/>
      <c r="R354" s="8">
        <v>1643.4526764861876</v>
      </c>
      <c r="S354" s="8"/>
      <c r="T354" s="8"/>
      <c r="U354" s="8"/>
      <c r="V354" s="8"/>
      <c r="W354" s="8"/>
      <c r="X354" s="8"/>
      <c r="Y354" s="8"/>
      <c r="Z354" s="8">
        <v>2590.2071645329625</v>
      </c>
      <c r="AA354" s="8"/>
      <c r="AB354" s="8"/>
      <c r="AI354">
        <f t="shared" si="18"/>
        <v>347</v>
      </c>
      <c r="AJ354" s="27" t="s">
        <v>1603</v>
      </c>
      <c r="AK354" s="8">
        <v>2590.2071645329625</v>
      </c>
      <c r="AM354">
        <f t="shared" si="19"/>
        <v>347</v>
      </c>
      <c r="AN354" s="27" t="s">
        <v>1549</v>
      </c>
      <c r="AO354" s="8">
        <v>3</v>
      </c>
      <c r="AR354" t="s">
        <v>2404</v>
      </c>
      <c r="AS354" s="21">
        <v>1252</v>
      </c>
    </row>
    <row r="355" spans="2:45" x14ac:dyDescent="0.35">
      <c r="B355">
        <f t="shared" si="17"/>
        <v>348</v>
      </c>
      <c r="C355" t="s">
        <v>2475</v>
      </c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>
        <v>2557.2063397655315</v>
      </c>
      <c r="U355" s="8"/>
      <c r="V355" s="8"/>
      <c r="W355" s="8"/>
      <c r="X355" s="8"/>
      <c r="Y355" s="8"/>
      <c r="Z355" s="8">
        <v>2557.2063397655315</v>
      </c>
      <c r="AA355" s="8"/>
      <c r="AB355" s="8"/>
      <c r="AI355">
        <f t="shared" si="18"/>
        <v>348</v>
      </c>
      <c r="AJ355" t="s">
        <v>2475</v>
      </c>
      <c r="AK355" s="8">
        <v>2557.2063397655315</v>
      </c>
      <c r="AM355">
        <f t="shared" si="19"/>
        <v>348</v>
      </c>
      <c r="AN355" s="27" t="s">
        <v>1676</v>
      </c>
      <c r="AO355" s="8">
        <v>3</v>
      </c>
      <c r="AR355" s="27" t="s">
        <v>641</v>
      </c>
      <c r="AS355" s="21">
        <v>1250</v>
      </c>
    </row>
    <row r="356" spans="2:45" x14ac:dyDescent="0.35">
      <c r="B356">
        <f t="shared" si="17"/>
        <v>349</v>
      </c>
      <c r="C356" s="27" t="s">
        <v>255</v>
      </c>
      <c r="D356" s="8"/>
      <c r="E356" s="8"/>
      <c r="F356" s="8"/>
      <c r="G356" s="8"/>
      <c r="H356" s="8"/>
      <c r="I356" s="8"/>
      <c r="J356" s="8">
        <v>1234.0832060333678</v>
      </c>
      <c r="K356" s="8"/>
      <c r="L356" s="8"/>
      <c r="M356" s="8"/>
      <c r="N356" s="8">
        <v>1322.2192947339195</v>
      </c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>
        <v>2556.3025007672873</v>
      </c>
      <c r="AA356" s="8"/>
      <c r="AB356" s="8"/>
      <c r="AI356">
        <f t="shared" si="18"/>
        <v>349</v>
      </c>
      <c r="AJ356" s="27" t="s">
        <v>255</v>
      </c>
      <c r="AK356" s="8">
        <v>2556.3025007672873</v>
      </c>
      <c r="AM356">
        <f t="shared" si="19"/>
        <v>349</v>
      </c>
      <c r="AN356" s="27" t="s">
        <v>1098</v>
      </c>
      <c r="AO356" s="8">
        <v>3</v>
      </c>
      <c r="AR356" t="s">
        <v>2577</v>
      </c>
      <c r="AS356" s="21">
        <v>1248</v>
      </c>
    </row>
    <row r="357" spans="2:45" x14ac:dyDescent="0.35">
      <c r="B357">
        <f t="shared" si="17"/>
        <v>350</v>
      </c>
      <c r="C357" t="s">
        <v>2296</v>
      </c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>
        <v>2550.0535514902858</v>
      </c>
      <c r="R357" s="8"/>
      <c r="S357" s="8"/>
      <c r="T357" s="8"/>
      <c r="U357" s="8"/>
      <c r="V357" s="8"/>
      <c r="W357" s="8"/>
      <c r="X357" s="8"/>
      <c r="Y357" s="8"/>
      <c r="Z357" s="8">
        <v>2550.0535514902858</v>
      </c>
      <c r="AA357" s="8"/>
      <c r="AB357" s="8"/>
      <c r="AI357">
        <f t="shared" si="18"/>
        <v>350</v>
      </c>
      <c r="AJ357" t="s">
        <v>2296</v>
      </c>
      <c r="AK357" s="8">
        <v>2550.0535514902858</v>
      </c>
      <c r="AM357">
        <f t="shared" si="19"/>
        <v>350</v>
      </c>
      <c r="AN357" s="27" t="s">
        <v>1548</v>
      </c>
      <c r="AO357" s="8">
        <v>3</v>
      </c>
      <c r="AR357" s="27" t="s">
        <v>539</v>
      </c>
      <c r="AS357" s="21">
        <v>1241</v>
      </c>
    </row>
    <row r="358" spans="2:45" x14ac:dyDescent="0.35">
      <c r="B358">
        <f t="shared" si="17"/>
        <v>351</v>
      </c>
      <c r="C358" s="27" t="s">
        <v>1037</v>
      </c>
      <c r="D358" s="8">
        <v>1335.7921019231935</v>
      </c>
      <c r="E358" s="8"/>
      <c r="F358" s="8"/>
      <c r="G358" s="8">
        <v>1195.8996524092336</v>
      </c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>
        <v>2531.6917543324271</v>
      </c>
      <c r="AA358" s="8"/>
      <c r="AB358" s="8"/>
      <c r="AI358">
        <f t="shared" si="18"/>
        <v>351</v>
      </c>
      <c r="AJ358" s="27" t="s">
        <v>1037</v>
      </c>
      <c r="AK358" s="8">
        <v>2531.6917543324271</v>
      </c>
      <c r="AM358">
        <f t="shared" si="19"/>
        <v>351</v>
      </c>
      <c r="AN358" s="27" t="s">
        <v>912</v>
      </c>
      <c r="AO358" s="8">
        <v>3</v>
      </c>
      <c r="AR358" t="s">
        <v>2650</v>
      </c>
      <c r="AS358" s="21">
        <v>1235</v>
      </c>
    </row>
    <row r="359" spans="2:45" x14ac:dyDescent="0.35">
      <c r="B359">
        <f t="shared" si="17"/>
        <v>352</v>
      </c>
      <c r="C359" s="27" t="s">
        <v>912</v>
      </c>
      <c r="D359" s="8">
        <v>451.41585448476064</v>
      </c>
      <c r="E359" s="8"/>
      <c r="F359" s="8"/>
      <c r="G359" s="8"/>
      <c r="H359" s="8">
        <v>2080.0850850458692</v>
      </c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>
        <v>2531.5009395306297</v>
      </c>
      <c r="AA359" s="8"/>
      <c r="AB359" s="8"/>
      <c r="AI359">
        <f t="shared" si="18"/>
        <v>352</v>
      </c>
      <c r="AJ359" s="27" t="s">
        <v>912</v>
      </c>
      <c r="AK359" s="8">
        <v>2531.5009395306297</v>
      </c>
      <c r="AM359">
        <f t="shared" si="19"/>
        <v>352</v>
      </c>
      <c r="AN359" s="27" t="s">
        <v>1259</v>
      </c>
      <c r="AO359" s="8">
        <v>3</v>
      </c>
      <c r="AR359" s="27" t="s">
        <v>1256</v>
      </c>
      <c r="AS359" s="21">
        <v>1230</v>
      </c>
    </row>
    <row r="360" spans="2:45" x14ac:dyDescent="0.35">
      <c r="B360">
        <f t="shared" si="17"/>
        <v>353</v>
      </c>
      <c r="C360" t="s">
        <v>2492</v>
      </c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>
        <v>2526.339277389844</v>
      </c>
      <c r="U360" s="8"/>
      <c r="V360" s="8"/>
      <c r="W360" s="8"/>
      <c r="X360" s="8"/>
      <c r="Y360" s="8"/>
      <c r="Z360" s="8">
        <v>2526.339277389844</v>
      </c>
      <c r="AA360" s="8"/>
      <c r="AB360" s="8"/>
      <c r="AI360">
        <f t="shared" si="18"/>
        <v>353</v>
      </c>
      <c r="AJ360" t="s">
        <v>2492</v>
      </c>
      <c r="AK360" s="8">
        <v>2526.339277389844</v>
      </c>
      <c r="AM360">
        <f t="shared" si="19"/>
        <v>353</v>
      </c>
      <c r="AN360" s="27" t="s">
        <v>1262</v>
      </c>
      <c r="AO360" s="8">
        <v>3</v>
      </c>
      <c r="AR360" s="27" t="s">
        <v>1181</v>
      </c>
      <c r="AS360" s="21">
        <v>1220</v>
      </c>
    </row>
    <row r="361" spans="2:45" x14ac:dyDescent="0.35">
      <c r="B361">
        <f t="shared" si="17"/>
        <v>354</v>
      </c>
      <c r="C361" s="27" t="s">
        <v>863</v>
      </c>
      <c r="D361" s="8">
        <v>1635.5826142700207</v>
      </c>
      <c r="E361" s="8"/>
      <c r="F361" s="8"/>
      <c r="G361" s="8"/>
      <c r="H361" s="8">
        <v>397.94000867203761</v>
      </c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>
        <v>451.54499349597177</v>
      </c>
      <c r="X361" s="8"/>
      <c r="Y361" s="8"/>
      <c r="Z361" s="8">
        <v>2485.0676164380302</v>
      </c>
      <c r="AA361" s="8"/>
      <c r="AB361" s="8"/>
      <c r="AI361">
        <f t="shared" si="18"/>
        <v>354</v>
      </c>
      <c r="AJ361" s="27" t="s">
        <v>863</v>
      </c>
      <c r="AK361" s="8">
        <v>2485.0676164380302</v>
      </c>
      <c r="AM361">
        <f t="shared" si="19"/>
        <v>354</v>
      </c>
      <c r="AN361" s="27" t="s">
        <v>179</v>
      </c>
      <c r="AO361" s="8">
        <v>3</v>
      </c>
      <c r="AR361" s="27" t="s">
        <v>631</v>
      </c>
      <c r="AS361" s="21">
        <v>1220</v>
      </c>
    </row>
    <row r="362" spans="2:45" x14ac:dyDescent="0.35">
      <c r="B362">
        <f t="shared" si="17"/>
        <v>355</v>
      </c>
      <c r="C362" s="27" t="s">
        <v>751</v>
      </c>
      <c r="D362" s="8"/>
      <c r="E362" s="8"/>
      <c r="F362" s="8"/>
      <c r="G362" s="8"/>
      <c r="H362" s="8">
        <v>1028.8761277362289</v>
      </c>
      <c r="I362" s="8">
        <v>1454.8448600085103</v>
      </c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>
        <v>2483.7209877447394</v>
      </c>
      <c r="AA362" s="8"/>
      <c r="AB362" s="8"/>
      <c r="AI362">
        <f t="shared" si="18"/>
        <v>355</v>
      </c>
      <c r="AJ362" s="27" t="s">
        <v>751</v>
      </c>
      <c r="AK362" s="8">
        <v>2483.7209877447394</v>
      </c>
      <c r="AM362">
        <f t="shared" si="19"/>
        <v>355</v>
      </c>
      <c r="AN362" s="27" t="s">
        <v>1153</v>
      </c>
      <c r="AO362" s="8">
        <v>3</v>
      </c>
      <c r="AR362" t="s">
        <v>2414</v>
      </c>
      <c r="AS362" s="21">
        <v>1204</v>
      </c>
    </row>
    <row r="363" spans="2:45" x14ac:dyDescent="0.35">
      <c r="B363">
        <f t="shared" si="17"/>
        <v>356</v>
      </c>
      <c r="C363" s="27" t="s">
        <v>1571</v>
      </c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>
        <v>1583.5765856339494</v>
      </c>
      <c r="Q363" s="8"/>
      <c r="R363" s="8">
        <v>895.26464947998704</v>
      </c>
      <c r="S363" s="8"/>
      <c r="T363" s="8"/>
      <c r="U363" s="8"/>
      <c r="V363" s="8"/>
      <c r="W363" s="8"/>
      <c r="X363" s="8"/>
      <c r="Y363" s="8"/>
      <c r="Z363" s="8">
        <v>2478.8412351139364</v>
      </c>
      <c r="AA363" s="8"/>
      <c r="AB363" s="8"/>
      <c r="AI363">
        <f t="shared" si="18"/>
        <v>356</v>
      </c>
      <c r="AJ363" s="27" t="s">
        <v>1571</v>
      </c>
      <c r="AK363" s="8">
        <v>2478.8412351139364</v>
      </c>
      <c r="AM363">
        <f t="shared" si="19"/>
        <v>356</v>
      </c>
      <c r="AN363" s="27" t="s">
        <v>1619</v>
      </c>
      <c r="AO363" s="8">
        <v>3</v>
      </c>
      <c r="AR363" s="27" t="s">
        <v>886</v>
      </c>
      <c r="AS363" s="21">
        <v>1200</v>
      </c>
    </row>
    <row r="364" spans="2:45" x14ac:dyDescent="0.35">
      <c r="B364">
        <f t="shared" si="17"/>
        <v>357</v>
      </c>
      <c r="C364" t="s">
        <v>2461</v>
      </c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>
        <v>2452.2976709946302</v>
      </c>
      <c r="U364" s="8"/>
      <c r="V364" s="8"/>
      <c r="W364" s="8"/>
      <c r="X364" s="8"/>
      <c r="Y364" s="8"/>
      <c r="Z364" s="8">
        <v>2452.2976709946302</v>
      </c>
      <c r="AA364" s="8"/>
      <c r="AB364" s="8"/>
      <c r="AI364">
        <f t="shared" si="18"/>
        <v>357</v>
      </c>
      <c r="AJ364" t="s">
        <v>2461</v>
      </c>
      <c r="AK364" s="8">
        <v>2452.2976709946302</v>
      </c>
      <c r="AM364">
        <f t="shared" si="19"/>
        <v>357</v>
      </c>
      <c r="AN364" s="27" t="s">
        <v>1339</v>
      </c>
      <c r="AO364" s="8">
        <v>3</v>
      </c>
      <c r="AR364" s="27" t="s">
        <v>1009</v>
      </c>
      <c r="AS364" s="21">
        <v>1200</v>
      </c>
    </row>
    <row r="365" spans="2:45" x14ac:dyDescent="0.35">
      <c r="B365">
        <f t="shared" si="17"/>
        <v>358</v>
      </c>
      <c r="C365" s="27" t="s">
        <v>481</v>
      </c>
      <c r="D365" s="8"/>
      <c r="E365" s="8"/>
      <c r="F365" s="8"/>
      <c r="G365" s="8"/>
      <c r="H365" s="8"/>
      <c r="I365" s="8"/>
      <c r="J365" s="8">
        <v>1365.9037766717295</v>
      </c>
      <c r="K365" s="8"/>
      <c r="L365" s="8">
        <v>1079.1812460476247</v>
      </c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>
        <v>2445.0850227193541</v>
      </c>
      <c r="AA365" s="8"/>
      <c r="AB365" s="8"/>
      <c r="AI365">
        <f t="shared" si="18"/>
        <v>358</v>
      </c>
      <c r="AJ365" s="27" t="s">
        <v>481</v>
      </c>
      <c r="AK365" s="8">
        <v>2445.0850227193541</v>
      </c>
      <c r="AM365">
        <f t="shared" si="19"/>
        <v>358</v>
      </c>
      <c r="AN365" s="27" t="s">
        <v>1637</v>
      </c>
      <c r="AO365" s="8">
        <v>3</v>
      </c>
      <c r="AR365" s="27" t="s">
        <v>1070</v>
      </c>
      <c r="AS365" s="21">
        <v>1196</v>
      </c>
    </row>
    <row r="366" spans="2:45" x14ac:dyDescent="0.35">
      <c r="B366">
        <f t="shared" si="17"/>
        <v>359</v>
      </c>
      <c r="C366" s="27" t="s">
        <v>726</v>
      </c>
      <c r="D366" s="8"/>
      <c r="E366" s="8"/>
      <c r="F366" s="8"/>
      <c r="G366" s="8"/>
      <c r="H366" s="8"/>
      <c r="I366" s="8">
        <v>1377.6184311333263</v>
      </c>
      <c r="J366" s="8">
        <v>1064.8737810077482</v>
      </c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>
        <v>2442.4922121410746</v>
      </c>
      <c r="AA366" s="8"/>
      <c r="AB366" s="8"/>
      <c r="AI366">
        <f t="shared" si="18"/>
        <v>359</v>
      </c>
      <c r="AJ366" s="27" t="s">
        <v>726</v>
      </c>
      <c r="AK366" s="8">
        <v>2442.4922121410746</v>
      </c>
      <c r="AM366">
        <f t="shared" si="19"/>
        <v>359</v>
      </c>
      <c r="AN366" s="27" t="s">
        <v>1365</v>
      </c>
      <c r="AO366" s="8">
        <v>3</v>
      </c>
      <c r="AR366" t="s">
        <v>2621</v>
      </c>
      <c r="AS366" s="21">
        <v>1190</v>
      </c>
    </row>
    <row r="367" spans="2:45" x14ac:dyDescent="0.35">
      <c r="B367">
        <f t="shared" si="17"/>
        <v>360</v>
      </c>
      <c r="C367" s="27" t="s">
        <v>720</v>
      </c>
      <c r="D367" s="8"/>
      <c r="E367" s="8"/>
      <c r="F367" s="8"/>
      <c r="G367" s="8"/>
      <c r="H367" s="8"/>
      <c r="I367" s="8"/>
      <c r="J367" s="8">
        <v>1144.0550270553729</v>
      </c>
      <c r="K367" s="8"/>
      <c r="L367" s="8"/>
      <c r="M367" s="8">
        <v>1295.567099962479</v>
      </c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>
        <v>2439.6221270178521</v>
      </c>
      <c r="AA367" s="8"/>
      <c r="AB367" s="8"/>
      <c r="AI367">
        <f t="shared" si="18"/>
        <v>360</v>
      </c>
      <c r="AJ367" s="27" t="s">
        <v>720</v>
      </c>
      <c r="AK367" s="8">
        <v>2439.6221270178521</v>
      </c>
      <c r="AM367">
        <f t="shared" si="19"/>
        <v>360</v>
      </c>
      <c r="AN367" s="27" t="s">
        <v>328</v>
      </c>
      <c r="AO367" s="8">
        <v>3</v>
      </c>
      <c r="AR367" s="27" t="s">
        <v>1574</v>
      </c>
      <c r="AS367" s="21">
        <v>1190</v>
      </c>
    </row>
    <row r="368" spans="2:45" x14ac:dyDescent="0.35">
      <c r="B368">
        <f t="shared" si="17"/>
        <v>361</v>
      </c>
      <c r="C368" s="27" t="s">
        <v>1554</v>
      </c>
      <c r="D368" s="8"/>
      <c r="E368" s="8"/>
      <c r="F368" s="8">
        <v>1000</v>
      </c>
      <c r="G368" s="8"/>
      <c r="H368" s="8"/>
      <c r="I368" s="8">
        <v>1425.9687322722812</v>
      </c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>
        <v>2425.9687322722812</v>
      </c>
      <c r="AA368" s="8"/>
      <c r="AB368" s="8"/>
      <c r="AI368">
        <f t="shared" si="18"/>
        <v>361</v>
      </c>
      <c r="AJ368" s="27" t="s">
        <v>1554</v>
      </c>
      <c r="AK368" s="8">
        <v>2425.9687322722812</v>
      </c>
      <c r="AM368">
        <f t="shared" si="19"/>
        <v>361</v>
      </c>
      <c r="AN368" s="27" t="s">
        <v>988</v>
      </c>
      <c r="AO368" s="8">
        <v>3</v>
      </c>
      <c r="AR368" s="27" t="s">
        <v>1671</v>
      </c>
      <c r="AS368" s="21">
        <v>1175</v>
      </c>
    </row>
    <row r="369" spans="2:45" x14ac:dyDescent="0.35">
      <c r="B369">
        <f t="shared" si="17"/>
        <v>362</v>
      </c>
      <c r="C369" t="s">
        <v>2350</v>
      </c>
      <c r="D369" s="8"/>
      <c r="E369" s="8"/>
      <c r="F369" s="8"/>
      <c r="G369" s="8"/>
      <c r="H369" s="8"/>
      <c r="I369" s="8"/>
      <c r="J369" s="8"/>
      <c r="K369" s="8"/>
      <c r="L369" s="8"/>
      <c r="M369" s="8">
        <v>2425.192513152504</v>
      </c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>
        <v>2425.192513152504</v>
      </c>
      <c r="AA369" s="8"/>
      <c r="AB369" s="8"/>
      <c r="AI369">
        <f t="shared" si="18"/>
        <v>362</v>
      </c>
      <c r="AJ369" t="s">
        <v>2350</v>
      </c>
      <c r="AK369" s="8">
        <v>2425.192513152504</v>
      </c>
      <c r="AM369">
        <f t="shared" si="19"/>
        <v>362</v>
      </c>
      <c r="AN369" s="27" t="s">
        <v>1065</v>
      </c>
      <c r="AO369" s="8">
        <v>3</v>
      </c>
      <c r="AR369" t="s">
        <v>2312</v>
      </c>
      <c r="AS369" s="21">
        <v>1170</v>
      </c>
    </row>
    <row r="370" spans="2:45" x14ac:dyDescent="0.35">
      <c r="B370">
        <f t="shared" si="17"/>
        <v>363</v>
      </c>
      <c r="C370" t="s">
        <v>2580</v>
      </c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>
        <v>2424.8816366310666</v>
      </c>
      <c r="X370" s="8"/>
      <c r="Y370" s="8"/>
      <c r="Z370" s="8">
        <v>2424.8816366310666</v>
      </c>
      <c r="AA370" s="8"/>
      <c r="AB370" s="8"/>
      <c r="AI370">
        <f t="shared" si="18"/>
        <v>363</v>
      </c>
      <c r="AJ370" t="s">
        <v>2580</v>
      </c>
      <c r="AK370" s="8">
        <v>2424.8816366310666</v>
      </c>
      <c r="AM370">
        <f t="shared" si="19"/>
        <v>363</v>
      </c>
      <c r="AN370" s="27" t="s">
        <v>1132</v>
      </c>
      <c r="AO370" s="8">
        <v>3</v>
      </c>
      <c r="AR370" t="s">
        <v>2492</v>
      </c>
      <c r="AS370" s="21">
        <v>1166</v>
      </c>
    </row>
    <row r="371" spans="2:45" x14ac:dyDescent="0.35">
      <c r="B371">
        <f t="shared" si="17"/>
        <v>364</v>
      </c>
      <c r="C371" s="27" t="s">
        <v>1555</v>
      </c>
      <c r="D371" s="8"/>
      <c r="E371" s="8"/>
      <c r="F371" s="8"/>
      <c r="G371" s="8">
        <v>1431.3637641589871</v>
      </c>
      <c r="H371" s="8"/>
      <c r="I371" s="8"/>
      <c r="J371" s="8">
        <v>987.03502283563239</v>
      </c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>
        <v>2418.3987869946195</v>
      </c>
      <c r="AA371" s="8"/>
      <c r="AB371" s="8"/>
      <c r="AI371">
        <f t="shared" si="18"/>
        <v>364</v>
      </c>
      <c r="AJ371" s="27" t="s">
        <v>1555</v>
      </c>
      <c r="AK371" s="8">
        <v>2418.3987869946195</v>
      </c>
      <c r="AM371">
        <f t="shared" si="19"/>
        <v>364</v>
      </c>
      <c r="AN371" s="27" t="s">
        <v>349</v>
      </c>
      <c r="AO371" s="8">
        <v>3</v>
      </c>
      <c r="AR371" s="27" t="s">
        <v>983</v>
      </c>
      <c r="AS371" s="21">
        <v>1161</v>
      </c>
    </row>
    <row r="372" spans="2:45" x14ac:dyDescent="0.35">
      <c r="B372">
        <f t="shared" si="17"/>
        <v>365</v>
      </c>
      <c r="C372" t="s">
        <v>2414</v>
      </c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>
        <v>2401.4005407815439</v>
      </c>
      <c r="T372" s="8"/>
      <c r="U372" s="8"/>
      <c r="V372" s="8"/>
      <c r="W372" s="8"/>
      <c r="X372" s="8"/>
      <c r="Y372" s="8"/>
      <c r="Z372" s="8">
        <v>2401.4005407815439</v>
      </c>
      <c r="AA372" s="8"/>
      <c r="AB372" s="8"/>
      <c r="AI372">
        <f t="shared" si="18"/>
        <v>365</v>
      </c>
      <c r="AJ372" t="s">
        <v>2414</v>
      </c>
      <c r="AK372" s="8">
        <v>2401.4005407815439</v>
      </c>
      <c r="AM372">
        <f t="shared" si="19"/>
        <v>365</v>
      </c>
      <c r="AN372" s="27" t="s">
        <v>186</v>
      </c>
      <c r="AO372" s="8">
        <v>3</v>
      </c>
      <c r="AR372" s="27" t="s">
        <v>244</v>
      </c>
      <c r="AS372" s="21">
        <v>1136</v>
      </c>
    </row>
    <row r="373" spans="2:45" x14ac:dyDescent="0.35">
      <c r="B373">
        <f t="shared" si="17"/>
        <v>366</v>
      </c>
      <c r="C373" s="27" t="s">
        <v>1132</v>
      </c>
      <c r="D373" s="8">
        <v>173.54407004180118</v>
      </c>
      <c r="E373" s="8"/>
      <c r="F373" s="8">
        <v>1116.7184063616087</v>
      </c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>
        <v>1105.5101847699736</v>
      </c>
      <c r="T373" s="8"/>
      <c r="U373" s="8"/>
      <c r="V373" s="8"/>
      <c r="W373" s="8"/>
      <c r="X373" s="8"/>
      <c r="Y373" s="8"/>
      <c r="Z373" s="8">
        <v>2395.7726611733833</v>
      </c>
      <c r="AA373" s="8"/>
      <c r="AB373" s="8"/>
      <c r="AI373">
        <f t="shared" si="18"/>
        <v>366</v>
      </c>
      <c r="AJ373" s="27" t="s">
        <v>1132</v>
      </c>
      <c r="AK373" s="8">
        <v>2395.7726611733833</v>
      </c>
      <c r="AM373">
        <f t="shared" si="19"/>
        <v>366</v>
      </c>
      <c r="AN373" t="s">
        <v>2551</v>
      </c>
      <c r="AO373" s="8">
        <v>2</v>
      </c>
      <c r="AR373" t="s">
        <v>2316</v>
      </c>
      <c r="AS373" s="21">
        <v>1134</v>
      </c>
    </row>
    <row r="374" spans="2:45" x14ac:dyDescent="0.35">
      <c r="B374">
        <f t="shared" si="17"/>
        <v>367</v>
      </c>
      <c r="C374" s="27" t="s">
        <v>1556</v>
      </c>
      <c r="D374" s="8"/>
      <c r="E374" s="8"/>
      <c r="F374" s="8"/>
      <c r="G374" s="8"/>
      <c r="H374" s="8"/>
      <c r="I374" s="8">
        <v>2390.4304068932925</v>
      </c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>
        <v>2390.4304068932925</v>
      </c>
      <c r="AA374" s="8"/>
      <c r="AB374" s="8"/>
      <c r="AI374">
        <f t="shared" si="18"/>
        <v>367</v>
      </c>
      <c r="AJ374" s="27" t="s">
        <v>1556</v>
      </c>
      <c r="AK374" s="8">
        <v>2390.4304068932925</v>
      </c>
      <c r="AM374">
        <f t="shared" si="19"/>
        <v>367</v>
      </c>
      <c r="AN374" t="s">
        <v>2475</v>
      </c>
      <c r="AO374" s="8">
        <v>2</v>
      </c>
      <c r="AR374" t="s">
        <v>2685</v>
      </c>
      <c r="AS374" s="21">
        <v>1132</v>
      </c>
    </row>
    <row r="375" spans="2:45" x14ac:dyDescent="0.35">
      <c r="B375">
        <f t="shared" si="17"/>
        <v>368</v>
      </c>
      <c r="C375" s="27" t="s">
        <v>261</v>
      </c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>
        <v>1278.7536009528289</v>
      </c>
      <c r="O375" s="8">
        <v>1109.7472377132285</v>
      </c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>
        <v>2388.5008386660575</v>
      </c>
      <c r="AA375" s="8"/>
      <c r="AB375" s="8"/>
      <c r="AI375">
        <f t="shared" si="18"/>
        <v>368</v>
      </c>
      <c r="AJ375" s="27" t="s">
        <v>261</v>
      </c>
      <c r="AK375" s="8">
        <v>2388.5008386660575</v>
      </c>
      <c r="AM375">
        <f t="shared" si="19"/>
        <v>368</v>
      </c>
      <c r="AN375" t="s">
        <v>2637</v>
      </c>
      <c r="AO375" s="8">
        <v>2</v>
      </c>
      <c r="AR375" s="27" t="s">
        <v>856</v>
      </c>
      <c r="AS375" s="21">
        <v>1132</v>
      </c>
    </row>
    <row r="376" spans="2:45" x14ac:dyDescent="0.35">
      <c r="B376">
        <f t="shared" si="17"/>
        <v>369</v>
      </c>
      <c r="C376" s="27" t="s">
        <v>977</v>
      </c>
      <c r="D376" s="8"/>
      <c r="E376" s="8"/>
      <c r="F376" s="8"/>
      <c r="G376" s="8"/>
      <c r="H376" s="8">
        <v>1234.6859743215284</v>
      </c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>
        <v>1152.9674602085436</v>
      </c>
      <c r="T376" s="8"/>
      <c r="U376" s="8"/>
      <c r="V376" s="8"/>
      <c r="W376" s="8"/>
      <c r="X376" s="8"/>
      <c r="Y376" s="8"/>
      <c r="Z376" s="8">
        <v>2387.653434530072</v>
      </c>
      <c r="AA376" s="8"/>
      <c r="AB376" s="8"/>
      <c r="AI376">
        <f t="shared" si="18"/>
        <v>369</v>
      </c>
      <c r="AJ376" s="27" t="s">
        <v>977</v>
      </c>
      <c r="AK376" s="8">
        <v>2387.653434530072</v>
      </c>
      <c r="AM376">
        <f t="shared" si="19"/>
        <v>369</v>
      </c>
      <c r="AN376" t="s">
        <v>2350</v>
      </c>
      <c r="AO376" s="8">
        <v>2</v>
      </c>
      <c r="AR376" t="s">
        <v>2409</v>
      </c>
      <c r="AS376" s="21">
        <v>1128</v>
      </c>
    </row>
    <row r="377" spans="2:45" x14ac:dyDescent="0.35">
      <c r="B377">
        <f t="shared" si="17"/>
        <v>370</v>
      </c>
      <c r="C377" t="s">
        <v>2609</v>
      </c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>
        <v>2375.6636139608854</v>
      </c>
      <c r="Y377" s="8"/>
      <c r="Z377" s="8">
        <v>2375.6636139608854</v>
      </c>
      <c r="AA377" s="8"/>
      <c r="AB377" s="8"/>
      <c r="AI377">
        <f t="shared" si="18"/>
        <v>370</v>
      </c>
      <c r="AJ377" t="s">
        <v>2609</v>
      </c>
      <c r="AK377" s="8">
        <v>2375.6636139608854</v>
      </c>
      <c r="AM377">
        <f t="shared" si="19"/>
        <v>370</v>
      </c>
      <c r="AN377" s="27" t="s">
        <v>1603</v>
      </c>
      <c r="AO377" s="8">
        <v>2</v>
      </c>
      <c r="AR377" t="s">
        <v>2345</v>
      </c>
      <c r="AS377" s="21">
        <v>1124</v>
      </c>
    </row>
    <row r="378" spans="2:45" x14ac:dyDescent="0.35">
      <c r="B378">
        <f t="shared" si="17"/>
        <v>371</v>
      </c>
      <c r="C378" s="27" t="s">
        <v>1046</v>
      </c>
      <c r="D378" s="8"/>
      <c r="E378" s="8"/>
      <c r="F378" s="8">
        <v>1417.7484020255899</v>
      </c>
      <c r="G378" s="8">
        <v>940.62714730592756</v>
      </c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>
        <v>2358.3755493315175</v>
      </c>
      <c r="AA378" s="8"/>
      <c r="AB378" s="8"/>
      <c r="AI378">
        <f t="shared" si="18"/>
        <v>371</v>
      </c>
      <c r="AJ378" s="27" t="s">
        <v>1046</v>
      </c>
      <c r="AK378" s="8">
        <v>2358.3755493315175</v>
      </c>
      <c r="AM378">
        <f t="shared" si="19"/>
        <v>371</v>
      </c>
      <c r="AN378" s="27" t="s">
        <v>1571</v>
      </c>
      <c r="AO378" s="8">
        <v>2</v>
      </c>
      <c r="AR378" s="27" t="s">
        <v>440</v>
      </c>
      <c r="AS378" s="21">
        <v>1110</v>
      </c>
    </row>
    <row r="379" spans="2:45" x14ac:dyDescent="0.35">
      <c r="B379">
        <f t="shared" si="17"/>
        <v>372</v>
      </c>
      <c r="C379" t="s">
        <v>2551</v>
      </c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>
        <v>2349.6937177076679</v>
      </c>
      <c r="W379" s="8"/>
      <c r="X379" s="8"/>
      <c r="Y379" s="8"/>
      <c r="Z379" s="8">
        <v>2349.6937177076679</v>
      </c>
      <c r="AA379" s="8"/>
      <c r="AB379" s="8"/>
      <c r="AI379">
        <f t="shared" si="18"/>
        <v>372</v>
      </c>
      <c r="AJ379" t="s">
        <v>2551</v>
      </c>
      <c r="AK379" s="8">
        <v>2349.6937177076679</v>
      </c>
      <c r="AM379">
        <f t="shared" si="19"/>
        <v>372</v>
      </c>
      <c r="AN379" t="s">
        <v>2580</v>
      </c>
      <c r="AO379" s="8">
        <v>2</v>
      </c>
      <c r="AR379" s="27" t="s">
        <v>1683</v>
      </c>
      <c r="AS379" s="21">
        <v>1110</v>
      </c>
    </row>
    <row r="380" spans="2:45" x14ac:dyDescent="0.35">
      <c r="B380">
        <f t="shared" si="17"/>
        <v>373</v>
      </c>
      <c r="C380" t="s">
        <v>2378</v>
      </c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>
        <v>1491.3616938342727</v>
      </c>
      <c r="S380" s="8"/>
      <c r="T380" s="8">
        <v>852.7848686805479</v>
      </c>
      <c r="U380" s="8"/>
      <c r="V380" s="8"/>
      <c r="W380" s="8"/>
      <c r="X380" s="8"/>
      <c r="Y380" s="8"/>
      <c r="Z380" s="8">
        <v>2344.1465625148207</v>
      </c>
      <c r="AA380" s="8"/>
      <c r="AB380" s="8"/>
      <c r="AI380">
        <f t="shared" si="18"/>
        <v>373</v>
      </c>
      <c r="AJ380" t="s">
        <v>2378</v>
      </c>
      <c r="AK380" s="8">
        <v>2344.1465625148207</v>
      </c>
      <c r="AM380">
        <f t="shared" si="19"/>
        <v>373</v>
      </c>
      <c r="AN380" s="27" t="s">
        <v>828</v>
      </c>
      <c r="AO380" s="8">
        <v>2</v>
      </c>
      <c r="AR380" s="27" t="s">
        <v>1573</v>
      </c>
      <c r="AS380" s="21">
        <v>1110</v>
      </c>
    </row>
    <row r="381" spans="2:45" x14ac:dyDescent="0.35">
      <c r="B381">
        <f t="shared" si="17"/>
        <v>374</v>
      </c>
      <c r="C381" s="27" t="s">
        <v>1558</v>
      </c>
      <c r="D381" s="8">
        <v>985.27674317929359</v>
      </c>
      <c r="E381" s="8"/>
      <c r="F381" s="8">
        <v>1356.2990843061943</v>
      </c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>
        <v>2341.5758274854879</v>
      </c>
      <c r="AA381" s="8"/>
      <c r="AB381" s="8"/>
      <c r="AI381">
        <f t="shared" si="18"/>
        <v>374</v>
      </c>
      <c r="AJ381" s="27" t="s">
        <v>1558</v>
      </c>
      <c r="AK381" s="8">
        <v>2341.5758274854879</v>
      </c>
      <c r="AM381">
        <f t="shared" si="19"/>
        <v>374</v>
      </c>
      <c r="AN381" t="s">
        <v>2699</v>
      </c>
      <c r="AO381" s="8">
        <v>2</v>
      </c>
      <c r="AR381" s="27" t="s">
        <v>1661</v>
      </c>
      <c r="AS381" s="21">
        <v>1110</v>
      </c>
    </row>
    <row r="382" spans="2:45" x14ac:dyDescent="0.35">
      <c r="B382">
        <f t="shared" si="17"/>
        <v>375</v>
      </c>
      <c r="C382" s="27" t="s">
        <v>345</v>
      </c>
      <c r="D382" s="8"/>
      <c r="E382" s="8"/>
      <c r="F382" s="8"/>
      <c r="G382" s="8"/>
      <c r="H382" s="8"/>
      <c r="I382" s="8"/>
      <c r="J382" s="8"/>
      <c r="K382" s="8">
        <v>1623.2492903979003</v>
      </c>
      <c r="L382" s="8"/>
      <c r="M382" s="8">
        <v>692.23662167705049</v>
      </c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>
        <v>2315.4859120749506</v>
      </c>
      <c r="AA382" s="8"/>
      <c r="AB382" s="8"/>
      <c r="AI382">
        <f t="shared" si="18"/>
        <v>375</v>
      </c>
      <c r="AJ382" s="27" t="s">
        <v>345</v>
      </c>
      <c r="AK382" s="8">
        <v>2315.4859120749506</v>
      </c>
      <c r="AM382">
        <f t="shared" si="19"/>
        <v>375</v>
      </c>
      <c r="AN382" s="27" t="s">
        <v>541</v>
      </c>
      <c r="AO382" s="8">
        <v>2</v>
      </c>
      <c r="AR382" t="s">
        <v>2473</v>
      </c>
      <c r="AS382" s="21">
        <v>1109</v>
      </c>
    </row>
    <row r="383" spans="2:45" x14ac:dyDescent="0.35">
      <c r="B383">
        <f t="shared" si="17"/>
        <v>376</v>
      </c>
      <c r="C383" t="s">
        <v>2637</v>
      </c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>
        <v>1161.3680022349749</v>
      </c>
      <c r="Y383" s="8">
        <v>1150.5371545832932</v>
      </c>
      <c r="Z383" s="8">
        <v>2311.9051568182681</v>
      </c>
      <c r="AA383" s="8"/>
      <c r="AB383" s="8"/>
      <c r="AI383">
        <f t="shared" si="18"/>
        <v>376</v>
      </c>
      <c r="AJ383" t="s">
        <v>2637</v>
      </c>
      <c r="AK383" s="8">
        <v>2311.9051568182681</v>
      </c>
      <c r="AM383">
        <f t="shared" si="19"/>
        <v>376</v>
      </c>
      <c r="AN383" t="s">
        <v>2498</v>
      </c>
      <c r="AO383" s="8">
        <v>2</v>
      </c>
      <c r="AR383" s="27" t="s">
        <v>1615</v>
      </c>
      <c r="AS383" s="21">
        <v>1108</v>
      </c>
    </row>
    <row r="384" spans="2:45" x14ac:dyDescent="0.35">
      <c r="B384">
        <f t="shared" si="17"/>
        <v>377</v>
      </c>
      <c r="C384" s="27" t="s">
        <v>840</v>
      </c>
      <c r="D384" s="8"/>
      <c r="E384" s="8"/>
      <c r="F384" s="8"/>
      <c r="G384" s="8"/>
      <c r="H384" s="8"/>
      <c r="I384" s="8">
        <v>2309.6301674258989</v>
      </c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>
        <v>2309.6301674258989</v>
      </c>
      <c r="AA384" s="8"/>
      <c r="AB384" s="8"/>
      <c r="AI384">
        <f t="shared" si="18"/>
        <v>377</v>
      </c>
      <c r="AJ384" s="27" t="s">
        <v>840</v>
      </c>
      <c r="AK384" s="8">
        <v>2309.6301674258989</v>
      </c>
      <c r="AM384">
        <f t="shared" si="19"/>
        <v>377</v>
      </c>
      <c r="AN384" s="27" t="s">
        <v>606</v>
      </c>
      <c r="AO384" s="8">
        <v>2</v>
      </c>
      <c r="AR384" t="s">
        <v>2556</v>
      </c>
      <c r="AS384" s="21">
        <v>1101</v>
      </c>
    </row>
    <row r="385" spans="2:45" x14ac:dyDescent="0.35">
      <c r="B385">
        <f t="shared" si="17"/>
        <v>378</v>
      </c>
      <c r="C385" s="27" t="s">
        <v>652</v>
      </c>
      <c r="D385" s="8"/>
      <c r="E385" s="8"/>
      <c r="F385" s="8"/>
      <c r="G385" s="8"/>
      <c r="H385" s="8">
        <v>397.94000867203761</v>
      </c>
      <c r="I385" s="8"/>
      <c r="J385" s="8">
        <v>892.09460269048031</v>
      </c>
      <c r="K385" s="8"/>
      <c r="L385" s="8"/>
      <c r="M385" s="8">
        <v>621.51902434314718</v>
      </c>
      <c r="N385" s="8">
        <v>395.02523684167568</v>
      </c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>
        <v>2306.5788725473403</v>
      </c>
      <c r="AA385" s="8"/>
      <c r="AB385" s="8"/>
      <c r="AI385">
        <f t="shared" si="18"/>
        <v>378</v>
      </c>
      <c r="AJ385" s="27" t="s">
        <v>652</v>
      </c>
      <c r="AK385" s="8">
        <v>2306.5788725473403</v>
      </c>
      <c r="AM385">
        <f t="shared" si="19"/>
        <v>378</v>
      </c>
      <c r="AN385" s="27" t="s">
        <v>1176</v>
      </c>
      <c r="AO385" s="8">
        <v>2</v>
      </c>
      <c r="AR385" s="27" t="s">
        <v>730</v>
      </c>
      <c r="AS385" s="21">
        <v>1100</v>
      </c>
    </row>
    <row r="386" spans="2:45" x14ac:dyDescent="0.35">
      <c r="B386">
        <f t="shared" si="17"/>
        <v>379</v>
      </c>
      <c r="C386" s="27" t="s">
        <v>1027</v>
      </c>
      <c r="D386" s="8"/>
      <c r="E386" s="8"/>
      <c r="F386" s="8"/>
      <c r="G386" s="8">
        <v>2298.8530764097068</v>
      </c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>
        <v>2298.8530764097068</v>
      </c>
      <c r="AA386" s="8"/>
      <c r="AB386" s="8"/>
      <c r="AI386">
        <f t="shared" si="18"/>
        <v>379</v>
      </c>
      <c r="AJ386" s="27" t="s">
        <v>1027</v>
      </c>
      <c r="AK386" s="8">
        <v>2298.8530764097068</v>
      </c>
      <c r="AM386">
        <f t="shared" si="19"/>
        <v>379</v>
      </c>
      <c r="AN386" t="s">
        <v>2378</v>
      </c>
      <c r="AO386" s="8">
        <v>2</v>
      </c>
      <c r="AR386" s="27" t="s">
        <v>657</v>
      </c>
      <c r="AS386" s="21">
        <v>1090</v>
      </c>
    </row>
    <row r="387" spans="2:45" x14ac:dyDescent="0.35">
      <c r="B387">
        <f t="shared" si="17"/>
        <v>380</v>
      </c>
      <c r="C387" t="s">
        <v>2314</v>
      </c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>
        <v>1369.2158574101429</v>
      </c>
      <c r="R387" s="8"/>
      <c r="S387" s="8"/>
      <c r="T387" s="8"/>
      <c r="U387" s="8">
        <v>929.41892571429275</v>
      </c>
      <c r="V387" s="8"/>
      <c r="W387" s="8"/>
      <c r="X387" s="8"/>
      <c r="Y387" s="8"/>
      <c r="Z387" s="8">
        <v>2298.6347831244357</v>
      </c>
      <c r="AA387" s="8"/>
      <c r="AB387" s="8"/>
      <c r="AI387">
        <f t="shared" si="18"/>
        <v>380</v>
      </c>
      <c r="AJ387" t="s">
        <v>2314</v>
      </c>
      <c r="AK387" s="8">
        <v>2298.6347831244357</v>
      </c>
      <c r="AM387">
        <f t="shared" si="19"/>
        <v>380</v>
      </c>
      <c r="AN387" s="27" t="s">
        <v>1531</v>
      </c>
      <c r="AO387" s="8">
        <v>2</v>
      </c>
      <c r="AR387" t="s">
        <v>2464</v>
      </c>
      <c r="AS387" s="21">
        <v>1084</v>
      </c>
    </row>
    <row r="388" spans="2:45" x14ac:dyDescent="0.35">
      <c r="B388">
        <f t="shared" si="17"/>
        <v>381</v>
      </c>
      <c r="C388" s="27" t="s">
        <v>1336</v>
      </c>
      <c r="D388" s="8">
        <v>2297.54166781816</v>
      </c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>
        <v>2297.54166781816</v>
      </c>
      <c r="AA388" s="8"/>
      <c r="AB388" s="8"/>
      <c r="AI388">
        <f t="shared" si="18"/>
        <v>381</v>
      </c>
      <c r="AJ388" s="27" t="s">
        <v>1336</v>
      </c>
      <c r="AK388" s="8">
        <v>2297.54166781816</v>
      </c>
      <c r="AM388">
        <f t="shared" si="19"/>
        <v>381</v>
      </c>
      <c r="AN388" t="s">
        <v>2293</v>
      </c>
      <c r="AO388" s="8">
        <v>2</v>
      </c>
      <c r="AR388" t="s">
        <v>2290</v>
      </c>
      <c r="AS388" s="21">
        <v>1080</v>
      </c>
    </row>
    <row r="389" spans="2:45" x14ac:dyDescent="0.35">
      <c r="B389">
        <f t="shared" si="17"/>
        <v>382</v>
      </c>
      <c r="C389" s="27" t="s">
        <v>1559</v>
      </c>
      <c r="D389" s="8"/>
      <c r="E389" s="8"/>
      <c r="F389" s="8"/>
      <c r="G389" s="8"/>
      <c r="H389" s="8"/>
      <c r="I389" s="8"/>
      <c r="J389" s="8"/>
      <c r="K389" s="8"/>
      <c r="L389" s="8">
        <v>2297.1219097082958</v>
      </c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>
        <v>2297.1219097082958</v>
      </c>
      <c r="AA389" s="8"/>
      <c r="AB389" s="8"/>
      <c r="AI389">
        <f t="shared" si="18"/>
        <v>382</v>
      </c>
      <c r="AJ389" s="27" t="s">
        <v>1559</v>
      </c>
      <c r="AK389" s="8">
        <v>2297.1219097082958</v>
      </c>
      <c r="AM389">
        <f t="shared" si="19"/>
        <v>382</v>
      </c>
      <c r="AN389" t="s">
        <v>2609</v>
      </c>
      <c r="AO389" s="8">
        <v>2</v>
      </c>
      <c r="AR389" s="27" t="s">
        <v>1569</v>
      </c>
      <c r="AS389" s="21">
        <v>1070</v>
      </c>
    </row>
    <row r="390" spans="2:45" x14ac:dyDescent="0.35">
      <c r="B390">
        <f t="shared" si="17"/>
        <v>383</v>
      </c>
      <c r="C390" s="27" t="s">
        <v>679</v>
      </c>
      <c r="D390" s="8"/>
      <c r="E390" s="8"/>
      <c r="F390" s="8"/>
      <c r="G390" s="8"/>
      <c r="H390" s="8">
        <v>1585.4607295085007</v>
      </c>
      <c r="I390" s="8"/>
      <c r="J390" s="8">
        <v>676.69360962486644</v>
      </c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>
        <v>2262.1543391333671</v>
      </c>
      <c r="AA390" s="8"/>
      <c r="AB390" s="8"/>
      <c r="AI390">
        <f t="shared" si="18"/>
        <v>383</v>
      </c>
      <c r="AJ390" s="27" t="s">
        <v>679</v>
      </c>
      <c r="AK390" s="8">
        <v>2262.1543391333671</v>
      </c>
      <c r="AM390">
        <f t="shared" si="19"/>
        <v>383</v>
      </c>
      <c r="AN390" t="s">
        <v>2387</v>
      </c>
      <c r="AO390" s="8">
        <v>2</v>
      </c>
      <c r="AR390" s="27" t="s">
        <v>1493</v>
      </c>
      <c r="AS390" s="21">
        <v>1050</v>
      </c>
    </row>
    <row r="391" spans="2:45" x14ac:dyDescent="0.35">
      <c r="B391">
        <f t="shared" si="17"/>
        <v>384</v>
      </c>
      <c r="C391" s="27" t="s">
        <v>1457</v>
      </c>
      <c r="D391" s="8">
        <v>484.6743926101085</v>
      </c>
      <c r="E391" s="8"/>
      <c r="F391" s="8"/>
      <c r="G391" s="8">
        <v>703.08657053085085</v>
      </c>
      <c r="H391" s="8"/>
      <c r="I391" s="8"/>
      <c r="J391" s="8"/>
      <c r="K391" s="8"/>
      <c r="L391" s="8"/>
      <c r="M391" s="8"/>
      <c r="N391" s="8"/>
      <c r="O391" s="8">
        <v>1056.9048513364728</v>
      </c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>
        <v>2244.6658144774319</v>
      </c>
      <c r="AA391" s="8"/>
      <c r="AB391" s="8"/>
      <c r="AI391">
        <f t="shared" si="18"/>
        <v>384</v>
      </c>
      <c r="AJ391" s="27" t="s">
        <v>1457</v>
      </c>
      <c r="AK391" s="8">
        <v>2244.6658144774319</v>
      </c>
      <c r="AM391">
        <f t="shared" si="19"/>
        <v>384</v>
      </c>
      <c r="AN391" t="s">
        <v>2327</v>
      </c>
      <c r="AO391" s="8">
        <v>2</v>
      </c>
      <c r="AR391" t="s">
        <v>2558</v>
      </c>
      <c r="AS391" s="21">
        <v>1047</v>
      </c>
    </row>
    <row r="392" spans="2:45" x14ac:dyDescent="0.35">
      <c r="B392">
        <f t="shared" si="17"/>
        <v>385</v>
      </c>
      <c r="C392" s="27" t="s">
        <v>626</v>
      </c>
      <c r="D392" s="8"/>
      <c r="E392" s="8"/>
      <c r="F392" s="8"/>
      <c r="G392" s="8"/>
      <c r="H392" s="8"/>
      <c r="I392" s="8">
        <v>1133.5389083702173</v>
      </c>
      <c r="J392" s="8"/>
      <c r="K392" s="8">
        <v>1106.7249953016553</v>
      </c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>
        <v>2240.2639036718729</v>
      </c>
      <c r="AA392" s="8"/>
      <c r="AB392" s="8"/>
      <c r="AI392">
        <f t="shared" si="18"/>
        <v>385</v>
      </c>
      <c r="AJ392" s="27" t="s">
        <v>626</v>
      </c>
      <c r="AK392" s="8">
        <v>2240.2639036718729</v>
      </c>
      <c r="AM392">
        <f t="shared" si="19"/>
        <v>385</v>
      </c>
      <c r="AN392" s="27" t="s">
        <v>1158</v>
      </c>
      <c r="AO392" s="8">
        <v>2</v>
      </c>
      <c r="AR392" s="27" t="s">
        <v>1622</v>
      </c>
      <c r="AS392" s="21">
        <v>1041.25</v>
      </c>
    </row>
    <row r="393" spans="2:45" x14ac:dyDescent="0.35">
      <c r="B393">
        <f t="shared" si="17"/>
        <v>386</v>
      </c>
      <c r="C393" s="27" t="s">
        <v>783</v>
      </c>
      <c r="D393" s="8"/>
      <c r="E393" s="8"/>
      <c r="F393" s="8"/>
      <c r="G393" s="8"/>
      <c r="H393" s="8"/>
      <c r="I393" s="8">
        <v>1149.2191126553796</v>
      </c>
      <c r="J393" s="8"/>
      <c r="K393" s="8"/>
      <c r="L393" s="8"/>
      <c r="M393" s="8"/>
      <c r="N393" s="8"/>
      <c r="O393" s="8"/>
      <c r="P393" s="8"/>
      <c r="Q393" s="8"/>
      <c r="R393" s="8">
        <v>1086.3598306747483</v>
      </c>
      <c r="S393" s="8"/>
      <c r="T393" s="8"/>
      <c r="U393" s="8"/>
      <c r="V393" s="8"/>
      <c r="W393" s="8"/>
      <c r="X393" s="8"/>
      <c r="Y393" s="8"/>
      <c r="Z393" s="8">
        <v>2235.5789433301279</v>
      </c>
      <c r="AA393" s="8"/>
      <c r="AB393" s="8"/>
      <c r="AI393">
        <f t="shared" si="18"/>
        <v>386</v>
      </c>
      <c r="AJ393" s="27" t="s">
        <v>783</v>
      </c>
      <c r="AK393" s="8">
        <v>2235.5789433301279</v>
      </c>
      <c r="AM393">
        <f t="shared" si="19"/>
        <v>386</v>
      </c>
      <c r="AN393" t="s">
        <v>2461</v>
      </c>
      <c r="AO393" s="8">
        <v>2</v>
      </c>
      <c r="AR393" s="27" t="s">
        <v>1555</v>
      </c>
      <c r="AS393" s="21">
        <v>1030</v>
      </c>
    </row>
    <row r="394" spans="2:45" x14ac:dyDescent="0.35">
      <c r="B394">
        <f t="shared" ref="B394:B457" si="20">B393+1</f>
        <v>387</v>
      </c>
      <c r="C394" s="27" t="s">
        <v>1134</v>
      </c>
      <c r="D394" s="8"/>
      <c r="E394" s="8"/>
      <c r="F394" s="8">
        <v>2234.2446444854531</v>
      </c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>
        <v>2234.2446444854531</v>
      </c>
      <c r="AA394" s="8"/>
      <c r="AB394" s="8"/>
      <c r="AI394">
        <f t="shared" ref="AI394:AI457" si="21">AI393+1</f>
        <v>387</v>
      </c>
      <c r="AJ394" s="27" t="s">
        <v>1134</v>
      </c>
      <c r="AK394" s="8">
        <v>2234.2446444854531</v>
      </c>
      <c r="AM394">
        <f t="shared" ref="AM394:AM457" si="22">AM393+1</f>
        <v>387</v>
      </c>
      <c r="AN394" t="s">
        <v>2396</v>
      </c>
      <c r="AO394" s="8">
        <v>2</v>
      </c>
      <c r="AR394" t="s">
        <v>2551</v>
      </c>
      <c r="AS394" s="21">
        <v>1018</v>
      </c>
    </row>
    <row r="395" spans="2:45" x14ac:dyDescent="0.35">
      <c r="B395">
        <f t="shared" si="20"/>
        <v>388</v>
      </c>
      <c r="C395" s="27" t="s">
        <v>548</v>
      </c>
      <c r="D395" s="8"/>
      <c r="E395" s="8"/>
      <c r="F395" s="8"/>
      <c r="G395" s="8"/>
      <c r="H395" s="8">
        <v>1167.7391846909154</v>
      </c>
      <c r="I395" s="8"/>
      <c r="J395" s="8"/>
      <c r="K395" s="8"/>
      <c r="L395" s="8">
        <v>1059.4371878518673</v>
      </c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>
        <v>2227.1763725427827</v>
      </c>
      <c r="AA395" s="8"/>
      <c r="AB395" s="8"/>
      <c r="AI395">
        <f t="shared" si="21"/>
        <v>388</v>
      </c>
      <c r="AJ395" s="27" t="s">
        <v>548</v>
      </c>
      <c r="AK395" s="8">
        <v>2227.1763725427827</v>
      </c>
      <c r="AM395">
        <f t="shared" si="22"/>
        <v>388</v>
      </c>
      <c r="AN395" t="s">
        <v>2702</v>
      </c>
      <c r="AO395" s="8">
        <v>2</v>
      </c>
      <c r="AR395" s="27" t="s">
        <v>1155</v>
      </c>
      <c r="AS395" s="21">
        <v>1012</v>
      </c>
    </row>
    <row r="396" spans="2:45" x14ac:dyDescent="0.35">
      <c r="B396">
        <f t="shared" si="20"/>
        <v>389</v>
      </c>
      <c r="C396" s="27" t="s">
        <v>1247</v>
      </c>
      <c r="D396" s="8">
        <v>1164.0233713063442</v>
      </c>
      <c r="E396" s="8">
        <v>1049.7716167309957</v>
      </c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>
        <v>2213.7949880373399</v>
      </c>
      <c r="AA396" s="8"/>
      <c r="AB396" s="8"/>
      <c r="AI396">
        <f t="shared" si="21"/>
        <v>389</v>
      </c>
      <c r="AJ396" s="27" t="s">
        <v>1247</v>
      </c>
      <c r="AK396" s="8">
        <v>2213.7949880373399</v>
      </c>
      <c r="AM396">
        <f t="shared" si="22"/>
        <v>389</v>
      </c>
      <c r="AN396" t="s">
        <v>2296</v>
      </c>
      <c r="AO396" s="8">
        <v>2</v>
      </c>
      <c r="AR396" t="s">
        <v>2315</v>
      </c>
      <c r="AS396" s="21">
        <v>1010</v>
      </c>
    </row>
    <row r="397" spans="2:45" x14ac:dyDescent="0.35">
      <c r="B397">
        <f t="shared" si="20"/>
        <v>390</v>
      </c>
      <c r="C397" t="s">
        <v>2498</v>
      </c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>
        <v>1204.1199826559246</v>
      </c>
      <c r="V397" s="8"/>
      <c r="W397" s="8">
        <v>1000</v>
      </c>
      <c r="X397" s="8"/>
      <c r="Y397" s="8"/>
      <c r="Z397" s="8">
        <v>2204.1199826559246</v>
      </c>
      <c r="AA397" s="8"/>
      <c r="AB397" s="8"/>
      <c r="AI397">
        <f t="shared" si="21"/>
        <v>390</v>
      </c>
      <c r="AJ397" t="s">
        <v>2498</v>
      </c>
      <c r="AK397" s="8">
        <v>2204.1199826559246</v>
      </c>
      <c r="AM397">
        <f t="shared" si="22"/>
        <v>390</v>
      </c>
      <c r="AN397" s="27" t="s">
        <v>1558</v>
      </c>
      <c r="AO397" s="8">
        <v>2</v>
      </c>
      <c r="AR397" t="s">
        <v>2293</v>
      </c>
      <c r="AS397" s="21">
        <v>1002</v>
      </c>
    </row>
    <row r="398" spans="2:45" x14ac:dyDescent="0.35">
      <c r="B398">
        <f t="shared" si="20"/>
        <v>391</v>
      </c>
      <c r="C398" s="27" t="s">
        <v>1001</v>
      </c>
      <c r="D398" s="8"/>
      <c r="E398" s="8"/>
      <c r="F398" s="8"/>
      <c r="G398" s="8">
        <v>2169.2124409490498</v>
      </c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>
        <v>2169.2124409490498</v>
      </c>
      <c r="AA398" s="8"/>
      <c r="AB398" s="8"/>
      <c r="AI398">
        <f t="shared" si="21"/>
        <v>391</v>
      </c>
      <c r="AJ398" s="27" t="s">
        <v>1001</v>
      </c>
      <c r="AK398" s="8">
        <v>2169.2124409490498</v>
      </c>
      <c r="AM398">
        <f t="shared" si="22"/>
        <v>391</v>
      </c>
      <c r="AN398" t="s">
        <v>2299</v>
      </c>
      <c r="AO398" s="8">
        <v>2</v>
      </c>
      <c r="AR398" t="s">
        <v>2579</v>
      </c>
      <c r="AS398" s="21">
        <v>1000</v>
      </c>
    </row>
    <row r="399" spans="2:45" x14ac:dyDescent="0.35">
      <c r="B399">
        <f t="shared" si="20"/>
        <v>392</v>
      </c>
      <c r="C399" t="s">
        <v>2293</v>
      </c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>
        <v>853.87196432176188</v>
      </c>
      <c r="R399" s="8">
        <v>1308.2085802911047</v>
      </c>
      <c r="S399" s="8"/>
      <c r="T399" s="8"/>
      <c r="U399" s="8"/>
      <c r="V399" s="8"/>
      <c r="W399" s="8"/>
      <c r="X399" s="8"/>
      <c r="Y399" s="8"/>
      <c r="Z399" s="8">
        <v>2162.0805446128666</v>
      </c>
      <c r="AA399" s="8"/>
      <c r="AB399" s="8"/>
      <c r="AI399">
        <f t="shared" si="21"/>
        <v>392</v>
      </c>
      <c r="AJ399" t="s">
        <v>2293</v>
      </c>
      <c r="AK399" s="8">
        <v>2162.0805446128666</v>
      </c>
      <c r="AM399">
        <f t="shared" si="22"/>
        <v>392</v>
      </c>
      <c r="AN399" t="s">
        <v>2518</v>
      </c>
      <c r="AO399" s="8">
        <v>2</v>
      </c>
      <c r="AR399" t="s">
        <v>2645</v>
      </c>
      <c r="AS399" s="21">
        <v>1000</v>
      </c>
    </row>
    <row r="400" spans="2:45" x14ac:dyDescent="0.35">
      <c r="B400">
        <f t="shared" si="20"/>
        <v>393</v>
      </c>
      <c r="C400" s="27" t="s">
        <v>1007</v>
      </c>
      <c r="D400" s="8"/>
      <c r="E400" s="8"/>
      <c r="F400" s="8"/>
      <c r="G400" s="8">
        <v>2153.6243425244506</v>
      </c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>
        <v>2153.6243425244506</v>
      </c>
      <c r="AA400" s="8"/>
      <c r="AB400" s="8"/>
      <c r="AI400">
        <f t="shared" si="21"/>
        <v>393</v>
      </c>
      <c r="AJ400" s="27" t="s">
        <v>1007</v>
      </c>
      <c r="AK400" s="8">
        <v>2153.6243425244506</v>
      </c>
      <c r="AM400">
        <f t="shared" si="22"/>
        <v>393</v>
      </c>
      <c r="AN400" t="s">
        <v>2409</v>
      </c>
      <c r="AO400" s="8">
        <v>2</v>
      </c>
      <c r="AR400" s="27" t="s">
        <v>647</v>
      </c>
      <c r="AS400" s="21">
        <v>1000</v>
      </c>
    </row>
    <row r="401" spans="2:45" x14ac:dyDescent="0.35">
      <c r="B401">
        <f t="shared" si="20"/>
        <v>394</v>
      </c>
      <c r="C401" s="27" t="s">
        <v>1523</v>
      </c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>
        <v>2149.2191126553798</v>
      </c>
      <c r="Q401" s="8"/>
      <c r="R401" s="8"/>
      <c r="S401" s="8"/>
      <c r="T401" s="8"/>
      <c r="U401" s="8"/>
      <c r="V401" s="8"/>
      <c r="W401" s="8"/>
      <c r="X401" s="8"/>
      <c r="Y401" s="8"/>
      <c r="Z401" s="8">
        <v>2149.2191126553798</v>
      </c>
      <c r="AA401" s="8"/>
      <c r="AB401" s="8"/>
      <c r="AI401">
        <f t="shared" si="21"/>
        <v>394</v>
      </c>
      <c r="AJ401" s="27" t="s">
        <v>1523</v>
      </c>
      <c r="AK401" s="8">
        <v>2149.2191126553798</v>
      </c>
      <c r="AM401">
        <f t="shared" si="22"/>
        <v>394</v>
      </c>
      <c r="AN401" t="s">
        <v>2547</v>
      </c>
      <c r="AO401" s="8">
        <v>2</v>
      </c>
      <c r="AR401" s="27" t="s">
        <v>802</v>
      </c>
      <c r="AS401" s="21">
        <v>996</v>
      </c>
    </row>
    <row r="402" spans="2:45" x14ac:dyDescent="0.35">
      <c r="B402">
        <f t="shared" si="20"/>
        <v>395</v>
      </c>
      <c r="C402" s="27" t="s">
        <v>1481</v>
      </c>
      <c r="D402" s="8"/>
      <c r="E402" s="8"/>
      <c r="F402" s="8"/>
      <c r="G402" s="8"/>
      <c r="H402" s="8"/>
      <c r="I402" s="8"/>
      <c r="J402" s="8"/>
      <c r="K402" s="8"/>
      <c r="L402" s="8"/>
      <c r="M402" s="8">
        <v>2149.2191126553798</v>
      </c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>
        <v>2149.2191126553798</v>
      </c>
      <c r="AA402" s="8"/>
      <c r="AB402" s="8"/>
      <c r="AI402">
        <f t="shared" si="21"/>
        <v>395</v>
      </c>
      <c r="AJ402" s="27" t="s">
        <v>1481</v>
      </c>
      <c r="AK402" s="8">
        <v>2149.2191126553798</v>
      </c>
      <c r="AM402">
        <f t="shared" si="22"/>
        <v>395</v>
      </c>
      <c r="AN402" t="s">
        <v>2414</v>
      </c>
      <c r="AO402" s="8">
        <v>2</v>
      </c>
      <c r="AR402" s="27" t="s">
        <v>1682</v>
      </c>
      <c r="AS402" s="21">
        <v>989</v>
      </c>
    </row>
    <row r="403" spans="2:45" x14ac:dyDescent="0.35">
      <c r="B403">
        <f t="shared" si="20"/>
        <v>396</v>
      </c>
      <c r="C403" t="s">
        <v>2518</v>
      </c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>
        <v>1209.5150145426308</v>
      </c>
      <c r="V403" s="8"/>
      <c r="W403" s="8"/>
      <c r="X403" s="8"/>
      <c r="Y403" s="8">
        <v>934.49845124356762</v>
      </c>
      <c r="Z403" s="8">
        <v>2144.0134657861981</v>
      </c>
      <c r="AA403" s="8"/>
      <c r="AB403" s="8"/>
      <c r="AI403">
        <f t="shared" si="21"/>
        <v>396</v>
      </c>
      <c r="AJ403" t="s">
        <v>2518</v>
      </c>
      <c r="AK403" s="8">
        <v>2144.0134657861981</v>
      </c>
      <c r="AM403">
        <f t="shared" si="22"/>
        <v>396</v>
      </c>
      <c r="AN403" t="s">
        <v>2554</v>
      </c>
      <c r="AO403" s="8">
        <v>2</v>
      </c>
      <c r="AR403" t="s">
        <v>2382</v>
      </c>
      <c r="AS403" s="21">
        <v>985</v>
      </c>
    </row>
    <row r="404" spans="2:45" x14ac:dyDescent="0.35">
      <c r="B404">
        <f t="shared" si="20"/>
        <v>397</v>
      </c>
      <c r="C404" t="s">
        <v>2576</v>
      </c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>
        <v>2139.8790864012362</v>
      </c>
      <c r="X404" s="8"/>
      <c r="Y404" s="8"/>
      <c r="Z404" s="8">
        <v>2139.8790864012362</v>
      </c>
      <c r="AA404" s="8"/>
      <c r="AB404" s="8"/>
      <c r="AI404">
        <f t="shared" si="21"/>
        <v>397</v>
      </c>
      <c r="AJ404" t="s">
        <v>2576</v>
      </c>
      <c r="AK404" s="8">
        <v>2139.8790864012362</v>
      </c>
      <c r="AM404">
        <f t="shared" si="22"/>
        <v>397</v>
      </c>
      <c r="AN404" s="27" t="s">
        <v>957</v>
      </c>
      <c r="AO404" s="8">
        <v>2</v>
      </c>
      <c r="AR404" t="s">
        <v>2351</v>
      </c>
      <c r="AS404" s="21">
        <v>970</v>
      </c>
    </row>
    <row r="405" spans="2:45" x14ac:dyDescent="0.35">
      <c r="B405">
        <f t="shared" si="20"/>
        <v>398</v>
      </c>
      <c r="C405" s="27" t="s">
        <v>1089</v>
      </c>
      <c r="D405" s="8"/>
      <c r="E405" s="8"/>
      <c r="F405" s="8">
        <v>2127.1047983648077</v>
      </c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>
        <v>2127.1047983648077</v>
      </c>
      <c r="AA405" s="8"/>
      <c r="AB405" s="8"/>
      <c r="AI405">
        <f t="shared" si="21"/>
        <v>398</v>
      </c>
      <c r="AJ405" s="27" t="s">
        <v>1089</v>
      </c>
      <c r="AK405" s="8">
        <v>2127.1047983648077</v>
      </c>
      <c r="AM405">
        <f t="shared" si="22"/>
        <v>398</v>
      </c>
      <c r="AN405" t="s">
        <v>2576</v>
      </c>
      <c r="AO405" s="8">
        <v>2</v>
      </c>
      <c r="AR405" s="27" t="s">
        <v>354</v>
      </c>
      <c r="AS405" s="21">
        <v>969.5</v>
      </c>
    </row>
    <row r="406" spans="2:45" x14ac:dyDescent="0.35">
      <c r="B406">
        <f t="shared" si="20"/>
        <v>399</v>
      </c>
      <c r="C406" s="27" t="s">
        <v>663</v>
      </c>
      <c r="D406" s="8"/>
      <c r="E406" s="8"/>
      <c r="F406" s="8"/>
      <c r="G406" s="8"/>
      <c r="H406" s="8"/>
      <c r="I406" s="8"/>
      <c r="J406" s="8">
        <v>2124.2596207828128</v>
      </c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>
        <v>2124.2596207828128</v>
      </c>
      <c r="AA406" s="8"/>
      <c r="AB406" s="8"/>
      <c r="AI406">
        <f t="shared" si="21"/>
        <v>399</v>
      </c>
      <c r="AJ406" s="27" t="s">
        <v>663</v>
      </c>
      <c r="AK406" s="8">
        <v>2124.2596207828128</v>
      </c>
      <c r="AM406">
        <f t="shared" si="22"/>
        <v>399</v>
      </c>
      <c r="AN406" t="s">
        <v>2430</v>
      </c>
      <c r="AO406" s="8">
        <v>2</v>
      </c>
      <c r="AR406" s="27" t="s">
        <v>319</v>
      </c>
      <c r="AS406" s="21">
        <v>965</v>
      </c>
    </row>
    <row r="407" spans="2:45" x14ac:dyDescent="0.35">
      <c r="B407">
        <f t="shared" si="20"/>
        <v>400</v>
      </c>
      <c r="C407" s="27" t="s">
        <v>575</v>
      </c>
      <c r="D407" s="8"/>
      <c r="E407" s="8"/>
      <c r="F407" s="8"/>
      <c r="G407" s="8"/>
      <c r="H407" s="8"/>
      <c r="I407" s="8"/>
      <c r="J407" s="8"/>
      <c r="K407" s="8">
        <v>931.3796264798209</v>
      </c>
      <c r="L407" s="8"/>
      <c r="M407" s="8"/>
      <c r="N407" s="8"/>
      <c r="O407" s="8"/>
      <c r="P407" s="8"/>
      <c r="Q407" s="8"/>
      <c r="R407" s="8">
        <v>1190.3316981702915</v>
      </c>
      <c r="S407" s="8"/>
      <c r="T407" s="8"/>
      <c r="U407" s="8"/>
      <c r="V407" s="8"/>
      <c r="W407" s="8"/>
      <c r="X407" s="8"/>
      <c r="Y407" s="8"/>
      <c r="Z407" s="8">
        <v>2121.7113246501121</v>
      </c>
      <c r="AA407" s="8"/>
      <c r="AB407" s="8"/>
      <c r="AI407">
        <f t="shared" si="21"/>
        <v>400</v>
      </c>
      <c r="AJ407" s="27" t="s">
        <v>575</v>
      </c>
      <c r="AK407" s="8">
        <v>2121.7113246501121</v>
      </c>
      <c r="AM407">
        <f t="shared" si="22"/>
        <v>400</v>
      </c>
      <c r="AN407" t="s">
        <v>2607</v>
      </c>
      <c r="AO407" s="8">
        <v>2</v>
      </c>
      <c r="AR407" s="27" t="s">
        <v>751</v>
      </c>
      <c r="AS407" s="21">
        <v>959</v>
      </c>
    </row>
    <row r="408" spans="2:45" x14ac:dyDescent="0.35">
      <c r="B408">
        <f t="shared" si="20"/>
        <v>401</v>
      </c>
      <c r="C408" s="27" t="s">
        <v>1324</v>
      </c>
      <c r="D408" s="8">
        <v>1041.3926851582248</v>
      </c>
      <c r="E408" s="8">
        <v>1079.1812460476247</v>
      </c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>
        <v>2120.5739312058495</v>
      </c>
      <c r="AA408" s="8"/>
      <c r="AB408" s="8"/>
      <c r="AI408">
        <f t="shared" si="21"/>
        <v>401</v>
      </c>
      <c r="AJ408" s="27" t="s">
        <v>1324</v>
      </c>
      <c r="AK408" s="8">
        <v>2120.5739312058495</v>
      </c>
      <c r="AM408">
        <f t="shared" si="22"/>
        <v>401</v>
      </c>
      <c r="AN408" s="27" t="s">
        <v>1556</v>
      </c>
      <c r="AO408" s="8">
        <v>2</v>
      </c>
      <c r="AR408" s="27" t="s">
        <v>1676</v>
      </c>
      <c r="AS408" s="21">
        <v>952</v>
      </c>
    </row>
    <row r="409" spans="2:45" x14ac:dyDescent="0.35">
      <c r="B409">
        <f t="shared" si="20"/>
        <v>402</v>
      </c>
      <c r="C409" s="27" t="s">
        <v>754</v>
      </c>
      <c r="D409" s="8"/>
      <c r="E409" s="8"/>
      <c r="F409" s="8"/>
      <c r="G409" s="8">
        <v>887.29571980871185</v>
      </c>
      <c r="H409" s="8"/>
      <c r="I409" s="8">
        <v>1211.8068113222157</v>
      </c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>
        <v>2099.1025311309277</v>
      </c>
      <c r="AA409" s="8"/>
      <c r="AB409" s="8"/>
      <c r="AI409">
        <f t="shared" si="21"/>
        <v>402</v>
      </c>
      <c r="AJ409" s="27" t="s">
        <v>754</v>
      </c>
      <c r="AK409" s="8">
        <v>2099.1025311309277</v>
      </c>
      <c r="AM409">
        <f t="shared" si="22"/>
        <v>402</v>
      </c>
      <c r="AN409" t="s">
        <v>2631</v>
      </c>
      <c r="AO409" s="8">
        <v>2</v>
      </c>
      <c r="AR409" s="27" t="s">
        <v>1153</v>
      </c>
      <c r="AS409" s="21">
        <v>952</v>
      </c>
    </row>
    <row r="410" spans="2:45" x14ac:dyDescent="0.35">
      <c r="B410">
        <f t="shared" si="20"/>
        <v>403</v>
      </c>
      <c r="C410" s="27" t="s">
        <v>1488</v>
      </c>
      <c r="D410" s="8">
        <v>213.8798199450811</v>
      </c>
      <c r="E410" s="8">
        <v>1081.9563001023969</v>
      </c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>
        <v>801.63234623316646</v>
      </c>
      <c r="X410" s="8"/>
      <c r="Y410" s="8"/>
      <c r="Z410" s="8">
        <v>2097.4684662806444</v>
      </c>
      <c r="AA410" s="8"/>
      <c r="AB410" s="8"/>
      <c r="AI410">
        <f t="shared" si="21"/>
        <v>403</v>
      </c>
      <c r="AJ410" s="27" t="s">
        <v>1488</v>
      </c>
      <c r="AK410" s="8">
        <v>2097.4684662806444</v>
      </c>
      <c r="AM410">
        <f t="shared" si="22"/>
        <v>403</v>
      </c>
      <c r="AN410" s="27" t="s">
        <v>331</v>
      </c>
      <c r="AO410" s="8">
        <v>2</v>
      </c>
      <c r="AR410" s="27" t="s">
        <v>1554</v>
      </c>
      <c r="AS410" s="21">
        <v>940</v>
      </c>
    </row>
    <row r="411" spans="2:45" x14ac:dyDescent="0.35">
      <c r="B411">
        <f t="shared" si="20"/>
        <v>404</v>
      </c>
      <c r="C411" s="27" t="s">
        <v>936</v>
      </c>
      <c r="D411" s="8"/>
      <c r="E411" s="8"/>
      <c r="F411" s="8"/>
      <c r="G411" s="8"/>
      <c r="H411" s="8">
        <v>2081.6730008255013</v>
      </c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>
        <v>2081.6730008255013</v>
      </c>
      <c r="AA411" s="8"/>
      <c r="AB411" s="8"/>
      <c r="AI411">
        <f t="shared" si="21"/>
        <v>404</v>
      </c>
      <c r="AJ411" s="27" t="s">
        <v>936</v>
      </c>
      <c r="AK411" s="8">
        <v>2081.6730008255013</v>
      </c>
      <c r="AM411">
        <f t="shared" si="22"/>
        <v>404</v>
      </c>
      <c r="AN411" t="s">
        <v>2640</v>
      </c>
      <c r="AO411" s="8">
        <v>2</v>
      </c>
      <c r="AR411" t="s">
        <v>2572</v>
      </c>
      <c r="AS411" s="21">
        <v>936</v>
      </c>
    </row>
    <row r="412" spans="2:45" x14ac:dyDescent="0.35">
      <c r="B412">
        <f t="shared" si="20"/>
        <v>405</v>
      </c>
      <c r="C412" s="27" t="s">
        <v>688</v>
      </c>
      <c r="D412" s="8"/>
      <c r="E412" s="8"/>
      <c r="F412" s="8"/>
      <c r="G412" s="8"/>
      <c r="H412" s="8"/>
      <c r="I412" s="8">
        <v>1176.0912590556813</v>
      </c>
      <c r="J412" s="8">
        <v>903.08998699194353</v>
      </c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>
        <v>2079.1812460476249</v>
      </c>
      <c r="AA412" s="8"/>
      <c r="AB412" s="8"/>
      <c r="AI412">
        <f t="shared" si="21"/>
        <v>405</v>
      </c>
      <c r="AJ412" s="27" t="s">
        <v>688</v>
      </c>
      <c r="AK412" s="8">
        <v>2079.1812460476249</v>
      </c>
      <c r="AM412">
        <f t="shared" si="22"/>
        <v>405</v>
      </c>
      <c r="AN412" t="s">
        <v>2687</v>
      </c>
      <c r="AO412" s="8">
        <v>2</v>
      </c>
      <c r="AR412" s="27" t="s">
        <v>1556</v>
      </c>
      <c r="AS412" s="21">
        <v>920</v>
      </c>
    </row>
    <row r="413" spans="2:45" x14ac:dyDescent="0.35">
      <c r="B413">
        <f t="shared" si="20"/>
        <v>406</v>
      </c>
      <c r="C413" s="27" t="s">
        <v>1623</v>
      </c>
      <c r="D413" s="8"/>
      <c r="E413" s="8"/>
      <c r="F413" s="8"/>
      <c r="G413" s="8"/>
      <c r="H413" s="8"/>
      <c r="I413" s="8"/>
      <c r="J413" s="8"/>
      <c r="K413" s="8">
        <v>1672.0978579357175</v>
      </c>
      <c r="L413" s="8">
        <v>404.05723688054348</v>
      </c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>
        <v>2076.1550948162608</v>
      </c>
      <c r="AA413" s="8"/>
      <c r="AB413" s="8"/>
      <c r="AI413">
        <f t="shared" si="21"/>
        <v>406</v>
      </c>
      <c r="AJ413" s="27" t="s">
        <v>1623</v>
      </c>
      <c r="AK413" s="8">
        <v>2076.1550948162608</v>
      </c>
      <c r="AM413">
        <f t="shared" si="22"/>
        <v>406</v>
      </c>
      <c r="AN413" t="s">
        <v>2647</v>
      </c>
      <c r="AO413" s="8">
        <v>2</v>
      </c>
      <c r="AR413" s="27" t="s">
        <v>1606</v>
      </c>
      <c r="AS413" s="21">
        <v>907</v>
      </c>
    </row>
    <row r="414" spans="2:45" x14ac:dyDescent="0.35">
      <c r="B414">
        <f t="shared" si="20"/>
        <v>407</v>
      </c>
      <c r="C414" s="27" t="s">
        <v>1625</v>
      </c>
      <c r="D414" s="8"/>
      <c r="E414" s="8"/>
      <c r="F414" s="8"/>
      <c r="G414" s="8"/>
      <c r="H414" s="8"/>
      <c r="I414" s="8"/>
      <c r="J414" s="8"/>
      <c r="K414" s="8"/>
      <c r="L414" s="8"/>
      <c r="M414" s="8">
        <v>1079.1812460476249</v>
      </c>
      <c r="N414" s="8"/>
      <c r="O414" s="8"/>
      <c r="P414" s="8">
        <v>985.2767431792937</v>
      </c>
      <c r="Q414" s="8"/>
      <c r="R414" s="8"/>
      <c r="S414" s="8"/>
      <c r="T414" s="8"/>
      <c r="U414" s="8"/>
      <c r="V414" s="8"/>
      <c r="W414" s="8"/>
      <c r="X414" s="8"/>
      <c r="Y414" s="8"/>
      <c r="Z414" s="8">
        <v>2064.4579892269185</v>
      </c>
      <c r="AA414" s="8"/>
      <c r="AB414" s="8"/>
      <c r="AI414">
        <f t="shared" si="21"/>
        <v>407</v>
      </c>
      <c r="AJ414" s="27" t="s">
        <v>1625</v>
      </c>
      <c r="AK414" s="8">
        <v>2064.4579892269185</v>
      </c>
      <c r="AM414">
        <f t="shared" si="22"/>
        <v>407</v>
      </c>
      <c r="AN414" t="s">
        <v>2312</v>
      </c>
      <c r="AO414" s="8">
        <v>2</v>
      </c>
      <c r="AR414" s="27" t="s">
        <v>426</v>
      </c>
      <c r="AS414" s="21">
        <v>900</v>
      </c>
    </row>
    <row r="415" spans="2:45" x14ac:dyDescent="0.35">
      <c r="B415">
        <f t="shared" si="20"/>
        <v>408</v>
      </c>
      <c r="C415" s="27" t="s">
        <v>331</v>
      </c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>
        <v>1116.9698069370247</v>
      </c>
      <c r="O415" s="8"/>
      <c r="P415" s="8"/>
      <c r="Q415" s="8"/>
      <c r="R415" s="8"/>
      <c r="S415" s="8"/>
      <c r="T415" s="8"/>
      <c r="U415" s="8"/>
      <c r="V415" s="8">
        <v>944.4826721501687</v>
      </c>
      <c r="W415" s="8"/>
      <c r="X415" s="8"/>
      <c r="Y415" s="8"/>
      <c r="Z415" s="8">
        <v>2061.4524790871933</v>
      </c>
      <c r="AA415" s="8"/>
      <c r="AB415" s="8"/>
      <c r="AI415">
        <f t="shared" si="21"/>
        <v>408</v>
      </c>
      <c r="AJ415" s="27" t="s">
        <v>331</v>
      </c>
      <c r="AK415" s="8">
        <v>2061.4524790871933</v>
      </c>
      <c r="AM415">
        <f t="shared" si="22"/>
        <v>408</v>
      </c>
      <c r="AN415" s="27" t="s">
        <v>1375</v>
      </c>
      <c r="AO415" s="8">
        <v>2</v>
      </c>
      <c r="AR415" s="27" t="s">
        <v>182</v>
      </c>
      <c r="AS415" s="21">
        <v>900</v>
      </c>
    </row>
    <row r="416" spans="2:45" x14ac:dyDescent="0.35">
      <c r="B416">
        <f t="shared" si="20"/>
        <v>409</v>
      </c>
      <c r="C416" t="s">
        <v>2394</v>
      </c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>
        <v>1014.2404391146102</v>
      </c>
      <c r="T416" s="8"/>
      <c r="U416" s="8">
        <v>690.10562085580295</v>
      </c>
      <c r="V416" s="8">
        <v>349.48500216800943</v>
      </c>
      <c r="W416" s="8"/>
      <c r="X416" s="8"/>
      <c r="Y416" s="8"/>
      <c r="Z416" s="8">
        <v>2053.8310621384226</v>
      </c>
      <c r="AA416" s="8"/>
      <c r="AB416" s="8"/>
      <c r="AI416">
        <f t="shared" si="21"/>
        <v>409</v>
      </c>
      <c r="AJ416" t="s">
        <v>2394</v>
      </c>
      <c r="AK416" s="8">
        <v>2053.8310621384226</v>
      </c>
      <c r="AM416">
        <f t="shared" si="22"/>
        <v>409</v>
      </c>
      <c r="AN416" t="s">
        <v>2492</v>
      </c>
      <c r="AO416" s="8">
        <v>2</v>
      </c>
      <c r="AR416" s="27" t="s">
        <v>1120</v>
      </c>
      <c r="AS416" s="21">
        <v>896</v>
      </c>
    </row>
    <row r="417" spans="2:45" x14ac:dyDescent="0.35">
      <c r="B417">
        <f t="shared" si="20"/>
        <v>410</v>
      </c>
      <c r="C417" s="27" t="s">
        <v>1334</v>
      </c>
      <c r="D417" s="8">
        <v>2051.3699621770529</v>
      </c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>
        <v>2051.3699621770529</v>
      </c>
      <c r="AA417" s="8"/>
      <c r="AB417" s="8"/>
      <c r="AI417">
        <f t="shared" si="21"/>
        <v>410</v>
      </c>
      <c r="AJ417" s="27" t="s">
        <v>1334</v>
      </c>
      <c r="AK417" s="8">
        <v>2051.3699621770529</v>
      </c>
      <c r="AM417">
        <f t="shared" si="22"/>
        <v>410</v>
      </c>
      <c r="AN417" t="s">
        <v>2314</v>
      </c>
      <c r="AO417" s="8">
        <v>2</v>
      </c>
      <c r="AR417" s="27" t="s">
        <v>569</v>
      </c>
      <c r="AS417" s="21">
        <v>888</v>
      </c>
    </row>
    <row r="418" spans="2:45" x14ac:dyDescent="0.35">
      <c r="B418">
        <f t="shared" si="20"/>
        <v>411</v>
      </c>
      <c r="C418" t="s">
        <v>2409</v>
      </c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>
        <v>903.08998699194353</v>
      </c>
      <c r="T418" s="8"/>
      <c r="U418" s="8"/>
      <c r="V418" s="8"/>
      <c r="W418" s="8"/>
      <c r="X418" s="8">
        <v>1146.1280356782381</v>
      </c>
      <c r="Y418" s="8"/>
      <c r="Z418" s="8">
        <v>2049.2180226701817</v>
      </c>
      <c r="AA418" s="8"/>
      <c r="AB418" s="8"/>
      <c r="AI418">
        <f t="shared" si="21"/>
        <v>411</v>
      </c>
      <c r="AJ418" t="s">
        <v>2409</v>
      </c>
      <c r="AK418" s="8">
        <v>2049.2180226701817</v>
      </c>
      <c r="AM418">
        <f t="shared" si="22"/>
        <v>411</v>
      </c>
      <c r="AN418" s="27" t="s">
        <v>1351</v>
      </c>
      <c r="AO418" s="8">
        <v>2</v>
      </c>
      <c r="AR418" s="27" t="s">
        <v>688</v>
      </c>
      <c r="AS418" s="21">
        <v>885</v>
      </c>
    </row>
    <row r="419" spans="2:45" x14ac:dyDescent="0.35">
      <c r="B419">
        <f t="shared" si="20"/>
        <v>412</v>
      </c>
      <c r="C419" t="s">
        <v>2687</v>
      </c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>
        <v>698.97000433601886</v>
      </c>
      <c r="T419" s="8"/>
      <c r="U419" s="8"/>
      <c r="V419" s="8">
        <v>1342.4226808222061</v>
      </c>
      <c r="W419" s="8"/>
      <c r="X419" s="8"/>
      <c r="Y419" s="8"/>
      <c r="Z419" s="8">
        <v>2041.392685158225</v>
      </c>
      <c r="AA419" s="8"/>
      <c r="AB419" s="8"/>
      <c r="AI419">
        <f t="shared" si="21"/>
        <v>412</v>
      </c>
      <c r="AJ419" t="s">
        <v>2687</v>
      </c>
      <c r="AK419" s="8">
        <v>2041.392685158225</v>
      </c>
      <c r="AM419">
        <f t="shared" si="22"/>
        <v>412</v>
      </c>
      <c r="AN419" s="27" t="s">
        <v>1134</v>
      </c>
      <c r="AO419" s="8">
        <v>2</v>
      </c>
      <c r="AR419" t="s">
        <v>2676</v>
      </c>
      <c r="AS419" s="21">
        <v>880</v>
      </c>
    </row>
    <row r="420" spans="2:45" x14ac:dyDescent="0.35">
      <c r="B420">
        <f t="shared" si="20"/>
        <v>413</v>
      </c>
      <c r="C420" s="27" t="s">
        <v>1025</v>
      </c>
      <c r="D420" s="8"/>
      <c r="E420" s="8"/>
      <c r="F420" s="8"/>
      <c r="G420" s="8">
        <v>2037.537160313984</v>
      </c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>
        <v>2037.537160313984</v>
      </c>
      <c r="AA420" s="8"/>
      <c r="AB420" s="8"/>
      <c r="AI420">
        <f t="shared" si="21"/>
        <v>413</v>
      </c>
      <c r="AJ420" s="27" t="s">
        <v>1025</v>
      </c>
      <c r="AK420" s="8">
        <v>2037.537160313984</v>
      </c>
      <c r="AM420">
        <f t="shared" si="22"/>
        <v>413</v>
      </c>
      <c r="AN420" s="27" t="s">
        <v>1493</v>
      </c>
      <c r="AO420" s="8">
        <v>2</v>
      </c>
      <c r="AR420" s="27" t="s">
        <v>1544</v>
      </c>
      <c r="AS420" s="21">
        <v>880</v>
      </c>
    </row>
    <row r="421" spans="2:45" x14ac:dyDescent="0.35">
      <c r="B421">
        <f t="shared" si="20"/>
        <v>414</v>
      </c>
      <c r="C421" s="27" t="s">
        <v>1158</v>
      </c>
      <c r="D421" s="8"/>
      <c r="E421" s="8">
        <v>982.2712330395683</v>
      </c>
      <c r="F421" s="8">
        <v>1054.3576623225927</v>
      </c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>
        <v>2036.6288953621611</v>
      </c>
      <c r="AA421" s="8"/>
      <c r="AB421" s="8"/>
      <c r="AI421">
        <f t="shared" si="21"/>
        <v>414</v>
      </c>
      <c r="AJ421" s="27" t="s">
        <v>1158</v>
      </c>
      <c r="AK421" s="8">
        <v>2036.6288953621611</v>
      </c>
      <c r="AM421">
        <f t="shared" si="22"/>
        <v>414</v>
      </c>
      <c r="AN421" s="27" t="s">
        <v>1350</v>
      </c>
      <c r="AO421" s="8">
        <v>2</v>
      </c>
      <c r="AR421" s="27" t="s">
        <v>1491</v>
      </c>
      <c r="AS421" s="21">
        <v>868</v>
      </c>
    </row>
    <row r="422" spans="2:45" x14ac:dyDescent="0.35">
      <c r="B422">
        <f t="shared" si="20"/>
        <v>415</v>
      </c>
      <c r="C422" s="27" t="s">
        <v>1155</v>
      </c>
      <c r="D422" s="8"/>
      <c r="E422" s="8"/>
      <c r="F422" s="8">
        <v>1355.3876579865739</v>
      </c>
      <c r="G422" s="8"/>
      <c r="H422" s="8">
        <v>676.69360962486644</v>
      </c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>
        <v>2032.0812676114404</v>
      </c>
      <c r="AA422" s="8"/>
      <c r="AB422" s="8"/>
      <c r="AI422">
        <f t="shared" si="21"/>
        <v>415</v>
      </c>
      <c r="AJ422" s="27" t="s">
        <v>1155</v>
      </c>
      <c r="AK422" s="8">
        <v>2032.0812676114404</v>
      </c>
      <c r="AM422">
        <f t="shared" si="22"/>
        <v>415</v>
      </c>
      <c r="AN422" s="27" t="s">
        <v>1280</v>
      </c>
      <c r="AO422" s="8">
        <v>2</v>
      </c>
      <c r="AR422" s="27" t="s">
        <v>1528</v>
      </c>
      <c r="AS422" s="21">
        <v>865</v>
      </c>
    </row>
    <row r="423" spans="2:45" x14ac:dyDescent="0.35">
      <c r="B423">
        <f t="shared" si="20"/>
        <v>416</v>
      </c>
      <c r="C423" s="27" t="s">
        <v>1245</v>
      </c>
      <c r="D423" s="8">
        <v>2009.2234661869857</v>
      </c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>
        <v>2009.2234661869857</v>
      </c>
      <c r="AA423" s="8"/>
      <c r="AB423" s="8"/>
      <c r="AI423">
        <f t="shared" si="21"/>
        <v>416</v>
      </c>
      <c r="AJ423" s="27" t="s">
        <v>1245</v>
      </c>
      <c r="AK423" s="8">
        <v>2009.2234661869857</v>
      </c>
      <c r="AM423">
        <f t="shared" si="22"/>
        <v>416</v>
      </c>
      <c r="AN423" s="27" t="s">
        <v>1314</v>
      </c>
      <c r="AO423" s="8">
        <v>2</v>
      </c>
      <c r="AR423" s="27" t="s">
        <v>1550</v>
      </c>
      <c r="AS423" s="21">
        <v>865</v>
      </c>
    </row>
    <row r="424" spans="2:45" x14ac:dyDescent="0.35">
      <c r="B424">
        <f t="shared" si="20"/>
        <v>417</v>
      </c>
      <c r="C424" s="27" t="s">
        <v>842</v>
      </c>
      <c r="D424" s="8"/>
      <c r="E424" s="8"/>
      <c r="F424" s="8"/>
      <c r="G424" s="8"/>
      <c r="H424" s="8"/>
      <c r="I424" s="8">
        <v>2008.6001717619174</v>
      </c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>
        <v>2008.6001717619174</v>
      </c>
      <c r="AA424" s="8"/>
      <c r="AB424" s="8"/>
      <c r="AI424">
        <f t="shared" si="21"/>
        <v>417</v>
      </c>
      <c r="AJ424" s="27" t="s">
        <v>842</v>
      </c>
      <c r="AK424" s="8">
        <v>2008.6001717619174</v>
      </c>
      <c r="AM424">
        <f t="shared" si="22"/>
        <v>417</v>
      </c>
      <c r="AN424" s="27" t="s">
        <v>1366</v>
      </c>
      <c r="AO424" s="8">
        <v>2</v>
      </c>
      <c r="AR424" t="s">
        <v>2560</v>
      </c>
      <c r="AS424" s="21">
        <v>859</v>
      </c>
    </row>
    <row r="425" spans="2:45" x14ac:dyDescent="0.35">
      <c r="B425">
        <f t="shared" si="20"/>
        <v>418</v>
      </c>
      <c r="C425" s="27" t="s">
        <v>708</v>
      </c>
      <c r="D425" s="8"/>
      <c r="E425" s="8"/>
      <c r="F425" s="8"/>
      <c r="G425" s="8"/>
      <c r="H425" s="8"/>
      <c r="I425" s="8"/>
      <c r="J425" s="8">
        <v>1998.5946233024715</v>
      </c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>
        <v>1998.5946233024715</v>
      </c>
      <c r="AA425" s="8"/>
      <c r="AB425" s="8"/>
      <c r="AI425">
        <f t="shared" si="21"/>
        <v>418</v>
      </c>
      <c r="AJ425" s="27" t="s">
        <v>708</v>
      </c>
      <c r="AK425" s="8">
        <v>1998.5946233024715</v>
      </c>
      <c r="AM425">
        <f t="shared" si="22"/>
        <v>418</v>
      </c>
      <c r="AN425" s="27" t="s">
        <v>1625</v>
      </c>
      <c r="AO425" s="8">
        <v>2</v>
      </c>
      <c r="AR425" s="27" t="s">
        <v>1095</v>
      </c>
      <c r="AS425" s="21">
        <v>858</v>
      </c>
    </row>
    <row r="426" spans="2:45" x14ac:dyDescent="0.35">
      <c r="B426">
        <f t="shared" si="20"/>
        <v>419</v>
      </c>
      <c r="C426" s="27" t="s">
        <v>1626</v>
      </c>
      <c r="D426" s="8"/>
      <c r="E426" s="8">
        <v>1982.2712330395684</v>
      </c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>
        <v>1982.2712330395684</v>
      </c>
      <c r="AA426" s="8"/>
      <c r="AB426" s="8"/>
      <c r="AI426">
        <f t="shared" si="21"/>
        <v>419</v>
      </c>
      <c r="AJ426" s="27" t="s">
        <v>1626</v>
      </c>
      <c r="AK426" s="8">
        <v>1982.2712330395684</v>
      </c>
      <c r="AM426">
        <f t="shared" si="22"/>
        <v>419</v>
      </c>
      <c r="AN426" s="27" t="s">
        <v>1356</v>
      </c>
      <c r="AO426" s="8">
        <v>2</v>
      </c>
      <c r="AR426" s="27" t="s">
        <v>1638</v>
      </c>
      <c r="AS426" s="21">
        <v>841</v>
      </c>
    </row>
    <row r="427" spans="2:45" x14ac:dyDescent="0.35">
      <c r="B427">
        <f t="shared" si="20"/>
        <v>420</v>
      </c>
      <c r="C427" s="27" t="s">
        <v>1491</v>
      </c>
      <c r="D427" s="8">
        <v>116.78877383002418</v>
      </c>
      <c r="E427" s="8">
        <v>1860.4011132582841</v>
      </c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>
        <v>1977.1898870883083</v>
      </c>
      <c r="AA427" s="8"/>
      <c r="AB427" s="8"/>
      <c r="AI427">
        <f t="shared" si="21"/>
        <v>420</v>
      </c>
      <c r="AJ427" s="27" t="s">
        <v>1491</v>
      </c>
      <c r="AK427" s="8">
        <v>1977.1898870883083</v>
      </c>
      <c r="AM427">
        <f t="shared" si="22"/>
        <v>420</v>
      </c>
      <c r="AN427" s="27" t="s">
        <v>943</v>
      </c>
      <c r="AO427" s="8">
        <v>2</v>
      </c>
      <c r="AR427" t="s">
        <v>2350</v>
      </c>
      <c r="AS427" s="21">
        <v>840</v>
      </c>
    </row>
    <row r="428" spans="2:45" x14ac:dyDescent="0.35">
      <c r="B428">
        <f t="shared" si="20"/>
        <v>421</v>
      </c>
      <c r="C428" s="27" t="s">
        <v>1627</v>
      </c>
      <c r="D428" s="8"/>
      <c r="E428" s="8"/>
      <c r="F428" s="8">
        <v>1970.5518898646847</v>
      </c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>
        <v>1970.5518898646847</v>
      </c>
      <c r="AA428" s="8"/>
      <c r="AB428" s="8"/>
      <c r="AI428">
        <f t="shared" si="21"/>
        <v>421</v>
      </c>
      <c r="AJ428" s="27" t="s">
        <v>1627</v>
      </c>
      <c r="AK428" s="8">
        <v>1970.5518898646847</v>
      </c>
      <c r="AM428">
        <f t="shared" si="22"/>
        <v>421</v>
      </c>
      <c r="AN428" s="27" t="s">
        <v>1633</v>
      </c>
      <c r="AO428" s="8">
        <v>2</v>
      </c>
      <c r="AR428" t="s">
        <v>2518</v>
      </c>
      <c r="AS428" s="21">
        <v>837</v>
      </c>
    </row>
    <row r="429" spans="2:45" x14ac:dyDescent="0.35">
      <c r="B429">
        <f t="shared" si="20"/>
        <v>422</v>
      </c>
      <c r="C429" t="s">
        <v>2699</v>
      </c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>
        <v>1963.247995726138</v>
      </c>
      <c r="Z429" s="8">
        <v>1963.247995726138</v>
      </c>
      <c r="AA429" s="8"/>
      <c r="AB429" s="8"/>
      <c r="AI429">
        <f t="shared" si="21"/>
        <v>422</v>
      </c>
      <c r="AJ429" t="s">
        <v>2699</v>
      </c>
      <c r="AK429" s="8">
        <v>1963.247995726138</v>
      </c>
      <c r="AM429">
        <f t="shared" si="22"/>
        <v>422</v>
      </c>
      <c r="AN429" s="27" t="s">
        <v>663</v>
      </c>
      <c r="AO429" s="8">
        <v>2</v>
      </c>
      <c r="AR429" s="27" t="s">
        <v>362</v>
      </c>
      <c r="AS429" s="21">
        <v>837</v>
      </c>
    </row>
    <row r="430" spans="2:45" x14ac:dyDescent="0.35">
      <c r="B430">
        <f t="shared" si="20"/>
        <v>423</v>
      </c>
      <c r="C430" t="s">
        <v>2640</v>
      </c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>
        <v>1064.4579892269187</v>
      </c>
      <c r="Y430" s="8">
        <v>881.69184229071323</v>
      </c>
      <c r="Z430" s="8">
        <v>1946.1498315176318</v>
      </c>
      <c r="AA430" s="8"/>
      <c r="AB430" s="8"/>
      <c r="AI430">
        <f t="shared" si="21"/>
        <v>423</v>
      </c>
      <c r="AJ430" t="s">
        <v>2640</v>
      </c>
      <c r="AK430" s="8">
        <v>1946.1498315176318</v>
      </c>
      <c r="AM430">
        <f t="shared" si="22"/>
        <v>423</v>
      </c>
      <c r="AN430" s="27" t="s">
        <v>1260</v>
      </c>
      <c r="AO430" s="8">
        <v>2</v>
      </c>
      <c r="AR430" s="27" t="s">
        <v>1580</v>
      </c>
      <c r="AS430" s="21">
        <v>835</v>
      </c>
    </row>
    <row r="431" spans="2:45" x14ac:dyDescent="0.35">
      <c r="B431">
        <f t="shared" si="20"/>
        <v>424</v>
      </c>
      <c r="C431" s="27" t="s">
        <v>1561</v>
      </c>
      <c r="D431" s="8"/>
      <c r="E431" s="8"/>
      <c r="F431" s="8"/>
      <c r="G431" s="8">
        <v>1944.4826721501686</v>
      </c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>
        <v>1944.4826721501686</v>
      </c>
      <c r="AA431" s="8"/>
      <c r="AB431" s="8"/>
      <c r="AI431">
        <f t="shared" si="21"/>
        <v>424</v>
      </c>
      <c r="AJ431" s="27" t="s">
        <v>1561</v>
      </c>
      <c r="AK431" s="8">
        <v>1944.4826721501686</v>
      </c>
      <c r="AM431">
        <f t="shared" si="22"/>
        <v>424</v>
      </c>
      <c r="AN431" s="27" t="s">
        <v>423</v>
      </c>
      <c r="AO431" s="8">
        <v>2</v>
      </c>
      <c r="AR431" s="27" t="s">
        <v>1360</v>
      </c>
      <c r="AS431" s="21">
        <v>834</v>
      </c>
    </row>
    <row r="432" spans="2:45" x14ac:dyDescent="0.35">
      <c r="B432">
        <f t="shared" si="20"/>
        <v>425</v>
      </c>
      <c r="C432" s="27" t="s">
        <v>362</v>
      </c>
      <c r="D432" s="8"/>
      <c r="E432" s="8"/>
      <c r="F432" s="8"/>
      <c r="G432" s="8"/>
      <c r="H432" s="8"/>
      <c r="I432" s="8"/>
      <c r="J432" s="8"/>
      <c r="K432" s="8"/>
      <c r="L432" s="8">
        <v>1574.0312677277188</v>
      </c>
      <c r="M432" s="8">
        <v>349.48500216800943</v>
      </c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>
        <v>1923.5162698957283</v>
      </c>
      <c r="AA432" s="8"/>
      <c r="AB432" s="8"/>
      <c r="AI432">
        <f t="shared" si="21"/>
        <v>425</v>
      </c>
      <c r="AJ432" s="27" t="s">
        <v>362</v>
      </c>
      <c r="AK432" s="8">
        <v>1923.5162698957283</v>
      </c>
      <c r="AM432">
        <f t="shared" si="22"/>
        <v>425</v>
      </c>
      <c r="AN432" s="27" t="s">
        <v>548</v>
      </c>
      <c r="AO432" s="8">
        <v>2</v>
      </c>
      <c r="AR432" s="27" t="s">
        <v>679</v>
      </c>
      <c r="AS432" s="21">
        <v>833</v>
      </c>
    </row>
    <row r="433" spans="2:45" x14ac:dyDescent="0.35">
      <c r="B433">
        <f t="shared" si="20"/>
        <v>426</v>
      </c>
      <c r="C433" s="27" t="s">
        <v>1562</v>
      </c>
      <c r="D433" s="8"/>
      <c r="E433" s="8"/>
      <c r="F433" s="8"/>
      <c r="G433" s="8"/>
      <c r="H433" s="8"/>
      <c r="I433" s="8">
        <v>1921.686475483602</v>
      </c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>
        <v>1921.686475483602</v>
      </c>
      <c r="AA433" s="8"/>
      <c r="AB433" s="8"/>
      <c r="AI433">
        <f t="shared" si="21"/>
        <v>426</v>
      </c>
      <c r="AJ433" s="27" t="s">
        <v>1562</v>
      </c>
      <c r="AK433" s="8">
        <v>1921.686475483602</v>
      </c>
      <c r="AM433">
        <f t="shared" si="22"/>
        <v>426</v>
      </c>
      <c r="AN433" s="27" t="s">
        <v>1377</v>
      </c>
      <c r="AO433" s="8">
        <v>2</v>
      </c>
      <c r="AR433" s="27" t="s">
        <v>1044</v>
      </c>
      <c r="AS433" s="21">
        <v>826</v>
      </c>
    </row>
    <row r="434" spans="2:45" x14ac:dyDescent="0.35">
      <c r="B434">
        <f t="shared" si="20"/>
        <v>427</v>
      </c>
      <c r="C434" s="27" t="s">
        <v>1493</v>
      </c>
      <c r="D434" s="8"/>
      <c r="E434" s="8"/>
      <c r="F434" s="8"/>
      <c r="G434" s="8"/>
      <c r="H434" s="8"/>
      <c r="I434" s="8"/>
      <c r="J434" s="8">
        <v>1204.1199826559248</v>
      </c>
      <c r="K434" s="8">
        <v>692.23662167705049</v>
      </c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>
        <v>1896.3566043329752</v>
      </c>
      <c r="AA434" s="8"/>
      <c r="AB434" s="8"/>
      <c r="AI434">
        <f t="shared" si="21"/>
        <v>427</v>
      </c>
      <c r="AJ434" s="27" t="s">
        <v>1493</v>
      </c>
      <c r="AK434" s="8">
        <v>1896.3566043329752</v>
      </c>
      <c r="AM434">
        <f t="shared" si="22"/>
        <v>427</v>
      </c>
      <c r="AN434" s="27" t="s">
        <v>1489</v>
      </c>
      <c r="AO434" s="8">
        <v>2</v>
      </c>
      <c r="AR434" s="27" t="s">
        <v>1604</v>
      </c>
      <c r="AS434" s="21">
        <v>826</v>
      </c>
    </row>
    <row r="435" spans="2:45" x14ac:dyDescent="0.35">
      <c r="B435">
        <f t="shared" si="20"/>
        <v>428</v>
      </c>
      <c r="C435" s="27" t="s">
        <v>1479</v>
      </c>
      <c r="D435" s="8"/>
      <c r="E435" s="8">
        <v>1894.8696567452523</v>
      </c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>
        <v>1894.8696567452523</v>
      </c>
      <c r="AA435" s="8"/>
      <c r="AB435" s="8"/>
      <c r="AI435">
        <f t="shared" si="21"/>
        <v>428</v>
      </c>
      <c r="AJ435" s="27" t="s">
        <v>1479</v>
      </c>
      <c r="AK435" s="8">
        <v>1894.8696567452523</v>
      </c>
      <c r="AM435">
        <f t="shared" si="22"/>
        <v>428</v>
      </c>
      <c r="AN435" s="27" t="s">
        <v>1009</v>
      </c>
      <c r="AO435" s="8">
        <v>2</v>
      </c>
      <c r="AR435" s="27" t="s">
        <v>1577</v>
      </c>
      <c r="AS435" s="21">
        <v>815</v>
      </c>
    </row>
    <row r="436" spans="2:45" x14ac:dyDescent="0.35">
      <c r="B436">
        <f t="shared" si="20"/>
        <v>429</v>
      </c>
      <c r="C436" t="s">
        <v>2631</v>
      </c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>
        <v>913.81385238371661</v>
      </c>
      <c r="Y436" s="8">
        <v>980.9767626865696</v>
      </c>
      <c r="Z436" s="8">
        <v>1894.7906150702861</v>
      </c>
      <c r="AA436" s="8"/>
      <c r="AB436" s="8"/>
      <c r="AI436">
        <f t="shared" si="21"/>
        <v>429</v>
      </c>
      <c r="AJ436" t="s">
        <v>2631</v>
      </c>
      <c r="AK436" s="8">
        <v>1894.7906150702861</v>
      </c>
      <c r="AM436">
        <f t="shared" si="22"/>
        <v>429</v>
      </c>
      <c r="AN436" s="27" t="s">
        <v>1701</v>
      </c>
      <c r="AO436" s="8">
        <v>2</v>
      </c>
      <c r="AR436" s="27" t="s">
        <v>1621</v>
      </c>
      <c r="AS436" s="21">
        <v>811</v>
      </c>
    </row>
    <row r="437" spans="2:45" x14ac:dyDescent="0.35">
      <c r="B437">
        <f t="shared" si="20"/>
        <v>430</v>
      </c>
      <c r="C437" t="s">
        <v>2511</v>
      </c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>
        <v>1892.0946026904803</v>
      </c>
      <c r="V437" s="8"/>
      <c r="W437" s="8"/>
      <c r="X437" s="8"/>
      <c r="Y437" s="8"/>
      <c r="Z437" s="8">
        <v>1892.0946026904803</v>
      </c>
      <c r="AA437" s="8"/>
      <c r="AB437" s="8"/>
      <c r="AI437">
        <f t="shared" si="21"/>
        <v>430</v>
      </c>
      <c r="AJ437" t="s">
        <v>2511</v>
      </c>
      <c r="AK437" s="8">
        <v>1892.0946026904803</v>
      </c>
      <c r="AM437">
        <f t="shared" si="22"/>
        <v>430</v>
      </c>
      <c r="AN437" s="27" t="s">
        <v>1001</v>
      </c>
      <c r="AO437" s="8">
        <v>2</v>
      </c>
      <c r="AR437" s="27" t="s">
        <v>677</v>
      </c>
      <c r="AS437" s="21">
        <v>810</v>
      </c>
    </row>
    <row r="438" spans="2:45" x14ac:dyDescent="0.35">
      <c r="B438">
        <f t="shared" si="20"/>
        <v>431</v>
      </c>
      <c r="C438" s="27" t="s">
        <v>440</v>
      </c>
      <c r="D438" s="8">
        <v>1211.7202208559925</v>
      </c>
      <c r="E438" s="8"/>
      <c r="F438" s="8"/>
      <c r="G438" s="8"/>
      <c r="H438" s="8"/>
      <c r="I438" s="8"/>
      <c r="J438" s="8"/>
      <c r="K438" s="8"/>
      <c r="L438" s="8">
        <v>676.09125905568123</v>
      </c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>
        <v>1887.8114799116738</v>
      </c>
      <c r="AA438" s="8"/>
      <c r="AB438" s="8"/>
      <c r="AI438">
        <f t="shared" si="21"/>
        <v>431</v>
      </c>
      <c r="AJ438" s="27" t="s">
        <v>440</v>
      </c>
      <c r="AK438" s="8">
        <v>1887.8114799116738</v>
      </c>
      <c r="AM438">
        <f t="shared" si="22"/>
        <v>431</v>
      </c>
      <c r="AN438" s="27" t="s">
        <v>1086</v>
      </c>
      <c r="AO438" s="8">
        <v>2</v>
      </c>
      <c r="AR438" s="27" t="s">
        <v>466</v>
      </c>
      <c r="AS438" s="21">
        <v>805</v>
      </c>
    </row>
    <row r="439" spans="2:45" x14ac:dyDescent="0.35">
      <c r="B439">
        <f t="shared" si="20"/>
        <v>432</v>
      </c>
      <c r="C439" s="27" t="s">
        <v>1489</v>
      </c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>
        <v>913.81385238371672</v>
      </c>
      <c r="Q439" s="8"/>
      <c r="R439" s="8"/>
      <c r="S439" s="8"/>
      <c r="T439" s="8"/>
      <c r="U439" s="8">
        <v>961.08193396963031</v>
      </c>
      <c r="V439" s="8"/>
      <c r="W439" s="8"/>
      <c r="X439" s="8"/>
      <c r="Y439" s="8"/>
      <c r="Z439" s="8">
        <v>1874.8957863533469</v>
      </c>
      <c r="AA439" s="8"/>
      <c r="AB439" s="8"/>
      <c r="AI439">
        <f t="shared" si="21"/>
        <v>432</v>
      </c>
      <c r="AJ439" s="27" t="s">
        <v>1489</v>
      </c>
      <c r="AK439" s="8">
        <v>1874.8957863533469</v>
      </c>
      <c r="AM439">
        <f t="shared" si="22"/>
        <v>432</v>
      </c>
      <c r="AN439" s="27" t="s">
        <v>1268</v>
      </c>
      <c r="AO439" s="8">
        <v>2</v>
      </c>
      <c r="AR439" s="27" t="s">
        <v>430</v>
      </c>
      <c r="AS439" s="21">
        <v>800</v>
      </c>
    </row>
    <row r="440" spans="2:45" x14ac:dyDescent="0.35">
      <c r="B440">
        <f t="shared" si="20"/>
        <v>433</v>
      </c>
      <c r="C440" s="27" t="s">
        <v>743</v>
      </c>
      <c r="D440" s="8"/>
      <c r="E440" s="8"/>
      <c r="F440" s="8">
        <v>1085.7121132065827</v>
      </c>
      <c r="G440" s="8"/>
      <c r="H440" s="8"/>
      <c r="I440" s="8">
        <v>789.14663468510673</v>
      </c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>
        <v>1874.8587478916893</v>
      </c>
      <c r="AA440" s="8"/>
      <c r="AB440" s="8"/>
      <c r="AI440">
        <f t="shared" si="21"/>
        <v>433</v>
      </c>
      <c r="AJ440" s="27" t="s">
        <v>743</v>
      </c>
      <c r="AK440" s="8">
        <v>1874.8587478916893</v>
      </c>
      <c r="AM440">
        <f t="shared" si="22"/>
        <v>433</v>
      </c>
      <c r="AN440" s="27" t="s">
        <v>347</v>
      </c>
      <c r="AO440" s="8">
        <v>2</v>
      </c>
      <c r="AR440" s="27" t="s">
        <v>988</v>
      </c>
      <c r="AS440" s="21">
        <v>800</v>
      </c>
    </row>
    <row r="441" spans="2:45" x14ac:dyDescent="0.35">
      <c r="B441">
        <f t="shared" si="20"/>
        <v>434</v>
      </c>
      <c r="C441" s="27" t="s">
        <v>1676</v>
      </c>
      <c r="D441" s="8"/>
      <c r="E441" s="8"/>
      <c r="F441" s="8"/>
      <c r="G441" s="8"/>
      <c r="H441" s="8"/>
      <c r="I441" s="8"/>
      <c r="J441" s="8"/>
      <c r="K441" s="8"/>
      <c r="L441" s="8">
        <v>477.12125471966243</v>
      </c>
      <c r="M441" s="8">
        <v>349.48500216800943</v>
      </c>
      <c r="N441" s="8"/>
      <c r="O441" s="8"/>
      <c r="P441" s="8"/>
      <c r="Q441" s="8">
        <v>1047.9235523171828</v>
      </c>
      <c r="R441" s="8"/>
      <c r="S441" s="8"/>
      <c r="T441" s="8"/>
      <c r="U441" s="8"/>
      <c r="V441" s="8"/>
      <c r="W441" s="8"/>
      <c r="X441" s="8"/>
      <c r="Y441" s="8"/>
      <c r="Z441" s="8">
        <v>1874.5298092048547</v>
      </c>
      <c r="AA441" s="8"/>
      <c r="AB441" s="8"/>
      <c r="AI441">
        <f t="shared" si="21"/>
        <v>434</v>
      </c>
      <c r="AJ441" s="27" t="s">
        <v>1676</v>
      </c>
      <c r="AK441" s="8">
        <v>1874.5298092048547</v>
      </c>
      <c r="AM441">
        <f t="shared" si="22"/>
        <v>434</v>
      </c>
      <c r="AN441" s="27" t="s">
        <v>1686</v>
      </c>
      <c r="AO441" s="8">
        <v>2</v>
      </c>
      <c r="AR441" t="s">
        <v>2683</v>
      </c>
      <c r="AS441" s="21">
        <v>793</v>
      </c>
    </row>
    <row r="442" spans="2:45" x14ac:dyDescent="0.35">
      <c r="B442">
        <f t="shared" si="20"/>
        <v>435</v>
      </c>
      <c r="C442" s="27" t="s">
        <v>828</v>
      </c>
      <c r="D442" s="8"/>
      <c r="E442" s="8">
        <v>1083.4182989908793</v>
      </c>
      <c r="F442" s="8"/>
      <c r="G442" s="8"/>
      <c r="H442" s="8"/>
      <c r="I442" s="8">
        <v>789.14663468510685</v>
      </c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>
        <v>1872.5649336759861</v>
      </c>
      <c r="AA442" s="8"/>
      <c r="AB442" s="8"/>
      <c r="AI442">
        <f t="shared" si="21"/>
        <v>435</v>
      </c>
      <c r="AJ442" s="27" t="s">
        <v>828</v>
      </c>
      <c r="AK442" s="8">
        <v>1872.5649336759861</v>
      </c>
      <c r="AM442">
        <f t="shared" si="22"/>
        <v>435</v>
      </c>
      <c r="AN442" s="27" t="s">
        <v>1362</v>
      </c>
      <c r="AO442" s="8">
        <v>2</v>
      </c>
      <c r="AR442" s="27" t="s">
        <v>1029</v>
      </c>
      <c r="AS442" s="21">
        <v>783</v>
      </c>
    </row>
    <row r="443" spans="2:45" x14ac:dyDescent="0.35">
      <c r="B443">
        <f t="shared" si="20"/>
        <v>436</v>
      </c>
      <c r="C443" s="27" t="s">
        <v>1531</v>
      </c>
      <c r="D443" s="8"/>
      <c r="E443" s="8"/>
      <c r="F443" s="8"/>
      <c r="G443" s="8"/>
      <c r="H443" s="8"/>
      <c r="I443" s="8"/>
      <c r="J443" s="8"/>
      <c r="K443" s="8"/>
      <c r="L443" s="8"/>
      <c r="M443" s="8">
        <v>925.75397162788738</v>
      </c>
      <c r="N443" s="8"/>
      <c r="O443" s="8"/>
      <c r="P443" s="8">
        <v>945.09912999945493</v>
      </c>
      <c r="Q443" s="8"/>
      <c r="R443" s="8"/>
      <c r="S443" s="8"/>
      <c r="T443" s="8"/>
      <c r="U443" s="8"/>
      <c r="V443" s="8"/>
      <c r="W443" s="8"/>
      <c r="X443" s="8"/>
      <c r="Y443" s="8"/>
      <c r="Z443" s="8">
        <v>1870.8531016273423</v>
      </c>
      <c r="AA443" s="8"/>
      <c r="AB443" s="8"/>
      <c r="AI443">
        <f t="shared" si="21"/>
        <v>436</v>
      </c>
      <c r="AJ443" s="27" t="s">
        <v>1531</v>
      </c>
      <c r="AK443" s="8">
        <v>1870.8531016273423</v>
      </c>
      <c r="AM443">
        <f t="shared" si="22"/>
        <v>436</v>
      </c>
      <c r="AN443" s="27" t="s">
        <v>641</v>
      </c>
      <c r="AO443" s="8">
        <v>2</v>
      </c>
      <c r="AR443" s="27" t="s">
        <v>909</v>
      </c>
      <c r="AS443" s="21">
        <v>780</v>
      </c>
    </row>
    <row r="444" spans="2:45" x14ac:dyDescent="0.35">
      <c r="B444">
        <f t="shared" si="20"/>
        <v>437</v>
      </c>
      <c r="C444" s="27" t="s">
        <v>832</v>
      </c>
      <c r="D444" s="8">
        <v>455.40200502642648</v>
      </c>
      <c r="E444" s="8"/>
      <c r="F444" s="8"/>
      <c r="G444" s="8">
        <v>714.0337507718948</v>
      </c>
      <c r="H444" s="8"/>
      <c r="I444" s="8">
        <v>698.97000433601875</v>
      </c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>
        <v>1868.40576013434</v>
      </c>
      <c r="AA444" s="8"/>
      <c r="AB444" s="8"/>
      <c r="AI444">
        <f t="shared" si="21"/>
        <v>437</v>
      </c>
      <c r="AJ444" s="27" t="s">
        <v>832</v>
      </c>
      <c r="AK444" s="8">
        <v>1868.40576013434</v>
      </c>
      <c r="AM444">
        <f t="shared" si="22"/>
        <v>437</v>
      </c>
      <c r="AN444" s="27" t="s">
        <v>1634</v>
      </c>
      <c r="AO444" s="8">
        <v>2</v>
      </c>
      <c r="AR444" s="27" t="s">
        <v>761</v>
      </c>
      <c r="AS444" s="21">
        <v>779</v>
      </c>
    </row>
    <row r="445" spans="2:45" x14ac:dyDescent="0.35">
      <c r="B445">
        <f t="shared" si="20"/>
        <v>438</v>
      </c>
      <c r="C445" t="s">
        <v>2430</v>
      </c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>
        <v>1130.3337684950061</v>
      </c>
      <c r="T445" s="8"/>
      <c r="U445" s="8"/>
      <c r="V445" s="8"/>
      <c r="W445" s="8">
        <v>726.99872793626241</v>
      </c>
      <c r="X445" s="8"/>
      <c r="Y445" s="8"/>
      <c r="Z445" s="8">
        <v>1857.3324964312685</v>
      </c>
      <c r="AA445" s="8"/>
      <c r="AB445" s="8"/>
      <c r="AI445">
        <f t="shared" si="21"/>
        <v>438</v>
      </c>
      <c r="AJ445" t="s">
        <v>2430</v>
      </c>
      <c r="AK445" s="8">
        <v>1857.3324964312685</v>
      </c>
      <c r="AM445">
        <f t="shared" si="22"/>
        <v>438</v>
      </c>
      <c r="AN445" s="27" t="s">
        <v>720</v>
      </c>
      <c r="AO445" s="8">
        <v>2</v>
      </c>
      <c r="AR445" s="27" t="s">
        <v>1576</v>
      </c>
      <c r="AS445" s="21">
        <v>770</v>
      </c>
    </row>
    <row r="446" spans="2:45" x14ac:dyDescent="0.35">
      <c r="B446">
        <f t="shared" si="20"/>
        <v>439</v>
      </c>
      <c r="C446" s="27" t="s">
        <v>988</v>
      </c>
      <c r="D446" s="8">
        <v>29.963223377443391</v>
      </c>
      <c r="E446" s="8"/>
      <c r="F446" s="8"/>
      <c r="G446" s="8">
        <v>1531.478917042255</v>
      </c>
      <c r="H446" s="8"/>
      <c r="I446" s="8"/>
      <c r="J446" s="8"/>
      <c r="K446" s="8">
        <v>294.91276745547538</v>
      </c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>
        <v>1856.3549078751739</v>
      </c>
      <c r="AA446" s="8"/>
      <c r="AB446" s="8"/>
      <c r="AI446">
        <f t="shared" si="21"/>
        <v>439</v>
      </c>
      <c r="AJ446" s="27" t="s">
        <v>988</v>
      </c>
      <c r="AK446" s="8">
        <v>1856.3549078751739</v>
      </c>
      <c r="AM446">
        <f t="shared" si="22"/>
        <v>439</v>
      </c>
      <c r="AN446" s="27" t="s">
        <v>856</v>
      </c>
      <c r="AO446" s="8">
        <v>2</v>
      </c>
      <c r="AR446" s="27" t="s">
        <v>683</v>
      </c>
      <c r="AS446" s="21">
        <v>767.5</v>
      </c>
    </row>
    <row r="447" spans="2:45" x14ac:dyDescent="0.35">
      <c r="B447">
        <f t="shared" si="20"/>
        <v>440</v>
      </c>
      <c r="C447" s="27" t="s">
        <v>683</v>
      </c>
      <c r="D447" s="8"/>
      <c r="E447" s="8"/>
      <c r="F447" s="8"/>
      <c r="G447" s="8"/>
      <c r="H447" s="8"/>
      <c r="I447" s="8"/>
      <c r="J447" s="8">
        <v>1832.5089127062363</v>
      </c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>
        <v>1832.5089127062363</v>
      </c>
      <c r="AA447" s="8"/>
      <c r="AB447" s="8"/>
      <c r="AI447">
        <f t="shared" si="21"/>
        <v>440</v>
      </c>
      <c r="AJ447" s="27" t="s">
        <v>683</v>
      </c>
      <c r="AK447" s="8">
        <v>1832.5089127062363</v>
      </c>
      <c r="AM447">
        <f t="shared" si="22"/>
        <v>440</v>
      </c>
      <c r="AN447" s="27" t="s">
        <v>726</v>
      </c>
      <c r="AO447" s="8">
        <v>2</v>
      </c>
      <c r="AR447" t="s">
        <v>2422</v>
      </c>
      <c r="AS447" s="21">
        <v>766</v>
      </c>
    </row>
    <row r="448" spans="2:45" x14ac:dyDescent="0.35">
      <c r="B448">
        <f t="shared" si="20"/>
        <v>441</v>
      </c>
      <c r="C448" t="s">
        <v>2289</v>
      </c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>
        <v>1826.0748027008265</v>
      </c>
      <c r="R448" s="8"/>
      <c r="S448" s="8"/>
      <c r="T448" s="8"/>
      <c r="U448" s="8"/>
      <c r="V448" s="8"/>
      <c r="W448" s="8"/>
      <c r="X448" s="8"/>
      <c r="Y448" s="8"/>
      <c r="Z448" s="8">
        <v>1826.0748027008265</v>
      </c>
      <c r="AA448" s="8"/>
      <c r="AB448" s="8"/>
      <c r="AI448">
        <f t="shared" si="21"/>
        <v>441</v>
      </c>
      <c r="AJ448" t="s">
        <v>2289</v>
      </c>
      <c r="AK448" s="8">
        <v>1826.0748027008265</v>
      </c>
      <c r="AM448">
        <f t="shared" si="22"/>
        <v>441</v>
      </c>
      <c r="AN448" s="27" t="s">
        <v>255</v>
      </c>
      <c r="AO448" s="8">
        <v>2</v>
      </c>
      <c r="AR448" s="27" t="s">
        <v>863</v>
      </c>
      <c r="AS448" s="21">
        <v>765</v>
      </c>
    </row>
    <row r="449" spans="2:45" x14ac:dyDescent="0.35">
      <c r="B449">
        <f t="shared" si="20"/>
        <v>442</v>
      </c>
      <c r="C449" s="27" t="s">
        <v>1564</v>
      </c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>
        <v>1826.0748027008265</v>
      </c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>
        <v>1826.0748027008265</v>
      </c>
      <c r="AA449" s="8"/>
      <c r="AB449" s="8"/>
      <c r="AI449">
        <f t="shared" si="21"/>
        <v>442</v>
      </c>
      <c r="AJ449" s="27" t="s">
        <v>1564</v>
      </c>
      <c r="AK449" s="8">
        <v>1826.0748027008265</v>
      </c>
      <c r="AM449">
        <f t="shared" si="22"/>
        <v>442</v>
      </c>
      <c r="AN449" s="27" t="s">
        <v>751</v>
      </c>
      <c r="AO449" s="8">
        <v>2</v>
      </c>
      <c r="AR449" s="27" t="s">
        <v>1158</v>
      </c>
      <c r="AS449" s="21">
        <v>758</v>
      </c>
    </row>
    <row r="450" spans="2:45" x14ac:dyDescent="0.35">
      <c r="B450">
        <f t="shared" si="20"/>
        <v>443</v>
      </c>
      <c r="C450" t="s">
        <v>2647</v>
      </c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>
        <v>845.09804001425687</v>
      </c>
      <c r="Y450" s="8">
        <v>977.72360528884769</v>
      </c>
      <c r="Z450" s="8">
        <v>1822.8216453031046</v>
      </c>
      <c r="AA450" s="8"/>
      <c r="AB450" s="8"/>
      <c r="AI450">
        <f t="shared" si="21"/>
        <v>443</v>
      </c>
      <c r="AJ450" t="s">
        <v>2647</v>
      </c>
      <c r="AK450" s="8">
        <v>1822.8216453031046</v>
      </c>
      <c r="AM450">
        <f t="shared" si="22"/>
        <v>443</v>
      </c>
      <c r="AN450" s="27" t="s">
        <v>1381</v>
      </c>
      <c r="AO450" s="8">
        <v>2</v>
      </c>
      <c r="AR450" t="s">
        <v>2549</v>
      </c>
      <c r="AS450" s="21">
        <v>754</v>
      </c>
    </row>
    <row r="451" spans="2:45" x14ac:dyDescent="0.35">
      <c r="B451">
        <f t="shared" si="20"/>
        <v>444</v>
      </c>
      <c r="C451" t="s">
        <v>2702</v>
      </c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>
        <v>1818.3083885295619</v>
      </c>
      <c r="Z451" s="8">
        <v>1818.3083885295619</v>
      </c>
      <c r="AA451" s="8"/>
      <c r="AB451" s="8"/>
      <c r="AI451">
        <f t="shared" si="21"/>
        <v>444</v>
      </c>
      <c r="AJ451" t="s">
        <v>2702</v>
      </c>
      <c r="AK451" s="8">
        <v>1818.3083885295619</v>
      </c>
      <c r="AM451">
        <f t="shared" si="22"/>
        <v>444</v>
      </c>
      <c r="AN451" s="27" t="s">
        <v>977</v>
      </c>
      <c r="AO451" s="8">
        <v>2</v>
      </c>
      <c r="AR451" t="s">
        <v>2686</v>
      </c>
      <c r="AS451" s="21">
        <v>754</v>
      </c>
    </row>
    <row r="452" spans="2:45" x14ac:dyDescent="0.35">
      <c r="B452">
        <f t="shared" si="20"/>
        <v>445</v>
      </c>
      <c r="C452" s="27" t="s">
        <v>1628</v>
      </c>
      <c r="D452" s="8">
        <v>776.21675060644384</v>
      </c>
      <c r="E452" s="8"/>
      <c r="F452" s="8"/>
      <c r="G452" s="8"/>
      <c r="H452" s="8">
        <v>1041.3926851582248</v>
      </c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>
        <v>1817.6094357646687</v>
      </c>
      <c r="AA452" s="8"/>
      <c r="AB452" s="8"/>
      <c r="AI452">
        <f t="shared" si="21"/>
        <v>445</v>
      </c>
      <c r="AJ452" s="27" t="s">
        <v>1628</v>
      </c>
      <c r="AK452" s="8">
        <v>1817.6094357646687</v>
      </c>
      <c r="AM452">
        <f t="shared" si="22"/>
        <v>445</v>
      </c>
      <c r="AN452" s="27" t="s">
        <v>1295</v>
      </c>
      <c r="AO452" s="8">
        <v>2</v>
      </c>
      <c r="AR452" s="27" t="s">
        <v>464</v>
      </c>
      <c r="AS452" s="21">
        <v>754</v>
      </c>
    </row>
    <row r="453" spans="2:45" x14ac:dyDescent="0.35">
      <c r="B453">
        <f t="shared" si="20"/>
        <v>446</v>
      </c>
      <c r="C453" s="27" t="s">
        <v>369</v>
      </c>
      <c r="D453" s="8"/>
      <c r="E453" s="8"/>
      <c r="F453" s="8"/>
      <c r="G453" s="8"/>
      <c r="H453" s="8"/>
      <c r="I453" s="8"/>
      <c r="J453" s="8"/>
      <c r="K453" s="8"/>
      <c r="L453" s="8"/>
      <c r="M453" s="8">
        <v>1380.2112417116061</v>
      </c>
      <c r="N453" s="8">
        <v>434.61585986548806</v>
      </c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>
        <v>1814.8271015770943</v>
      </c>
      <c r="AA453" s="8"/>
      <c r="AB453" s="8"/>
      <c r="AI453">
        <f t="shared" si="21"/>
        <v>446</v>
      </c>
      <c r="AJ453" s="27" t="s">
        <v>369</v>
      </c>
      <c r="AK453" s="8">
        <v>1814.8271015770943</v>
      </c>
      <c r="AM453">
        <f t="shared" si="22"/>
        <v>446</v>
      </c>
      <c r="AN453" s="27" t="s">
        <v>1332</v>
      </c>
      <c r="AO453" s="8">
        <v>2</v>
      </c>
      <c r="AR453" s="27" t="s">
        <v>651</v>
      </c>
      <c r="AS453" s="21">
        <v>750</v>
      </c>
    </row>
    <row r="454" spans="2:45" x14ac:dyDescent="0.35">
      <c r="B454">
        <f t="shared" si="20"/>
        <v>447</v>
      </c>
      <c r="C454" s="27" t="s">
        <v>1373</v>
      </c>
      <c r="D454" s="8">
        <v>1811.5750058705935</v>
      </c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>
        <v>1811.5750058705935</v>
      </c>
      <c r="AA454" s="8"/>
      <c r="AB454" s="8"/>
      <c r="AI454">
        <f t="shared" si="21"/>
        <v>447</v>
      </c>
      <c r="AJ454" s="27" t="s">
        <v>1373</v>
      </c>
      <c r="AK454" s="8">
        <v>1811.5750058705935</v>
      </c>
      <c r="AM454">
        <f t="shared" si="22"/>
        <v>447</v>
      </c>
      <c r="AN454" s="27" t="s">
        <v>632</v>
      </c>
      <c r="AO454" s="8">
        <v>2</v>
      </c>
      <c r="AR454" s="27" t="s">
        <v>1007</v>
      </c>
      <c r="AS454" s="21">
        <v>750</v>
      </c>
    </row>
    <row r="455" spans="2:45" x14ac:dyDescent="0.35">
      <c r="B455">
        <f t="shared" si="20"/>
        <v>448</v>
      </c>
      <c r="C455" s="27" t="s">
        <v>763</v>
      </c>
      <c r="D455" s="8">
        <v>868.30167974440337</v>
      </c>
      <c r="E455" s="8"/>
      <c r="F455" s="8"/>
      <c r="G455" s="8"/>
      <c r="H455" s="8"/>
      <c r="I455" s="8">
        <v>942.961499029636</v>
      </c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>
        <v>1811.2631787740393</v>
      </c>
      <c r="AA455" s="8"/>
      <c r="AB455" s="8"/>
      <c r="AI455">
        <f t="shared" si="21"/>
        <v>448</v>
      </c>
      <c r="AJ455" s="27" t="s">
        <v>763</v>
      </c>
      <c r="AK455" s="8">
        <v>1811.2631787740393</v>
      </c>
      <c r="AM455">
        <f t="shared" si="22"/>
        <v>448</v>
      </c>
      <c r="AN455" s="27" t="s">
        <v>1555</v>
      </c>
      <c r="AO455" s="8">
        <v>2</v>
      </c>
      <c r="AR455" s="27" t="s">
        <v>788</v>
      </c>
      <c r="AS455" s="21">
        <v>748</v>
      </c>
    </row>
    <row r="456" spans="2:45" x14ac:dyDescent="0.35">
      <c r="B456">
        <f t="shared" si="20"/>
        <v>449</v>
      </c>
      <c r="C456" s="27" t="s">
        <v>1629</v>
      </c>
      <c r="D456" s="8"/>
      <c r="E456" s="8"/>
      <c r="F456" s="8">
        <v>1799.3405494535816</v>
      </c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>
        <v>1799.3405494535816</v>
      </c>
      <c r="AA456" s="8"/>
      <c r="AB456" s="8"/>
      <c r="AI456">
        <f t="shared" si="21"/>
        <v>449</v>
      </c>
      <c r="AJ456" s="27" t="s">
        <v>1629</v>
      </c>
      <c r="AK456" s="8">
        <v>1799.3405494535816</v>
      </c>
      <c r="AM456">
        <f t="shared" si="22"/>
        <v>449</v>
      </c>
      <c r="AN456" s="27" t="s">
        <v>1255</v>
      </c>
      <c r="AO456" s="8">
        <v>2</v>
      </c>
      <c r="AR456" s="27" t="s">
        <v>1046</v>
      </c>
      <c r="AS456" s="21">
        <v>748</v>
      </c>
    </row>
    <row r="457" spans="2:45" x14ac:dyDescent="0.35">
      <c r="B457">
        <f t="shared" si="20"/>
        <v>450</v>
      </c>
      <c r="C457" s="27" t="s">
        <v>1314</v>
      </c>
      <c r="D457" s="8">
        <v>1778.1512503836436</v>
      </c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>
        <v>1778.1512503836436</v>
      </c>
      <c r="AA457" s="8"/>
      <c r="AB457" s="8"/>
      <c r="AI457">
        <f t="shared" si="21"/>
        <v>450</v>
      </c>
      <c r="AJ457" s="27" t="s">
        <v>1314</v>
      </c>
      <c r="AK457" s="8">
        <v>1778.1512503836436</v>
      </c>
      <c r="AM457">
        <f t="shared" si="22"/>
        <v>450</v>
      </c>
      <c r="AN457" s="27" t="s">
        <v>1630</v>
      </c>
      <c r="AO457" s="8">
        <v>2</v>
      </c>
      <c r="AR457" t="s">
        <v>2371</v>
      </c>
      <c r="AS457" s="21">
        <v>745</v>
      </c>
    </row>
    <row r="458" spans="2:45" x14ac:dyDescent="0.35">
      <c r="B458">
        <f t="shared" ref="B458:B521" si="23">B457+1</f>
        <v>451</v>
      </c>
      <c r="C458" s="27" t="s">
        <v>669</v>
      </c>
      <c r="D458" s="8"/>
      <c r="E458" s="8"/>
      <c r="F458" s="8"/>
      <c r="G458" s="8"/>
      <c r="H458" s="8"/>
      <c r="I458" s="8"/>
      <c r="J458" s="8">
        <v>1778.1512503836434</v>
      </c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>
        <v>1778.1512503836434</v>
      </c>
      <c r="AA458" s="8"/>
      <c r="AB458" s="8"/>
      <c r="AI458">
        <f t="shared" ref="AI458:AI521" si="24">AI457+1</f>
        <v>451</v>
      </c>
      <c r="AJ458" s="27" t="s">
        <v>669</v>
      </c>
      <c r="AK458" s="8">
        <v>1778.1512503836434</v>
      </c>
      <c r="AM458">
        <f t="shared" ref="AM458:AM521" si="25">AM457+1</f>
        <v>451</v>
      </c>
      <c r="AN458" s="27" t="s">
        <v>879</v>
      </c>
      <c r="AO458" s="8">
        <v>2</v>
      </c>
      <c r="AR458" s="27" t="s">
        <v>655</v>
      </c>
      <c r="AS458" s="21">
        <v>743</v>
      </c>
    </row>
    <row r="459" spans="2:45" x14ac:dyDescent="0.35">
      <c r="B459">
        <f t="shared" si="23"/>
        <v>452</v>
      </c>
      <c r="C459" s="27" t="s">
        <v>1630</v>
      </c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>
        <v>943.38458185111654</v>
      </c>
      <c r="O459" s="8">
        <v>834.63260633609184</v>
      </c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>
        <v>1778.0171881872084</v>
      </c>
      <c r="AA459" s="8"/>
      <c r="AB459" s="8"/>
      <c r="AI459">
        <f t="shared" si="24"/>
        <v>452</v>
      </c>
      <c r="AJ459" s="27" t="s">
        <v>1630</v>
      </c>
      <c r="AK459" s="8">
        <v>1778.0171881872084</v>
      </c>
      <c r="AM459">
        <f t="shared" si="25"/>
        <v>452</v>
      </c>
      <c r="AN459" s="27" t="s">
        <v>430</v>
      </c>
      <c r="AO459" s="8">
        <v>2</v>
      </c>
      <c r="AR459" t="s">
        <v>2642</v>
      </c>
      <c r="AS459" s="21">
        <v>739</v>
      </c>
    </row>
    <row r="460" spans="2:45" x14ac:dyDescent="0.35">
      <c r="B460">
        <f t="shared" si="23"/>
        <v>453</v>
      </c>
      <c r="C460" s="27" t="s">
        <v>856</v>
      </c>
      <c r="D460" s="8"/>
      <c r="E460" s="8"/>
      <c r="F460" s="8"/>
      <c r="G460" s="8"/>
      <c r="H460" s="8">
        <v>1770.8520116421441</v>
      </c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>
        <v>1770.8520116421441</v>
      </c>
      <c r="AA460" s="8"/>
      <c r="AB460" s="8"/>
      <c r="AI460">
        <f t="shared" si="24"/>
        <v>453</v>
      </c>
      <c r="AJ460" s="27" t="s">
        <v>856</v>
      </c>
      <c r="AK460" s="8">
        <v>1770.8520116421441</v>
      </c>
      <c r="AM460">
        <f t="shared" si="25"/>
        <v>453</v>
      </c>
      <c r="AN460" s="27" t="s">
        <v>1546</v>
      </c>
      <c r="AO460" s="8">
        <v>2</v>
      </c>
      <c r="AR460" t="s">
        <v>2617</v>
      </c>
      <c r="AS460" s="21">
        <v>738</v>
      </c>
    </row>
    <row r="461" spans="2:45" x14ac:dyDescent="0.35">
      <c r="B461">
        <f t="shared" si="23"/>
        <v>454</v>
      </c>
      <c r="C461" t="s">
        <v>2636</v>
      </c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>
        <v>1763.4279935629374</v>
      </c>
      <c r="Y461" s="8"/>
      <c r="Z461" s="8">
        <v>1763.4279935629374</v>
      </c>
      <c r="AA461" s="8"/>
      <c r="AB461" s="8"/>
      <c r="AI461">
        <f t="shared" si="24"/>
        <v>454</v>
      </c>
      <c r="AJ461" t="s">
        <v>2636</v>
      </c>
      <c r="AK461" s="8">
        <v>1763.4279935629374</v>
      </c>
      <c r="AM461">
        <f t="shared" si="25"/>
        <v>454</v>
      </c>
      <c r="AN461" s="27" t="s">
        <v>2339</v>
      </c>
      <c r="AO461" s="8">
        <v>2</v>
      </c>
      <c r="AR461" s="27" t="s">
        <v>720</v>
      </c>
      <c r="AS461" s="21">
        <v>735</v>
      </c>
    </row>
    <row r="462" spans="2:45" x14ac:dyDescent="0.35">
      <c r="B462">
        <f t="shared" si="23"/>
        <v>455</v>
      </c>
      <c r="C462" s="27" t="s">
        <v>1565</v>
      </c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>
        <v>1759.6678446896306</v>
      </c>
      <c r="Q462" s="8"/>
      <c r="R462" s="8"/>
      <c r="S462" s="8"/>
      <c r="T462" s="8"/>
      <c r="U462" s="8"/>
      <c r="V462" s="8"/>
      <c r="W462" s="8"/>
      <c r="X462" s="8"/>
      <c r="Y462" s="8"/>
      <c r="Z462" s="8">
        <v>1759.6678446896306</v>
      </c>
      <c r="AA462" s="8"/>
      <c r="AB462" s="8"/>
      <c r="AI462">
        <f t="shared" si="24"/>
        <v>455</v>
      </c>
      <c r="AJ462" s="27" t="s">
        <v>1565</v>
      </c>
      <c r="AK462" s="8">
        <v>1759.6678446896306</v>
      </c>
      <c r="AM462">
        <f t="shared" si="25"/>
        <v>455</v>
      </c>
      <c r="AN462" s="27" t="s">
        <v>1007</v>
      </c>
      <c r="AO462" s="8">
        <v>2</v>
      </c>
      <c r="AR462" t="s">
        <v>2699</v>
      </c>
      <c r="AS462" s="21">
        <v>733</v>
      </c>
    </row>
    <row r="463" spans="2:45" x14ac:dyDescent="0.35">
      <c r="B463">
        <f t="shared" si="23"/>
        <v>456</v>
      </c>
      <c r="C463" t="s">
        <v>2455</v>
      </c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>
        <v>1755.8748556724915</v>
      </c>
      <c r="U463" s="8"/>
      <c r="V463" s="8"/>
      <c r="W463" s="8"/>
      <c r="X463" s="8"/>
      <c r="Y463" s="8"/>
      <c r="Z463" s="8">
        <v>1755.8748556724915</v>
      </c>
      <c r="AA463" s="8"/>
      <c r="AB463" s="8"/>
      <c r="AI463">
        <f t="shared" si="24"/>
        <v>456</v>
      </c>
      <c r="AJ463" t="s">
        <v>2455</v>
      </c>
      <c r="AK463" s="8">
        <v>1755.8748556724915</v>
      </c>
      <c r="AM463">
        <f t="shared" si="25"/>
        <v>456</v>
      </c>
      <c r="AN463" s="27" t="s">
        <v>683</v>
      </c>
      <c r="AO463" s="8">
        <v>2</v>
      </c>
      <c r="AR463" s="27" t="s">
        <v>936</v>
      </c>
      <c r="AS463" s="21">
        <v>733</v>
      </c>
    </row>
    <row r="464" spans="2:45" x14ac:dyDescent="0.35">
      <c r="B464">
        <f t="shared" si="23"/>
        <v>457</v>
      </c>
      <c r="C464" s="27" t="s">
        <v>1631</v>
      </c>
      <c r="D464" s="8">
        <v>851.93746454456243</v>
      </c>
      <c r="E464" s="8">
        <v>903.08998699194353</v>
      </c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>
        <v>1755.0274515365059</v>
      </c>
      <c r="AA464" s="8"/>
      <c r="AB464" s="8"/>
      <c r="AI464">
        <f t="shared" si="24"/>
        <v>457</v>
      </c>
      <c r="AJ464" s="27" t="s">
        <v>1631</v>
      </c>
      <c r="AK464" s="8">
        <v>1755.0274515365059</v>
      </c>
      <c r="AM464">
        <f t="shared" si="25"/>
        <v>457</v>
      </c>
      <c r="AN464" s="27" t="s">
        <v>1554</v>
      </c>
      <c r="AO464" s="8">
        <v>2</v>
      </c>
      <c r="AR464" t="s">
        <v>2416</v>
      </c>
      <c r="AS464" s="21">
        <v>729</v>
      </c>
    </row>
    <row r="465" spans="2:45" x14ac:dyDescent="0.35">
      <c r="B465">
        <f t="shared" si="23"/>
        <v>458</v>
      </c>
      <c r="C465" s="27" t="s">
        <v>1566</v>
      </c>
      <c r="D465" s="8"/>
      <c r="E465" s="8">
        <v>1017.0333392987802</v>
      </c>
      <c r="F465" s="8"/>
      <c r="G465" s="8"/>
      <c r="H465" s="8">
        <v>736.75856522541847</v>
      </c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>
        <v>1753.7919045241988</v>
      </c>
      <c r="AA465" s="8"/>
      <c r="AB465" s="8"/>
      <c r="AI465">
        <f t="shared" si="24"/>
        <v>458</v>
      </c>
      <c r="AJ465" s="27" t="s">
        <v>1566</v>
      </c>
      <c r="AK465" s="8">
        <v>1753.7919045241988</v>
      </c>
      <c r="AM465">
        <f t="shared" si="25"/>
        <v>458</v>
      </c>
      <c r="AN465" s="27" t="s">
        <v>1310</v>
      </c>
      <c r="AO465" s="8">
        <v>2</v>
      </c>
      <c r="AR465" t="s">
        <v>2585</v>
      </c>
      <c r="AS465" s="21">
        <v>725</v>
      </c>
    </row>
    <row r="466" spans="2:45" x14ac:dyDescent="0.35">
      <c r="B466">
        <f t="shared" si="23"/>
        <v>459</v>
      </c>
      <c r="C466" s="27" t="s">
        <v>1602</v>
      </c>
      <c r="D466" s="8"/>
      <c r="E466" s="8"/>
      <c r="F466" s="8"/>
      <c r="G466" s="8"/>
      <c r="H466" s="8"/>
      <c r="I466" s="8"/>
      <c r="J466" s="8">
        <v>954.24250943932486</v>
      </c>
      <c r="K466" s="8"/>
      <c r="L466" s="8"/>
      <c r="M466" s="8"/>
      <c r="N466" s="8"/>
      <c r="O466" s="8">
        <v>798.35463647193058</v>
      </c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>
        <v>1752.5971459112554</v>
      </c>
      <c r="AA466" s="8"/>
      <c r="AB466" s="8"/>
      <c r="AI466">
        <f t="shared" si="24"/>
        <v>459</v>
      </c>
      <c r="AJ466" s="27" t="s">
        <v>1602</v>
      </c>
      <c r="AK466" s="8">
        <v>1752.5971459112554</v>
      </c>
      <c r="AM466">
        <f t="shared" si="25"/>
        <v>459</v>
      </c>
      <c r="AN466" s="27" t="s">
        <v>626</v>
      </c>
      <c r="AO466" s="8">
        <v>2</v>
      </c>
      <c r="AR466" t="s">
        <v>2619</v>
      </c>
      <c r="AS466" s="21">
        <v>722</v>
      </c>
    </row>
    <row r="467" spans="2:45" x14ac:dyDescent="0.35">
      <c r="B467">
        <f t="shared" si="23"/>
        <v>460</v>
      </c>
      <c r="C467" s="27" t="s">
        <v>1671</v>
      </c>
      <c r="D467" s="8"/>
      <c r="E467" s="8"/>
      <c r="F467" s="8"/>
      <c r="G467" s="8"/>
      <c r="H467" s="8"/>
      <c r="I467" s="8">
        <v>942.00805302231333</v>
      </c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>
        <v>806.17997398388718</v>
      </c>
      <c r="X467" s="8"/>
      <c r="Y467" s="8"/>
      <c r="Z467" s="8">
        <v>1748.1880270062006</v>
      </c>
      <c r="AA467" s="8"/>
      <c r="AB467" s="8"/>
      <c r="AI467">
        <f t="shared" si="24"/>
        <v>460</v>
      </c>
      <c r="AJ467" s="27" t="s">
        <v>1671</v>
      </c>
      <c r="AK467" s="8">
        <v>1748.1880270062006</v>
      </c>
      <c r="AM467">
        <f t="shared" si="25"/>
        <v>460</v>
      </c>
      <c r="AN467" s="27" t="s">
        <v>1591</v>
      </c>
      <c r="AO467" s="8">
        <v>2</v>
      </c>
      <c r="AR467" s="27" t="s">
        <v>565</v>
      </c>
      <c r="AS467" s="21">
        <v>720</v>
      </c>
    </row>
    <row r="468" spans="2:45" x14ac:dyDescent="0.35">
      <c r="B468">
        <f t="shared" si="23"/>
        <v>461</v>
      </c>
      <c r="C468" s="27" t="s">
        <v>1321</v>
      </c>
      <c r="D468" s="8">
        <v>1740.3626894942438</v>
      </c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>
        <v>1740.3626894942438</v>
      </c>
      <c r="AA468" s="8"/>
      <c r="AB468" s="8"/>
      <c r="AI468">
        <f t="shared" si="24"/>
        <v>461</v>
      </c>
      <c r="AJ468" s="27" t="s">
        <v>1321</v>
      </c>
      <c r="AK468" s="8">
        <v>1740.3626894942438</v>
      </c>
      <c r="AM468">
        <f t="shared" si="25"/>
        <v>461</v>
      </c>
      <c r="AN468" s="27" t="s">
        <v>261</v>
      </c>
      <c r="AO468" s="8">
        <v>2</v>
      </c>
      <c r="AR468" t="s">
        <v>2546</v>
      </c>
      <c r="AS468" s="21">
        <v>714</v>
      </c>
    </row>
    <row r="469" spans="2:45" x14ac:dyDescent="0.35">
      <c r="B469">
        <f t="shared" si="23"/>
        <v>462</v>
      </c>
      <c r="C469" s="27" t="s">
        <v>497</v>
      </c>
      <c r="D469" s="8"/>
      <c r="E469" s="8"/>
      <c r="F469" s="8"/>
      <c r="G469" s="8"/>
      <c r="H469" s="8"/>
      <c r="I469" s="8"/>
      <c r="J469" s="8"/>
      <c r="K469" s="8"/>
      <c r="L469" s="8">
        <v>1740.3626894942436</v>
      </c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>
        <v>1740.3626894942436</v>
      </c>
      <c r="AA469" s="8"/>
      <c r="AB469" s="8"/>
      <c r="AI469">
        <f t="shared" si="24"/>
        <v>462</v>
      </c>
      <c r="AJ469" s="27" t="s">
        <v>497</v>
      </c>
      <c r="AK469" s="8">
        <v>1740.3626894942436</v>
      </c>
      <c r="AM469">
        <f t="shared" si="25"/>
        <v>462</v>
      </c>
      <c r="AN469" s="27" t="s">
        <v>790</v>
      </c>
      <c r="AO469" s="8">
        <v>2</v>
      </c>
      <c r="AR469" s="27" t="s">
        <v>726</v>
      </c>
      <c r="AS469" s="21">
        <v>710</v>
      </c>
    </row>
    <row r="470" spans="2:45" x14ac:dyDescent="0.35">
      <c r="B470">
        <f t="shared" si="23"/>
        <v>463</v>
      </c>
      <c r="C470" s="27" t="s">
        <v>430</v>
      </c>
      <c r="D470" s="8"/>
      <c r="E470" s="8"/>
      <c r="F470" s="8"/>
      <c r="G470" s="8"/>
      <c r="H470" s="8">
        <v>868.32788073273161</v>
      </c>
      <c r="I470" s="8"/>
      <c r="J470" s="8"/>
      <c r="K470" s="8"/>
      <c r="L470" s="8">
        <v>868.32788073273161</v>
      </c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>
        <v>1736.6557614654632</v>
      </c>
      <c r="AA470" s="8"/>
      <c r="AB470" s="8"/>
      <c r="AI470">
        <f t="shared" si="24"/>
        <v>463</v>
      </c>
      <c r="AJ470" s="27" t="s">
        <v>430</v>
      </c>
      <c r="AK470" s="8">
        <v>1736.6557614654632</v>
      </c>
      <c r="AM470">
        <f t="shared" si="25"/>
        <v>463</v>
      </c>
      <c r="AN470" s="27" t="s">
        <v>754</v>
      </c>
      <c r="AO470" s="8">
        <v>2</v>
      </c>
      <c r="AR470" s="27" t="s">
        <v>481</v>
      </c>
      <c r="AS470" s="21">
        <v>710</v>
      </c>
    </row>
    <row r="471" spans="2:45" x14ac:dyDescent="0.35">
      <c r="B471">
        <f t="shared" si="23"/>
        <v>464</v>
      </c>
      <c r="C471" t="s">
        <v>2701</v>
      </c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>
        <v>1732.3937598229686</v>
      </c>
      <c r="Z471" s="8">
        <v>1732.3937598229686</v>
      </c>
      <c r="AA471" s="8"/>
      <c r="AB471" s="8"/>
      <c r="AI471">
        <f t="shared" si="24"/>
        <v>464</v>
      </c>
      <c r="AJ471" t="s">
        <v>2701</v>
      </c>
      <c r="AK471" s="8">
        <v>1732.3937598229686</v>
      </c>
      <c r="AM471">
        <f t="shared" si="25"/>
        <v>464</v>
      </c>
      <c r="AN471" s="27" t="s">
        <v>1324</v>
      </c>
      <c r="AO471" s="8">
        <v>2</v>
      </c>
      <c r="AR471" t="s">
        <v>2389</v>
      </c>
      <c r="AS471" s="21">
        <v>709</v>
      </c>
    </row>
    <row r="472" spans="2:45" x14ac:dyDescent="0.35">
      <c r="B472">
        <f t="shared" si="23"/>
        <v>465</v>
      </c>
      <c r="C472" s="27" t="s">
        <v>1632</v>
      </c>
      <c r="D472" s="8"/>
      <c r="E472" s="8"/>
      <c r="F472" s="8"/>
      <c r="G472" s="8">
        <v>1732.3937598229686</v>
      </c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>
        <v>1732.3937598229686</v>
      </c>
      <c r="AA472" s="8"/>
      <c r="AB472" s="8"/>
      <c r="AI472">
        <f t="shared" si="24"/>
        <v>465</v>
      </c>
      <c r="AJ472" s="27" t="s">
        <v>1632</v>
      </c>
      <c r="AK472" s="8">
        <v>1732.3937598229686</v>
      </c>
      <c r="AM472">
        <f t="shared" si="25"/>
        <v>465</v>
      </c>
      <c r="AN472" s="27" t="s">
        <v>1626</v>
      </c>
      <c r="AO472" s="8">
        <v>2</v>
      </c>
      <c r="AR472" s="27" t="s">
        <v>957</v>
      </c>
      <c r="AS472" s="21">
        <v>709</v>
      </c>
    </row>
    <row r="473" spans="2:45" x14ac:dyDescent="0.35">
      <c r="B473">
        <f t="shared" si="23"/>
        <v>466</v>
      </c>
      <c r="C473" s="27" t="s">
        <v>1567</v>
      </c>
      <c r="D473" s="8"/>
      <c r="E473" s="8"/>
      <c r="F473" s="8"/>
      <c r="G473" s="8">
        <v>1732.3937598229684</v>
      </c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>
        <v>1732.3937598229684</v>
      </c>
      <c r="AA473" s="8"/>
      <c r="AB473" s="8"/>
      <c r="AI473">
        <f t="shared" si="24"/>
        <v>466</v>
      </c>
      <c r="AJ473" s="27" t="s">
        <v>1567</v>
      </c>
      <c r="AK473" s="8">
        <v>1732.3937598229684</v>
      </c>
      <c r="AM473">
        <f t="shared" si="25"/>
        <v>466</v>
      </c>
      <c r="AN473" s="27" t="s">
        <v>1249</v>
      </c>
      <c r="AO473" s="8">
        <v>2</v>
      </c>
      <c r="AR473" s="27" t="s">
        <v>575</v>
      </c>
      <c r="AS473" s="21">
        <v>708</v>
      </c>
    </row>
    <row r="474" spans="2:45" x14ac:dyDescent="0.35">
      <c r="B474">
        <f t="shared" si="23"/>
        <v>467</v>
      </c>
      <c r="C474" t="s">
        <v>2294</v>
      </c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>
        <v>1724.2758696007888</v>
      </c>
      <c r="R474" s="8"/>
      <c r="S474" s="8"/>
      <c r="T474" s="8"/>
      <c r="U474" s="8"/>
      <c r="V474" s="8"/>
      <c r="W474" s="8"/>
      <c r="X474" s="8"/>
      <c r="Y474" s="8"/>
      <c r="Z474" s="8">
        <v>1724.2758696007888</v>
      </c>
      <c r="AA474" s="8"/>
      <c r="AB474" s="8"/>
      <c r="AI474">
        <f t="shared" si="24"/>
        <v>467</v>
      </c>
      <c r="AJ474" t="s">
        <v>2294</v>
      </c>
      <c r="AK474" s="8">
        <v>1724.2758696007888</v>
      </c>
      <c r="AM474">
        <f t="shared" si="25"/>
        <v>467</v>
      </c>
      <c r="AN474" s="27" t="s">
        <v>708</v>
      </c>
      <c r="AO474" s="8">
        <v>2</v>
      </c>
      <c r="AR474" t="s">
        <v>2678</v>
      </c>
      <c r="AS474" s="21">
        <v>706</v>
      </c>
    </row>
    <row r="475" spans="2:45" x14ac:dyDescent="0.35">
      <c r="B475">
        <f t="shared" si="23"/>
        <v>468</v>
      </c>
      <c r="C475" t="s">
        <v>2554</v>
      </c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>
        <v>653.21251377534372</v>
      </c>
      <c r="W475" s="8"/>
      <c r="X475" s="8"/>
      <c r="Y475" s="8">
        <v>1070.0378666077549</v>
      </c>
      <c r="Z475" s="8">
        <v>1723.2503803830987</v>
      </c>
      <c r="AA475" s="8"/>
      <c r="AB475" s="8"/>
      <c r="AI475">
        <f t="shared" si="24"/>
        <v>468</v>
      </c>
      <c r="AJ475" t="s">
        <v>2554</v>
      </c>
      <c r="AK475" s="8">
        <v>1723.2503803830987</v>
      </c>
      <c r="AM475">
        <f t="shared" si="25"/>
        <v>468</v>
      </c>
      <c r="AN475" s="27" t="s">
        <v>575</v>
      </c>
      <c r="AO475" s="8">
        <v>2</v>
      </c>
      <c r="AR475" s="27" t="s">
        <v>1497</v>
      </c>
      <c r="AS475" s="21">
        <v>700</v>
      </c>
    </row>
    <row r="476" spans="2:45" x14ac:dyDescent="0.35">
      <c r="B476">
        <f t="shared" si="23"/>
        <v>469</v>
      </c>
      <c r="C476" t="s">
        <v>2340</v>
      </c>
      <c r="D476" s="8"/>
      <c r="E476" s="8"/>
      <c r="F476" s="8"/>
      <c r="G476" s="8"/>
      <c r="H476" s="8"/>
      <c r="I476" s="8"/>
      <c r="J476" s="8"/>
      <c r="K476" s="8"/>
      <c r="L476" s="8"/>
      <c r="M476" s="8">
        <v>1721.5358322347602</v>
      </c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>
        <v>1721.5358322347602</v>
      </c>
      <c r="AA476" s="8"/>
      <c r="AB476" s="8"/>
      <c r="AI476">
        <f t="shared" si="24"/>
        <v>469</v>
      </c>
      <c r="AJ476" t="s">
        <v>2340</v>
      </c>
      <c r="AK476" s="8">
        <v>1721.5358322347602</v>
      </c>
      <c r="AM476">
        <f t="shared" si="25"/>
        <v>469</v>
      </c>
      <c r="AN476" s="27" t="s">
        <v>1559</v>
      </c>
      <c r="AO476" s="8">
        <v>2</v>
      </c>
      <c r="AR476" s="27" t="s">
        <v>1636</v>
      </c>
      <c r="AS476" s="21">
        <v>699</v>
      </c>
    </row>
    <row r="477" spans="2:45" x14ac:dyDescent="0.35">
      <c r="B477">
        <f t="shared" si="23"/>
        <v>470</v>
      </c>
      <c r="C477" s="27" t="s">
        <v>1591</v>
      </c>
      <c r="D477" s="8">
        <v>1720.7497786592612</v>
      </c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>
        <v>1720.7497786592612</v>
      </c>
      <c r="AA477" s="8"/>
      <c r="AB477" s="8"/>
      <c r="AI477">
        <f t="shared" si="24"/>
        <v>470</v>
      </c>
      <c r="AJ477" s="27" t="s">
        <v>1591</v>
      </c>
      <c r="AK477" s="8">
        <v>1720.7497786592612</v>
      </c>
      <c r="AM477">
        <f t="shared" si="25"/>
        <v>470</v>
      </c>
      <c r="AN477" s="27" t="s">
        <v>936</v>
      </c>
      <c r="AO477" s="8">
        <v>2</v>
      </c>
      <c r="AR477" s="27" t="s">
        <v>1001</v>
      </c>
      <c r="AS477" s="21">
        <v>690</v>
      </c>
    </row>
    <row r="478" spans="2:45" x14ac:dyDescent="0.35">
      <c r="B478">
        <f t="shared" si="23"/>
        <v>471</v>
      </c>
      <c r="C478" s="27" t="s">
        <v>1117</v>
      </c>
      <c r="D478" s="8"/>
      <c r="E478" s="8"/>
      <c r="F478" s="8">
        <v>1718.7783976895712</v>
      </c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>
        <v>1718.7783976895712</v>
      </c>
      <c r="AA478" s="8"/>
      <c r="AB478" s="8"/>
      <c r="AI478">
        <f t="shared" si="24"/>
        <v>471</v>
      </c>
      <c r="AJ478" s="27" t="s">
        <v>1117</v>
      </c>
      <c r="AK478" s="8">
        <v>1718.7783976895712</v>
      </c>
      <c r="AM478">
        <f t="shared" si="25"/>
        <v>471</v>
      </c>
      <c r="AN478" s="27" t="s">
        <v>1084</v>
      </c>
      <c r="AO478" s="8">
        <v>2</v>
      </c>
      <c r="AR478" s="27" t="s">
        <v>1132</v>
      </c>
      <c r="AS478" s="21">
        <v>689</v>
      </c>
    </row>
    <row r="479" spans="2:45" x14ac:dyDescent="0.35">
      <c r="B479">
        <f t="shared" si="23"/>
        <v>472</v>
      </c>
      <c r="C479" t="s">
        <v>2464</v>
      </c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>
        <v>1707.5701760979362</v>
      </c>
      <c r="U479" s="8"/>
      <c r="V479" s="8"/>
      <c r="W479" s="8"/>
      <c r="X479" s="8"/>
      <c r="Y479" s="8"/>
      <c r="Z479" s="8">
        <v>1707.5701760979362</v>
      </c>
      <c r="AA479" s="8"/>
      <c r="AB479" s="8"/>
      <c r="AI479">
        <f t="shared" si="24"/>
        <v>472</v>
      </c>
      <c r="AJ479" t="s">
        <v>2464</v>
      </c>
      <c r="AK479" s="8">
        <v>1707.5701760979362</v>
      </c>
      <c r="AM479">
        <f t="shared" si="25"/>
        <v>472</v>
      </c>
      <c r="AN479" s="27" t="s">
        <v>688</v>
      </c>
      <c r="AO479" s="8">
        <v>2</v>
      </c>
      <c r="AR479" s="27" t="s">
        <v>1484</v>
      </c>
      <c r="AS479" s="21">
        <v>684</v>
      </c>
    </row>
    <row r="480" spans="2:45" x14ac:dyDescent="0.35">
      <c r="B480">
        <f t="shared" si="23"/>
        <v>473</v>
      </c>
      <c r="C480" t="s">
        <v>2634</v>
      </c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>
        <v>1707.5701760979362</v>
      </c>
      <c r="Y480" s="8"/>
      <c r="Z480" s="8">
        <v>1707.5701760979362</v>
      </c>
      <c r="AA480" s="8"/>
      <c r="AB480" s="8"/>
      <c r="AI480">
        <f t="shared" si="24"/>
        <v>473</v>
      </c>
      <c r="AJ480" t="s">
        <v>2634</v>
      </c>
      <c r="AK480" s="8">
        <v>1707.5701760979362</v>
      </c>
      <c r="AM480">
        <f t="shared" si="25"/>
        <v>473</v>
      </c>
      <c r="AN480" s="27" t="s">
        <v>1373</v>
      </c>
      <c r="AO480" s="8">
        <v>2</v>
      </c>
      <c r="AR480" t="s">
        <v>2554</v>
      </c>
      <c r="AS480" s="21">
        <v>681</v>
      </c>
    </row>
    <row r="481" spans="2:45" x14ac:dyDescent="0.35">
      <c r="B481">
        <f t="shared" si="23"/>
        <v>474</v>
      </c>
      <c r="C481" t="s">
        <v>2459</v>
      </c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>
        <v>1698.9700043360187</v>
      </c>
      <c r="U481" s="8"/>
      <c r="V481" s="8"/>
      <c r="W481" s="8"/>
      <c r="X481" s="8"/>
      <c r="Y481" s="8"/>
      <c r="Z481" s="8">
        <v>1698.9700043360187</v>
      </c>
      <c r="AA481" s="8"/>
      <c r="AB481" s="8"/>
      <c r="AI481">
        <f t="shared" si="24"/>
        <v>474</v>
      </c>
      <c r="AJ481" t="s">
        <v>2459</v>
      </c>
      <c r="AK481" s="8">
        <v>1698.9700043360187</v>
      </c>
      <c r="AM481">
        <f t="shared" si="25"/>
        <v>474</v>
      </c>
      <c r="AN481" s="27" t="s">
        <v>1478</v>
      </c>
      <c r="AO481" s="8">
        <v>2</v>
      </c>
      <c r="AR481" t="s">
        <v>2535</v>
      </c>
      <c r="AS481" s="21">
        <v>680</v>
      </c>
    </row>
    <row r="482" spans="2:45" x14ac:dyDescent="0.35">
      <c r="B482">
        <f t="shared" si="23"/>
        <v>475</v>
      </c>
      <c r="C482" s="27" t="s">
        <v>1350</v>
      </c>
      <c r="D482" s="8">
        <v>1683.2472200731859</v>
      </c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>
        <v>1683.2472200731859</v>
      </c>
      <c r="AA482" s="8"/>
      <c r="AB482" s="8"/>
      <c r="AI482">
        <f t="shared" si="24"/>
        <v>475</v>
      </c>
      <c r="AJ482" s="27" t="s">
        <v>1350</v>
      </c>
      <c r="AK482" s="8">
        <v>1683.2472200731859</v>
      </c>
      <c r="AM482">
        <f t="shared" si="25"/>
        <v>475</v>
      </c>
      <c r="AN482" s="27" t="s">
        <v>1380</v>
      </c>
      <c r="AO482" s="8">
        <v>2</v>
      </c>
      <c r="AR482" t="s">
        <v>2631</v>
      </c>
      <c r="AS482" s="21">
        <v>680</v>
      </c>
    </row>
    <row r="483" spans="2:45" x14ac:dyDescent="0.35">
      <c r="B483">
        <f t="shared" si="23"/>
        <v>476</v>
      </c>
      <c r="C483" s="27" t="s">
        <v>879</v>
      </c>
      <c r="D483" s="8">
        <v>815.47557340745595</v>
      </c>
      <c r="E483" s="8"/>
      <c r="F483" s="8"/>
      <c r="G483" s="8"/>
      <c r="H483" s="8">
        <v>867.76202465020071</v>
      </c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>
        <v>1683.2375980576567</v>
      </c>
      <c r="AA483" s="8"/>
      <c r="AB483" s="8"/>
      <c r="AI483">
        <f t="shared" si="24"/>
        <v>476</v>
      </c>
      <c r="AJ483" s="27" t="s">
        <v>879</v>
      </c>
      <c r="AK483" s="8">
        <v>1683.2375980576567</v>
      </c>
      <c r="AM483">
        <f t="shared" si="25"/>
        <v>476</v>
      </c>
      <c r="AN483" s="27" t="s">
        <v>783</v>
      </c>
      <c r="AO483" s="8">
        <v>2</v>
      </c>
      <c r="AR483" t="s">
        <v>2679</v>
      </c>
      <c r="AS483" s="21">
        <v>676</v>
      </c>
    </row>
    <row r="484" spans="2:45" x14ac:dyDescent="0.35">
      <c r="B484">
        <f t="shared" si="23"/>
        <v>477</v>
      </c>
      <c r="C484" s="27" t="s">
        <v>886</v>
      </c>
      <c r="D484" s="8"/>
      <c r="E484" s="8"/>
      <c r="F484" s="8"/>
      <c r="G484" s="8"/>
      <c r="H484" s="8">
        <v>1681.2412373755872</v>
      </c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>
        <v>1681.2412373755872</v>
      </c>
      <c r="AA484" s="8"/>
      <c r="AB484" s="8"/>
      <c r="AI484">
        <f t="shared" si="24"/>
        <v>477</v>
      </c>
      <c r="AJ484" s="27" t="s">
        <v>886</v>
      </c>
      <c r="AK484" s="8">
        <v>1681.2412373755872</v>
      </c>
      <c r="AM484">
        <f t="shared" si="25"/>
        <v>477</v>
      </c>
      <c r="AN484" s="27" t="s">
        <v>1623</v>
      </c>
      <c r="AO484" s="8">
        <v>2</v>
      </c>
      <c r="AR484" s="27" t="s">
        <v>912</v>
      </c>
      <c r="AS484" s="21">
        <v>675</v>
      </c>
    </row>
    <row r="485" spans="2:45" x14ac:dyDescent="0.35">
      <c r="B485">
        <f t="shared" si="23"/>
        <v>478</v>
      </c>
      <c r="C485" s="27" t="s">
        <v>1348</v>
      </c>
      <c r="D485" s="8">
        <v>925.15576361851026</v>
      </c>
      <c r="E485" s="8">
        <v>753.32766665861152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>
        <v>1678.4834302771219</v>
      </c>
      <c r="AA485" s="8"/>
      <c r="AB485" s="8"/>
      <c r="AI485">
        <f t="shared" si="24"/>
        <v>478</v>
      </c>
      <c r="AJ485" s="27" t="s">
        <v>1348</v>
      </c>
      <c r="AK485" s="8">
        <v>1678.4834302771219</v>
      </c>
      <c r="AM485">
        <f t="shared" si="25"/>
        <v>478</v>
      </c>
      <c r="AN485" s="27" t="s">
        <v>1242</v>
      </c>
      <c r="AO485" s="8">
        <v>2</v>
      </c>
      <c r="AR485" s="27" t="s">
        <v>1651</v>
      </c>
      <c r="AS485" s="21">
        <v>674</v>
      </c>
    </row>
    <row r="486" spans="2:45" x14ac:dyDescent="0.35">
      <c r="B486">
        <f t="shared" si="23"/>
        <v>479</v>
      </c>
      <c r="C486" s="27" t="s">
        <v>957</v>
      </c>
      <c r="D486" s="8"/>
      <c r="E486" s="8">
        <v>1033.4237554869499</v>
      </c>
      <c r="F486" s="8"/>
      <c r="G486" s="8"/>
      <c r="H486" s="8">
        <v>643.45267648618733</v>
      </c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>
        <v>1676.8764319731372</v>
      </c>
      <c r="AA486" s="8"/>
      <c r="AB486" s="8"/>
      <c r="AI486">
        <f t="shared" si="24"/>
        <v>479</v>
      </c>
      <c r="AJ486" s="27" t="s">
        <v>957</v>
      </c>
      <c r="AK486" s="8">
        <v>1676.8764319731372</v>
      </c>
      <c r="AM486">
        <f t="shared" si="25"/>
        <v>479</v>
      </c>
      <c r="AN486" s="27" t="s">
        <v>369</v>
      </c>
      <c r="AO486" s="8">
        <v>2</v>
      </c>
      <c r="AR486" s="27" t="s">
        <v>1626</v>
      </c>
      <c r="AS486" s="21">
        <v>673</v>
      </c>
    </row>
    <row r="487" spans="2:45" x14ac:dyDescent="0.35">
      <c r="B487">
        <f t="shared" si="23"/>
        <v>480</v>
      </c>
      <c r="C487" s="27" t="s">
        <v>1477</v>
      </c>
      <c r="D487" s="8"/>
      <c r="E487" s="8"/>
      <c r="F487" s="8"/>
      <c r="G487" s="8"/>
      <c r="H487" s="8"/>
      <c r="I487" s="8"/>
      <c r="J487" s="8"/>
      <c r="K487" s="8"/>
      <c r="L487" s="8"/>
      <c r="M487" s="8">
        <v>1672.0978579357172</v>
      </c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>
        <v>1672.0978579357172</v>
      </c>
      <c r="AA487" s="8"/>
      <c r="AB487" s="8"/>
      <c r="AI487">
        <f t="shared" si="24"/>
        <v>480</v>
      </c>
      <c r="AJ487" s="27" t="s">
        <v>1477</v>
      </c>
      <c r="AK487" s="8">
        <v>1672.0978579357172</v>
      </c>
      <c r="AM487">
        <f t="shared" si="25"/>
        <v>480</v>
      </c>
      <c r="AN487" s="27" t="s">
        <v>1671</v>
      </c>
      <c r="AO487" s="8">
        <v>2</v>
      </c>
      <c r="AR487" s="27" t="s">
        <v>1122</v>
      </c>
      <c r="AS487" s="21">
        <v>672</v>
      </c>
    </row>
    <row r="488" spans="2:45" x14ac:dyDescent="0.35">
      <c r="B488">
        <f t="shared" si="23"/>
        <v>481</v>
      </c>
      <c r="C488" s="27" t="s">
        <v>790</v>
      </c>
      <c r="D488" s="8">
        <v>698.97000433601875</v>
      </c>
      <c r="E488" s="8"/>
      <c r="F488" s="8"/>
      <c r="G488" s="8"/>
      <c r="H488" s="8"/>
      <c r="I488" s="8">
        <v>973.12785359969837</v>
      </c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>
        <v>1672.097857935717</v>
      </c>
      <c r="AA488" s="8"/>
      <c r="AB488" s="8"/>
      <c r="AI488">
        <f t="shared" si="24"/>
        <v>481</v>
      </c>
      <c r="AJ488" s="27" t="s">
        <v>790</v>
      </c>
      <c r="AK488" s="8">
        <v>1672.097857935717</v>
      </c>
      <c r="AM488">
        <f t="shared" si="25"/>
        <v>481</v>
      </c>
      <c r="AN488" s="27" t="s">
        <v>1025</v>
      </c>
      <c r="AO488" s="8">
        <v>2</v>
      </c>
      <c r="AR488" s="27" t="s">
        <v>1640</v>
      </c>
      <c r="AS488" s="21">
        <v>670</v>
      </c>
    </row>
    <row r="489" spans="2:45" x14ac:dyDescent="0.35">
      <c r="B489">
        <f t="shared" si="23"/>
        <v>482</v>
      </c>
      <c r="C489" s="27" t="s">
        <v>1414</v>
      </c>
      <c r="D489" s="8">
        <v>1653.2125137753435</v>
      </c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>
        <v>1653.2125137753435</v>
      </c>
      <c r="AA489" s="8"/>
      <c r="AB489" s="8"/>
      <c r="AI489">
        <f t="shared" si="24"/>
        <v>482</v>
      </c>
      <c r="AJ489" s="27" t="s">
        <v>1414</v>
      </c>
      <c r="AK489" s="8">
        <v>1653.2125137753435</v>
      </c>
      <c r="AM489">
        <f t="shared" si="25"/>
        <v>482</v>
      </c>
      <c r="AN489" s="27" t="s">
        <v>2341</v>
      </c>
      <c r="AO489" s="8">
        <v>2</v>
      </c>
      <c r="AR489" s="27" t="s">
        <v>1370</v>
      </c>
      <c r="AS489" s="21">
        <v>669</v>
      </c>
    </row>
    <row r="490" spans="2:45" x14ac:dyDescent="0.35">
      <c r="B490">
        <f t="shared" si="23"/>
        <v>483</v>
      </c>
      <c r="C490" s="27" t="s">
        <v>1677</v>
      </c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>
        <v>778.15125038364363</v>
      </c>
      <c r="Q490" s="8"/>
      <c r="R490" s="8">
        <v>477.12125471966249</v>
      </c>
      <c r="S490" s="8"/>
      <c r="T490" s="8">
        <v>389.07562519182176</v>
      </c>
      <c r="U490" s="8"/>
      <c r="V490" s="8"/>
      <c r="W490" s="8"/>
      <c r="X490" s="8"/>
      <c r="Y490" s="8"/>
      <c r="Z490" s="8">
        <v>1644.3481302951279</v>
      </c>
      <c r="AA490" s="8"/>
      <c r="AB490" s="8"/>
      <c r="AI490">
        <f t="shared" si="24"/>
        <v>483</v>
      </c>
      <c r="AJ490" s="27" t="s">
        <v>1677</v>
      </c>
      <c r="AK490" s="8">
        <v>1644.3481302951279</v>
      </c>
      <c r="AM490">
        <f t="shared" si="25"/>
        <v>483</v>
      </c>
      <c r="AN490" s="27" t="s">
        <v>1627</v>
      </c>
      <c r="AO490" s="8">
        <v>2</v>
      </c>
      <c r="AR490" s="27" t="s">
        <v>572</v>
      </c>
      <c r="AS490" s="21">
        <v>665</v>
      </c>
    </row>
    <row r="491" spans="2:45" x14ac:dyDescent="0.35">
      <c r="B491">
        <f t="shared" si="23"/>
        <v>484</v>
      </c>
      <c r="C491" s="27" t="s">
        <v>1569</v>
      </c>
      <c r="D491" s="8"/>
      <c r="E491" s="8"/>
      <c r="F491" s="8"/>
      <c r="G491" s="8">
        <v>1643.4526764861873</v>
      </c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>
        <v>1643.4526764861873</v>
      </c>
      <c r="AA491" s="8"/>
      <c r="AB491" s="8"/>
      <c r="AI491">
        <f t="shared" si="24"/>
        <v>484</v>
      </c>
      <c r="AJ491" s="27" t="s">
        <v>1569</v>
      </c>
      <c r="AK491" s="8">
        <v>1643.4526764861873</v>
      </c>
      <c r="AM491">
        <f t="shared" si="25"/>
        <v>484</v>
      </c>
      <c r="AN491" s="27" t="s">
        <v>1297</v>
      </c>
      <c r="AO491" s="8">
        <v>2</v>
      </c>
      <c r="AR491" t="s">
        <v>2412</v>
      </c>
      <c r="AS491" s="21">
        <v>662</v>
      </c>
    </row>
    <row r="492" spans="2:45" x14ac:dyDescent="0.35">
      <c r="B492">
        <f t="shared" si="23"/>
        <v>485</v>
      </c>
      <c r="C492" s="27" t="s">
        <v>1084</v>
      </c>
      <c r="D492" s="8"/>
      <c r="E492" s="8"/>
      <c r="F492" s="8">
        <v>1635.6126868063086</v>
      </c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>
        <v>1635.6126868063086</v>
      </c>
      <c r="AA492" s="8"/>
      <c r="AB492" s="8"/>
      <c r="AI492">
        <f t="shared" si="24"/>
        <v>485</v>
      </c>
      <c r="AJ492" s="27" t="s">
        <v>1084</v>
      </c>
      <c r="AK492" s="8">
        <v>1635.6126868063086</v>
      </c>
      <c r="AM492">
        <f t="shared" si="25"/>
        <v>485</v>
      </c>
      <c r="AN492" s="27" t="s">
        <v>1566</v>
      </c>
      <c r="AO492" s="8">
        <v>2</v>
      </c>
      <c r="AR492" s="27" t="s">
        <v>1559</v>
      </c>
      <c r="AS492" s="21">
        <v>660</v>
      </c>
    </row>
    <row r="493" spans="2:45" x14ac:dyDescent="0.35">
      <c r="B493">
        <f t="shared" si="23"/>
        <v>486</v>
      </c>
      <c r="C493" t="s">
        <v>2607</v>
      </c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>
        <v>1628.3889300503115</v>
      </c>
      <c r="Y493" s="8"/>
      <c r="Z493" s="8">
        <v>1628.3889300503115</v>
      </c>
      <c r="AA493" s="8"/>
      <c r="AB493" s="8"/>
      <c r="AI493">
        <f t="shared" si="24"/>
        <v>486</v>
      </c>
      <c r="AJ493" t="s">
        <v>2607</v>
      </c>
      <c r="AK493" s="8">
        <v>1628.3889300503115</v>
      </c>
      <c r="AM493">
        <f t="shared" si="25"/>
        <v>486</v>
      </c>
      <c r="AN493" s="27" t="s">
        <v>345</v>
      </c>
      <c r="AO493" s="8">
        <v>2</v>
      </c>
      <c r="AR493" s="27" t="s">
        <v>671</v>
      </c>
      <c r="AS493" s="21">
        <v>660</v>
      </c>
    </row>
    <row r="494" spans="2:45" x14ac:dyDescent="0.35">
      <c r="B494">
        <f t="shared" si="23"/>
        <v>487</v>
      </c>
      <c r="C494" s="27" t="s">
        <v>1081</v>
      </c>
      <c r="D494" s="8">
        <v>1100.1454458056744</v>
      </c>
      <c r="E494" s="8"/>
      <c r="F494" s="8">
        <v>520.69634257911241</v>
      </c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>
        <v>1620.8417883847869</v>
      </c>
      <c r="AA494" s="8"/>
      <c r="AB494" s="8"/>
      <c r="AI494">
        <f t="shared" si="24"/>
        <v>487</v>
      </c>
      <c r="AJ494" s="27" t="s">
        <v>1081</v>
      </c>
      <c r="AK494" s="8">
        <v>1620.8417883847869</v>
      </c>
      <c r="AM494">
        <f t="shared" si="25"/>
        <v>487</v>
      </c>
      <c r="AN494" s="27" t="s">
        <v>481</v>
      </c>
      <c r="AO494" s="8">
        <v>2</v>
      </c>
      <c r="AR494" s="27" t="s">
        <v>1639</v>
      </c>
      <c r="AS494" s="21">
        <v>650</v>
      </c>
    </row>
    <row r="495" spans="2:45" x14ac:dyDescent="0.35">
      <c r="B495">
        <f t="shared" si="23"/>
        <v>488</v>
      </c>
      <c r="C495" s="27" t="s">
        <v>1633</v>
      </c>
      <c r="D495" s="8"/>
      <c r="E495" s="8"/>
      <c r="F495" s="8">
        <v>1119.4758409067977</v>
      </c>
      <c r="G495" s="8"/>
      <c r="H495" s="8">
        <v>500</v>
      </c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>
        <v>1619.4758409067977</v>
      </c>
      <c r="AA495" s="8"/>
      <c r="AB495" s="8"/>
      <c r="AI495">
        <f t="shared" si="24"/>
        <v>488</v>
      </c>
      <c r="AJ495" s="27" t="s">
        <v>1633</v>
      </c>
      <c r="AK495" s="8">
        <v>1619.4758409067977</v>
      </c>
      <c r="AM495">
        <f t="shared" si="25"/>
        <v>488</v>
      </c>
      <c r="AN495" s="27" t="s">
        <v>743</v>
      </c>
      <c r="AO495" s="8">
        <v>2</v>
      </c>
      <c r="AR495" t="s">
        <v>2647</v>
      </c>
      <c r="AS495" s="21">
        <v>647</v>
      </c>
    </row>
    <row r="496" spans="2:45" x14ac:dyDescent="0.35">
      <c r="B496">
        <f t="shared" si="23"/>
        <v>489</v>
      </c>
      <c r="C496" s="27" t="s">
        <v>1258</v>
      </c>
      <c r="D496" s="8">
        <v>1617.5298805425919</v>
      </c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>
        <v>1617.5298805425919</v>
      </c>
      <c r="AA496" s="8"/>
      <c r="AB496" s="8"/>
      <c r="AI496">
        <f t="shared" si="24"/>
        <v>489</v>
      </c>
      <c r="AJ496" s="27" t="s">
        <v>1258</v>
      </c>
      <c r="AK496" s="8">
        <v>1617.5298805425919</v>
      </c>
      <c r="AM496">
        <f t="shared" si="25"/>
        <v>489</v>
      </c>
      <c r="AN496" s="27" t="s">
        <v>651</v>
      </c>
      <c r="AO496" s="8">
        <v>2</v>
      </c>
      <c r="AR496" s="27" t="s">
        <v>741</v>
      </c>
      <c r="AS496" s="21">
        <v>643</v>
      </c>
    </row>
    <row r="497" spans="2:45" x14ac:dyDescent="0.35">
      <c r="B497">
        <f t="shared" si="23"/>
        <v>490</v>
      </c>
      <c r="C497" s="27" t="s">
        <v>347</v>
      </c>
      <c r="D497" s="8"/>
      <c r="E497" s="8"/>
      <c r="F497" s="8"/>
      <c r="G497" s="8"/>
      <c r="H497" s="8"/>
      <c r="I497" s="8"/>
      <c r="J497" s="8"/>
      <c r="K497" s="8"/>
      <c r="L497" s="8">
        <v>920.81875395237512</v>
      </c>
      <c r="M497" s="8">
        <v>692.23662167705049</v>
      </c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>
        <v>1613.0553756294257</v>
      </c>
      <c r="AA497" s="8"/>
      <c r="AB497" s="8"/>
      <c r="AI497">
        <f t="shared" si="24"/>
        <v>490</v>
      </c>
      <c r="AJ497" s="27" t="s">
        <v>347</v>
      </c>
      <c r="AK497" s="8">
        <v>1613.0553756294257</v>
      </c>
      <c r="AM497">
        <f t="shared" si="25"/>
        <v>490</v>
      </c>
      <c r="AN497" s="27" t="s">
        <v>1661</v>
      </c>
      <c r="AO497" s="8">
        <v>2</v>
      </c>
      <c r="AR497" t="s">
        <v>2376</v>
      </c>
      <c r="AS497" s="21">
        <v>640</v>
      </c>
    </row>
    <row r="498" spans="2:45" x14ac:dyDescent="0.35">
      <c r="B498">
        <f t="shared" si="23"/>
        <v>491</v>
      </c>
      <c r="C498" s="27" t="s">
        <v>730</v>
      </c>
      <c r="D498" s="8"/>
      <c r="E498" s="8"/>
      <c r="F498" s="8"/>
      <c r="G498" s="8"/>
      <c r="H498" s="8"/>
      <c r="I498" s="8">
        <v>1602.0599913279623</v>
      </c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>
        <v>1602.0599913279623</v>
      </c>
      <c r="AA498" s="8"/>
      <c r="AB498" s="8"/>
      <c r="AI498">
        <f t="shared" si="24"/>
        <v>491</v>
      </c>
      <c r="AJ498" s="27" t="s">
        <v>730</v>
      </c>
      <c r="AK498" s="8">
        <v>1602.0599913279623</v>
      </c>
      <c r="AM498">
        <f t="shared" si="25"/>
        <v>491</v>
      </c>
      <c r="AN498" s="27" t="s">
        <v>1261</v>
      </c>
      <c r="AO498" s="8">
        <v>2</v>
      </c>
      <c r="AR498" s="27" t="s">
        <v>778</v>
      </c>
      <c r="AS498" s="21">
        <v>635</v>
      </c>
    </row>
    <row r="499" spans="2:45" x14ac:dyDescent="0.35">
      <c r="B499">
        <f t="shared" si="23"/>
        <v>492</v>
      </c>
      <c r="C499" s="27" t="s">
        <v>1120</v>
      </c>
      <c r="D499" s="8"/>
      <c r="E499" s="8"/>
      <c r="F499" s="8">
        <v>1593.8396610812711</v>
      </c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>
        <v>1593.8396610812711</v>
      </c>
      <c r="AA499" s="8"/>
      <c r="AB499" s="8"/>
      <c r="AI499">
        <f t="shared" si="24"/>
        <v>492</v>
      </c>
      <c r="AJ499" s="27" t="s">
        <v>1120</v>
      </c>
      <c r="AK499" s="8">
        <v>1593.8396610812711</v>
      </c>
      <c r="AM499">
        <f t="shared" si="25"/>
        <v>492</v>
      </c>
      <c r="AN499" s="27" t="s">
        <v>1602</v>
      </c>
      <c r="AO499" s="8">
        <v>2</v>
      </c>
      <c r="AR499" t="s">
        <v>2612</v>
      </c>
      <c r="AS499" s="21">
        <v>630</v>
      </c>
    </row>
    <row r="500" spans="2:45" x14ac:dyDescent="0.35">
      <c r="B500">
        <f t="shared" si="23"/>
        <v>493</v>
      </c>
      <c r="C500" t="s">
        <v>2473</v>
      </c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>
        <v>1591.0646070264991</v>
      </c>
      <c r="U500" s="8"/>
      <c r="V500" s="8"/>
      <c r="W500" s="8"/>
      <c r="X500" s="8"/>
      <c r="Y500" s="8"/>
      <c r="Z500" s="8">
        <v>1591.0646070264991</v>
      </c>
      <c r="AA500" s="8"/>
      <c r="AB500" s="8"/>
      <c r="AI500">
        <f t="shared" si="24"/>
        <v>493</v>
      </c>
      <c r="AJ500" t="s">
        <v>2473</v>
      </c>
      <c r="AK500" s="8">
        <v>1591.0646070264991</v>
      </c>
      <c r="AM500">
        <f t="shared" si="25"/>
        <v>493</v>
      </c>
      <c r="AN500" s="27" t="s">
        <v>1155</v>
      </c>
      <c r="AO500" s="8">
        <v>2</v>
      </c>
      <c r="AR500" s="27" t="s">
        <v>1134</v>
      </c>
      <c r="AS500" s="21">
        <v>624</v>
      </c>
    </row>
    <row r="501" spans="2:45" x14ac:dyDescent="0.35">
      <c r="B501">
        <f t="shared" si="23"/>
        <v>494</v>
      </c>
      <c r="C501" s="27" t="s">
        <v>641</v>
      </c>
      <c r="D501" s="8"/>
      <c r="E501" s="8"/>
      <c r="F501" s="8"/>
      <c r="G501" s="8"/>
      <c r="H501" s="8"/>
      <c r="I501" s="8"/>
      <c r="J501" s="8">
        <v>1571.4379574526624</v>
      </c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>
        <v>1571.4379574526624</v>
      </c>
      <c r="AA501" s="8"/>
      <c r="AB501" s="8"/>
      <c r="AI501">
        <f t="shared" si="24"/>
        <v>494</v>
      </c>
      <c r="AJ501" s="27" t="s">
        <v>641</v>
      </c>
      <c r="AK501" s="8">
        <v>1571.4379574526624</v>
      </c>
      <c r="AM501">
        <f t="shared" si="25"/>
        <v>494</v>
      </c>
      <c r="AN501" s="27" t="s">
        <v>1550</v>
      </c>
      <c r="AO501" s="8">
        <v>2</v>
      </c>
      <c r="AR501" s="27" t="s">
        <v>1494</v>
      </c>
      <c r="AS501" s="21">
        <v>620</v>
      </c>
    </row>
    <row r="502" spans="2:45" x14ac:dyDescent="0.35">
      <c r="B502">
        <f t="shared" si="23"/>
        <v>495</v>
      </c>
      <c r="C502" t="s">
        <v>2675</v>
      </c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>
        <v>1568.201724066995</v>
      </c>
      <c r="Z502" s="8">
        <v>1568.201724066995</v>
      </c>
      <c r="AA502" s="8"/>
      <c r="AB502" s="8"/>
      <c r="AI502">
        <f t="shared" si="24"/>
        <v>495</v>
      </c>
      <c r="AJ502" t="s">
        <v>2675</v>
      </c>
      <c r="AK502" s="8">
        <v>1568.201724066995</v>
      </c>
      <c r="AM502">
        <f t="shared" si="25"/>
        <v>495</v>
      </c>
      <c r="AN502" s="27" t="s">
        <v>1473</v>
      </c>
      <c r="AO502" s="8">
        <v>2</v>
      </c>
      <c r="AR502" t="s">
        <v>2430</v>
      </c>
      <c r="AS502" s="21">
        <v>615</v>
      </c>
    </row>
    <row r="503" spans="2:45" x14ac:dyDescent="0.35">
      <c r="B503">
        <f t="shared" si="23"/>
        <v>496</v>
      </c>
      <c r="C503" s="27" t="s">
        <v>1332</v>
      </c>
      <c r="D503" s="8">
        <v>1565.1479079951914</v>
      </c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>
        <v>1565.1479079951914</v>
      </c>
      <c r="AA503" s="8"/>
      <c r="AB503" s="8"/>
      <c r="AI503">
        <f t="shared" si="24"/>
        <v>496</v>
      </c>
      <c r="AJ503" s="27" t="s">
        <v>1332</v>
      </c>
      <c r="AK503" s="8">
        <v>1565.1479079951914</v>
      </c>
      <c r="AM503">
        <f t="shared" si="25"/>
        <v>496</v>
      </c>
      <c r="AN503" s="27" t="s">
        <v>788</v>
      </c>
      <c r="AO503" s="8">
        <v>2</v>
      </c>
      <c r="AR503" s="27" t="s">
        <v>1031</v>
      </c>
      <c r="AS503" s="21">
        <v>609</v>
      </c>
    </row>
    <row r="504" spans="2:45" x14ac:dyDescent="0.35">
      <c r="B504">
        <f t="shared" si="23"/>
        <v>497</v>
      </c>
      <c r="C504" s="27" t="s">
        <v>1259</v>
      </c>
      <c r="D504" s="8">
        <v>270.84167297464927</v>
      </c>
      <c r="E504" s="8"/>
      <c r="F504" s="8">
        <v>1292.80966541729</v>
      </c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>
        <v>1563.6513383919394</v>
      </c>
      <c r="AA504" s="8"/>
      <c r="AB504" s="8"/>
      <c r="AI504">
        <f t="shared" si="24"/>
        <v>497</v>
      </c>
      <c r="AJ504" s="27" t="s">
        <v>1259</v>
      </c>
      <c r="AK504" s="8">
        <v>1563.6513383919394</v>
      </c>
      <c r="AM504">
        <f t="shared" si="25"/>
        <v>497</v>
      </c>
      <c r="AN504" s="27" t="s">
        <v>1046</v>
      </c>
      <c r="AO504" s="8">
        <v>2</v>
      </c>
      <c r="AR504" s="27" t="s">
        <v>1641</v>
      </c>
      <c r="AS504" s="21">
        <v>603</v>
      </c>
    </row>
    <row r="505" spans="2:45" x14ac:dyDescent="0.35">
      <c r="B505">
        <f t="shared" si="23"/>
        <v>498</v>
      </c>
      <c r="C505" s="27" t="s">
        <v>1572</v>
      </c>
      <c r="D505" s="8"/>
      <c r="E505" s="8">
        <v>1556.3025007672873</v>
      </c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>
        <v>1556.3025007672873</v>
      </c>
      <c r="AA505" s="8"/>
      <c r="AB505" s="8"/>
      <c r="AI505">
        <f t="shared" si="24"/>
        <v>498</v>
      </c>
      <c r="AJ505" s="27" t="s">
        <v>1572</v>
      </c>
      <c r="AK505" s="8">
        <v>1556.3025007672873</v>
      </c>
      <c r="AM505">
        <f t="shared" si="25"/>
        <v>498</v>
      </c>
      <c r="AN505" t="s">
        <v>2290</v>
      </c>
      <c r="AO505" s="8">
        <v>1</v>
      </c>
      <c r="AR505" t="s">
        <v>2380</v>
      </c>
      <c r="AS505" s="21">
        <v>601</v>
      </c>
    </row>
    <row r="506" spans="2:45" x14ac:dyDescent="0.35">
      <c r="B506">
        <f t="shared" si="23"/>
        <v>499</v>
      </c>
      <c r="C506" s="27" t="s">
        <v>615</v>
      </c>
      <c r="D506" s="8"/>
      <c r="E506" s="8"/>
      <c r="F506" s="8"/>
      <c r="G506" s="8"/>
      <c r="H506" s="8"/>
      <c r="I506" s="8"/>
      <c r="J506" s="8"/>
      <c r="K506" s="8">
        <v>1553.8830266438745</v>
      </c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>
        <v>1553.8830266438745</v>
      </c>
      <c r="AA506" s="8"/>
      <c r="AB506" s="8"/>
      <c r="AI506">
        <f t="shared" si="24"/>
        <v>499</v>
      </c>
      <c r="AJ506" s="27" t="s">
        <v>615</v>
      </c>
      <c r="AK506" s="8">
        <v>1553.8830266438745</v>
      </c>
      <c r="AM506">
        <f t="shared" si="25"/>
        <v>499</v>
      </c>
      <c r="AN506" s="27" t="s">
        <v>1525</v>
      </c>
      <c r="AO506" s="8">
        <v>1</v>
      </c>
      <c r="AR506" s="27" t="s">
        <v>1558</v>
      </c>
      <c r="AS506" s="21">
        <v>600</v>
      </c>
    </row>
    <row r="507" spans="2:45" x14ac:dyDescent="0.35">
      <c r="B507">
        <f t="shared" si="23"/>
        <v>500</v>
      </c>
      <c r="C507" s="27" t="s">
        <v>1525</v>
      </c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>
        <v>1547.1591213274171</v>
      </c>
      <c r="Q507" s="8"/>
      <c r="R507" s="8"/>
      <c r="S507" s="8"/>
      <c r="T507" s="8"/>
      <c r="U507" s="8"/>
      <c r="V507" s="8"/>
      <c r="W507" s="8"/>
      <c r="X507" s="8"/>
      <c r="Y507" s="8"/>
      <c r="Z507" s="8">
        <v>1547.1591213274171</v>
      </c>
      <c r="AA507" s="8"/>
      <c r="AB507" s="8"/>
      <c r="AI507">
        <f t="shared" si="24"/>
        <v>500</v>
      </c>
      <c r="AJ507" s="27" t="s">
        <v>1525</v>
      </c>
      <c r="AK507" s="8">
        <v>1547.1591213274171</v>
      </c>
      <c r="AM507">
        <f t="shared" si="25"/>
        <v>500</v>
      </c>
      <c r="AN507" s="27" t="s">
        <v>1353</v>
      </c>
      <c r="AO507" s="8">
        <v>1</v>
      </c>
      <c r="AR507" s="27" t="s">
        <v>1347</v>
      </c>
      <c r="AS507" s="21">
        <v>599</v>
      </c>
    </row>
    <row r="508" spans="2:45" x14ac:dyDescent="0.35">
      <c r="B508">
        <f t="shared" si="23"/>
        <v>501</v>
      </c>
      <c r="C508" t="s">
        <v>2396</v>
      </c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>
        <v>1537.1191843949478</v>
      </c>
      <c r="T508" s="8"/>
      <c r="U508" s="8"/>
      <c r="V508" s="8"/>
      <c r="W508" s="8"/>
      <c r="X508" s="8"/>
      <c r="Y508" s="8"/>
      <c r="Z508" s="8">
        <v>1537.1191843949478</v>
      </c>
      <c r="AA508" s="8"/>
      <c r="AB508" s="8"/>
      <c r="AI508">
        <f t="shared" si="24"/>
        <v>501</v>
      </c>
      <c r="AJ508" t="s">
        <v>2396</v>
      </c>
      <c r="AK508" s="8">
        <v>1537.1191843949478</v>
      </c>
      <c r="AM508">
        <f t="shared" si="25"/>
        <v>501</v>
      </c>
      <c r="AN508" t="s">
        <v>2701</v>
      </c>
      <c r="AO508" s="8">
        <v>1</v>
      </c>
      <c r="AR508" s="27" t="s">
        <v>1496</v>
      </c>
      <c r="AS508" s="21">
        <v>599</v>
      </c>
    </row>
    <row r="509" spans="2:45" x14ac:dyDescent="0.35">
      <c r="B509">
        <f t="shared" si="23"/>
        <v>502</v>
      </c>
      <c r="C509" s="27" t="s">
        <v>1492</v>
      </c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>
        <v>1535.7159699855097</v>
      </c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>
        <v>1535.7159699855097</v>
      </c>
      <c r="AA509" s="8"/>
      <c r="AB509" s="8"/>
      <c r="AI509">
        <f t="shared" si="24"/>
        <v>502</v>
      </c>
      <c r="AJ509" s="27" t="s">
        <v>1492</v>
      </c>
      <c r="AK509" s="8">
        <v>1535.7159699855097</v>
      </c>
      <c r="AM509">
        <f t="shared" si="25"/>
        <v>502</v>
      </c>
      <c r="AN509" t="s">
        <v>2590</v>
      </c>
      <c r="AO509" s="8">
        <v>1</v>
      </c>
      <c r="AR509" s="27" t="s">
        <v>1646</v>
      </c>
      <c r="AS509" s="21">
        <v>599</v>
      </c>
    </row>
    <row r="510" spans="2:45" x14ac:dyDescent="0.35">
      <c r="B510">
        <f t="shared" si="23"/>
        <v>503</v>
      </c>
      <c r="C510" s="27" t="s">
        <v>844</v>
      </c>
      <c r="D510" s="8"/>
      <c r="E510" s="8"/>
      <c r="F510" s="8"/>
      <c r="G510" s="8"/>
      <c r="H510" s="8"/>
      <c r="I510" s="8">
        <v>1531.478917042255</v>
      </c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>
        <v>1531.478917042255</v>
      </c>
      <c r="AA510" s="8"/>
      <c r="AB510" s="8"/>
      <c r="AI510">
        <f t="shared" si="24"/>
        <v>503</v>
      </c>
      <c r="AJ510" s="27" t="s">
        <v>844</v>
      </c>
      <c r="AK510" s="8">
        <v>1531.478917042255</v>
      </c>
      <c r="AM510">
        <f t="shared" si="25"/>
        <v>503</v>
      </c>
      <c r="AN510" s="27" t="s">
        <v>1139</v>
      </c>
      <c r="AO510" s="8">
        <v>1</v>
      </c>
      <c r="AR510" s="27" t="s">
        <v>783</v>
      </c>
      <c r="AS510" s="21">
        <v>597</v>
      </c>
    </row>
    <row r="511" spans="2:45" x14ac:dyDescent="0.35">
      <c r="B511">
        <f t="shared" si="23"/>
        <v>504</v>
      </c>
      <c r="C511" s="27" t="s">
        <v>1636</v>
      </c>
      <c r="D511" s="8"/>
      <c r="E511" s="8">
        <v>1531.478917042255</v>
      </c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>
        <v>1531.478917042255</v>
      </c>
      <c r="AA511" s="8"/>
      <c r="AB511" s="8"/>
      <c r="AI511">
        <f t="shared" si="24"/>
        <v>504</v>
      </c>
      <c r="AJ511" s="27" t="s">
        <v>1636</v>
      </c>
      <c r="AK511" s="8">
        <v>1531.478917042255</v>
      </c>
      <c r="AM511">
        <f t="shared" si="25"/>
        <v>504</v>
      </c>
      <c r="AN511" t="s">
        <v>2685</v>
      </c>
      <c r="AO511" s="8">
        <v>1</v>
      </c>
      <c r="AR511" t="s">
        <v>2493</v>
      </c>
      <c r="AS511" s="21">
        <v>591</v>
      </c>
    </row>
    <row r="512" spans="2:45" x14ac:dyDescent="0.35">
      <c r="B512">
        <f t="shared" si="23"/>
        <v>505</v>
      </c>
      <c r="C512" t="s">
        <v>2290</v>
      </c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>
        <v>1525.0448070368452</v>
      </c>
      <c r="R512" s="8"/>
      <c r="S512" s="8"/>
      <c r="T512" s="8"/>
      <c r="U512" s="8"/>
      <c r="V512" s="8"/>
      <c r="W512" s="8"/>
      <c r="X512" s="8"/>
      <c r="Y512" s="8"/>
      <c r="Z512" s="8">
        <v>1525.0448070368452</v>
      </c>
      <c r="AA512" s="8"/>
      <c r="AB512" s="8"/>
      <c r="AI512">
        <f t="shared" si="24"/>
        <v>505</v>
      </c>
      <c r="AJ512" t="s">
        <v>2290</v>
      </c>
      <c r="AK512" s="8">
        <v>1525.0448070368452</v>
      </c>
      <c r="AM512">
        <f t="shared" si="25"/>
        <v>505</v>
      </c>
      <c r="AN512" s="27" t="s">
        <v>1498</v>
      </c>
      <c r="AO512" s="8">
        <v>1</v>
      </c>
      <c r="AR512" s="27" t="s">
        <v>1654</v>
      </c>
      <c r="AS512" s="21">
        <v>585</v>
      </c>
    </row>
    <row r="513" spans="2:45" x14ac:dyDescent="0.35">
      <c r="B513">
        <f t="shared" si="23"/>
        <v>506</v>
      </c>
      <c r="C513" s="27" t="s">
        <v>1573</v>
      </c>
      <c r="D513" s="8"/>
      <c r="E513" s="8"/>
      <c r="F513" s="8"/>
      <c r="G513" s="8"/>
      <c r="H513" s="8"/>
      <c r="I513" s="8"/>
      <c r="J513" s="8"/>
      <c r="K513" s="8"/>
      <c r="L513" s="8">
        <v>1525.0448070368452</v>
      </c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>
        <v>1525.0448070368452</v>
      </c>
      <c r="AA513" s="8"/>
      <c r="AB513" s="8"/>
      <c r="AI513">
        <f t="shared" si="24"/>
        <v>506</v>
      </c>
      <c r="AJ513" s="27" t="s">
        <v>1573</v>
      </c>
      <c r="AK513" s="8">
        <v>1525.0448070368452</v>
      </c>
      <c r="AM513">
        <f t="shared" si="25"/>
        <v>506</v>
      </c>
      <c r="AN513" t="s">
        <v>2535</v>
      </c>
      <c r="AO513" s="8">
        <v>1</v>
      </c>
      <c r="AR513" t="s">
        <v>2439</v>
      </c>
      <c r="AS513" s="21">
        <v>582</v>
      </c>
    </row>
    <row r="514" spans="2:45" x14ac:dyDescent="0.35">
      <c r="B514">
        <f t="shared" si="23"/>
        <v>507</v>
      </c>
      <c r="C514" s="27" t="s">
        <v>1637</v>
      </c>
      <c r="D514" s="8"/>
      <c r="E514" s="8"/>
      <c r="F514" s="8"/>
      <c r="G514" s="8"/>
      <c r="H514" s="8"/>
      <c r="I514" s="8"/>
      <c r="J514" s="8"/>
      <c r="K514" s="8">
        <v>533.47339481530662</v>
      </c>
      <c r="L514" s="8"/>
      <c r="M514" s="8">
        <v>533.47339481530662</v>
      </c>
      <c r="N514" s="8"/>
      <c r="O514" s="8">
        <v>444.65085125315511</v>
      </c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>
        <v>1511.5976408837682</v>
      </c>
      <c r="AA514" s="8"/>
      <c r="AB514" s="8"/>
      <c r="AI514">
        <f t="shared" si="24"/>
        <v>507</v>
      </c>
      <c r="AJ514" s="27" t="s">
        <v>1637</v>
      </c>
      <c r="AK514" s="8">
        <v>1511.5976408837682</v>
      </c>
      <c r="AM514">
        <f t="shared" si="25"/>
        <v>507</v>
      </c>
      <c r="AN514" t="s">
        <v>2302</v>
      </c>
      <c r="AO514" s="8">
        <v>1</v>
      </c>
      <c r="AR514" s="27" t="s">
        <v>1323</v>
      </c>
      <c r="AS514" s="21">
        <v>576</v>
      </c>
    </row>
    <row r="515" spans="2:45" x14ac:dyDescent="0.35">
      <c r="B515">
        <f t="shared" si="23"/>
        <v>508</v>
      </c>
      <c r="C515" t="s">
        <v>2577</v>
      </c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>
        <v>1505.149978319906</v>
      </c>
      <c r="X515" s="8"/>
      <c r="Y515" s="8"/>
      <c r="Z515" s="8">
        <v>1505.149978319906</v>
      </c>
      <c r="AA515" s="8"/>
      <c r="AB515" s="8"/>
      <c r="AI515">
        <f t="shared" si="24"/>
        <v>508</v>
      </c>
      <c r="AJ515" t="s">
        <v>2577</v>
      </c>
      <c r="AK515" s="8">
        <v>1505.149978319906</v>
      </c>
      <c r="AM515">
        <f t="shared" si="25"/>
        <v>508</v>
      </c>
      <c r="AN515" s="27" t="s">
        <v>1530</v>
      </c>
      <c r="AO515" s="8">
        <v>1</v>
      </c>
      <c r="AR515" t="s">
        <v>2570</v>
      </c>
      <c r="AS515" s="21">
        <v>571</v>
      </c>
    </row>
    <row r="516" spans="2:45" x14ac:dyDescent="0.35">
      <c r="B516">
        <f t="shared" si="23"/>
        <v>509</v>
      </c>
      <c r="C516" s="27" t="s">
        <v>1574</v>
      </c>
      <c r="D516" s="8"/>
      <c r="E516" s="8"/>
      <c r="F516" s="8">
        <v>1502.4271199844325</v>
      </c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>
        <v>1502.4271199844325</v>
      </c>
      <c r="AA516" s="8"/>
      <c r="AB516" s="8"/>
      <c r="AI516">
        <f t="shared" si="24"/>
        <v>509</v>
      </c>
      <c r="AJ516" s="27" t="s">
        <v>1574</v>
      </c>
      <c r="AK516" s="8">
        <v>1502.4271199844325</v>
      </c>
      <c r="AM516">
        <f t="shared" si="25"/>
        <v>509</v>
      </c>
      <c r="AN516" s="27" t="s">
        <v>1091</v>
      </c>
      <c r="AO516" s="8">
        <v>1</v>
      </c>
      <c r="AR516" t="s">
        <v>2426</v>
      </c>
      <c r="AS516" s="21">
        <v>565</v>
      </c>
    </row>
    <row r="517" spans="2:45" x14ac:dyDescent="0.35">
      <c r="B517">
        <f t="shared" si="23"/>
        <v>510</v>
      </c>
      <c r="C517" s="27" t="s">
        <v>1122</v>
      </c>
      <c r="D517" s="8"/>
      <c r="E517" s="8"/>
      <c r="F517" s="8">
        <v>1496.9296480732148</v>
      </c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>
        <v>1496.9296480732148</v>
      </c>
      <c r="AA517" s="8"/>
      <c r="AB517" s="8"/>
      <c r="AI517">
        <f t="shared" si="24"/>
        <v>510</v>
      </c>
      <c r="AJ517" s="27" t="s">
        <v>1122</v>
      </c>
      <c r="AK517" s="8">
        <v>1496.9296480732148</v>
      </c>
      <c r="AM517">
        <f t="shared" si="25"/>
        <v>510</v>
      </c>
      <c r="AN517" t="s">
        <v>2619</v>
      </c>
      <c r="AO517" s="8">
        <v>1</v>
      </c>
      <c r="AR517" s="27" t="s">
        <v>805</v>
      </c>
      <c r="AS517" s="21">
        <v>563</v>
      </c>
    </row>
    <row r="518" spans="2:45" x14ac:dyDescent="0.35">
      <c r="B518">
        <f t="shared" si="23"/>
        <v>511</v>
      </c>
      <c r="C518" s="27" t="s">
        <v>1029</v>
      </c>
      <c r="D518" s="8"/>
      <c r="E518" s="8"/>
      <c r="F518" s="8"/>
      <c r="G518" s="8">
        <v>1496.9296480732148</v>
      </c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>
        <v>1496.9296480732148</v>
      </c>
      <c r="AA518" s="8"/>
      <c r="AB518" s="8"/>
      <c r="AI518">
        <f t="shared" si="24"/>
        <v>511</v>
      </c>
      <c r="AJ518" s="27" t="s">
        <v>1029</v>
      </c>
      <c r="AK518" s="8">
        <v>1496.9296480732148</v>
      </c>
      <c r="AM518">
        <f t="shared" si="25"/>
        <v>511</v>
      </c>
      <c r="AN518" t="s">
        <v>2309</v>
      </c>
      <c r="AO518" s="8">
        <v>1</v>
      </c>
      <c r="AR518" s="27" t="s">
        <v>977</v>
      </c>
      <c r="AS518" s="21">
        <v>560</v>
      </c>
    </row>
    <row r="519" spans="2:45" x14ac:dyDescent="0.35">
      <c r="B519">
        <f t="shared" si="23"/>
        <v>512</v>
      </c>
      <c r="C519" s="27" t="s">
        <v>1181</v>
      </c>
      <c r="D519" s="8"/>
      <c r="E519" s="8"/>
      <c r="F519" s="8">
        <v>1495.3460748258615</v>
      </c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>
        <v>1495.3460748258615</v>
      </c>
      <c r="AA519" s="8"/>
      <c r="AB519" s="8"/>
      <c r="AI519">
        <f t="shared" si="24"/>
        <v>512</v>
      </c>
      <c r="AJ519" s="27" t="s">
        <v>1181</v>
      </c>
      <c r="AK519" s="8">
        <v>1495.3460748258615</v>
      </c>
      <c r="AM519">
        <f t="shared" si="25"/>
        <v>512</v>
      </c>
      <c r="AN519" t="s">
        <v>2675</v>
      </c>
      <c r="AO519" s="8">
        <v>1</v>
      </c>
      <c r="AR519" s="27" t="s">
        <v>145</v>
      </c>
      <c r="AS519" s="21">
        <v>556.25</v>
      </c>
    </row>
    <row r="520" spans="2:45" x14ac:dyDescent="0.35">
      <c r="B520">
        <f t="shared" si="23"/>
        <v>513</v>
      </c>
      <c r="C520" s="27" t="s">
        <v>651</v>
      </c>
      <c r="D520" s="8"/>
      <c r="E520" s="8"/>
      <c r="F520" s="8"/>
      <c r="G520" s="8"/>
      <c r="H520" s="8"/>
      <c r="I520" s="8"/>
      <c r="J520" s="8">
        <v>1193.1245983544616</v>
      </c>
      <c r="K520" s="8">
        <v>294.91276745547538</v>
      </c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>
        <v>1488.037365809937</v>
      </c>
      <c r="AA520" s="8"/>
      <c r="AB520" s="8"/>
      <c r="AI520">
        <f t="shared" si="24"/>
        <v>513</v>
      </c>
      <c r="AJ520" s="27" t="s">
        <v>651</v>
      </c>
      <c r="AK520" s="8">
        <v>1488.037365809937</v>
      </c>
      <c r="AM520">
        <f t="shared" si="25"/>
        <v>513</v>
      </c>
      <c r="AN520" s="27" t="s">
        <v>1582</v>
      </c>
      <c r="AO520" s="8">
        <v>1</v>
      </c>
      <c r="AR520" s="27" t="s">
        <v>1645</v>
      </c>
      <c r="AS520" s="21">
        <v>550</v>
      </c>
    </row>
    <row r="521" spans="2:45" x14ac:dyDescent="0.35">
      <c r="B521">
        <f t="shared" si="23"/>
        <v>514</v>
      </c>
      <c r="C521" s="27" t="s">
        <v>1638</v>
      </c>
      <c r="D521" s="8"/>
      <c r="E521" s="8">
        <v>1484.2998393467858</v>
      </c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>
        <v>1484.2998393467858</v>
      </c>
      <c r="AA521" s="8"/>
      <c r="AB521" s="8"/>
      <c r="AI521">
        <f t="shared" si="24"/>
        <v>514</v>
      </c>
      <c r="AJ521" s="27" t="s">
        <v>1638</v>
      </c>
      <c r="AK521" s="8">
        <v>1484.2998393467858</v>
      </c>
      <c r="AM521">
        <f t="shared" si="25"/>
        <v>514</v>
      </c>
      <c r="AN521" s="27" t="s">
        <v>1705</v>
      </c>
      <c r="AO521" s="8">
        <v>1</v>
      </c>
      <c r="AR521" s="27" t="s">
        <v>1489</v>
      </c>
      <c r="AS521" s="21">
        <v>549</v>
      </c>
    </row>
    <row r="522" spans="2:45" x14ac:dyDescent="0.35">
      <c r="B522">
        <f t="shared" ref="B522:B585" si="26">B521+1</f>
        <v>515</v>
      </c>
      <c r="C522" s="27" t="s">
        <v>1639</v>
      </c>
      <c r="D522" s="8"/>
      <c r="E522" s="8"/>
      <c r="F522" s="8">
        <v>1462.3979978989562</v>
      </c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>
        <v>1462.3979978989562</v>
      </c>
      <c r="AA522" s="8"/>
      <c r="AB522" s="8"/>
      <c r="AI522">
        <f t="shared" ref="AI522:AI585" si="27">AI521+1</f>
        <v>515</v>
      </c>
      <c r="AJ522" s="27" t="s">
        <v>1639</v>
      </c>
      <c r="AK522" s="8">
        <v>1462.3979978989562</v>
      </c>
      <c r="AM522">
        <f t="shared" ref="AM522:AM585" si="28">AM521+1</f>
        <v>515</v>
      </c>
      <c r="AN522" s="27" t="s">
        <v>1497</v>
      </c>
      <c r="AO522" s="8">
        <v>1</v>
      </c>
      <c r="AR522" s="27" t="s">
        <v>1618</v>
      </c>
      <c r="AS522" s="21">
        <v>545</v>
      </c>
    </row>
    <row r="523" spans="2:45" x14ac:dyDescent="0.35">
      <c r="B523">
        <f t="shared" si="26"/>
        <v>516</v>
      </c>
      <c r="C523" t="s">
        <v>2351</v>
      </c>
      <c r="D523" s="8"/>
      <c r="E523" s="8"/>
      <c r="F523" s="8"/>
      <c r="G523" s="8"/>
      <c r="H523" s="8"/>
      <c r="I523" s="8"/>
      <c r="J523" s="8"/>
      <c r="K523" s="8"/>
      <c r="L523" s="8"/>
      <c r="M523" s="8">
        <v>1457.3771965239052</v>
      </c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>
        <v>1457.3771965239052</v>
      </c>
      <c r="AA523" s="8"/>
      <c r="AB523" s="8"/>
      <c r="AI523">
        <f t="shared" si="27"/>
        <v>516</v>
      </c>
      <c r="AJ523" t="s">
        <v>2351</v>
      </c>
      <c r="AK523" s="8">
        <v>1457.3771965239052</v>
      </c>
      <c r="AM523">
        <f t="shared" si="28"/>
        <v>516</v>
      </c>
      <c r="AN523" t="s">
        <v>2511</v>
      </c>
      <c r="AO523" s="8">
        <v>1</v>
      </c>
      <c r="AR523" t="s">
        <v>2695</v>
      </c>
      <c r="AS523" s="21">
        <v>537</v>
      </c>
    </row>
    <row r="524" spans="2:45" x14ac:dyDescent="0.35">
      <c r="B524">
        <f t="shared" si="26"/>
        <v>517</v>
      </c>
      <c r="C524" t="s">
        <v>2404</v>
      </c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>
        <v>1454.8448600085103</v>
      </c>
      <c r="T524" s="8"/>
      <c r="U524" s="8"/>
      <c r="V524" s="8"/>
      <c r="W524" s="8"/>
      <c r="X524" s="8"/>
      <c r="Y524" s="8"/>
      <c r="Z524" s="8">
        <v>1454.8448600085103</v>
      </c>
      <c r="AA524" s="8"/>
      <c r="AB524" s="8"/>
      <c r="AI524">
        <f t="shared" si="27"/>
        <v>517</v>
      </c>
      <c r="AJ524" t="s">
        <v>2404</v>
      </c>
      <c r="AK524" s="8">
        <v>1454.8448600085103</v>
      </c>
      <c r="AM524">
        <f t="shared" si="28"/>
        <v>517</v>
      </c>
      <c r="AN524" t="s">
        <v>2315</v>
      </c>
      <c r="AO524" s="8">
        <v>1</v>
      </c>
      <c r="AR524" s="27" t="s">
        <v>932</v>
      </c>
      <c r="AS524" s="21">
        <v>534</v>
      </c>
    </row>
    <row r="525" spans="2:45" x14ac:dyDescent="0.35">
      <c r="B525">
        <f t="shared" si="26"/>
        <v>518</v>
      </c>
      <c r="C525" s="27" t="s">
        <v>1576</v>
      </c>
      <c r="D525" s="8"/>
      <c r="E525" s="8"/>
      <c r="F525" s="8"/>
      <c r="G525" s="8"/>
      <c r="H525" s="8">
        <v>1452.2976709946302</v>
      </c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>
        <v>1452.2976709946302</v>
      </c>
      <c r="AA525" s="8"/>
      <c r="AB525" s="8"/>
      <c r="AI525">
        <f t="shared" si="27"/>
        <v>518</v>
      </c>
      <c r="AJ525" s="27" t="s">
        <v>1576</v>
      </c>
      <c r="AK525" s="8">
        <v>1452.2976709946302</v>
      </c>
      <c r="AM525">
        <f t="shared" si="28"/>
        <v>518</v>
      </c>
      <c r="AN525" t="s">
        <v>2677</v>
      </c>
      <c r="AO525" s="8">
        <v>1</v>
      </c>
      <c r="AR525" t="s">
        <v>2640</v>
      </c>
      <c r="AS525" s="21">
        <v>533</v>
      </c>
    </row>
    <row r="526" spans="2:45" x14ac:dyDescent="0.35">
      <c r="B526">
        <f t="shared" si="26"/>
        <v>519</v>
      </c>
      <c r="C526" s="27" t="s">
        <v>1242</v>
      </c>
      <c r="D526" s="8">
        <v>1452.2976709946302</v>
      </c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>
        <v>1452.2976709946302</v>
      </c>
      <c r="AA526" s="8"/>
      <c r="AB526" s="8"/>
      <c r="AI526">
        <f t="shared" si="27"/>
        <v>519</v>
      </c>
      <c r="AJ526" s="27" t="s">
        <v>1242</v>
      </c>
      <c r="AK526" s="8">
        <v>1452.2976709946302</v>
      </c>
      <c r="AM526">
        <f t="shared" si="28"/>
        <v>519</v>
      </c>
      <c r="AN526" s="27" t="s">
        <v>1422</v>
      </c>
      <c r="AO526" s="8">
        <v>1</v>
      </c>
      <c r="AR526" s="27" t="s">
        <v>1634</v>
      </c>
      <c r="AS526" s="21">
        <v>533</v>
      </c>
    </row>
    <row r="527" spans="2:45" x14ac:dyDescent="0.35">
      <c r="B527">
        <f t="shared" si="26"/>
        <v>520</v>
      </c>
      <c r="C527" s="27" t="s">
        <v>778</v>
      </c>
      <c r="D527" s="8"/>
      <c r="E527" s="8"/>
      <c r="F527" s="8"/>
      <c r="G527" s="8"/>
      <c r="H527" s="8"/>
      <c r="I527" s="8">
        <v>1450.2491083193609</v>
      </c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>
        <v>1450.2491083193609</v>
      </c>
      <c r="AA527" s="8"/>
      <c r="AB527" s="8"/>
      <c r="AI527">
        <f t="shared" si="27"/>
        <v>520</v>
      </c>
      <c r="AJ527" s="27" t="s">
        <v>778</v>
      </c>
      <c r="AK527" s="8">
        <v>1450.2491083193609</v>
      </c>
      <c r="AM527">
        <f t="shared" si="28"/>
        <v>520</v>
      </c>
      <c r="AN527" t="s">
        <v>2558</v>
      </c>
      <c r="AO527" s="8">
        <v>1</v>
      </c>
      <c r="AR527" s="27" t="s">
        <v>1650</v>
      </c>
      <c r="AS527" s="21">
        <v>532</v>
      </c>
    </row>
    <row r="528" spans="2:45" x14ac:dyDescent="0.35">
      <c r="B528">
        <f t="shared" si="26"/>
        <v>521</v>
      </c>
      <c r="C528" t="s">
        <v>2682</v>
      </c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>
        <v>1439.3326938302625</v>
      </c>
      <c r="Z528" s="8">
        <v>1439.3326938302625</v>
      </c>
      <c r="AA528" s="8"/>
      <c r="AB528" s="8"/>
      <c r="AI528">
        <f t="shared" si="27"/>
        <v>521</v>
      </c>
      <c r="AJ528" t="s">
        <v>2682</v>
      </c>
      <c r="AK528" s="8">
        <v>1439.3326938302625</v>
      </c>
      <c r="AM528">
        <f t="shared" si="28"/>
        <v>521</v>
      </c>
      <c r="AN528" t="s">
        <v>2318</v>
      </c>
      <c r="AO528" s="8">
        <v>1</v>
      </c>
      <c r="AR528" s="27" t="s">
        <v>1687</v>
      </c>
      <c r="AS528" s="21">
        <v>525</v>
      </c>
    </row>
    <row r="529" spans="2:45" x14ac:dyDescent="0.35">
      <c r="B529">
        <f t="shared" si="26"/>
        <v>522</v>
      </c>
      <c r="C529" s="27" t="s">
        <v>1322</v>
      </c>
      <c r="D529" s="8">
        <v>1439.3326938302625</v>
      </c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>
        <v>1439.3326938302625</v>
      </c>
      <c r="AA529" s="8"/>
      <c r="AB529" s="8"/>
      <c r="AI529">
        <f t="shared" si="27"/>
        <v>522</v>
      </c>
      <c r="AJ529" s="27" t="s">
        <v>1322</v>
      </c>
      <c r="AK529" s="8">
        <v>1439.3326938302625</v>
      </c>
      <c r="AM529">
        <f t="shared" si="28"/>
        <v>522</v>
      </c>
      <c r="AN529" s="27" t="s">
        <v>1710</v>
      </c>
      <c r="AO529" s="8">
        <v>1</v>
      </c>
      <c r="AR529" s="27" t="s">
        <v>1642</v>
      </c>
      <c r="AS529" s="21">
        <v>525</v>
      </c>
    </row>
    <row r="530" spans="2:45" x14ac:dyDescent="0.35">
      <c r="B530">
        <f t="shared" si="26"/>
        <v>523</v>
      </c>
      <c r="C530" s="27" t="s">
        <v>1577</v>
      </c>
      <c r="D530" s="8"/>
      <c r="E530" s="8"/>
      <c r="F530" s="8"/>
      <c r="G530" s="8"/>
      <c r="H530" s="8"/>
      <c r="I530" s="8"/>
      <c r="J530" s="8">
        <v>1431.3637641589874</v>
      </c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>
        <v>1431.3637641589874</v>
      </c>
      <c r="AA530" s="8"/>
      <c r="AB530" s="8"/>
      <c r="AI530">
        <f t="shared" si="27"/>
        <v>523</v>
      </c>
      <c r="AJ530" s="27" t="s">
        <v>1577</v>
      </c>
      <c r="AK530" s="8">
        <v>1431.3637641589874</v>
      </c>
      <c r="AM530">
        <f t="shared" si="28"/>
        <v>523</v>
      </c>
      <c r="AN530" s="27" t="s">
        <v>1694</v>
      </c>
      <c r="AO530" s="8">
        <v>1</v>
      </c>
      <c r="AR530" s="27" t="s">
        <v>1633</v>
      </c>
      <c r="AS530" s="21">
        <v>521</v>
      </c>
    </row>
    <row r="531" spans="2:45" x14ac:dyDescent="0.35">
      <c r="B531">
        <f t="shared" si="26"/>
        <v>524</v>
      </c>
      <c r="C531" s="27" t="s">
        <v>1145</v>
      </c>
      <c r="D531" s="8">
        <v>386.49246974159769</v>
      </c>
      <c r="E531" s="8"/>
      <c r="F531" s="8">
        <v>1041.392685158225</v>
      </c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>
        <v>1427.8851548998227</v>
      </c>
      <c r="AA531" s="8"/>
      <c r="AB531" s="8"/>
      <c r="AI531">
        <f t="shared" si="27"/>
        <v>524</v>
      </c>
      <c r="AJ531" s="27" t="s">
        <v>1145</v>
      </c>
      <c r="AK531" s="8">
        <v>1427.8851548998227</v>
      </c>
      <c r="AM531">
        <f t="shared" si="28"/>
        <v>524</v>
      </c>
      <c r="AN531" s="27" t="s">
        <v>1579</v>
      </c>
      <c r="AO531" s="8">
        <v>1</v>
      </c>
      <c r="AR531" t="s">
        <v>2490</v>
      </c>
      <c r="AS531" s="21">
        <v>514</v>
      </c>
    </row>
    <row r="532" spans="2:45" x14ac:dyDescent="0.35">
      <c r="B532">
        <f t="shared" si="26"/>
        <v>525</v>
      </c>
      <c r="C532" s="27" t="s">
        <v>1640</v>
      </c>
      <c r="D532" s="8"/>
      <c r="E532" s="8"/>
      <c r="F532" s="8"/>
      <c r="G532" s="8">
        <v>1423.2458739368076</v>
      </c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>
        <v>1423.2458739368076</v>
      </c>
      <c r="AA532" s="8"/>
      <c r="AB532" s="8"/>
      <c r="AI532">
        <f t="shared" si="27"/>
        <v>525</v>
      </c>
      <c r="AJ532" s="27" t="s">
        <v>1640</v>
      </c>
      <c r="AK532" s="8">
        <v>1423.2458739368076</v>
      </c>
      <c r="AM532">
        <f t="shared" si="28"/>
        <v>525</v>
      </c>
      <c r="AN532" s="27" t="s">
        <v>1679</v>
      </c>
      <c r="AO532" s="8">
        <v>1</v>
      </c>
      <c r="AR532" s="27" t="s">
        <v>663</v>
      </c>
      <c r="AS532" s="21">
        <v>513</v>
      </c>
    </row>
    <row r="533" spans="2:45" x14ac:dyDescent="0.35">
      <c r="B533">
        <f t="shared" si="26"/>
        <v>526</v>
      </c>
      <c r="C533" s="27" t="s">
        <v>1031</v>
      </c>
      <c r="D533" s="8"/>
      <c r="E533" s="8"/>
      <c r="F533" s="8"/>
      <c r="G533" s="8">
        <v>1417.7484020255899</v>
      </c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>
        <v>1417.7484020255899</v>
      </c>
      <c r="AA533" s="8"/>
      <c r="AB533" s="8"/>
      <c r="AI533">
        <f t="shared" si="27"/>
        <v>526</v>
      </c>
      <c r="AJ533" s="27" t="s">
        <v>1031</v>
      </c>
      <c r="AK533" s="8">
        <v>1417.7484020255899</v>
      </c>
      <c r="AM533">
        <f t="shared" si="28"/>
        <v>526</v>
      </c>
      <c r="AN533" t="s">
        <v>2628</v>
      </c>
      <c r="AO533" s="8">
        <v>1</v>
      </c>
      <c r="AR533" s="27" t="s">
        <v>1273</v>
      </c>
      <c r="AS533" s="21">
        <v>500</v>
      </c>
    </row>
    <row r="534" spans="2:45" x14ac:dyDescent="0.35">
      <c r="B534">
        <f t="shared" si="26"/>
        <v>527</v>
      </c>
      <c r="C534" s="27" t="s">
        <v>647</v>
      </c>
      <c r="D534" s="8"/>
      <c r="E534" s="8"/>
      <c r="F534" s="8"/>
      <c r="G534" s="8"/>
      <c r="H534" s="8"/>
      <c r="I534" s="8"/>
      <c r="J534" s="8">
        <v>1414.9733479708179</v>
      </c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>
        <v>1414.9733479708179</v>
      </c>
      <c r="AA534" s="8"/>
      <c r="AB534" s="8"/>
      <c r="AI534">
        <f t="shared" si="27"/>
        <v>527</v>
      </c>
      <c r="AJ534" s="27" t="s">
        <v>647</v>
      </c>
      <c r="AK534" s="8">
        <v>1414.9733479708179</v>
      </c>
      <c r="AM534">
        <f t="shared" si="28"/>
        <v>527</v>
      </c>
      <c r="AN534" s="27" t="s">
        <v>1122</v>
      </c>
      <c r="AO534" s="8">
        <v>1</v>
      </c>
      <c r="AR534" s="27" t="s">
        <v>754</v>
      </c>
      <c r="AS534" s="21">
        <v>500</v>
      </c>
    </row>
    <row r="535" spans="2:45" x14ac:dyDescent="0.35">
      <c r="B535">
        <f t="shared" si="26"/>
        <v>528</v>
      </c>
      <c r="C535" s="27" t="s">
        <v>1478</v>
      </c>
      <c r="D535" s="8"/>
      <c r="E535" s="8">
        <v>1410.1744650890494</v>
      </c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>
        <v>1410.1744650890494</v>
      </c>
      <c r="AA535" s="8"/>
      <c r="AB535" s="8"/>
      <c r="AI535">
        <f t="shared" si="27"/>
        <v>528</v>
      </c>
      <c r="AJ535" s="27" t="s">
        <v>1478</v>
      </c>
      <c r="AK535" s="8">
        <v>1410.1744650890494</v>
      </c>
      <c r="AM535">
        <f t="shared" si="28"/>
        <v>528</v>
      </c>
      <c r="AN535" t="s">
        <v>2645</v>
      </c>
      <c r="AO535" s="8">
        <v>1</v>
      </c>
      <c r="AR535" s="27" t="s">
        <v>736</v>
      </c>
      <c r="AS535" s="21">
        <v>500</v>
      </c>
    </row>
    <row r="536" spans="2:45" x14ac:dyDescent="0.35">
      <c r="B536">
        <f t="shared" si="26"/>
        <v>529</v>
      </c>
      <c r="C536" s="27" t="s">
        <v>1416</v>
      </c>
      <c r="D536" s="8">
        <v>1410.1744650890491</v>
      </c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>
        <v>1410.1744650890491</v>
      </c>
      <c r="AA536" s="8"/>
      <c r="AB536" s="8"/>
      <c r="AI536">
        <f t="shared" si="27"/>
        <v>529</v>
      </c>
      <c r="AJ536" s="27" t="s">
        <v>1416</v>
      </c>
      <c r="AK536" s="8">
        <v>1410.1744650890491</v>
      </c>
      <c r="AM536">
        <f t="shared" si="28"/>
        <v>529</v>
      </c>
      <c r="AN536" t="s">
        <v>2328</v>
      </c>
      <c r="AO536" s="8">
        <v>1</v>
      </c>
      <c r="AR536" t="s">
        <v>2582</v>
      </c>
      <c r="AS536" s="21">
        <v>499</v>
      </c>
    </row>
    <row r="537" spans="2:45" x14ac:dyDescent="0.35">
      <c r="B537">
        <f t="shared" si="26"/>
        <v>530</v>
      </c>
      <c r="C537" s="27" t="s">
        <v>1579</v>
      </c>
      <c r="D537" s="8"/>
      <c r="E537" s="8"/>
      <c r="F537" s="8">
        <v>1397.9400086720375</v>
      </c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>
        <v>1397.9400086720375</v>
      </c>
      <c r="AA537" s="8"/>
      <c r="AB537" s="8"/>
      <c r="AI537">
        <f t="shared" si="27"/>
        <v>530</v>
      </c>
      <c r="AJ537" s="27" t="s">
        <v>1579</v>
      </c>
      <c r="AK537" s="8">
        <v>1397.9400086720375</v>
      </c>
      <c r="AM537">
        <f t="shared" si="28"/>
        <v>530</v>
      </c>
      <c r="AN537" t="s">
        <v>2680</v>
      </c>
      <c r="AO537" s="8">
        <v>1</v>
      </c>
      <c r="AR537" s="27" t="s">
        <v>1495</v>
      </c>
      <c r="AS537" s="21">
        <v>495</v>
      </c>
    </row>
    <row r="538" spans="2:45" x14ac:dyDescent="0.35">
      <c r="B538">
        <f t="shared" si="26"/>
        <v>531</v>
      </c>
      <c r="C538" s="27" t="s">
        <v>1580</v>
      </c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>
        <v>1392.1104650113139</v>
      </c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>
        <v>1392.1104650113139</v>
      </c>
      <c r="AA538" s="8"/>
      <c r="AB538" s="8"/>
      <c r="AI538">
        <f t="shared" si="27"/>
        <v>531</v>
      </c>
      <c r="AJ538" s="27" t="s">
        <v>1580</v>
      </c>
      <c r="AK538" s="8">
        <v>1392.1104650113139</v>
      </c>
      <c r="AM538">
        <f t="shared" si="28"/>
        <v>531</v>
      </c>
      <c r="AN538" t="s">
        <v>2347</v>
      </c>
      <c r="AO538" s="8">
        <v>1</v>
      </c>
      <c r="AR538" s="27" t="s">
        <v>458</v>
      </c>
      <c r="AS538" s="21">
        <v>495</v>
      </c>
    </row>
    <row r="539" spans="2:45" x14ac:dyDescent="0.35">
      <c r="B539">
        <f t="shared" si="26"/>
        <v>532</v>
      </c>
      <c r="C539" s="27" t="s">
        <v>1183</v>
      </c>
      <c r="D539" s="8"/>
      <c r="E539" s="8"/>
      <c r="F539" s="8">
        <v>1386.2016054007938</v>
      </c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>
        <v>1386.2016054007938</v>
      </c>
      <c r="AA539" s="8"/>
      <c r="AB539" s="8"/>
      <c r="AI539">
        <f t="shared" si="27"/>
        <v>532</v>
      </c>
      <c r="AJ539" s="27" t="s">
        <v>1183</v>
      </c>
      <c r="AK539" s="8">
        <v>1386.2016054007938</v>
      </c>
      <c r="AM539">
        <f t="shared" si="28"/>
        <v>532</v>
      </c>
      <c r="AN539" t="s">
        <v>2697</v>
      </c>
      <c r="AO539" s="8">
        <v>1</v>
      </c>
      <c r="AR539" t="s">
        <v>2702</v>
      </c>
      <c r="AS539" s="21">
        <v>494</v>
      </c>
    </row>
    <row r="540" spans="2:45" x14ac:dyDescent="0.35">
      <c r="B540">
        <f t="shared" si="26"/>
        <v>533</v>
      </c>
      <c r="C540" s="27" t="s">
        <v>426</v>
      </c>
      <c r="D540" s="8"/>
      <c r="E540" s="8"/>
      <c r="F540" s="8"/>
      <c r="G540" s="8"/>
      <c r="H540" s="8"/>
      <c r="I540" s="8"/>
      <c r="J540" s="8"/>
      <c r="K540" s="8"/>
      <c r="L540" s="8">
        <v>1380.2112417116059</v>
      </c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>
        <v>1380.2112417116059</v>
      </c>
      <c r="AA540" s="8"/>
      <c r="AB540" s="8"/>
      <c r="AI540">
        <f t="shared" si="27"/>
        <v>533</v>
      </c>
      <c r="AJ540" s="27" t="s">
        <v>426</v>
      </c>
      <c r="AK540" s="8">
        <v>1380.2112417116059</v>
      </c>
      <c r="AM540">
        <f t="shared" si="28"/>
        <v>533</v>
      </c>
      <c r="AN540" t="s">
        <v>2346</v>
      </c>
      <c r="AO540" s="8">
        <v>1</v>
      </c>
      <c r="AR540" s="27" t="s">
        <v>347</v>
      </c>
      <c r="AS540" s="21">
        <v>492</v>
      </c>
    </row>
    <row r="541" spans="2:45" x14ac:dyDescent="0.35">
      <c r="B541">
        <f t="shared" si="26"/>
        <v>534</v>
      </c>
      <c r="C541" s="27" t="s">
        <v>671</v>
      </c>
      <c r="D541" s="8"/>
      <c r="E541" s="8"/>
      <c r="F541" s="8"/>
      <c r="G541" s="8"/>
      <c r="H541" s="8"/>
      <c r="I541" s="8"/>
      <c r="J541" s="8">
        <v>1380.2112417116059</v>
      </c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>
        <v>1380.2112417116059</v>
      </c>
      <c r="AA541" s="8"/>
      <c r="AB541" s="8"/>
      <c r="AI541">
        <f t="shared" si="27"/>
        <v>534</v>
      </c>
      <c r="AJ541" s="27" t="s">
        <v>671</v>
      </c>
      <c r="AK541" s="8">
        <v>1380.2112417116059</v>
      </c>
      <c r="AM541">
        <f t="shared" si="28"/>
        <v>534</v>
      </c>
      <c r="AN541" t="s">
        <v>2490</v>
      </c>
      <c r="AO541" s="8">
        <v>1</v>
      </c>
      <c r="AR541" s="27" t="s">
        <v>1647</v>
      </c>
      <c r="AS541" s="21">
        <v>490</v>
      </c>
    </row>
    <row r="542" spans="2:45" x14ac:dyDescent="0.35">
      <c r="B542">
        <f t="shared" si="26"/>
        <v>535</v>
      </c>
      <c r="C542" s="27" t="s">
        <v>1086</v>
      </c>
      <c r="D542" s="8"/>
      <c r="E542" s="8"/>
      <c r="F542" s="8">
        <v>1369.6498905602766</v>
      </c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>
        <v>1369.6498905602766</v>
      </c>
      <c r="AA542" s="8"/>
      <c r="AB542" s="8"/>
      <c r="AI542">
        <f t="shared" si="27"/>
        <v>535</v>
      </c>
      <c r="AJ542" s="27" t="s">
        <v>1086</v>
      </c>
      <c r="AK542" s="8">
        <v>1369.6498905602766</v>
      </c>
      <c r="AM542">
        <f t="shared" si="28"/>
        <v>535</v>
      </c>
      <c r="AN542" t="s">
        <v>2348</v>
      </c>
      <c r="AO542" s="8">
        <v>1</v>
      </c>
      <c r="AR542" s="27" t="s">
        <v>1108</v>
      </c>
      <c r="AS542" s="21">
        <v>490</v>
      </c>
    </row>
    <row r="543" spans="2:45" x14ac:dyDescent="0.35">
      <c r="B543">
        <f t="shared" si="26"/>
        <v>536</v>
      </c>
      <c r="C543" t="s">
        <v>2315</v>
      </c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>
        <v>1361.7278360175928</v>
      </c>
      <c r="R543" s="8"/>
      <c r="S543" s="8"/>
      <c r="T543" s="8"/>
      <c r="U543" s="8"/>
      <c r="V543" s="8"/>
      <c r="W543" s="8"/>
      <c r="X543" s="8"/>
      <c r="Y543" s="8"/>
      <c r="Z543" s="8">
        <v>1361.7278360175928</v>
      </c>
      <c r="AA543" s="8"/>
      <c r="AB543" s="8"/>
      <c r="AI543">
        <f t="shared" si="27"/>
        <v>536</v>
      </c>
      <c r="AJ543" t="s">
        <v>2315</v>
      </c>
      <c r="AK543" s="8">
        <v>1361.7278360175928</v>
      </c>
      <c r="AM543">
        <f t="shared" si="28"/>
        <v>536</v>
      </c>
      <c r="AN543" t="s">
        <v>2504</v>
      </c>
      <c r="AO543" s="8">
        <v>1</v>
      </c>
      <c r="AR543" s="27" t="s">
        <v>617</v>
      </c>
      <c r="AS543" s="21">
        <v>490</v>
      </c>
    </row>
    <row r="544" spans="2:45" x14ac:dyDescent="0.35">
      <c r="B544">
        <f t="shared" si="26"/>
        <v>537</v>
      </c>
      <c r="C544" s="27" t="s">
        <v>925</v>
      </c>
      <c r="D544" s="8"/>
      <c r="E544" s="8"/>
      <c r="F544" s="8"/>
      <c r="G544" s="8"/>
      <c r="H544" s="8">
        <v>1358.5693167727632</v>
      </c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>
        <v>1358.5693167727632</v>
      </c>
      <c r="AA544" s="8"/>
      <c r="AB544" s="8"/>
      <c r="AI544">
        <f t="shared" si="27"/>
        <v>537</v>
      </c>
      <c r="AJ544" s="27" t="s">
        <v>925</v>
      </c>
      <c r="AK544" s="8">
        <v>1358.5693167727632</v>
      </c>
      <c r="AM544">
        <f t="shared" si="28"/>
        <v>537</v>
      </c>
      <c r="AN544" t="s">
        <v>2352</v>
      </c>
      <c r="AO544" s="8">
        <v>1</v>
      </c>
      <c r="AR544" t="s">
        <v>2674</v>
      </c>
      <c r="AS544" s="21">
        <v>486</v>
      </c>
    </row>
    <row r="545" spans="2:45" x14ac:dyDescent="0.35">
      <c r="B545">
        <f t="shared" si="26"/>
        <v>538</v>
      </c>
      <c r="C545" s="27" t="s">
        <v>1495</v>
      </c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>
        <v>1352.1825181113625</v>
      </c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>
        <v>1352.1825181113625</v>
      </c>
      <c r="AA545" s="8"/>
      <c r="AB545" s="8"/>
      <c r="AI545">
        <f t="shared" si="27"/>
        <v>538</v>
      </c>
      <c r="AJ545" s="27" t="s">
        <v>1495</v>
      </c>
      <c r="AK545" s="8">
        <v>1352.1825181113625</v>
      </c>
      <c r="AM545">
        <f t="shared" si="28"/>
        <v>538</v>
      </c>
      <c r="AN545" s="27" t="s">
        <v>1272</v>
      </c>
      <c r="AO545" s="8">
        <v>1</v>
      </c>
      <c r="AR545" s="27" t="s">
        <v>1548</v>
      </c>
      <c r="AS545" s="21">
        <v>485</v>
      </c>
    </row>
    <row r="546" spans="2:45" x14ac:dyDescent="0.35">
      <c r="B546">
        <f t="shared" si="26"/>
        <v>539</v>
      </c>
      <c r="C546" s="27" t="s">
        <v>1378</v>
      </c>
      <c r="D546" s="8">
        <v>410.86436909736233</v>
      </c>
      <c r="E546" s="8">
        <v>940.62714730592756</v>
      </c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>
        <v>1351.49151640329</v>
      </c>
      <c r="AA546" s="8"/>
      <c r="AB546" s="8"/>
      <c r="AI546">
        <f t="shared" si="27"/>
        <v>539</v>
      </c>
      <c r="AJ546" s="27" t="s">
        <v>1378</v>
      </c>
      <c r="AK546" s="8">
        <v>1351.49151640329</v>
      </c>
      <c r="AM546">
        <f t="shared" si="28"/>
        <v>539</v>
      </c>
      <c r="AN546" t="s">
        <v>2351</v>
      </c>
      <c r="AO546" s="8">
        <v>1</v>
      </c>
      <c r="AR546" s="27" t="s">
        <v>1656</v>
      </c>
      <c r="AS546" s="21">
        <v>481</v>
      </c>
    </row>
    <row r="547" spans="2:45" x14ac:dyDescent="0.35">
      <c r="B547">
        <f t="shared" si="26"/>
        <v>540</v>
      </c>
      <c r="C547" s="27" t="s">
        <v>1125</v>
      </c>
      <c r="D547" s="8"/>
      <c r="E547" s="8"/>
      <c r="F547" s="8">
        <v>1350.8016123949767</v>
      </c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>
        <v>1350.8016123949767</v>
      </c>
      <c r="AA547" s="8"/>
      <c r="AB547" s="8"/>
      <c r="AI547">
        <f t="shared" si="27"/>
        <v>540</v>
      </c>
      <c r="AJ547" s="27" t="s">
        <v>1125</v>
      </c>
      <c r="AK547" s="8">
        <v>1350.8016123949767</v>
      </c>
      <c r="AM547">
        <f t="shared" si="28"/>
        <v>540</v>
      </c>
      <c r="AN547" t="s">
        <v>2542</v>
      </c>
      <c r="AO547" s="8">
        <v>1</v>
      </c>
      <c r="AR547" t="s">
        <v>2607</v>
      </c>
      <c r="AS547" s="21">
        <v>480</v>
      </c>
    </row>
    <row r="548" spans="2:45" x14ac:dyDescent="0.35">
      <c r="B548">
        <f t="shared" si="26"/>
        <v>541</v>
      </c>
      <c r="C548" s="27" t="s">
        <v>1034</v>
      </c>
      <c r="D548" s="8"/>
      <c r="E548" s="8"/>
      <c r="F548" s="8"/>
      <c r="G548" s="8">
        <v>1350.8016123949767</v>
      </c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>
        <v>1350.8016123949767</v>
      </c>
      <c r="AA548" s="8"/>
      <c r="AB548" s="8"/>
      <c r="AI548">
        <f t="shared" si="27"/>
        <v>541</v>
      </c>
      <c r="AJ548" s="27" t="s">
        <v>1034</v>
      </c>
      <c r="AK548" s="8">
        <v>1350.8016123949767</v>
      </c>
      <c r="AM548">
        <f t="shared" si="28"/>
        <v>541</v>
      </c>
      <c r="AN548" s="27" t="s">
        <v>925</v>
      </c>
      <c r="AO548" s="8">
        <v>1</v>
      </c>
      <c r="AR548" s="27" t="s">
        <v>925</v>
      </c>
      <c r="AS548" s="21">
        <v>480</v>
      </c>
    </row>
    <row r="549" spans="2:45" x14ac:dyDescent="0.35">
      <c r="B549">
        <f t="shared" si="26"/>
        <v>542</v>
      </c>
      <c r="C549" s="27" t="s">
        <v>617</v>
      </c>
      <c r="D549" s="8"/>
      <c r="E549" s="8"/>
      <c r="F549" s="8"/>
      <c r="G549" s="8"/>
      <c r="H549" s="8"/>
      <c r="I549" s="8"/>
      <c r="J549" s="8"/>
      <c r="K549" s="8">
        <v>1349.7630439879497</v>
      </c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>
        <v>1349.7630439879497</v>
      </c>
      <c r="AA549" s="8"/>
      <c r="AB549" s="8"/>
      <c r="AI549">
        <f t="shared" si="27"/>
        <v>542</v>
      </c>
      <c r="AJ549" s="27" t="s">
        <v>617</v>
      </c>
      <c r="AK549" s="8">
        <v>1349.7630439879497</v>
      </c>
      <c r="AM549">
        <f t="shared" si="28"/>
        <v>542</v>
      </c>
      <c r="AN549" s="27" t="s">
        <v>1523</v>
      </c>
      <c r="AO549" s="8">
        <v>1</v>
      </c>
      <c r="AR549" t="s">
        <v>2494</v>
      </c>
      <c r="AS549" s="21">
        <v>475</v>
      </c>
    </row>
    <row r="550" spans="2:45" x14ac:dyDescent="0.35">
      <c r="B550">
        <f t="shared" si="26"/>
        <v>543</v>
      </c>
      <c r="C550" s="27" t="s">
        <v>1641</v>
      </c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>
        <v>1348.9535479811641</v>
      </c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>
        <v>1348.9535479811641</v>
      </c>
      <c r="AA550" s="8"/>
      <c r="AB550" s="8"/>
      <c r="AI550">
        <f t="shared" si="27"/>
        <v>543</v>
      </c>
      <c r="AJ550" s="27" t="s">
        <v>1641</v>
      </c>
      <c r="AK550" s="8">
        <v>1348.9535479811641</v>
      </c>
      <c r="AM550">
        <f t="shared" si="28"/>
        <v>543</v>
      </c>
      <c r="AN550" t="s">
        <v>2340</v>
      </c>
      <c r="AO550" s="8">
        <v>1</v>
      </c>
      <c r="AR550" s="27" t="s">
        <v>1628</v>
      </c>
      <c r="AS550" s="21">
        <v>475</v>
      </c>
    </row>
    <row r="551" spans="2:45" x14ac:dyDescent="0.35">
      <c r="B551">
        <f t="shared" si="26"/>
        <v>544</v>
      </c>
      <c r="C551" s="27" t="s">
        <v>572</v>
      </c>
      <c r="D551" s="8"/>
      <c r="E551" s="8"/>
      <c r="F551" s="8"/>
      <c r="G551" s="8"/>
      <c r="H551" s="8"/>
      <c r="I551" s="8"/>
      <c r="J551" s="8"/>
      <c r="K551" s="8">
        <v>1346.3529744506388</v>
      </c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>
        <v>1346.3529744506388</v>
      </c>
      <c r="AA551" s="8"/>
      <c r="AB551" s="8"/>
      <c r="AI551">
        <f t="shared" si="27"/>
        <v>544</v>
      </c>
      <c r="AJ551" s="27" t="s">
        <v>572</v>
      </c>
      <c r="AK551" s="8">
        <v>1346.3529744506388</v>
      </c>
      <c r="AM551">
        <f t="shared" si="28"/>
        <v>544</v>
      </c>
      <c r="AN551" s="27" t="s">
        <v>1643</v>
      </c>
      <c r="AO551" s="8">
        <v>1</v>
      </c>
      <c r="AR551" t="s">
        <v>2688</v>
      </c>
      <c r="AS551" s="21">
        <v>465</v>
      </c>
    </row>
    <row r="552" spans="2:45" x14ac:dyDescent="0.35">
      <c r="B552">
        <f t="shared" si="26"/>
        <v>545</v>
      </c>
      <c r="C552" t="s">
        <v>2546</v>
      </c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>
        <v>1342.4226808222061</v>
      </c>
      <c r="W552" s="8"/>
      <c r="X552" s="8"/>
      <c r="Y552" s="8"/>
      <c r="Z552" s="8">
        <v>1342.4226808222061</v>
      </c>
      <c r="AA552" s="8"/>
      <c r="AB552" s="8"/>
      <c r="AI552">
        <f t="shared" si="27"/>
        <v>545</v>
      </c>
      <c r="AJ552" t="s">
        <v>2546</v>
      </c>
      <c r="AK552" s="8">
        <v>1342.4226808222061</v>
      </c>
      <c r="AM552">
        <f t="shared" si="28"/>
        <v>545</v>
      </c>
      <c r="AN552" s="27" t="s">
        <v>1577</v>
      </c>
      <c r="AO552" s="8">
        <v>1</v>
      </c>
      <c r="AR552" t="s">
        <v>2327</v>
      </c>
      <c r="AS552" s="21">
        <v>464</v>
      </c>
    </row>
    <row r="553" spans="2:45" x14ac:dyDescent="0.35">
      <c r="B553">
        <f t="shared" si="26"/>
        <v>546</v>
      </c>
      <c r="C553" s="27" t="s">
        <v>1642</v>
      </c>
      <c r="D553" s="8"/>
      <c r="E553" s="8"/>
      <c r="F553" s="8"/>
      <c r="G553" s="8"/>
      <c r="H553" s="8">
        <v>1342.4226808222061</v>
      </c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>
        <v>1342.4226808222061</v>
      </c>
      <c r="AA553" s="8"/>
      <c r="AB553" s="8"/>
      <c r="AI553">
        <f t="shared" si="27"/>
        <v>546</v>
      </c>
      <c r="AJ553" s="27" t="s">
        <v>1642</v>
      </c>
      <c r="AK553" s="8">
        <v>1342.4226808222061</v>
      </c>
      <c r="AM553">
        <f t="shared" si="28"/>
        <v>546</v>
      </c>
      <c r="AN553" t="s">
        <v>2570</v>
      </c>
      <c r="AO553" s="8">
        <v>1</v>
      </c>
      <c r="AR553" s="27" t="s">
        <v>331</v>
      </c>
      <c r="AS553" s="21">
        <v>461</v>
      </c>
    </row>
    <row r="554" spans="2:45" x14ac:dyDescent="0.35">
      <c r="B554">
        <f t="shared" si="26"/>
        <v>547</v>
      </c>
      <c r="C554" s="27" t="s">
        <v>1582</v>
      </c>
      <c r="D554" s="8">
        <v>1337.4592612906563</v>
      </c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>
        <v>1337.4592612906563</v>
      </c>
      <c r="AA554" s="8"/>
      <c r="AB554" s="8"/>
      <c r="AI554">
        <f t="shared" si="27"/>
        <v>547</v>
      </c>
      <c r="AJ554" s="27" t="s">
        <v>1582</v>
      </c>
      <c r="AK554" s="8">
        <v>1337.4592612906563</v>
      </c>
      <c r="AM554">
        <f t="shared" si="28"/>
        <v>547</v>
      </c>
      <c r="AN554" t="s">
        <v>2353</v>
      </c>
      <c r="AO554" s="8">
        <v>1</v>
      </c>
      <c r="AR554" s="27" t="s">
        <v>1619</v>
      </c>
      <c r="AS554" s="21">
        <v>455</v>
      </c>
    </row>
    <row r="555" spans="2:45" x14ac:dyDescent="0.35">
      <c r="B555">
        <f t="shared" si="26"/>
        <v>548</v>
      </c>
      <c r="C555" t="s">
        <v>2676</v>
      </c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>
        <v>1332.4384599156051</v>
      </c>
      <c r="Z555" s="8">
        <v>1332.4384599156051</v>
      </c>
      <c r="AA555" s="8"/>
      <c r="AB555" s="8"/>
      <c r="AI555">
        <f t="shared" si="27"/>
        <v>548</v>
      </c>
      <c r="AJ555" t="s">
        <v>2676</v>
      </c>
      <c r="AK555" s="8">
        <v>1332.4384599156051</v>
      </c>
      <c r="AM555">
        <f t="shared" si="28"/>
        <v>548</v>
      </c>
      <c r="AN555" t="s">
        <v>2577</v>
      </c>
      <c r="AO555" s="8">
        <v>1</v>
      </c>
      <c r="AR555" s="27" t="s">
        <v>1644</v>
      </c>
      <c r="AS555" s="21">
        <v>450</v>
      </c>
    </row>
    <row r="556" spans="2:45" x14ac:dyDescent="0.35">
      <c r="B556">
        <f t="shared" si="26"/>
        <v>549</v>
      </c>
      <c r="C556" t="s">
        <v>2642</v>
      </c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>
        <v>1322.2192947339192</v>
      </c>
      <c r="Y556" s="8"/>
      <c r="Z556" s="8">
        <v>1322.2192947339192</v>
      </c>
      <c r="AA556" s="8"/>
      <c r="AB556" s="8"/>
      <c r="AI556">
        <f t="shared" si="27"/>
        <v>549</v>
      </c>
      <c r="AJ556" t="s">
        <v>2642</v>
      </c>
      <c r="AK556" s="8">
        <v>1322.2192947339192</v>
      </c>
      <c r="AM556">
        <f t="shared" si="28"/>
        <v>549</v>
      </c>
      <c r="AN556" s="27" t="s">
        <v>1307</v>
      </c>
      <c r="AO556" s="8">
        <v>1</v>
      </c>
      <c r="AR556" s="27" t="s">
        <v>573</v>
      </c>
      <c r="AS556" s="21">
        <v>443</v>
      </c>
    </row>
    <row r="557" spans="2:45" x14ac:dyDescent="0.35">
      <c r="B557">
        <f t="shared" si="26"/>
        <v>550</v>
      </c>
      <c r="C557" s="27" t="s">
        <v>182</v>
      </c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>
        <v>1317.0181010481117</v>
      </c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>
        <v>1317.0181010481117</v>
      </c>
      <c r="AA557" s="8"/>
      <c r="AB557" s="8"/>
      <c r="AI557">
        <f t="shared" si="27"/>
        <v>550</v>
      </c>
      <c r="AJ557" s="27" t="s">
        <v>182</v>
      </c>
      <c r="AK557" s="8">
        <v>1317.0181010481117</v>
      </c>
      <c r="AM557">
        <f t="shared" si="28"/>
        <v>550</v>
      </c>
      <c r="AN557" t="s">
        <v>2585</v>
      </c>
      <c r="AO557" s="8">
        <v>1</v>
      </c>
      <c r="AR557" s="27" t="s">
        <v>1643</v>
      </c>
      <c r="AS557" s="21">
        <v>439</v>
      </c>
    </row>
    <row r="558" spans="2:45" x14ac:dyDescent="0.35">
      <c r="B558">
        <f t="shared" si="26"/>
        <v>551</v>
      </c>
      <c r="C558" s="27" t="s">
        <v>1584</v>
      </c>
      <c r="D558" s="8"/>
      <c r="E558" s="8"/>
      <c r="F558" s="8"/>
      <c r="G558" s="8"/>
      <c r="H558" s="8"/>
      <c r="I558" s="8"/>
      <c r="J558" s="8">
        <v>1314.3939572219626</v>
      </c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>
        <v>1314.3939572219626</v>
      </c>
      <c r="AA558" s="8"/>
      <c r="AB558" s="8"/>
      <c r="AI558">
        <f t="shared" si="27"/>
        <v>551</v>
      </c>
      <c r="AJ558" s="27" t="s">
        <v>1584</v>
      </c>
      <c r="AK558" s="8">
        <v>1314.3939572219626</v>
      </c>
      <c r="AM558">
        <f t="shared" si="28"/>
        <v>551</v>
      </c>
      <c r="AN558" s="27" t="s">
        <v>1414</v>
      </c>
      <c r="AO558" s="8">
        <v>1</v>
      </c>
      <c r="AR558" s="27" t="s">
        <v>1625</v>
      </c>
      <c r="AS558" s="21">
        <v>435</v>
      </c>
    </row>
    <row r="559" spans="2:45" x14ac:dyDescent="0.35">
      <c r="B559">
        <f t="shared" si="26"/>
        <v>552</v>
      </c>
      <c r="C559" s="27" t="s">
        <v>1490</v>
      </c>
      <c r="D559" s="8"/>
      <c r="E559" s="8">
        <v>1313.8672203691533</v>
      </c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>
        <v>1313.8672203691533</v>
      </c>
      <c r="AA559" s="8"/>
      <c r="AB559" s="8"/>
      <c r="AI559">
        <f t="shared" si="27"/>
        <v>552</v>
      </c>
      <c r="AJ559" s="27" t="s">
        <v>1490</v>
      </c>
      <c r="AK559" s="8">
        <v>1313.8672203691533</v>
      </c>
      <c r="AM559">
        <f t="shared" si="28"/>
        <v>552</v>
      </c>
      <c r="AN559" t="s">
        <v>2606</v>
      </c>
      <c r="AO559" s="8">
        <v>1</v>
      </c>
      <c r="AR559" s="27" t="s">
        <v>1034</v>
      </c>
      <c r="AS559" s="21">
        <v>435</v>
      </c>
    </row>
    <row r="560" spans="2:45" x14ac:dyDescent="0.35">
      <c r="B560">
        <f t="shared" si="26"/>
        <v>553</v>
      </c>
      <c r="C560" t="s">
        <v>2572</v>
      </c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>
        <v>1311.7538610557542</v>
      </c>
      <c r="X560" s="8"/>
      <c r="Y560" s="8"/>
      <c r="Z560" s="8">
        <v>1311.7538610557542</v>
      </c>
      <c r="AA560" s="8"/>
      <c r="AB560" s="8"/>
      <c r="AI560">
        <f t="shared" si="27"/>
        <v>553</v>
      </c>
      <c r="AJ560" t="s">
        <v>2572</v>
      </c>
      <c r="AK560" s="8">
        <v>1311.7538610557542</v>
      </c>
      <c r="AM560">
        <f t="shared" si="28"/>
        <v>553</v>
      </c>
      <c r="AN560" t="s">
        <v>2381</v>
      </c>
      <c r="AO560" s="8">
        <v>1</v>
      </c>
      <c r="AR560" s="27" t="s">
        <v>1692</v>
      </c>
      <c r="AS560" s="21">
        <v>431</v>
      </c>
    </row>
    <row r="561" spans="2:45" x14ac:dyDescent="0.35">
      <c r="B561">
        <f t="shared" si="26"/>
        <v>554</v>
      </c>
      <c r="C561" s="27" t="s">
        <v>1643</v>
      </c>
      <c r="D561" s="8"/>
      <c r="E561" s="8">
        <v>1308.2085802911047</v>
      </c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>
        <v>1308.2085802911047</v>
      </c>
      <c r="AA561" s="8"/>
      <c r="AB561" s="8"/>
      <c r="AI561">
        <f t="shared" si="27"/>
        <v>554</v>
      </c>
      <c r="AJ561" s="27" t="s">
        <v>1643</v>
      </c>
      <c r="AK561" s="8">
        <v>1308.2085802911047</v>
      </c>
      <c r="AM561">
        <f t="shared" si="28"/>
        <v>554</v>
      </c>
      <c r="AN561" t="s">
        <v>2615</v>
      </c>
      <c r="AO561" s="8">
        <v>1</v>
      </c>
      <c r="AR561" s="27" t="s">
        <v>1693</v>
      </c>
      <c r="AS561" s="21">
        <v>431</v>
      </c>
    </row>
    <row r="562" spans="2:45" x14ac:dyDescent="0.35">
      <c r="B562">
        <f t="shared" si="26"/>
        <v>555</v>
      </c>
      <c r="C562" s="27" t="s">
        <v>1644</v>
      </c>
      <c r="D562" s="8"/>
      <c r="E562" s="8"/>
      <c r="F562" s="8"/>
      <c r="G562" s="8">
        <v>1301.0299956639813</v>
      </c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>
        <v>1301.0299956639813</v>
      </c>
      <c r="AA562" s="8"/>
      <c r="AB562" s="8"/>
      <c r="AI562">
        <f t="shared" si="27"/>
        <v>555</v>
      </c>
      <c r="AJ562" s="27" t="s">
        <v>1644</v>
      </c>
      <c r="AK562" s="8">
        <v>1301.0299956639813</v>
      </c>
      <c r="AM562">
        <f t="shared" si="28"/>
        <v>555</v>
      </c>
      <c r="AN562" t="s">
        <v>2380</v>
      </c>
      <c r="AO562" s="8">
        <v>1</v>
      </c>
      <c r="AR562" s="27" t="s">
        <v>1695</v>
      </c>
      <c r="AS562" s="21">
        <v>429</v>
      </c>
    </row>
    <row r="563" spans="2:45" x14ac:dyDescent="0.35">
      <c r="B563">
        <f t="shared" si="26"/>
        <v>556</v>
      </c>
      <c r="C563" t="s">
        <v>2493</v>
      </c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>
        <v>1301.029995663981</v>
      </c>
      <c r="U563" s="8"/>
      <c r="V563" s="8"/>
      <c r="W563" s="8"/>
      <c r="X563" s="8"/>
      <c r="Y563" s="8"/>
      <c r="Z563" s="8">
        <v>1301.029995663981</v>
      </c>
      <c r="AA563" s="8"/>
      <c r="AB563" s="8"/>
      <c r="AI563">
        <f t="shared" si="27"/>
        <v>556</v>
      </c>
      <c r="AJ563" t="s">
        <v>2493</v>
      </c>
      <c r="AK563" s="8">
        <v>1301.029995663981</v>
      </c>
      <c r="AM563">
        <f t="shared" si="28"/>
        <v>556</v>
      </c>
      <c r="AN563" t="s">
        <v>2624</v>
      </c>
      <c r="AO563" s="8">
        <v>1</v>
      </c>
      <c r="AR563" s="27" t="s">
        <v>1686</v>
      </c>
      <c r="AS563" s="21">
        <v>429</v>
      </c>
    </row>
    <row r="564" spans="2:45" x14ac:dyDescent="0.35">
      <c r="B564">
        <f t="shared" si="26"/>
        <v>557</v>
      </c>
      <c r="C564" s="27" t="s">
        <v>1645</v>
      </c>
      <c r="D564" s="8"/>
      <c r="E564" s="8"/>
      <c r="F564" s="8">
        <v>1301.029995663981</v>
      </c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>
        <v>1301.029995663981</v>
      </c>
      <c r="AA564" s="8"/>
      <c r="AB564" s="8"/>
      <c r="AI564">
        <f t="shared" si="27"/>
        <v>557</v>
      </c>
      <c r="AJ564" s="27" t="s">
        <v>1645</v>
      </c>
      <c r="AK564" s="8">
        <v>1301.029995663981</v>
      </c>
      <c r="AM564">
        <f t="shared" si="28"/>
        <v>557</v>
      </c>
      <c r="AN564" s="27" t="s">
        <v>426</v>
      </c>
      <c r="AO564" s="8">
        <v>1</v>
      </c>
      <c r="AR564" t="s">
        <v>2628</v>
      </c>
      <c r="AS564" s="21">
        <v>426</v>
      </c>
    </row>
    <row r="565" spans="2:45" x14ac:dyDescent="0.35">
      <c r="B565">
        <f t="shared" si="26"/>
        <v>558</v>
      </c>
      <c r="C565" s="27" t="s">
        <v>1185</v>
      </c>
      <c r="D565" s="8"/>
      <c r="E565" s="8"/>
      <c r="F565" s="8">
        <v>1299.0514296818933</v>
      </c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>
        <v>1299.0514296818933</v>
      </c>
      <c r="AA565" s="8"/>
      <c r="AB565" s="8"/>
      <c r="AI565">
        <f t="shared" si="27"/>
        <v>558</v>
      </c>
      <c r="AJ565" s="27" t="s">
        <v>1185</v>
      </c>
      <c r="AK565" s="8">
        <v>1299.0514296818933</v>
      </c>
      <c r="AM565">
        <f t="shared" si="28"/>
        <v>558</v>
      </c>
      <c r="AN565" t="s">
        <v>2634</v>
      </c>
      <c r="AO565" s="8">
        <v>1</v>
      </c>
      <c r="AR565" s="27" t="s">
        <v>1025</v>
      </c>
      <c r="AS565" s="21">
        <v>426</v>
      </c>
    </row>
    <row r="566" spans="2:45" x14ac:dyDescent="0.35">
      <c r="B566">
        <f t="shared" si="26"/>
        <v>559</v>
      </c>
      <c r="C566" s="27" t="s">
        <v>1036</v>
      </c>
      <c r="D566" s="8"/>
      <c r="E566" s="8"/>
      <c r="F566" s="8"/>
      <c r="G566" s="8">
        <v>1292.80966541729</v>
      </c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>
        <v>1292.80966541729</v>
      </c>
      <c r="AA566" s="8"/>
      <c r="AB566" s="8"/>
      <c r="AI566">
        <f t="shared" si="27"/>
        <v>559</v>
      </c>
      <c r="AJ566" s="27" t="s">
        <v>1036</v>
      </c>
      <c r="AK566" s="8">
        <v>1292.80966541729</v>
      </c>
      <c r="AM566">
        <f t="shared" si="28"/>
        <v>559</v>
      </c>
      <c r="AN566" s="27" t="s">
        <v>1588</v>
      </c>
      <c r="AO566" s="8">
        <v>1</v>
      </c>
      <c r="AR566" s="27" t="s">
        <v>590</v>
      </c>
      <c r="AS566" s="21">
        <v>425</v>
      </c>
    </row>
    <row r="567" spans="2:45" x14ac:dyDescent="0.35">
      <c r="B567">
        <f t="shared" si="26"/>
        <v>560</v>
      </c>
      <c r="C567" t="s">
        <v>2650</v>
      </c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>
        <v>1292.256071356476</v>
      </c>
      <c r="Y567" s="8"/>
      <c r="Z567" s="8">
        <v>1292.256071356476</v>
      </c>
      <c r="AA567" s="8"/>
      <c r="AB567" s="8"/>
      <c r="AI567">
        <f t="shared" si="27"/>
        <v>560</v>
      </c>
      <c r="AJ567" t="s">
        <v>2650</v>
      </c>
      <c r="AK567" s="8">
        <v>1292.256071356476</v>
      </c>
      <c r="AM567">
        <f t="shared" si="28"/>
        <v>560</v>
      </c>
      <c r="AN567" t="s">
        <v>2642</v>
      </c>
      <c r="AO567" s="8">
        <v>1</v>
      </c>
      <c r="AR567" t="s">
        <v>2406</v>
      </c>
      <c r="AS567" s="21">
        <v>422</v>
      </c>
    </row>
    <row r="568" spans="2:45" x14ac:dyDescent="0.35">
      <c r="B568">
        <f t="shared" si="26"/>
        <v>561</v>
      </c>
      <c r="C568" t="s">
        <v>2389</v>
      </c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>
        <v>1290.0346113625178</v>
      </c>
      <c r="T568" s="8"/>
      <c r="U568" s="8"/>
      <c r="V568" s="8"/>
      <c r="W568" s="8"/>
      <c r="X568" s="8"/>
      <c r="Y568" s="8"/>
      <c r="Z568" s="8">
        <v>1290.0346113625178</v>
      </c>
      <c r="AA568" s="8"/>
      <c r="AB568" s="8"/>
      <c r="AI568">
        <f t="shared" si="27"/>
        <v>561</v>
      </c>
      <c r="AJ568" t="s">
        <v>2389</v>
      </c>
      <c r="AK568" s="8">
        <v>1290.0346113625178</v>
      </c>
      <c r="AM568">
        <f t="shared" si="28"/>
        <v>561</v>
      </c>
      <c r="AN568" t="s">
        <v>2371</v>
      </c>
      <c r="AO568" s="8">
        <v>1</v>
      </c>
      <c r="AR568" s="27" t="s">
        <v>1457</v>
      </c>
      <c r="AS568" s="21">
        <v>420</v>
      </c>
    </row>
    <row r="569" spans="2:45" x14ac:dyDescent="0.35">
      <c r="B569">
        <f t="shared" si="26"/>
        <v>562</v>
      </c>
      <c r="C569" s="27" t="s">
        <v>909</v>
      </c>
      <c r="D569" s="8"/>
      <c r="E569" s="8"/>
      <c r="F569" s="8"/>
      <c r="G569" s="8"/>
      <c r="H569" s="8">
        <v>1290.0346113625178</v>
      </c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>
        <v>1290.0346113625178</v>
      </c>
      <c r="AA569" s="8"/>
      <c r="AB569" s="8"/>
      <c r="AI569">
        <f t="shared" si="27"/>
        <v>562</v>
      </c>
      <c r="AJ569" s="27" t="s">
        <v>909</v>
      </c>
      <c r="AK569" s="8">
        <v>1290.0346113625178</v>
      </c>
      <c r="AM569">
        <f t="shared" si="28"/>
        <v>562</v>
      </c>
      <c r="AN569" t="s">
        <v>2650</v>
      </c>
      <c r="AO569" s="8">
        <v>1</v>
      </c>
      <c r="AR569" t="s">
        <v>2385</v>
      </c>
      <c r="AS569" s="21">
        <v>420</v>
      </c>
    </row>
    <row r="570" spans="2:45" x14ac:dyDescent="0.35">
      <c r="B570">
        <f t="shared" si="26"/>
        <v>563</v>
      </c>
      <c r="C570" t="s">
        <v>2376</v>
      </c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>
        <v>1275.4758911915931</v>
      </c>
      <c r="S570" s="8"/>
      <c r="T570" s="8"/>
      <c r="U570" s="8"/>
      <c r="V570" s="8"/>
      <c r="W570" s="8"/>
      <c r="X570" s="8"/>
      <c r="Y570" s="8"/>
      <c r="Z570" s="8">
        <v>1275.4758911915931</v>
      </c>
      <c r="AA570" s="8"/>
      <c r="AB570" s="8"/>
      <c r="AI570">
        <f t="shared" si="27"/>
        <v>563</v>
      </c>
      <c r="AJ570" t="s">
        <v>2376</v>
      </c>
      <c r="AK570" s="8">
        <v>1275.4758911915931</v>
      </c>
      <c r="AM570">
        <f t="shared" si="28"/>
        <v>563</v>
      </c>
      <c r="AN570" s="27" t="s">
        <v>1502</v>
      </c>
      <c r="AO570" s="8">
        <v>1</v>
      </c>
      <c r="AR570" s="27" t="s">
        <v>626</v>
      </c>
      <c r="AS570" s="21">
        <v>420</v>
      </c>
    </row>
    <row r="571" spans="2:45" x14ac:dyDescent="0.35">
      <c r="B571">
        <f t="shared" si="26"/>
        <v>564</v>
      </c>
      <c r="C571" s="27" t="s">
        <v>1470</v>
      </c>
      <c r="D571" s="8"/>
      <c r="E571" s="8">
        <v>1272.474535210928</v>
      </c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>
        <v>1272.474535210928</v>
      </c>
      <c r="AA571" s="8"/>
      <c r="AB571" s="8"/>
      <c r="AI571">
        <f t="shared" si="27"/>
        <v>564</v>
      </c>
      <c r="AJ571" s="27" t="s">
        <v>1470</v>
      </c>
      <c r="AK571" s="8">
        <v>1272.474535210928</v>
      </c>
      <c r="AM571">
        <f t="shared" si="28"/>
        <v>564</v>
      </c>
      <c r="AN571" t="s">
        <v>2678</v>
      </c>
      <c r="AO571" s="8">
        <v>1</v>
      </c>
      <c r="AR571" s="27" t="s">
        <v>548</v>
      </c>
      <c r="AS571" s="21">
        <v>415</v>
      </c>
    </row>
    <row r="572" spans="2:45" x14ac:dyDescent="0.35">
      <c r="B572">
        <f t="shared" si="26"/>
        <v>565</v>
      </c>
      <c r="C572" s="27" t="s">
        <v>573</v>
      </c>
      <c r="D572" s="8"/>
      <c r="E572" s="8"/>
      <c r="F572" s="8"/>
      <c r="G572" s="8"/>
      <c r="H572" s="8"/>
      <c r="I572" s="8"/>
      <c r="J572" s="8"/>
      <c r="K572" s="8">
        <v>1267.171728403014</v>
      </c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>
        <v>1267.171728403014</v>
      </c>
      <c r="AA572" s="8"/>
      <c r="AB572" s="8"/>
      <c r="AI572">
        <f t="shared" si="27"/>
        <v>565</v>
      </c>
      <c r="AJ572" s="27" t="s">
        <v>573</v>
      </c>
      <c r="AK572" s="8">
        <v>1267.171728403014</v>
      </c>
      <c r="AM572">
        <f t="shared" si="28"/>
        <v>565</v>
      </c>
      <c r="AN572" t="s">
        <v>2376</v>
      </c>
      <c r="AO572" s="8">
        <v>1</v>
      </c>
      <c r="AR572" s="27" t="s">
        <v>1690</v>
      </c>
      <c r="AS572" s="21">
        <v>412</v>
      </c>
    </row>
    <row r="573" spans="2:45" x14ac:dyDescent="0.35">
      <c r="B573">
        <f t="shared" si="26"/>
        <v>566</v>
      </c>
      <c r="C573" s="27" t="s">
        <v>1646</v>
      </c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>
        <v>1267.1717284030137</v>
      </c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>
        <v>1267.1717284030137</v>
      </c>
      <c r="AA573" s="8"/>
      <c r="AB573" s="8"/>
      <c r="AI573">
        <f t="shared" si="27"/>
        <v>566</v>
      </c>
      <c r="AJ573" s="27" t="s">
        <v>1646</v>
      </c>
      <c r="AK573" s="8">
        <v>1267.1717284030137</v>
      </c>
      <c r="AM573">
        <f t="shared" si="28"/>
        <v>566</v>
      </c>
      <c r="AN573" t="s">
        <v>2682</v>
      </c>
      <c r="AO573" s="8">
        <v>1</v>
      </c>
      <c r="AR573" s="27" t="s">
        <v>1598</v>
      </c>
      <c r="AS573" s="21">
        <v>410</v>
      </c>
    </row>
    <row r="574" spans="2:45" x14ac:dyDescent="0.35">
      <c r="B574">
        <f t="shared" si="26"/>
        <v>567</v>
      </c>
      <c r="C574" t="s">
        <v>2371</v>
      </c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>
        <v>1263.2414347745814</v>
      </c>
      <c r="S574" s="8"/>
      <c r="T574" s="8"/>
      <c r="U574" s="8"/>
      <c r="V574" s="8"/>
      <c r="W574" s="8"/>
      <c r="X574" s="8"/>
      <c r="Y574" s="8"/>
      <c r="Z574" s="8">
        <v>1263.2414347745814</v>
      </c>
      <c r="AA574" s="8"/>
      <c r="AB574" s="8"/>
      <c r="AI574">
        <f t="shared" si="27"/>
        <v>567</v>
      </c>
      <c r="AJ574" t="s">
        <v>2371</v>
      </c>
      <c r="AK574" s="8">
        <v>1263.2414347745814</v>
      </c>
      <c r="AM574">
        <f t="shared" si="28"/>
        <v>567</v>
      </c>
      <c r="AN574" t="s">
        <v>2377</v>
      </c>
      <c r="AO574" s="8">
        <v>1</v>
      </c>
      <c r="AR574" t="s">
        <v>2606</v>
      </c>
      <c r="AS574" s="21">
        <v>408</v>
      </c>
    </row>
    <row r="575" spans="2:45" x14ac:dyDescent="0.35">
      <c r="B575">
        <f t="shared" si="26"/>
        <v>568</v>
      </c>
      <c r="C575" t="s">
        <v>2387</v>
      </c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>
        <v>573.06401783911895</v>
      </c>
      <c r="T575" s="8">
        <v>690.10562085580295</v>
      </c>
      <c r="U575" s="8"/>
      <c r="V575" s="8"/>
      <c r="W575" s="8"/>
      <c r="X575" s="8"/>
      <c r="Y575" s="8"/>
      <c r="Z575" s="8">
        <v>1263.169638694922</v>
      </c>
      <c r="AA575" s="8"/>
      <c r="AB575" s="8"/>
      <c r="AI575">
        <f t="shared" si="27"/>
        <v>568</v>
      </c>
      <c r="AJ575" t="s">
        <v>2387</v>
      </c>
      <c r="AK575" s="8">
        <v>1263.169638694922</v>
      </c>
      <c r="AM575">
        <f t="shared" si="28"/>
        <v>568</v>
      </c>
      <c r="AN575" t="s">
        <v>2688</v>
      </c>
      <c r="AO575" s="8">
        <v>1</v>
      </c>
      <c r="AR575" t="s">
        <v>2471</v>
      </c>
      <c r="AS575" s="21">
        <v>407</v>
      </c>
    </row>
    <row r="576" spans="2:45" x14ac:dyDescent="0.35">
      <c r="B576">
        <f t="shared" si="26"/>
        <v>569</v>
      </c>
      <c r="C576" s="27" t="s">
        <v>1067</v>
      </c>
      <c r="D576" s="8"/>
      <c r="E576" s="8"/>
      <c r="F576" s="8"/>
      <c r="G576" s="8">
        <v>1259.2752475569798</v>
      </c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>
        <v>1259.2752475569798</v>
      </c>
      <c r="AA576" s="8"/>
      <c r="AB576" s="8"/>
      <c r="AI576">
        <f t="shared" si="27"/>
        <v>569</v>
      </c>
      <c r="AJ576" s="27" t="s">
        <v>1067</v>
      </c>
      <c r="AK576" s="8">
        <v>1259.2752475569798</v>
      </c>
      <c r="AM576">
        <f t="shared" si="28"/>
        <v>569</v>
      </c>
      <c r="AN576" t="s">
        <v>2385</v>
      </c>
      <c r="AO576" s="8">
        <v>1</v>
      </c>
      <c r="AR576" t="s">
        <v>2681</v>
      </c>
      <c r="AS576" s="21">
        <v>405</v>
      </c>
    </row>
    <row r="577" spans="2:45" x14ac:dyDescent="0.35">
      <c r="B577">
        <f t="shared" si="26"/>
        <v>570</v>
      </c>
      <c r="C577" t="s">
        <v>2416</v>
      </c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>
        <v>1255.2725051033062</v>
      </c>
      <c r="T577" s="8"/>
      <c r="U577" s="8"/>
      <c r="V577" s="8"/>
      <c r="W577" s="8"/>
      <c r="X577" s="8"/>
      <c r="Y577" s="8"/>
      <c r="Z577" s="8">
        <v>1255.2725051033062</v>
      </c>
      <c r="AA577" s="8"/>
      <c r="AB577" s="8"/>
      <c r="AI577">
        <f t="shared" si="27"/>
        <v>570</v>
      </c>
      <c r="AJ577" t="s">
        <v>2416</v>
      </c>
      <c r="AK577" s="8">
        <v>1255.2725051033062</v>
      </c>
      <c r="AM577">
        <f t="shared" si="28"/>
        <v>570</v>
      </c>
      <c r="AN577" t="s">
        <v>2683</v>
      </c>
      <c r="AO577" s="8">
        <v>1</v>
      </c>
      <c r="AR577" s="27" t="s">
        <v>1579</v>
      </c>
      <c r="AS577" s="21">
        <v>400</v>
      </c>
    </row>
    <row r="578" spans="2:45" x14ac:dyDescent="0.35">
      <c r="B578">
        <f t="shared" si="26"/>
        <v>571</v>
      </c>
      <c r="C578" s="27" t="s">
        <v>1586</v>
      </c>
      <c r="D578" s="8"/>
      <c r="E578" s="8"/>
      <c r="F578" s="8"/>
      <c r="G578" s="8">
        <v>1255.272505103306</v>
      </c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>
        <v>1255.272505103306</v>
      </c>
      <c r="AA578" s="8"/>
      <c r="AB578" s="8"/>
      <c r="AI578">
        <f t="shared" si="27"/>
        <v>571</v>
      </c>
      <c r="AJ578" s="27" t="s">
        <v>1586</v>
      </c>
      <c r="AK578" s="8">
        <v>1255.272505103306</v>
      </c>
      <c r="AM578">
        <f t="shared" si="28"/>
        <v>571</v>
      </c>
      <c r="AN578" s="27" t="s">
        <v>1125</v>
      </c>
      <c r="AO578" s="8">
        <v>1</v>
      </c>
      <c r="AR578" s="27" t="s">
        <v>432</v>
      </c>
      <c r="AS578" s="21">
        <v>400</v>
      </c>
    </row>
    <row r="579" spans="2:45" x14ac:dyDescent="0.35">
      <c r="B579">
        <f t="shared" si="26"/>
        <v>572</v>
      </c>
      <c r="C579" s="27" t="s">
        <v>1484</v>
      </c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>
        <v>1255.272505103306</v>
      </c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>
        <v>1255.272505103306</v>
      </c>
      <c r="AA579" s="8"/>
      <c r="AB579" s="8"/>
      <c r="AI579">
        <f t="shared" si="27"/>
        <v>572</v>
      </c>
      <c r="AJ579" s="27" t="s">
        <v>1484</v>
      </c>
      <c r="AK579" s="8">
        <v>1255.272505103306</v>
      </c>
      <c r="AM579">
        <f t="shared" si="28"/>
        <v>572</v>
      </c>
      <c r="AN579" t="s">
        <v>2485</v>
      </c>
      <c r="AO579" s="8">
        <v>1</v>
      </c>
      <c r="AR579" s="27" t="s">
        <v>1104</v>
      </c>
      <c r="AS579" s="21">
        <v>400</v>
      </c>
    </row>
    <row r="580" spans="2:45" x14ac:dyDescent="0.35">
      <c r="B580">
        <f t="shared" si="26"/>
        <v>573</v>
      </c>
      <c r="C580" s="27" t="s">
        <v>1419</v>
      </c>
      <c r="D580" s="8">
        <v>1255.272505103306</v>
      </c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>
        <v>1255.272505103306</v>
      </c>
      <c r="AA580" s="8"/>
      <c r="AB580" s="8"/>
      <c r="AI580">
        <f t="shared" si="27"/>
        <v>573</v>
      </c>
      <c r="AJ580" s="27" t="s">
        <v>1419</v>
      </c>
      <c r="AK580" s="8">
        <v>1255.272505103306</v>
      </c>
      <c r="AM580">
        <f t="shared" si="28"/>
        <v>573</v>
      </c>
      <c r="AN580" t="s">
        <v>2389</v>
      </c>
      <c r="AO580" s="8">
        <v>1</v>
      </c>
      <c r="AR580" s="27" t="s">
        <v>743</v>
      </c>
      <c r="AS580" s="21">
        <v>400</v>
      </c>
    </row>
    <row r="581" spans="2:45" x14ac:dyDescent="0.35">
      <c r="B581">
        <f t="shared" si="26"/>
        <v>574</v>
      </c>
      <c r="C581" s="27" t="s">
        <v>780</v>
      </c>
      <c r="D581" s="8"/>
      <c r="E581" s="8"/>
      <c r="F581" s="8"/>
      <c r="G581" s="8"/>
      <c r="H581" s="8"/>
      <c r="I581" s="8">
        <v>1246.1291256634361</v>
      </c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>
        <v>1246.1291256634361</v>
      </c>
      <c r="AA581" s="8"/>
      <c r="AB581" s="8"/>
      <c r="AI581">
        <f t="shared" si="27"/>
        <v>574</v>
      </c>
      <c r="AJ581" s="27" t="s">
        <v>780</v>
      </c>
      <c r="AK581" s="8">
        <v>1246.1291256634361</v>
      </c>
      <c r="AM581">
        <f t="shared" si="28"/>
        <v>574</v>
      </c>
      <c r="AN581" s="27" t="s">
        <v>1565</v>
      </c>
      <c r="AO581" s="8">
        <v>1</v>
      </c>
      <c r="AR581" s="27" t="s">
        <v>1324</v>
      </c>
      <c r="AS581" s="21">
        <v>396</v>
      </c>
    </row>
    <row r="582" spans="2:45" x14ac:dyDescent="0.35">
      <c r="B582">
        <f t="shared" si="26"/>
        <v>575</v>
      </c>
      <c r="C582" s="27" t="s">
        <v>1647</v>
      </c>
      <c r="D582" s="8"/>
      <c r="E582" s="8"/>
      <c r="F582" s="8"/>
      <c r="G582" s="8"/>
      <c r="H582" s="8"/>
      <c r="I582" s="8">
        <v>1243.0380486862944</v>
      </c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>
        <v>1243.0380486862944</v>
      </c>
      <c r="AA582" s="8"/>
      <c r="AB582" s="8"/>
      <c r="AI582">
        <f t="shared" si="27"/>
        <v>575</v>
      </c>
      <c r="AJ582" s="27" t="s">
        <v>1647</v>
      </c>
      <c r="AK582" s="8">
        <v>1243.0380486862944</v>
      </c>
      <c r="AM582">
        <f t="shared" si="28"/>
        <v>575</v>
      </c>
      <c r="AN582" t="s">
        <v>2392</v>
      </c>
      <c r="AO582" s="8">
        <v>1</v>
      </c>
      <c r="AR582" t="s">
        <v>2587</v>
      </c>
      <c r="AS582" s="21">
        <v>390</v>
      </c>
    </row>
    <row r="583" spans="2:45" x14ac:dyDescent="0.35">
      <c r="B583">
        <f t="shared" si="26"/>
        <v>576</v>
      </c>
      <c r="C583" s="27" t="s">
        <v>1128</v>
      </c>
      <c r="D583" s="8"/>
      <c r="E583" s="8"/>
      <c r="F583" s="8">
        <v>1241.6571429699088</v>
      </c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>
        <v>1241.6571429699088</v>
      </c>
      <c r="AA583" s="8"/>
      <c r="AB583" s="8"/>
      <c r="AI583">
        <f t="shared" si="27"/>
        <v>576</v>
      </c>
      <c r="AJ583" s="27" t="s">
        <v>1128</v>
      </c>
      <c r="AK583" s="8">
        <v>1241.6571429699088</v>
      </c>
      <c r="AM583">
        <f t="shared" si="28"/>
        <v>576</v>
      </c>
      <c r="AN583" t="s">
        <v>2503</v>
      </c>
      <c r="AO583" s="8">
        <v>1</v>
      </c>
      <c r="AR583" s="27" t="s">
        <v>1549</v>
      </c>
      <c r="AS583" s="21">
        <v>390</v>
      </c>
    </row>
    <row r="584" spans="2:45" x14ac:dyDescent="0.35">
      <c r="B584">
        <f t="shared" si="26"/>
        <v>577</v>
      </c>
      <c r="C584" s="27" t="s">
        <v>1588</v>
      </c>
      <c r="D584" s="8">
        <v>1240.5492482825996</v>
      </c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>
        <v>1240.5492482825996</v>
      </c>
      <c r="AA584" s="8"/>
      <c r="AB584" s="8"/>
      <c r="AI584">
        <f t="shared" si="27"/>
        <v>577</v>
      </c>
      <c r="AJ584" s="27" t="s">
        <v>1588</v>
      </c>
      <c r="AK584" s="8">
        <v>1240.5492482825996</v>
      </c>
      <c r="AM584">
        <f t="shared" si="28"/>
        <v>577</v>
      </c>
      <c r="AN584" s="27" t="s">
        <v>1383</v>
      </c>
      <c r="AO584" s="8">
        <v>1</v>
      </c>
      <c r="AR584" t="s">
        <v>2457</v>
      </c>
      <c r="AS584" s="21">
        <v>387</v>
      </c>
    </row>
    <row r="585" spans="2:45" x14ac:dyDescent="0.35">
      <c r="B585">
        <f t="shared" si="26"/>
        <v>578</v>
      </c>
      <c r="C585" s="27" t="s">
        <v>1498</v>
      </c>
      <c r="D585" s="8"/>
      <c r="E585" s="8">
        <v>1234.6859743215284</v>
      </c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>
        <v>1234.6859743215284</v>
      </c>
      <c r="AA585" s="8"/>
      <c r="AB585" s="8"/>
      <c r="AI585">
        <f t="shared" si="27"/>
        <v>578</v>
      </c>
      <c r="AJ585" s="27" t="s">
        <v>1498</v>
      </c>
      <c r="AK585" s="8">
        <v>1234.6859743215284</v>
      </c>
      <c r="AM585">
        <f t="shared" si="28"/>
        <v>578</v>
      </c>
      <c r="AN585" s="27" t="s">
        <v>1681</v>
      </c>
      <c r="AO585" s="8">
        <v>1</v>
      </c>
      <c r="AR585" t="s">
        <v>2504</v>
      </c>
      <c r="AS585" s="21">
        <v>386</v>
      </c>
    </row>
    <row r="586" spans="2:45" x14ac:dyDescent="0.35">
      <c r="B586">
        <f t="shared" ref="B586:B649" si="29">B585+1</f>
        <v>579</v>
      </c>
      <c r="C586" s="27" t="s">
        <v>1497</v>
      </c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>
        <v>1234.6859743215284</v>
      </c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>
        <v>1234.6859743215284</v>
      </c>
      <c r="AA586" s="8"/>
      <c r="AB586" s="8"/>
      <c r="AI586">
        <f t="shared" ref="AI586:AI649" si="30">AI585+1</f>
        <v>579</v>
      </c>
      <c r="AJ586" s="27" t="s">
        <v>1497</v>
      </c>
      <c r="AK586" s="8">
        <v>1234.6859743215284</v>
      </c>
      <c r="AM586">
        <f t="shared" ref="AM586:AM649" si="31">AM585+1</f>
        <v>579</v>
      </c>
      <c r="AN586" s="27" t="s">
        <v>1188</v>
      </c>
      <c r="AO586" s="8">
        <v>1</v>
      </c>
      <c r="AR586" t="s">
        <v>2309</v>
      </c>
      <c r="AS586" s="21">
        <v>385</v>
      </c>
    </row>
    <row r="587" spans="2:45" x14ac:dyDescent="0.35">
      <c r="B587">
        <f t="shared" si="29"/>
        <v>580</v>
      </c>
      <c r="C587" s="27" t="s">
        <v>928</v>
      </c>
      <c r="D587" s="8"/>
      <c r="E587" s="8"/>
      <c r="F587" s="8"/>
      <c r="G587" s="8"/>
      <c r="H587" s="8">
        <v>1233.6305801644633</v>
      </c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>
        <v>1233.6305801644633</v>
      </c>
      <c r="AA587" s="8"/>
      <c r="AB587" s="8"/>
      <c r="AI587">
        <f t="shared" si="30"/>
        <v>580</v>
      </c>
      <c r="AJ587" s="27" t="s">
        <v>928</v>
      </c>
      <c r="AK587" s="8">
        <v>1233.6305801644633</v>
      </c>
      <c r="AM587">
        <f t="shared" si="31"/>
        <v>580</v>
      </c>
      <c r="AN587" t="s">
        <v>2515</v>
      </c>
      <c r="AO587" s="8">
        <v>1</v>
      </c>
      <c r="AR587" s="27" t="s">
        <v>708</v>
      </c>
      <c r="AS587" s="21">
        <v>385</v>
      </c>
    </row>
    <row r="588" spans="2:45" x14ac:dyDescent="0.35">
      <c r="B588">
        <f t="shared" si="29"/>
        <v>581</v>
      </c>
      <c r="C588" t="s">
        <v>2645</v>
      </c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>
        <v>1230.448921378274</v>
      </c>
      <c r="Y588" s="8"/>
      <c r="Z588" s="8">
        <v>1230.448921378274</v>
      </c>
      <c r="AA588" s="8"/>
      <c r="AB588" s="8"/>
      <c r="AI588">
        <f t="shared" si="30"/>
        <v>581</v>
      </c>
      <c r="AJ588" t="s">
        <v>2645</v>
      </c>
      <c r="AK588" s="8">
        <v>1230.448921378274</v>
      </c>
      <c r="AM588">
        <f t="shared" si="31"/>
        <v>581</v>
      </c>
      <c r="AN588" t="s">
        <v>2486</v>
      </c>
      <c r="AO588" s="8">
        <v>1</v>
      </c>
      <c r="AR588" s="27" t="s">
        <v>1160</v>
      </c>
      <c r="AS588" s="21">
        <v>374</v>
      </c>
    </row>
    <row r="589" spans="2:45" x14ac:dyDescent="0.35">
      <c r="B589">
        <f t="shared" si="29"/>
        <v>582</v>
      </c>
      <c r="C589" s="27" t="s">
        <v>590</v>
      </c>
      <c r="D589" s="8"/>
      <c r="E589" s="8"/>
      <c r="F589" s="8"/>
      <c r="G589" s="8"/>
      <c r="H589" s="8"/>
      <c r="I589" s="8"/>
      <c r="J589" s="8"/>
      <c r="K589" s="8">
        <v>1230.4489213782738</v>
      </c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>
        <v>1230.4489213782738</v>
      </c>
      <c r="AA589" s="8"/>
      <c r="AB589" s="8"/>
      <c r="AI589">
        <f t="shared" si="30"/>
        <v>582</v>
      </c>
      <c r="AJ589" s="27" t="s">
        <v>590</v>
      </c>
      <c r="AK589" s="8">
        <v>1230.4489213782738</v>
      </c>
      <c r="AM589">
        <f t="shared" si="31"/>
        <v>582</v>
      </c>
      <c r="AN589" t="s">
        <v>2520</v>
      </c>
      <c r="AO589" s="8">
        <v>1</v>
      </c>
      <c r="AR589" s="27" t="s">
        <v>1125</v>
      </c>
      <c r="AS589" s="21">
        <v>373</v>
      </c>
    </row>
    <row r="590" spans="2:45" x14ac:dyDescent="0.35">
      <c r="B590">
        <f t="shared" si="29"/>
        <v>583</v>
      </c>
      <c r="C590" t="s">
        <v>2556</v>
      </c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>
        <v>1225.3092817258628</v>
      </c>
      <c r="W590" s="8"/>
      <c r="X590" s="8"/>
      <c r="Y590" s="8"/>
      <c r="Z590" s="8">
        <v>1225.3092817258628</v>
      </c>
      <c r="AA590" s="8"/>
      <c r="AB590" s="8"/>
      <c r="AI590">
        <f t="shared" si="30"/>
        <v>583</v>
      </c>
      <c r="AJ590" t="s">
        <v>2556</v>
      </c>
      <c r="AK590" s="8">
        <v>1225.3092817258628</v>
      </c>
      <c r="AM590">
        <f t="shared" si="31"/>
        <v>583</v>
      </c>
      <c r="AN590" s="27" t="s">
        <v>730</v>
      </c>
      <c r="AO590" s="8">
        <v>1</v>
      </c>
      <c r="AR590" s="27" t="s">
        <v>949</v>
      </c>
      <c r="AS590" s="21">
        <v>370</v>
      </c>
    </row>
    <row r="591" spans="2:45" x14ac:dyDescent="0.35">
      <c r="B591">
        <f t="shared" si="29"/>
        <v>584</v>
      </c>
      <c r="C591" s="27" t="s">
        <v>1590</v>
      </c>
      <c r="D591" s="8"/>
      <c r="E591" s="8"/>
      <c r="F591" s="8"/>
      <c r="G591" s="8"/>
      <c r="H591" s="8"/>
      <c r="I591" s="8">
        <v>1222.7164711475832</v>
      </c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>
        <v>1222.7164711475832</v>
      </c>
      <c r="AA591" s="8"/>
      <c r="AB591" s="8"/>
      <c r="AI591">
        <f t="shared" si="30"/>
        <v>584</v>
      </c>
      <c r="AJ591" s="27" t="s">
        <v>1590</v>
      </c>
      <c r="AK591" s="8">
        <v>1222.7164711475832</v>
      </c>
      <c r="AM591">
        <f t="shared" si="31"/>
        <v>584</v>
      </c>
      <c r="AN591" s="27" t="s">
        <v>590</v>
      </c>
      <c r="AO591" s="8">
        <v>1</v>
      </c>
      <c r="AR591" s="27" t="s">
        <v>1572</v>
      </c>
      <c r="AS591" s="21">
        <v>370</v>
      </c>
    </row>
    <row r="592" spans="2:45" x14ac:dyDescent="0.35">
      <c r="B592">
        <f t="shared" si="29"/>
        <v>585</v>
      </c>
      <c r="C592" s="27" t="s">
        <v>458</v>
      </c>
      <c r="D592" s="8"/>
      <c r="E592" s="8"/>
      <c r="F592" s="8"/>
      <c r="G592" s="8"/>
      <c r="H592" s="8"/>
      <c r="I592" s="8"/>
      <c r="J592" s="8"/>
      <c r="K592" s="8"/>
      <c r="L592" s="8">
        <v>1221.8487496163564</v>
      </c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>
        <v>1221.8487496163564</v>
      </c>
      <c r="AA592" s="8"/>
      <c r="AB592" s="8"/>
      <c r="AI592">
        <f t="shared" si="30"/>
        <v>585</v>
      </c>
      <c r="AJ592" s="27" t="s">
        <v>458</v>
      </c>
      <c r="AK592" s="8">
        <v>1221.8487496163564</v>
      </c>
      <c r="AM592">
        <f t="shared" si="31"/>
        <v>585</v>
      </c>
      <c r="AN592" s="27" t="s">
        <v>1651</v>
      </c>
      <c r="AO592" s="8">
        <v>1</v>
      </c>
      <c r="AR592" t="s">
        <v>2591</v>
      </c>
      <c r="AS592" s="21">
        <v>365</v>
      </c>
    </row>
    <row r="593" spans="2:45" x14ac:dyDescent="0.35">
      <c r="B593">
        <f t="shared" si="29"/>
        <v>586</v>
      </c>
      <c r="C593" s="27" t="s">
        <v>1420</v>
      </c>
      <c r="D593" s="8">
        <v>1213.879819945081</v>
      </c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>
        <v>1213.879819945081</v>
      </c>
      <c r="AA593" s="8"/>
      <c r="AB593" s="8"/>
      <c r="AI593">
        <f t="shared" si="30"/>
        <v>586</v>
      </c>
      <c r="AJ593" s="27" t="s">
        <v>1420</v>
      </c>
      <c r="AK593" s="8">
        <v>1213.879819945081</v>
      </c>
      <c r="AM593">
        <f t="shared" si="31"/>
        <v>586</v>
      </c>
      <c r="AN593" t="s">
        <v>2544</v>
      </c>
      <c r="AO593" s="8">
        <v>1</v>
      </c>
      <c r="AR593" s="27" t="s">
        <v>1685</v>
      </c>
      <c r="AS593" s="21">
        <v>363</v>
      </c>
    </row>
    <row r="594" spans="2:45" x14ac:dyDescent="0.35">
      <c r="B594">
        <f t="shared" si="29"/>
        <v>587</v>
      </c>
      <c r="C594" t="s">
        <v>2412</v>
      </c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>
        <v>1213.0748253088514</v>
      </c>
      <c r="T594" s="8"/>
      <c r="U594" s="8"/>
      <c r="V594" s="8"/>
      <c r="W594" s="8"/>
      <c r="X594" s="8"/>
      <c r="Y594" s="8"/>
      <c r="Z594" s="8">
        <v>1213.0748253088514</v>
      </c>
      <c r="AA594" s="8"/>
      <c r="AB594" s="8"/>
      <c r="AI594">
        <f t="shared" si="30"/>
        <v>587</v>
      </c>
      <c r="AJ594" t="s">
        <v>2412</v>
      </c>
      <c r="AK594" s="8">
        <v>1213.0748253088514</v>
      </c>
      <c r="AM594">
        <f t="shared" si="31"/>
        <v>587</v>
      </c>
      <c r="AN594" t="s">
        <v>2404</v>
      </c>
      <c r="AO594" s="8">
        <v>1</v>
      </c>
      <c r="AR594" s="27" t="s">
        <v>1653</v>
      </c>
      <c r="AS594" s="21">
        <v>355</v>
      </c>
    </row>
    <row r="595" spans="2:45" x14ac:dyDescent="0.35">
      <c r="B595">
        <f t="shared" si="29"/>
        <v>588</v>
      </c>
      <c r="C595" s="27" t="s">
        <v>145</v>
      </c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>
        <v>1204.1199826559248</v>
      </c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>
        <v>1204.1199826559248</v>
      </c>
      <c r="AA595" s="8"/>
      <c r="AB595" s="8"/>
      <c r="AI595">
        <f t="shared" si="30"/>
        <v>588</v>
      </c>
      <c r="AJ595" s="27" t="s">
        <v>145</v>
      </c>
      <c r="AK595" s="8">
        <v>1204.1199826559248</v>
      </c>
      <c r="AM595">
        <f t="shared" si="31"/>
        <v>588</v>
      </c>
      <c r="AN595" t="s">
        <v>2546</v>
      </c>
      <c r="AO595" s="8">
        <v>1</v>
      </c>
      <c r="AR595" s="27" t="s">
        <v>1480</v>
      </c>
      <c r="AS595" s="21">
        <v>350</v>
      </c>
    </row>
    <row r="596" spans="2:45" x14ac:dyDescent="0.35">
      <c r="B596">
        <f t="shared" si="29"/>
        <v>589</v>
      </c>
      <c r="C596" s="27" t="s">
        <v>1592</v>
      </c>
      <c r="D596" s="8"/>
      <c r="E596" s="8"/>
      <c r="F596" s="8"/>
      <c r="G596" s="8">
        <v>1204.1199826559246</v>
      </c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>
        <v>1204.1199826559246</v>
      </c>
      <c r="AA596" s="8"/>
      <c r="AB596" s="8"/>
      <c r="AI596">
        <f t="shared" si="30"/>
        <v>589</v>
      </c>
      <c r="AJ596" s="27" t="s">
        <v>1592</v>
      </c>
      <c r="AK596" s="8">
        <v>1204.1199826559246</v>
      </c>
      <c r="AM596">
        <f t="shared" si="31"/>
        <v>589</v>
      </c>
      <c r="AN596" t="s">
        <v>2406</v>
      </c>
      <c r="AO596" s="8">
        <v>1</v>
      </c>
      <c r="AR596" s="27" t="s">
        <v>1036</v>
      </c>
      <c r="AS596" s="21">
        <v>349</v>
      </c>
    </row>
    <row r="597" spans="2:45" x14ac:dyDescent="0.35">
      <c r="B597">
        <f t="shared" si="29"/>
        <v>590</v>
      </c>
      <c r="C597" s="27" t="s">
        <v>1472</v>
      </c>
      <c r="D597" s="8"/>
      <c r="E597" s="8">
        <v>1199.9238680623166</v>
      </c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>
        <v>1199.9238680623166</v>
      </c>
      <c r="AA597" s="8"/>
      <c r="AB597" s="8"/>
      <c r="AI597">
        <f t="shared" si="30"/>
        <v>590</v>
      </c>
      <c r="AJ597" s="27" t="s">
        <v>1472</v>
      </c>
      <c r="AK597" s="8">
        <v>1199.9238680623166</v>
      </c>
      <c r="AM597">
        <f t="shared" si="31"/>
        <v>590</v>
      </c>
      <c r="AN597" t="s">
        <v>2549</v>
      </c>
      <c r="AO597" s="8">
        <v>1</v>
      </c>
      <c r="AR597" s="27" t="s">
        <v>1630</v>
      </c>
      <c r="AS597" s="21">
        <v>349</v>
      </c>
    </row>
    <row r="598" spans="2:45" x14ac:dyDescent="0.35">
      <c r="B598">
        <f t="shared" si="29"/>
        <v>591</v>
      </c>
      <c r="C598" s="27" t="s">
        <v>1094</v>
      </c>
      <c r="D598" s="8">
        <v>186.36284106654921</v>
      </c>
      <c r="E598" s="8"/>
      <c r="F598" s="8">
        <v>1013.161446057971</v>
      </c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>
        <v>1199.5242871245202</v>
      </c>
      <c r="AA598" s="8"/>
      <c r="AB598" s="8"/>
      <c r="AI598">
        <f t="shared" si="30"/>
        <v>591</v>
      </c>
      <c r="AJ598" s="27" t="s">
        <v>1094</v>
      </c>
      <c r="AK598" s="8">
        <v>1199.5242871245202</v>
      </c>
      <c r="AM598">
        <f t="shared" si="31"/>
        <v>591</v>
      </c>
      <c r="AN598" s="27" t="s">
        <v>930</v>
      </c>
      <c r="AO598" s="8">
        <v>1</v>
      </c>
      <c r="AR598" s="27" t="s">
        <v>1039</v>
      </c>
      <c r="AS598" s="21">
        <v>348</v>
      </c>
    </row>
    <row r="599" spans="2:45" x14ac:dyDescent="0.35">
      <c r="B599">
        <f t="shared" si="29"/>
        <v>592</v>
      </c>
      <c r="C599" s="27" t="s">
        <v>1648</v>
      </c>
      <c r="D599" s="8"/>
      <c r="E599" s="8"/>
      <c r="F599" s="8">
        <v>1198.6570869544225</v>
      </c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>
        <v>1198.6570869544225</v>
      </c>
      <c r="AA599" s="8"/>
      <c r="AB599" s="8"/>
      <c r="AI599">
        <f t="shared" si="30"/>
        <v>592</v>
      </c>
      <c r="AJ599" s="27" t="s">
        <v>1648</v>
      </c>
      <c r="AK599" s="8">
        <v>1198.6570869544225</v>
      </c>
      <c r="AM599">
        <f t="shared" si="31"/>
        <v>592</v>
      </c>
      <c r="AN599" t="s">
        <v>2552</v>
      </c>
      <c r="AO599" s="8">
        <v>1</v>
      </c>
      <c r="AR599" s="27" t="s">
        <v>1673</v>
      </c>
      <c r="AS599" s="21">
        <v>345</v>
      </c>
    </row>
    <row r="600" spans="2:45" x14ac:dyDescent="0.35">
      <c r="B600">
        <f t="shared" si="29"/>
        <v>593</v>
      </c>
      <c r="C600" s="27" t="s">
        <v>503</v>
      </c>
      <c r="D600" s="8"/>
      <c r="E600" s="8"/>
      <c r="F600" s="8"/>
      <c r="G600" s="8"/>
      <c r="H600" s="8"/>
      <c r="I600" s="8"/>
      <c r="J600" s="8"/>
      <c r="K600" s="8"/>
      <c r="L600" s="8">
        <v>1196.294645143968</v>
      </c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>
        <v>1196.294645143968</v>
      </c>
      <c r="AA600" s="8"/>
      <c r="AB600" s="8"/>
      <c r="AI600">
        <f t="shared" si="30"/>
        <v>593</v>
      </c>
      <c r="AJ600" s="27" t="s">
        <v>503</v>
      </c>
      <c r="AK600" s="8">
        <v>1196.294645143968</v>
      </c>
      <c r="AM600">
        <f t="shared" si="31"/>
        <v>593</v>
      </c>
      <c r="AN600" t="s">
        <v>2412</v>
      </c>
      <c r="AO600" s="8">
        <v>1</v>
      </c>
      <c r="AR600" s="27" t="s">
        <v>1084</v>
      </c>
      <c r="AS600" s="21">
        <v>342</v>
      </c>
    </row>
    <row r="601" spans="2:45" x14ac:dyDescent="0.35">
      <c r="B601">
        <f t="shared" si="29"/>
        <v>594</v>
      </c>
      <c r="C601" s="27" t="s">
        <v>1130</v>
      </c>
      <c r="D601" s="8"/>
      <c r="E601" s="8"/>
      <c r="F601" s="8">
        <v>1195.8996524092336</v>
      </c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>
        <v>1195.8996524092336</v>
      </c>
      <c r="AA601" s="8"/>
      <c r="AB601" s="8"/>
      <c r="AI601">
        <f t="shared" si="30"/>
        <v>594</v>
      </c>
      <c r="AJ601" s="27" t="s">
        <v>1130</v>
      </c>
      <c r="AK601" s="8">
        <v>1195.8996524092336</v>
      </c>
      <c r="AM601">
        <f t="shared" si="31"/>
        <v>594</v>
      </c>
      <c r="AN601" t="s">
        <v>2556</v>
      </c>
      <c r="AO601" s="8">
        <v>1</v>
      </c>
      <c r="AR601" s="27" t="s">
        <v>1584</v>
      </c>
      <c r="AS601" s="21">
        <v>340</v>
      </c>
    </row>
    <row r="602" spans="2:45" x14ac:dyDescent="0.35">
      <c r="B602">
        <f t="shared" si="29"/>
        <v>595</v>
      </c>
      <c r="C602" s="27" t="s">
        <v>1188</v>
      </c>
      <c r="D602" s="8"/>
      <c r="E602" s="8"/>
      <c r="F602" s="8">
        <v>1194.3160791618805</v>
      </c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>
        <v>1194.3160791618805</v>
      </c>
      <c r="AA602" s="8"/>
      <c r="AB602" s="8"/>
      <c r="AI602">
        <f t="shared" si="30"/>
        <v>595</v>
      </c>
      <c r="AJ602" s="27" t="s">
        <v>1188</v>
      </c>
      <c r="AK602" s="8">
        <v>1194.3160791618805</v>
      </c>
      <c r="AM602">
        <f t="shared" si="31"/>
        <v>595</v>
      </c>
      <c r="AN602" s="27" t="s">
        <v>1707</v>
      </c>
      <c r="AO602" s="8">
        <v>1</v>
      </c>
      <c r="AR602" s="27" t="s">
        <v>1023</v>
      </c>
      <c r="AS602" s="21">
        <v>335</v>
      </c>
    </row>
    <row r="603" spans="2:45" x14ac:dyDescent="0.35">
      <c r="B603">
        <f t="shared" si="29"/>
        <v>596</v>
      </c>
      <c r="C603" s="27" t="s">
        <v>930</v>
      </c>
      <c r="D603" s="8"/>
      <c r="E603" s="8"/>
      <c r="F603" s="8"/>
      <c r="G603" s="8"/>
      <c r="H603" s="8">
        <v>1182.4780577170818</v>
      </c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>
        <v>1182.4780577170818</v>
      </c>
      <c r="AA603" s="8"/>
      <c r="AB603" s="8"/>
      <c r="AI603">
        <f t="shared" si="30"/>
        <v>596</v>
      </c>
      <c r="AJ603" s="27" t="s">
        <v>930</v>
      </c>
      <c r="AK603" s="8">
        <v>1182.4780577170818</v>
      </c>
      <c r="AM603">
        <f t="shared" si="31"/>
        <v>596</v>
      </c>
      <c r="AN603" t="s">
        <v>2560</v>
      </c>
      <c r="AO603" s="8">
        <v>1</v>
      </c>
      <c r="AR603" s="27" t="s">
        <v>985</v>
      </c>
      <c r="AS603" s="21">
        <v>334</v>
      </c>
    </row>
    <row r="604" spans="2:45" x14ac:dyDescent="0.35">
      <c r="B604">
        <f t="shared" si="29"/>
        <v>597</v>
      </c>
      <c r="C604" s="27" t="s">
        <v>1594</v>
      </c>
      <c r="D604" s="8"/>
      <c r="E604" s="8"/>
      <c r="F604" s="8"/>
      <c r="G604" s="8"/>
      <c r="H604" s="8"/>
      <c r="I604" s="8">
        <v>1181.3237859893582</v>
      </c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>
        <v>1181.3237859893582</v>
      </c>
      <c r="AA604" s="8"/>
      <c r="AB604" s="8"/>
      <c r="AI604">
        <f t="shared" si="30"/>
        <v>597</v>
      </c>
      <c r="AJ604" s="27" t="s">
        <v>1594</v>
      </c>
      <c r="AK604" s="8">
        <v>1181.3237859893582</v>
      </c>
      <c r="AM604">
        <f t="shared" si="31"/>
        <v>597</v>
      </c>
      <c r="AN604" t="s">
        <v>2416</v>
      </c>
      <c r="AO604" s="8">
        <v>1</v>
      </c>
      <c r="AR604" s="27" t="s">
        <v>503</v>
      </c>
      <c r="AS604" s="21">
        <v>330</v>
      </c>
    </row>
    <row r="605" spans="2:45" x14ac:dyDescent="0.35">
      <c r="B605">
        <f t="shared" si="29"/>
        <v>598</v>
      </c>
      <c r="C605" s="27" t="s">
        <v>1091</v>
      </c>
      <c r="D605" s="8"/>
      <c r="E605" s="8"/>
      <c r="F605" s="8">
        <v>1172.862288925483</v>
      </c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>
        <v>1172.862288925483</v>
      </c>
      <c r="AA605" s="8"/>
      <c r="AB605" s="8"/>
      <c r="AI605">
        <f t="shared" si="30"/>
        <v>598</v>
      </c>
      <c r="AJ605" s="27" t="s">
        <v>1091</v>
      </c>
      <c r="AK605" s="8">
        <v>1172.862288925483</v>
      </c>
      <c r="AM605">
        <f t="shared" si="31"/>
        <v>598</v>
      </c>
      <c r="AN605" t="s">
        <v>2572</v>
      </c>
      <c r="AO605" s="8">
        <v>1</v>
      </c>
      <c r="AR605" t="s">
        <v>2396</v>
      </c>
      <c r="AS605" s="21">
        <v>325</v>
      </c>
    </row>
    <row r="606" spans="2:45" x14ac:dyDescent="0.35">
      <c r="B606">
        <f t="shared" si="29"/>
        <v>599</v>
      </c>
      <c r="C606" s="27" t="s">
        <v>1339</v>
      </c>
      <c r="D606" s="8">
        <v>1169.2809079460192</v>
      </c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>
        <v>1169.2809079460192</v>
      </c>
      <c r="AA606" s="8"/>
      <c r="AB606" s="8"/>
      <c r="AI606">
        <f t="shared" si="30"/>
        <v>599</v>
      </c>
      <c r="AJ606" s="27" t="s">
        <v>1339</v>
      </c>
      <c r="AK606" s="8">
        <v>1169.2809079460192</v>
      </c>
      <c r="AM606">
        <f t="shared" si="31"/>
        <v>599</v>
      </c>
      <c r="AN606" s="27" t="s">
        <v>1598</v>
      </c>
      <c r="AO606" s="8">
        <v>1</v>
      </c>
      <c r="AR606" t="s">
        <v>2515</v>
      </c>
      <c r="AS606" s="21">
        <v>325</v>
      </c>
    </row>
    <row r="607" spans="2:45" x14ac:dyDescent="0.35">
      <c r="B607">
        <f t="shared" si="29"/>
        <v>600</v>
      </c>
      <c r="C607" s="27" t="s">
        <v>1483</v>
      </c>
      <c r="D607" s="8"/>
      <c r="E607" s="8">
        <v>1167.7391846909154</v>
      </c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>
        <v>1167.7391846909154</v>
      </c>
      <c r="AA607" s="8"/>
      <c r="AB607" s="8"/>
      <c r="AI607">
        <f t="shared" si="30"/>
        <v>600</v>
      </c>
      <c r="AJ607" s="27" t="s">
        <v>1483</v>
      </c>
      <c r="AK607" s="8">
        <v>1167.7391846909154</v>
      </c>
      <c r="AM607">
        <f t="shared" si="31"/>
        <v>600</v>
      </c>
      <c r="AN607" s="27" t="s">
        <v>1183</v>
      </c>
      <c r="AO607" s="8">
        <v>1</v>
      </c>
      <c r="AR607" s="27" t="s">
        <v>635</v>
      </c>
      <c r="AS607" s="21">
        <v>325</v>
      </c>
    </row>
    <row r="608" spans="2:45" x14ac:dyDescent="0.35">
      <c r="B608">
        <f t="shared" si="29"/>
        <v>601</v>
      </c>
      <c r="C608" s="27" t="s">
        <v>1108</v>
      </c>
      <c r="D608" s="8"/>
      <c r="E608" s="8"/>
      <c r="F608" s="8">
        <v>1166.331421766525</v>
      </c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>
        <v>1166.331421766525</v>
      </c>
      <c r="AA608" s="8"/>
      <c r="AB608" s="8"/>
      <c r="AI608">
        <f t="shared" si="30"/>
        <v>601</v>
      </c>
      <c r="AJ608" s="27" t="s">
        <v>1108</v>
      </c>
      <c r="AK608" s="8">
        <v>1166.331421766525</v>
      </c>
      <c r="AM608">
        <f t="shared" si="31"/>
        <v>601</v>
      </c>
      <c r="AN608" t="s">
        <v>2422</v>
      </c>
      <c r="AO608" s="8">
        <v>1</v>
      </c>
      <c r="AR608" s="27" t="s">
        <v>1667</v>
      </c>
      <c r="AS608" s="21">
        <v>324</v>
      </c>
    </row>
    <row r="609" spans="2:45" x14ac:dyDescent="0.35">
      <c r="B609">
        <f t="shared" si="29"/>
        <v>602</v>
      </c>
      <c r="C609" s="27" t="s">
        <v>849</v>
      </c>
      <c r="D609" s="8"/>
      <c r="E609" s="8"/>
      <c r="F609" s="8"/>
      <c r="G609" s="8"/>
      <c r="H609" s="8"/>
      <c r="I609" s="8">
        <v>1163.5021317476608</v>
      </c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>
        <v>1163.5021317476608</v>
      </c>
      <c r="AA609" s="8"/>
      <c r="AB609" s="8"/>
      <c r="AI609">
        <f t="shared" si="30"/>
        <v>602</v>
      </c>
      <c r="AJ609" s="27" t="s">
        <v>849</v>
      </c>
      <c r="AK609" s="8">
        <v>1163.5021317476608</v>
      </c>
      <c r="AM609">
        <f t="shared" si="31"/>
        <v>602</v>
      </c>
      <c r="AN609" t="s">
        <v>2579</v>
      </c>
      <c r="AO609" s="8">
        <v>1</v>
      </c>
      <c r="AR609" s="27" t="s">
        <v>1488</v>
      </c>
      <c r="AS609" s="21">
        <v>322</v>
      </c>
    </row>
    <row r="610" spans="2:45" x14ac:dyDescent="0.35">
      <c r="B610">
        <f t="shared" si="29"/>
        <v>603</v>
      </c>
      <c r="C610" t="s">
        <v>2549</v>
      </c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>
        <v>1161.3680022349749</v>
      </c>
      <c r="W610" s="8"/>
      <c r="X610" s="8"/>
      <c r="Y610" s="8"/>
      <c r="Z610" s="8">
        <v>1161.3680022349749</v>
      </c>
      <c r="AA610" s="8"/>
      <c r="AB610" s="8"/>
      <c r="AI610">
        <f t="shared" si="30"/>
        <v>603</v>
      </c>
      <c r="AJ610" t="s">
        <v>2549</v>
      </c>
      <c r="AK610" s="8">
        <v>1161.3680022349749</v>
      </c>
      <c r="AM610">
        <f t="shared" si="31"/>
        <v>603</v>
      </c>
      <c r="AN610" t="s">
        <v>2426</v>
      </c>
      <c r="AO610" s="8">
        <v>1</v>
      </c>
      <c r="AR610" s="27" t="s">
        <v>1655</v>
      </c>
      <c r="AS610" s="21">
        <v>320</v>
      </c>
    </row>
    <row r="611" spans="2:45" x14ac:dyDescent="0.35">
      <c r="B611">
        <f t="shared" si="29"/>
        <v>604</v>
      </c>
      <c r="C611" s="27" t="s">
        <v>1362</v>
      </c>
      <c r="D611" s="8">
        <v>1161.0433307430214</v>
      </c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>
        <v>1161.0433307430214</v>
      </c>
      <c r="AA611" s="8"/>
      <c r="AB611" s="8"/>
      <c r="AI611">
        <f t="shared" si="30"/>
        <v>604</v>
      </c>
      <c r="AJ611" s="27" t="s">
        <v>1362</v>
      </c>
      <c r="AK611" s="8">
        <v>1161.0433307430214</v>
      </c>
      <c r="AM611">
        <f t="shared" si="31"/>
        <v>604</v>
      </c>
      <c r="AN611" t="s">
        <v>2582</v>
      </c>
      <c r="AO611" s="8">
        <v>1</v>
      </c>
      <c r="AR611" s="27" t="s">
        <v>1592</v>
      </c>
      <c r="AS611" s="21">
        <v>320</v>
      </c>
    </row>
    <row r="612" spans="2:45" x14ac:dyDescent="0.35">
      <c r="B612">
        <f t="shared" si="29"/>
        <v>605</v>
      </c>
      <c r="C612" s="27" t="s">
        <v>1649</v>
      </c>
      <c r="D612" s="8"/>
      <c r="E612" s="8"/>
      <c r="F612" s="8"/>
      <c r="G612" s="8"/>
      <c r="H612" s="8"/>
      <c r="I612" s="8"/>
      <c r="J612" s="8"/>
      <c r="K612" s="8"/>
      <c r="L612" s="8"/>
      <c r="M612" s="8">
        <v>1158.3624920952498</v>
      </c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>
        <v>1158.3624920952498</v>
      </c>
      <c r="AA612" s="8"/>
      <c r="AB612" s="8"/>
      <c r="AI612">
        <f t="shared" si="30"/>
        <v>605</v>
      </c>
      <c r="AJ612" s="27" t="s">
        <v>1649</v>
      </c>
      <c r="AK612" s="8">
        <v>1158.3624920952498</v>
      </c>
      <c r="AM612">
        <f t="shared" si="31"/>
        <v>605</v>
      </c>
      <c r="AN612" s="27" t="s">
        <v>1089</v>
      </c>
      <c r="AO612" s="8">
        <v>1</v>
      </c>
      <c r="AR612" s="27" t="s">
        <v>1666</v>
      </c>
      <c r="AS612" s="21">
        <v>316</v>
      </c>
    </row>
    <row r="613" spans="2:45" x14ac:dyDescent="0.35">
      <c r="B613">
        <f t="shared" si="29"/>
        <v>606</v>
      </c>
      <c r="C613" t="s">
        <v>2678</v>
      </c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>
        <v>1156.347200859924</v>
      </c>
      <c r="Z613" s="8">
        <v>1156.347200859924</v>
      </c>
      <c r="AA613" s="8"/>
      <c r="AB613" s="8"/>
      <c r="AI613">
        <f t="shared" si="30"/>
        <v>606</v>
      </c>
      <c r="AJ613" t="s">
        <v>2678</v>
      </c>
      <c r="AK613" s="8">
        <v>1156.347200859924</v>
      </c>
      <c r="AM613">
        <f t="shared" si="31"/>
        <v>606</v>
      </c>
      <c r="AN613" t="s">
        <v>2587</v>
      </c>
      <c r="AO613" s="8">
        <v>1</v>
      </c>
      <c r="AR613" s="27" t="s">
        <v>1660</v>
      </c>
      <c r="AS613" s="21">
        <v>315</v>
      </c>
    </row>
    <row r="614" spans="2:45" x14ac:dyDescent="0.35">
      <c r="B614">
        <f t="shared" si="29"/>
        <v>607</v>
      </c>
      <c r="C614" s="27" t="s">
        <v>546</v>
      </c>
      <c r="D614" s="8"/>
      <c r="E614" s="8"/>
      <c r="F614" s="8"/>
      <c r="G614" s="8"/>
      <c r="H614" s="8"/>
      <c r="I614" s="8"/>
      <c r="J614" s="8"/>
      <c r="K614" s="8"/>
      <c r="L614" s="8">
        <v>1156.3472008599238</v>
      </c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>
        <v>1156.3472008599238</v>
      </c>
      <c r="AA614" s="8"/>
      <c r="AB614" s="8"/>
      <c r="AI614">
        <f t="shared" si="30"/>
        <v>607</v>
      </c>
      <c r="AJ614" s="27" t="s">
        <v>546</v>
      </c>
      <c r="AK614" s="8">
        <v>1156.3472008599238</v>
      </c>
      <c r="AM614">
        <f t="shared" si="31"/>
        <v>607</v>
      </c>
      <c r="AN614" s="27" t="s">
        <v>1703</v>
      </c>
      <c r="AO614" s="8">
        <v>1</v>
      </c>
      <c r="AR614" s="27" t="s">
        <v>1478</v>
      </c>
      <c r="AS614" s="21">
        <v>312</v>
      </c>
    </row>
    <row r="615" spans="2:45" x14ac:dyDescent="0.35">
      <c r="B615">
        <f t="shared" si="29"/>
        <v>608</v>
      </c>
      <c r="C615" s="27" t="s">
        <v>1595</v>
      </c>
      <c r="D615" s="8"/>
      <c r="E615" s="8"/>
      <c r="F615" s="8"/>
      <c r="G615" s="8"/>
      <c r="H615" s="8">
        <v>1153.8148643445288</v>
      </c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>
        <v>1153.8148643445288</v>
      </c>
      <c r="AA615" s="8"/>
      <c r="AB615" s="8"/>
      <c r="AI615">
        <f t="shared" si="30"/>
        <v>608</v>
      </c>
      <c r="AJ615" s="27" t="s">
        <v>1595</v>
      </c>
      <c r="AK615" s="8">
        <v>1153.8148643445288</v>
      </c>
      <c r="AM615">
        <f t="shared" si="31"/>
        <v>608</v>
      </c>
      <c r="AN615" t="s">
        <v>2591</v>
      </c>
      <c r="AO615" s="8">
        <v>1</v>
      </c>
      <c r="AR615" s="27" t="s">
        <v>1657</v>
      </c>
      <c r="AS615" s="21">
        <v>311</v>
      </c>
    </row>
    <row r="616" spans="2:45" x14ac:dyDescent="0.35">
      <c r="B616">
        <f t="shared" si="29"/>
        <v>609</v>
      </c>
      <c r="C616" s="27" t="s">
        <v>1650</v>
      </c>
      <c r="D616" s="8"/>
      <c r="E616" s="8"/>
      <c r="F616" s="8"/>
      <c r="G616" s="8"/>
      <c r="H616" s="8"/>
      <c r="I616" s="8"/>
      <c r="J616" s="8"/>
      <c r="K616" s="8"/>
      <c r="L616" s="8">
        <v>1152.2883443830563</v>
      </c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>
        <v>1152.2883443830563</v>
      </c>
      <c r="AA616" s="8"/>
      <c r="AB616" s="8"/>
      <c r="AI616">
        <f t="shared" si="30"/>
        <v>609</v>
      </c>
      <c r="AJ616" s="27" t="s">
        <v>1650</v>
      </c>
      <c r="AK616" s="8">
        <v>1152.2883443830563</v>
      </c>
      <c r="AM616">
        <f t="shared" si="31"/>
        <v>609</v>
      </c>
      <c r="AN616" s="27" t="s">
        <v>1130</v>
      </c>
      <c r="AO616" s="8">
        <v>1</v>
      </c>
      <c r="AR616" s="27" t="s">
        <v>1499</v>
      </c>
      <c r="AS616" s="21">
        <v>310</v>
      </c>
    </row>
    <row r="617" spans="2:45" x14ac:dyDescent="0.35">
      <c r="B617">
        <f t="shared" si="29"/>
        <v>610</v>
      </c>
      <c r="C617" s="27" t="s">
        <v>1265</v>
      </c>
      <c r="D617" s="8">
        <v>1151.2676753306489</v>
      </c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>
        <v>1151.2676753306489</v>
      </c>
      <c r="AA617" s="8"/>
      <c r="AB617" s="8"/>
      <c r="AI617">
        <f t="shared" si="30"/>
        <v>610</v>
      </c>
      <c r="AJ617" s="27" t="s">
        <v>1265</v>
      </c>
      <c r="AK617" s="8">
        <v>1151.2676753306489</v>
      </c>
      <c r="AM617">
        <f t="shared" si="31"/>
        <v>610</v>
      </c>
      <c r="AN617" t="s">
        <v>2272</v>
      </c>
      <c r="AO617" s="8">
        <v>1</v>
      </c>
      <c r="AR617" s="27" t="s">
        <v>1531</v>
      </c>
      <c r="AS617" s="21">
        <v>310</v>
      </c>
    </row>
    <row r="618" spans="2:45" x14ac:dyDescent="0.35">
      <c r="B618">
        <f t="shared" si="29"/>
        <v>611</v>
      </c>
      <c r="C618" t="s">
        <v>2490</v>
      </c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>
        <v>1149.5612115166321</v>
      </c>
      <c r="U618" s="8"/>
      <c r="V618" s="8"/>
      <c r="W618" s="8"/>
      <c r="X618" s="8"/>
      <c r="Y618" s="8"/>
      <c r="Z618" s="8">
        <v>1149.5612115166321</v>
      </c>
      <c r="AA618" s="8"/>
      <c r="AB618" s="8"/>
      <c r="AI618">
        <f t="shared" si="30"/>
        <v>611</v>
      </c>
      <c r="AJ618" t="s">
        <v>2490</v>
      </c>
      <c r="AK618" s="8">
        <v>1149.5612115166321</v>
      </c>
      <c r="AM618">
        <f t="shared" si="31"/>
        <v>611</v>
      </c>
      <c r="AN618" s="27" t="s">
        <v>1650</v>
      </c>
      <c r="AO618" s="8">
        <v>1</v>
      </c>
      <c r="AR618" s="27" t="s">
        <v>1648</v>
      </c>
      <c r="AS618" s="21">
        <v>310</v>
      </c>
    </row>
    <row r="619" spans="2:45" x14ac:dyDescent="0.35">
      <c r="B619">
        <f t="shared" si="29"/>
        <v>612</v>
      </c>
      <c r="C619" t="s">
        <v>2494</v>
      </c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>
        <v>1146.1280356782381</v>
      </c>
      <c r="U619" s="8"/>
      <c r="V619" s="8"/>
      <c r="W619" s="8"/>
      <c r="X619" s="8"/>
      <c r="Y619" s="8"/>
      <c r="Z619" s="8">
        <v>1146.1280356782381</v>
      </c>
      <c r="AA619" s="8"/>
      <c r="AB619" s="8"/>
      <c r="AI619">
        <f t="shared" si="30"/>
        <v>612</v>
      </c>
      <c r="AJ619" t="s">
        <v>2494</v>
      </c>
      <c r="AK619" s="8">
        <v>1146.1280356782381</v>
      </c>
      <c r="AM619">
        <f t="shared" si="31"/>
        <v>612</v>
      </c>
      <c r="AN619" t="s">
        <v>2612</v>
      </c>
      <c r="AO619" s="8">
        <v>1</v>
      </c>
      <c r="AR619" t="s">
        <v>2381</v>
      </c>
      <c r="AS619" s="21">
        <v>309</v>
      </c>
    </row>
    <row r="620" spans="2:45" x14ac:dyDescent="0.35">
      <c r="B620">
        <f t="shared" si="29"/>
        <v>613</v>
      </c>
      <c r="C620" t="s">
        <v>2560</v>
      </c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>
        <v>1146.1280356782379</v>
      </c>
      <c r="W620" s="8"/>
      <c r="X620" s="8"/>
      <c r="Y620" s="8"/>
      <c r="Z620" s="8">
        <v>1146.1280356782379</v>
      </c>
      <c r="AA620" s="8"/>
      <c r="AB620" s="8"/>
      <c r="AI620">
        <f t="shared" si="30"/>
        <v>613</v>
      </c>
      <c r="AJ620" t="s">
        <v>2558</v>
      </c>
      <c r="AK620" s="8">
        <v>1146.1280356782379</v>
      </c>
      <c r="AM620">
        <f t="shared" si="31"/>
        <v>613</v>
      </c>
      <c r="AN620" t="s">
        <v>2437</v>
      </c>
      <c r="AO620" s="8">
        <v>1</v>
      </c>
      <c r="AR620" s="27" t="s">
        <v>1672</v>
      </c>
      <c r="AS620" s="21">
        <v>308</v>
      </c>
    </row>
    <row r="621" spans="2:45" x14ac:dyDescent="0.35">
      <c r="B621">
        <f t="shared" si="29"/>
        <v>614</v>
      </c>
      <c r="C621" t="s">
        <v>2558</v>
      </c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>
        <v>1146.1280356782379</v>
      </c>
      <c r="W621" s="8"/>
      <c r="X621" s="8"/>
      <c r="Y621" s="8"/>
      <c r="Z621" s="8">
        <v>1146.1280356782379</v>
      </c>
      <c r="AA621" s="8"/>
      <c r="AB621" s="8"/>
      <c r="AI621">
        <f t="shared" si="30"/>
        <v>614</v>
      </c>
      <c r="AJ621" t="s">
        <v>2560</v>
      </c>
      <c r="AK621" s="8">
        <v>1146.1280356782379</v>
      </c>
      <c r="AM621">
        <f t="shared" si="31"/>
        <v>614</v>
      </c>
      <c r="AN621" t="s">
        <v>2617</v>
      </c>
      <c r="AO621" s="8">
        <v>1</v>
      </c>
      <c r="AR621" s="27" t="s">
        <v>916</v>
      </c>
      <c r="AS621" s="21">
        <v>305</v>
      </c>
    </row>
    <row r="622" spans="2:45" x14ac:dyDescent="0.35">
      <c r="B622">
        <f t="shared" si="29"/>
        <v>615</v>
      </c>
      <c r="C622" t="s">
        <v>2621</v>
      </c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>
        <v>1146.1280356782379</v>
      </c>
      <c r="Y622" s="8"/>
      <c r="Z622" s="8">
        <v>1146.1280356782379</v>
      </c>
      <c r="AA622" s="8"/>
      <c r="AB622" s="8"/>
      <c r="AI622">
        <f t="shared" si="30"/>
        <v>615</v>
      </c>
      <c r="AJ622" t="s">
        <v>2621</v>
      </c>
      <c r="AK622" s="8">
        <v>1146.1280356782379</v>
      </c>
      <c r="AM622">
        <f t="shared" si="31"/>
        <v>615</v>
      </c>
      <c r="AN622" t="s">
        <v>2439</v>
      </c>
      <c r="AO622" s="8">
        <v>1</v>
      </c>
      <c r="AR622" t="s">
        <v>2624</v>
      </c>
      <c r="AS622" s="21">
        <v>300</v>
      </c>
    </row>
    <row r="623" spans="2:45" x14ac:dyDescent="0.35">
      <c r="B623">
        <f t="shared" si="29"/>
        <v>616</v>
      </c>
      <c r="C623" t="s">
        <v>2683</v>
      </c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>
        <v>1138.3026981662815</v>
      </c>
      <c r="Z623" s="8">
        <v>1138.3026981662815</v>
      </c>
      <c r="AA623" s="8"/>
      <c r="AB623" s="8"/>
      <c r="AI623">
        <f t="shared" si="30"/>
        <v>616</v>
      </c>
      <c r="AJ623" t="s">
        <v>2683</v>
      </c>
      <c r="AK623" s="8">
        <v>1138.3026981662815</v>
      </c>
      <c r="AM623">
        <f t="shared" si="31"/>
        <v>616</v>
      </c>
      <c r="AN623" t="s">
        <v>2621</v>
      </c>
      <c r="AO623" s="8">
        <v>1</v>
      </c>
      <c r="AR623" t="s">
        <v>2590</v>
      </c>
      <c r="AS623" s="21">
        <v>300</v>
      </c>
    </row>
    <row r="624" spans="2:45" x14ac:dyDescent="0.35">
      <c r="B624">
        <f t="shared" si="29"/>
        <v>617</v>
      </c>
      <c r="C624" s="27" t="s">
        <v>1701</v>
      </c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>
        <v>389.07562519182181</v>
      </c>
      <c r="Q624" s="8">
        <v>745.68084691713636</v>
      </c>
      <c r="R624" s="8"/>
      <c r="S624" s="8"/>
      <c r="T624" s="8"/>
      <c r="U624" s="8"/>
      <c r="V624" s="8"/>
      <c r="W624" s="8"/>
      <c r="X624" s="8"/>
      <c r="Y624" s="8"/>
      <c r="Z624" s="8">
        <v>1134.7564721089582</v>
      </c>
      <c r="AA624" s="8"/>
      <c r="AB624" s="8"/>
      <c r="AI624">
        <f t="shared" si="30"/>
        <v>617</v>
      </c>
      <c r="AJ624" s="27" t="s">
        <v>1701</v>
      </c>
      <c r="AK624" s="8">
        <v>1134.7564721089582</v>
      </c>
      <c r="AM624">
        <f t="shared" si="31"/>
        <v>617</v>
      </c>
      <c r="AN624" t="s">
        <v>2442</v>
      </c>
      <c r="AO624" s="8">
        <v>1</v>
      </c>
      <c r="AR624" s="27" t="s">
        <v>1183</v>
      </c>
      <c r="AS624" s="21">
        <v>300</v>
      </c>
    </row>
    <row r="625" spans="2:45" x14ac:dyDescent="0.35">
      <c r="B625">
        <f t="shared" si="29"/>
        <v>618</v>
      </c>
      <c r="C625" t="s">
        <v>2535</v>
      </c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>
        <v>1133.5389083702173</v>
      </c>
      <c r="W625" s="8"/>
      <c r="X625" s="8"/>
      <c r="Y625" s="8"/>
      <c r="Z625" s="8">
        <v>1133.5389083702173</v>
      </c>
      <c r="AA625" s="8"/>
      <c r="AB625" s="8"/>
      <c r="AI625">
        <f t="shared" si="30"/>
        <v>618</v>
      </c>
      <c r="AJ625" t="s">
        <v>2535</v>
      </c>
      <c r="AK625" s="8">
        <v>1133.5389083702173</v>
      </c>
      <c r="AM625">
        <f t="shared" si="31"/>
        <v>618</v>
      </c>
      <c r="AN625" t="s">
        <v>2626</v>
      </c>
      <c r="AO625" s="8">
        <v>1</v>
      </c>
      <c r="AR625" t="s">
        <v>2626</v>
      </c>
      <c r="AS625" s="21">
        <v>300</v>
      </c>
    </row>
    <row r="626" spans="2:45" x14ac:dyDescent="0.35">
      <c r="B626">
        <f t="shared" si="29"/>
        <v>619</v>
      </c>
      <c r="C626" s="27" t="s">
        <v>1494</v>
      </c>
      <c r="D626" s="8"/>
      <c r="E626" s="8">
        <v>1130.3337684950061</v>
      </c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>
        <v>1130.3337684950061</v>
      </c>
      <c r="AA626" s="8"/>
      <c r="AB626" s="8"/>
      <c r="AI626">
        <f t="shared" si="30"/>
        <v>619</v>
      </c>
      <c r="AJ626" s="27" t="s">
        <v>1494</v>
      </c>
      <c r="AK626" s="8">
        <v>1130.3337684950061</v>
      </c>
      <c r="AM626">
        <f t="shared" si="31"/>
        <v>619</v>
      </c>
      <c r="AN626" t="s">
        <v>2445</v>
      </c>
      <c r="AO626" s="8">
        <v>1</v>
      </c>
      <c r="AR626" s="27" t="s">
        <v>1659</v>
      </c>
      <c r="AS626" s="21">
        <v>300</v>
      </c>
    </row>
    <row r="627" spans="2:45" x14ac:dyDescent="0.35">
      <c r="B627">
        <f t="shared" si="29"/>
        <v>620</v>
      </c>
      <c r="C627" s="27" t="s">
        <v>1262</v>
      </c>
      <c r="D627" s="8">
        <v>180.77108449689837</v>
      </c>
      <c r="E627" s="8"/>
      <c r="F627" s="8"/>
      <c r="G627" s="8"/>
      <c r="H627" s="8">
        <v>947.29364948399711</v>
      </c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>
        <v>1128.0647339808954</v>
      </c>
      <c r="AA627" s="8"/>
      <c r="AB627" s="8"/>
      <c r="AI627">
        <f t="shared" si="30"/>
        <v>620</v>
      </c>
      <c r="AJ627" s="27" t="s">
        <v>1262</v>
      </c>
      <c r="AK627" s="8">
        <v>1128.0647339808954</v>
      </c>
      <c r="AM627">
        <f t="shared" si="31"/>
        <v>620</v>
      </c>
      <c r="AN627" t="s">
        <v>2289</v>
      </c>
      <c r="AO627" s="8">
        <v>1</v>
      </c>
      <c r="AR627" s="27" t="s">
        <v>747</v>
      </c>
      <c r="AS627" s="21">
        <v>300</v>
      </c>
    </row>
    <row r="628" spans="2:45" x14ac:dyDescent="0.35">
      <c r="B628">
        <f t="shared" si="29"/>
        <v>621</v>
      </c>
      <c r="C628" s="27" t="s">
        <v>736</v>
      </c>
      <c r="D628" s="8"/>
      <c r="E628" s="8"/>
      <c r="F628" s="8"/>
      <c r="G628" s="8"/>
      <c r="H628" s="8"/>
      <c r="I628" s="8">
        <v>1124.9387366082999</v>
      </c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>
        <v>1124.9387366082999</v>
      </c>
      <c r="AA628" s="8"/>
      <c r="AB628" s="8"/>
      <c r="AI628">
        <f t="shared" si="30"/>
        <v>621</v>
      </c>
      <c r="AJ628" s="27" t="s">
        <v>736</v>
      </c>
      <c r="AK628" s="8">
        <v>1124.9387366082999</v>
      </c>
      <c r="AM628">
        <f t="shared" si="31"/>
        <v>621</v>
      </c>
      <c r="AN628" s="27" t="s">
        <v>573</v>
      </c>
      <c r="AO628" s="8">
        <v>1</v>
      </c>
      <c r="AR628" s="27" t="s">
        <v>1697</v>
      </c>
      <c r="AS628" s="21">
        <v>299.5</v>
      </c>
    </row>
    <row r="629" spans="2:45" x14ac:dyDescent="0.35">
      <c r="B629">
        <f t="shared" si="29"/>
        <v>622</v>
      </c>
      <c r="C629" s="27" t="s">
        <v>1651</v>
      </c>
      <c r="D629" s="8"/>
      <c r="E629" s="8"/>
      <c r="F629" s="8"/>
      <c r="G629" s="8"/>
      <c r="H629" s="8"/>
      <c r="I629" s="8"/>
      <c r="J629" s="8"/>
      <c r="K629" s="8"/>
      <c r="L629" s="8"/>
      <c r="M629" s="8">
        <v>1122.2158782728266</v>
      </c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>
        <v>1122.2158782728266</v>
      </c>
      <c r="AA629" s="8"/>
      <c r="AB629" s="8"/>
      <c r="AI629">
        <f t="shared" si="30"/>
        <v>622</v>
      </c>
      <c r="AJ629" s="27" t="s">
        <v>1651</v>
      </c>
      <c r="AK629" s="8">
        <v>1122.2158782728266</v>
      </c>
      <c r="AM629">
        <f t="shared" si="31"/>
        <v>622</v>
      </c>
      <c r="AN629" t="s">
        <v>2636</v>
      </c>
      <c r="AO629" s="8">
        <v>1</v>
      </c>
      <c r="AR629" s="27" t="s">
        <v>1663</v>
      </c>
      <c r="AS629" s="21">
        <v>299</v>
      </c>
    </row>
    <row r="630" spans="2:45" x14ac:dyDescent="0.35">
      <c r="B630">
        <f t="shared" si="29"/>
        <v>623</v>
      </c>
      <c r="C630" s="27" t="s">
        <v>1652</v>
      </c>
      <c r="D630" s="8"/>
      <c r="E630" s="8"/>
      <c r="F630" s="8">
        <v>1120.5739312058499</v>
      </c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>
        <v>1120.5739312058499</v>
      </c>
      <c r="AA630" s="8"/>
      <c r="AB630" s="8"/>
      <c r="AI630">
        <f t="shared" si="30"/>
        <v>623</v>
      </c>
      <c r="AJ630" s="27" t="s">
        <v>1652</v>
      </c>
      <c r="AK630" s="8">
        <v>1120.5739312058499</v>
      </c>
      <c r="AM630">
        <f t="shared" si="31"/>
        <v>623</v>
      </c>
      <c r="AN630" s="27" t="s">
        <v>1499</v>
      </c>
      <c r="AO630" s="8">
        <v>1</v>
      </c>
      <c r="AR630" s="27" t="s">
        <v>1259</v>
      </c>
      <c r="AS630" s="21">
        <v>299</v>
      </c>
    </row>
    <row r="631" spans="2:45" x14ac:dyDescent="0.35">
      <c r="B631">
        <f t="shared" si="29"/>
        <v>624</v>
      </c>
      <c r="C631" s="27" t="s">
        <v>1653</v>
      </c>
      <c r="D631" s="8"/>
      <c r="E631" s="8"/>
      <c r="F631" s="8"/>
      <c r="G631" s="8"/>
      <c r="H631" s="8">
        <v>1119.4758409067977</v>
      </c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>
        <v>1119.4758409067977</v>
      </c>
      <c r="AA631" s="8"/>
      <c r="AB631" s="8"/>
      <c r="AI631">
        <f t="shared" si="30"/>
        <v>624</v>
      </c>
      <c r="AJ631" s="27" t="s">
        <v>1653</v>
      </c>
      <c r="AK631" s="8">
        <v>1119.4758409067977</v>
      </c>
      <c r="AM631">
        <f t="shared" si="31"/>
        <v>624</v>
      </c>
      <c r="AN631" s="27" t="s">
        <v>335</v>
      </c>
      <c r="AO631" s="8">
        <v>1</v>
      </c>
      <c r="AR631" t="s">
        <v>2684</v>
      </c>
      <c r="AS631" s="21">
        <v>287</v>
      </c>
    </row>
    <row r="632" spans="2:45" x14ac:dyDescent="0.35">
      <c r="B632">
        <f t="shared" si="29"/>
        <v>625</v>
      </c>
      <c r="C632" s="27" t="s">
        <v>722</v>
      </c>
      <c r="D632" s="8"/>
      <c r="E632" s="8"/>
      <c r="F632" s="8"/>
      <c r="G632" s="8"/>
      <c r="H632" s="8"/>
      <c r="I632" s="8"/>
      <c r="J632" s="8">
        <v>1116.0263034551294</v>
      </c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>
        <v>1116.0263034551294</v>
      </c>
      <c r="AA632" s="8"/>
      <c r="AB632" s="8"/>
      <c r="AI632">
        <f t="shared" si="30"/>
        <v>625</v>
      </c>
      <c r="AJ632" s="27" t="s">
        <v>722</v>
      </c>
      <c r="AK632" s="8">
        <v>1116.0263034551294</v>
      </c>
      <c r="AM632">
        <f t="shared" si="31"/>
        <v>625</v>
      </c>
      <c r="AN632" t="s">
        <v>2494</v>
      </c>
      <c r="AO632" s="8">
        <v>1</v>
      </c>
      <c r="AR632" s="27" t="s">
        <v>1325</v>
      </c>
      <c r="AS632" s="21">
        <v>285</v>
      </c>
    </row>
    <row r="633" spans="2:45" x14ac:dyDescent="0.35">
      <c r="B633">
        <f t="shared" si="29"/>
        <v>626</v>
      </c>
      <c r="C633" t="s">
        <v>2679</v>
      </c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>
        <v>1113.9433523068369</v>
      </c>
      <c r="Z633" s="8">
        <v>1113.9433523068369</v>
      </c>
      <c r="AA633" s="8"/>
      <c r="AB633" s="8"/>
      <c r="AI633">
        <f t="shared" si="30"/>
        <v>626</v>
      </c>
      <c r="AJ633" t="s">
        <v>2679</v>
      </c>
      <c r="AK633" s="8">
        <v>1113.9433523068369</v>
      </c>
      <c r="AM633">
        <f t="shared" si="31"/>
        <v>626</v>
      </c>
      <c r="AN633" t="s">
        <v>2292</v>
      </c>
      <c r="AO633" s="8">
        <v>1</v>
      </c>
      <c r="AR633" s="27" t="s">
        <v>780</v>
      </c>
      <c r="AS633" s="21">
        <v>282</v>
      </c>
    </row>
    <row r="634" spans="2:45" x14ac:dyDescent="0.35">
      <c r="B634">
        <f t="shared" si="29"/>
        <v>627</v>
      </c>
      <c r="C634" s="27" t="s">
        <v>1654</v>
      </c>
      <c r="D634" s="8"/>
      <c r="E634" s="8"/>
      <c r="F634" s="8"/>
      <c r="G634" s="8"/>
      <c r="H634" s="8"/>
      <c r="I634" s="8">
        <v>1113.9433523068367</v>
      </c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>
        <v>1113.9433523068367</v>
      </c>
      <c r="AA634" s="8"/>
      <c r="AB634" s="8"/>
      <c r="AI634">
        <f t="shared" si="30"/>
        <v>627</v>
      </c>
      <c r="AJ634" s="27" t="s">
        <v>1654</v>
      </c>
      <c r="AK634" s="8">
        <v>1113.9433523068367</v>
      </c>
      <c r="AM634">
        <f t="shared" si="31"/>
        <v>627</v>
      </c>
      <c r="AN634" t="s">
        <v>2493</v>
      </c>
      <c r="AO634" s="8">
        <v>1</v>
      </c>
      <c r="AR634" s="27" t="s">
        <v>758</v>
      </c>
      <c r="AS634" s="21">
        <v>277</v>
      </c>
    </row>
    <row r="635" spans="2:45" x14ac:dyDescent="0.35">
      <c r="B635">
        <f t="shared" si="29"/>
        <v>628</v>
      </c>
      <c r="C635" s="27" t="s">
        <v>1655</v>
      </c>
      <c r="D635" s="8"/>
      <c r="E635" s="8">
        <v>1113.9433523068367</v>
      </c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>
        <v>1113.9433523068367</v>
      </c>
      <c r="AA635" s="8"/>
      <c r="AB635" s="8"/>
      <c r="AI635">
        <f t="shared" si="30"/>
        <v>628</v>
      </c>
      <c r="AJ635" s="27" t="s">
        <v>1655</v>
      </c>
      <c r="AK635" s="8">
        <v>1113.9433523068367</v>
      </c>
      <c r="AM635">
        <f t="shared" si="31"/>
        <v>628</v>
      </c>
      <c r="AN635" s="27" t="s">
        <v>1304</v>
      </c>
      <c r="AO635" s="8">
        <v>1</v>
      </c>
      <c r="AR635" s="27" t="s">
        <v>1631</v>
      </c>
      <c r="AS635" s="21">
        <v>277</v>
      </c>
    </row>
    <row r="636" spans="2:45" x14ac:dyDescent="0.35">
      <c r="B636">
        <f t="shared" si="29"/>
        <v>629</v>
      </c>
      <c r="C636" s="27" t="s">
        <v>1486</v>
      </c>
      <c r="D636" s="8"/>
      <c r="E636" s="8">
        <v>1109.7472377132285</v>
      </c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>
        <v>1109.7472377132285</v>
      </c>
      <c r="AA636" s="8"/>
      <c r="AB636" s="8"/>
      <c r="AI636">
        <f t="shared" si="30"/>
        <v>629</v>
      </c>
      <c r="AJ636" s="27" t="s">
        <v>1486</v>
      </c>
      <c r="AK636" s="8">
        <v>1109.7472377132285</v>
      </c>
      <c r="AM636">
        <f t="shared" si="31"/>
        <v>629</v>
      </c>
      <c r="AN636" t="s">
        <v>2455</v>
      </c>
      <c r="AO636" s="8">
        <v>1</v>
      </c>
      <c r="AR636" t="s">
        <v>2442</v>
      </c>
      <c r="AS636" s="21">
        <v>276</v>
      </c>
    </row>
    <row r="637" spans="2:45" x14ac:dyDescent="0.35">
      <c r="B637">
        <f t="shared" si="29"/>
        <v>630</v>
      </c>
      <c r="C637" s="27" t="s">
        <v>990</v>
      </c>
      <c r="D637" s="8"/>
      <c r="E637" s="8"/>
      <c r="F637" s="8"/>
      <c r="G637" s="8">
        <v>1105.5101847699739</v>
      </c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>
        <v>1105.5101847699739</v>
      </c>
      <c r="AA637" s="8"/>
      <c r="AB637" s="8"/>
      <c r="AI637">
        <f t="shared" si="30"/>
        <v>630</v>
      </c>
      <c r="AJ637" s="27" t="s">
        <v>990</v>
      </c>
      <c r="AK637" s="8">
        <v>1105.5101847699739</v>
      </c>
      <c r="AM637">
        <f t="shared" si="31"/>
        <v>630</v>
      </c>
      <c r="AN637" t="s">
        <v>2674</v>
      </c>
      <c r="AO637" s="8">
        <v>1</v>
      </c>
      <c r="AR637" s="27" t="s">
        <v>1662</v>
      </c>
      <c r="AS637" s="21">
        <v>276</v>
      </c>
    </row>
    <row r="638" spans="2:45" x14ac:dyDescent="0.35">
      <c r="B638">
        <f t="shared" si="29"/>
        <v>631</v>
      </c>
      <c r="C638" s="27" t="s">
        <v>758</v>
      </c>
      <c r="D638" s="8"/>
      <c r="E638" s="8"/>
      <c r="F638" s="8"/>
      <c r="G638" s="8"/>
      <c r="H638" s="8"/>
      <c r="I638" s="8">
        <v>1102.6623418971481</v>
      </c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>
        <v>1102.6623418971481</v>
      </c>
      <c r="AA638" s="8"/>
      <c r="AB638" s="8"/>
      <c r="AI638">
        <f t="shared" si="30"/>
        <v>631</v>
      </c>
      <c r="AJ638" s="27" t="s">
        <v>758</v>
      </c>
      <c r="AK638" s="8">
        <v>1102.6623418971481</v>
      </c>
      <c r="AM638">
        <f t="shared" si="31"/>
        <v>631</v>
      </c>
      <c r="AN638" t="s">
        <v>2457</v>
      </c>
      <c r="AO638" s="8">
        <v>1</v>
      </c>
      <c r="AR638" s="27" t="s">
        <v>928</v>
      </c>
      <c r="AS638" s="21">
        <v>274</v>
      </c>
    </row>
    <row r="639" spans="2:45" x14ac:dyDescent="0.35">
      <c r="B639">
        <f t="shared" si="29"/>
        <v>632</v>
      </c>
      <c r="C639" t="s">
        <v>2309</v>
      </c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>
        <v>1099.3846321359117</v>
      </c>
      <c r="R639" s="8"/>
      <c r="S639" s="8"/>
      <c r="T639" s="8"/>
      <c r="U639" s="8"/>
      <c r="V639" s="8"/>
      <c r="W639" s="8"/>
      <c r="X639" s="8"/>
      <c r="Y639" s="8"/>
      <c r="Z639" s="8">
        <v>1099.3846321359117</v>
      </c>
      <c r="AA639" s="8"/>
      <c r="AB639" s="8"/>
      <c r="AI639">
        <f t="shared" si="30"/>
        <v>632</v>
      </c>
      <c r="AJ639" t="s">
        <v>2309</v>
      </c>
      <c r="AK639" s="8">
        <v>1099.3846321359117</v>
      </c>
      <c r="AM639">
        <f t="shared" si="31"/>
        <v>632</v>
      </c>
      <c r="AN639" t="s">
        <v>2676</v>
      </c>
      <c r="AO639" s="8">
        <v>1</v>
      </c>
      <c r="AR639" s="27" t="s">
        <v>1163</v>
      </c>
      <c r="AS639" s="21">
        <v>272</v>
      </c>
    </row>
    <row r="640" spans="2:45" x14ac:dyDescent="0.35">
      <c r="B640">
        <f t="shared" si="29"/>
        <v>633</v>
      </c>
      <c r="C640" s="27" t="s">
        <v>1656</v>
      </c>
      <c r="D640" s="8"/>
      <c r="E640" s="8"/>
      <c r="F640" s="8"/>
      <c r="G640" s="8"/>
      <c r="H640" s="8"/>
      <c r="I640" s="8"/>
      <c r="J640" s="8"/>
      <c r="K640" s="8">
        <v>1096.9100130080565</v>
      </c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>
        <v>1096.9100130080565</v>
      </c>
      <c r="AA640" s="8"/>
      <c r="AB640" s="8"/>
      <c r="AI640">
        <f t="shared" si="30"/>
        <v>633</v>
      </c>
      <c r="AJ640" s="27" t="s">
        <v>1656</v>
      </c>
      <c r="AK640" s="8">
        <v>1096.9100130080565</v>
      </c>
      <c r="AM640">
        <f t="shared" si="31"/>
        <v>633</v>
      </c>
      <c r="AN640" t="s">
        <v>2459</v>
      </c>
      <c r="AO640" s="8">
        <v>1</v>
      </c>
      <c r="AR640" s="27" t="s">
        <v>1262</v>
      </c>
      <c r="AS640" s="21">
        <v>271</v>
      </c>
    </row>
    <row r="641" spans="2:45" x14ac:dyDescent="0.35">
      <c r="B641">
        <f t="shared" si="29"/>
        <v>634</v>
      </c>
      <c r="C641" t="s">
        <v>2426</v>
      </c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>
        <v>1096.9100130080562</v>
      </c>
      <c r="T641" s="8"/>
      <c r="U641" s="8"/>
      <c r="V641" s="8"/>
      <c r="W641" s="8"/>
      <c r="X641" s="8"/>
      <c r="Y641" s="8"/>
      <c r="Z641" s="8">
        <v>1096.9100130080562</v>
      </c>
      <c r="AA641" s="8"/>
      <c r="AB641" s="8"/>
      <c r="AI641">
        <f t="shared" si="30"/>
        <v>634</v>
      </c>
      <c r="AJ641" t="s">
        <v>2426</v>
      </c>
      <c r="AK641" s="8">
        <v>1096.9100130080562</v>
      </c>
      <c r="AM641">
        <f t="shared" si="31"/>
        <v>634</v>
      </c>
      <c r="AN641" t="s">
        <v>2679</v>
      </c>
      <c r="AO641" s="8">
        <v>1</v>
      </c>
      <c r="AR641" s="27" t="s">
        <v>1016</v>
      </c>
      <c r="AS641" s="21">
        <v>270</v>
      </c>
    </row>
    <row r="642" spans="2:45" x14ac:dyDescent="0.35">
      <c r="B642">
        <f t="shared" si="29"/>
        <v>635</v>
      </c>
      <c r="C642" s="27" t="s">
        <v>1597</v>
      </c>
      <c r="D642" s="8">
        <v>1094.4212126043617</v>
      </c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>
        <v>1094.4212126043617</v>
      </c>
      <c r="AA642" s="8"/>
      <c r="AB642" s="8"/>
      <c r="AI642">
        <f t="shared" si="30"/>
        <v>635</v>
      </c>
      <c r="AJ642" s="27" t="s">
        <v>1597</v>
      </c>
      <c r="AK642" s="8">
        <v>1094.4212126043617</v>
      </c>
      <c r="AM642">
        <f t="shared" si="31"/>
        <v>635</v>
      </c>
      <c r="AN642" s="27" t="s">
        <v>1110</v>
      </c>
      <c r="AO642" s="8">
        <v>1</v>
      </c>
      <c r="AR642" t="s">
        <v>2292</v>
      </c>
      <c r="AS642" s="21">
        <v>260</v>
      </c>
    </row>
    <row r="643" spans="2:45" x14ac:dyDescent="0.35">
      <c r="B643">
        <f t="shared" si="29"/>
        <v>636</v>
      </c>
      <c r="C643" s="27" t="s">
        <v>1598</v>
      </c>
      <c r="D643" s="8"/>
      <c r="E643" s="8"/>
      <c r="F643" s="8"/>
      <c r="G643" s="8"/>
      <c r="H643" s="8"/>
      <c r="I643" s="8"/>
      <c r="J643" s="8">
        <v>1093.4216851622352</v>
      </c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>
        <v>1093.4216851622352</v>
      </c>
      <c r="AA643" s="8"/>
      <c r="AB643" s="8"/>
      <c r="AI643">
        <f t="shared" si="30"/>
        <v>636</v>
      </c>
      <c r="AJ643" s="27" t="s">
        <v>1598</v>
      </c>
      <c r="AK643" s="8">
        <v>1093.4216851622352</v>
      </c>
      <c r="AM643">
        <f t="shared" si="31"/>
        <v>636</v>
      </c>
      <c r="AN643" t="s">
        <v>2681</v>
      </c>
      <c r="AO643" s="8">
        <v>1</v>
      </c>
      <c r="AR643" t="s">
        <v>2680</v>
      </c>
      <c r="AS643" s="21">
        <v>260</v>
      </c>
    </row>
    <row r="644" spans="2:45" x14ac:dyDescent="0.35">
      <c r="B644">
        <f t="shared" si="29"/>
        <v>637</v>
      </c>
      <c r="C644" s="27" t="s">
        <v>1657</v>
      </c>
      <c r="D644" s="8"/>
      <c r="E644" s="8"/>
      <c r="F644" s="8"/>
      <c r="G644" s="8"/>
      <c r="H644" s="8">
        <v>1093.4216851622352</v>
      </c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>
        <v>1093.4216851622352</v>
      </c>
      <c r="AA644" s="8"/>
      <c r="AB644" s="8"/>
      <c r="AI644">
        <f t="shared" si="30"/>
        <v>637</v>
      </c>
      <c r="AJ644" s="27" t="s">
        <v>1657</v>
      </c>
      <c r="AK644" s="8">
        <v>1093.4216851622352</v>
      </c>
      <c r="AM644">
        <f t="shared" si="31"/>
        <v>637</v>
      </c>
      <c r="AN644" t="s">
        <v>2464</v>
      </c>
      <c r="AO644" s="8">
        <v>1</v>
      </c>
      <c r="AR644" s="27" t="s">
        <v>1668</v>
      </c>
      <c r="AS644" s="21">
        <v>259</v>
      </c>
    </row>
    <row r="645" spans="2:45" x14ac:dyDescent="0.35">
      <c r="B645">
        <f t="shared" si="29"/>
        <v>638</v>
      </c>
      <c r="C645" s="27" t="s">
        <v>916</v>
      </c>
      <c r="D645" s="8"/>
      <c r="E645" s="8"/>
      <c r="F645" s="8"/>
      <c r="G645" s="8"/>
      <c r="H645" s="8">
        <v>1091.0804693473326</v>
      </c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>
        <v>1091.0804693473326</v>
      </c>
      <c r="AA645" s="8"/>
      <c r="AB645" s="8"/>
      <c r="AI645">
        <f t="shared" si="30"/>
        <v>638</v>
      </c>
      <c r="AJ645" s="27" t="s">
        <v>916</v>
      </c>
      <c r="AK645" s="8">
        <v>1091.0804693473326</v>
      </c>
      <c r="AM645">
        <f t="shared" si="31"/>
        <v>638</v>
      </c>
      <c r="AN645" t="s">
        <v>2684</v>
      </c>
      <c r="AO645" s="8">
        <v>1</v>
      </c>
      <c r="AR645" s="27" t="s">
        <v>1012</v>
      </c>
      <c r="AS645" s="21">
        <v>255</v>
      </c>
    </row>
    <row r="646" spans="2:45" x14ac:dyDescent="0.35">
      <c r="B646">
        <f t="shared" si="29"/>
        <v>639</v>
      </c>
      <c r="C646" s="27" t="s">
        <v>1658</v>
      </c>
      <c r="D646" s="8"/>
      <c r="E646" s="8">
        <v>1086.3598306747483</v>
      </c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>
        <v>1086.3598306747483</v>
      </c>
      <c r="AA646" s="8"/>
      <c r="AB646" s="8"/>
      <c r="AI646">
        <f t="shared" si="30"/>
        <v>639</v>
      </c>
      <c r="AJ646" s="27" t="s">
        <v>1658</v>
      </c>
      <c r="AK646" s="8">
        <v>1086.3598306747483</v>
      </c>
      <c r="AM646">
        <f t="shared" si="31"/>
        <v>639</v>
      </c>
      <c r="AN646" t="s">
        <v>2466</v>
      </c>
      <c r="AO646" s="8">
        <v>1</v>
      </c>
      <c r="AR646" s="27" t="s">
        <v>1602</v>
      </c>
      <c r="AS646" s="21">
        <v>255</v>
      </c>
    </row>
    <row r="647" spans="2:45" x14ac:dyDescent="0.35">
      <c r="B647">
        <f t="shared" si="29"/>
        <v>640</v>
      </c>
      <c r="C647" s="27" t="s">
        <v>980</v>
      </c>
      <c r="D647" s="8"/>
      <c r="E647" s="8"/>
      <c r="F647" s="8"/>
      <c r="G647" s="8"/>
      <c r="H647" s="8">
        <v>1083.4182989908793</v>
      </c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>
        <v>1083.4182989908793</v>
      </c>
      <c r="AA647" s="8"/>
      <c r="AB647" s="8"/>
      <c r="AI647">
        <f t="shared" si="30"/>
        <v>640</v>
      </c>
      <c r="AJ647" s="27" t="s">
        <v>980</v>
      </c>
      <c r="AK647" s="8">
        <v>1083.4182989908793</v>
      </c>
      <c r="AM647">
        <f t="shared" si="31"/>
        <v>640</v>
      </c>
      <c r="AN647" t="s">
        <v>2686</v>
      </c>
      <c r="AO647" s="8">
        <v>1</v>
      </c>
      <c r="AR647" s="27" t="s">
        <v>546</v>
      </c>
      <c r="AS647" s="21">
        <v>255</v>
      </c>
    </row>
    <row r="648" spans="2:45" x14ac:dyDescent="0.35">
      <c r="B648">
        <f t="shared" si="29"/>
        <v>641</v>
      </c>
      <c r="C648" t="s">
        <v>2422</v>
      </c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>
        <v>1079.1812460476249</v>
      </c>
      <c r="T648" s="8"/>
      <c r="U648" s="8"/>
      <c r="V648" s="8"/>
      <c r="W648" s="8"/>
      <c r="X648" s="8"/>
      <c r="Y648" s="8"/>
      <c r="Z648" s="8">
        <v>1079.1812460476249</v>
      </c>
      <c r="AA648" s="8"/>
      <c r="AB648" s="8"/>
      <c r="AI648">
        <f t="shared" si="30"/>
        <v>641</v>
      </c>
      <c r="AJ648" t="s">
        <v>2422</v>
      </c>
      <c r="AK648" s="8">
        <v>1079.1812460476249</v>
      </c>
      <c r="AM648">
        <f t="shared" si="31"/>
        <v>641</v>
      </c>
      <c r="AN648" t="s">
        <v>2468</v>
      </c>
      <c r="AO648" s="8">
        <v>1</v>
      </c>
      <c r="AR648" s="27" t="s">
        <v>1128</v>
      </c>
      <c r="AS648" s="21">
        <v>254</v>
      </c>
    </row>
    <row r="649" spans="2:45" x14ac:dyDescent="0.35">
      <c r="B649">
        <f t="shared" si="29"/>
        <v>642</v>
      </c>
      <c r="C649" s="27" t="s">
        <v>1496</v>
      </c>
      <c r="D649" s="8"/>
      <c r="E649" s="8">
        <v>1079.1812460476249</v>
      </c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>
        <v>1079.1812460476249</v>
      </c>
      <c r="AA649" s="8"/>
      <c r="AB649" s="8"/>
      <c r="AI649">
        <f t="shared" si="30"/>
        <v>642</v>
      </c>
      <c r="AJ649" s="27" t="s">
        <v>1496</v>
      </c>
      <c r="AK649" s="8">
        <v>1079.1812460476249</v>
      </c>
      <c r="AM649">
        <f t="shared" si="31"/>
        <v>642</v>
      </c>
      <c r="AN649" t="s">
        <v>2695</v>
      </c>
      <c r="AO649" s="8">
        <v>1</v>
      </c>
      <c r="AR649" t="s">
        <v>2544</v>
      </c>
      <c r="AS649" s="21">
        <v>252</v>
      </c>
    </row>
    <row r="650" spans="2:45" x14ac:dyDescent="0.35">
      <c r="B650">
        <f t="shared" ref="B650:B713" si="32">B649+1</f>
        <v>643</v>
      </c>
      <c r="C650" t="s">
        <v>2352</v>
      </c>
      <c r="D650" s="8"/>
      <c r="E650" s="8"/>
      <c r="F650" s="8"/>
      <c r="G650" s="8"/>
      <c r="H650" s="8"/>
      <c r="I650" s="8"/>
      <c r="J650" s="8"/>
      <c r="K650" s="8"/>
      <c r="L650" s="8"/>
      <c r="M650" s="8">
        <v>1079.1812460476247</v>
      </c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>
        <v>1079.1812460476247</v>
      </c>
      <c r="AA650" s="8"/>
      <c r="AB650" s="8"/>
      <c r="AI650">
        <f t="shared" ref="AI650:AI713" si="33">AI649+1</f>
        <v>643</v>
      </c>
      <c r="AJ650" t="s">
        <v>2352</v>
      </c>
      <c r="AK650" s="8">
        <v>1079.1812460476247</v>
      </c>
      <c r="AM650">
        <f t="shared" ref="AM650:AM713" si="34">AM649+1</f>
        <v>643</v>
      </c>
      <c r="AN650" t="s">
        <v>2471</v>
      </c>
      <c r="AO650" s="8">
        <v>1</v>
      </c>
      <c r="AR650" t="s">
        <v>2552</v>
      </c>
      <c r="AS650" s="21">
        <v>250</v>
      </c>
    </row>
    <row r="651" spans="2:45" x14ac:dyDescent="0.35">
      <c r="B651">
        <f t="shared" si="32"/>
        <v>644</v>
      </c>
      <c r="C651" s="27" t="s">
        <v>1380</v>
      </c>
      <c r="D651" s="8">
        <v>1073.8524125425581</v>
      </c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>
        <v>1073.8524125425581</v>
      </c>
      <c r="AA651" s="8"/>
      <c r="AB651" s="8"/>
      <c r="AI651">
        <f t="shared" si="33"/>
        <v>644</v>
      </c>
      <c r="AJ651" s="27" t="s">
        <v>1380</v>
      </c>
      <c r="AK651" s="8">
        <v>1073.8524125425581</v>
      </c>
      <c r="AM651">
        <f t="shared" si="34"/>
        <v>644</v>
      </c>
      <c r="AN651" t="s">
        <v>2294</v>
      </c>
      <c r="AO651" s="8">
        <v>1</v>
      </c>
      <c r="AR651" s="27" t="s">
        <v>1110</v>
      </c>
      <c r="AS651" s="21">
        <v>250</v>
      </c>
    </row>
    <row r="652" spans="2:45" x14ac:dyDescent="0.35">
      <c r="B652">
        <f t="shared" si="32"/>
        <v>645</v>
      </c>
      <c r="C652" s="27" t="s">
        <v>1012</v>
      </c>
      <c r="D652" s="8"/>
      <c r="E652" s="8"/>
      <c r="F652" s="8"/>
      <c r="G652" s="8">
        <v>1071.0633558254451</v>
      </c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>
        <v>1071.0633558254451</v>
      </c>
      <c r="AA652" s="8"/>
      <c r="AB652" s="8"/>
      <c r="AI652">
        <f t="shared" si="33"/>
        <v>645</v>
      </c>
      <c r="AJ652" s="27" t="s">
        <v>1012</v>
      </c>
      <c r="AK652" s="8">
        <v>1071.0633558254451</v>
      </c>
      <c r="AM652">
        <f t="shared" si="34"/>
        <v>645</v>
      </c>
      <c r="AN652" t="s">
        <v>2473</v>
      </c>
      <c r="AO652" s="8">
        <v>1</v>
      </c>
      <c r="AR652" s="27" t="s">
        <v>639</v>
      </c>
      <c r="AS652" s="21">
        <v>250</v>
      </c>
    </row>
    <row r="653" spans="2:45" x14ac:dyDescent="0.35">
      <c r="B653">
        <f t="shared" si="32"/>
        <v>646</v>
      </c>
      <c r="C653" s="27" t="s">
        <v>785</v>
      </c>
      <c r="D653" s="8"/>
      <c r="E653" s="8"/>
      <c r="F653" s="8"/>
      <c r="G653" s="8"/>
      <c r="H653" s="8"/>
      <c r="I653" s="8">
        <v>1070.0378666077547</v>
      </c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>
        <v>1070.0378666077547</v>
      </c>
      <c r="AA653" s="8"/>
      <c r="AB653" s="8"/>
      <c r="AI653">
        <f t="shared" si="33"/>
        <v>646</v>
      </c>
      <c r="AJ653" s="27" t="s">
        <v>785</v>
      </c>
      <c r="AK653" s="8">
        <v>1070.0378666077547</v>
      </c>
      <c r="AM653">
        <f t="shared" si="34"/>
        <v>646</v>
      </c>
      <c r="AN653" s="27" t="s">
        <v>1609</v>
      </c>
      <c r="AO653" s="8">
        <v>1</v>
      </c>
      <c r="AR653" s="27" t="s">
        <v>637</v>
      </c>
      <c r="AS653" s="21">
        <v>250</v>
      </c>
    </row>
    <row r="654" spans="2:45" x14ac:dyDescent="0.35">
      <c r="B654">
        <f t="shared" si="32"/>
        <v>647</v>
      </c>
      <c r="C654" s="27" t="s">
        <v>1659</v>
      </c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>
        <v>1068.7158123694599</v>
      </c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>
        <v>1068.7158123694599</v>
      </c>
      <c r="AA654" s="8"/>
      <c r="AB654" s="8"/>
      <c r="AI654">
        <f t="shared" si="33"/>
        <v>647</v>
      </c>
      <c r="AJ654" s="27" t="s">
        <v>1659</v>
      </c>
      <c r="AK654" s="8">
        <v>1068.7158123694599</v>
      </c>
      <c r="AM654">
        <f t="shared" si="34"/>
        <v>647</v>
      </c>
      <c r="AN654" s="27" t="s">
        <v>1600</v>
      </c>
      <c r="AO654" s="8">
        <v>1</v>
      </c>
      <c r="AR654" s="27" t="s">
        <v>342</v>
      </c>
      <c r="AS654" s="21">
        <v>250</v>
      </c>
    </row>
    <row r="655" spans="2:45" x14ac:dyDescent="0.35">
      <c r="B655">
        <f t="shared" si="32"/>
        <v>648</v>
      </c>
      <c r="C655" s="27" t="s">
        <v>1660</v>
      </c>
      <c r="D655" s="8"/>
      <c r="E655" s="8"/>
      <c r="F655" s="8"/>
      <c r="G655" s="8"/>
      <c r="H655" s="8"/>
      <c r="I655" s="8">
        <v>1066.9467896306132</v>
      </c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>
        <v>1066.9467896306132</v>
      </c>
      <c r="AA655" s="8"/>
      <c r="AB655" s="8"/>
      <c r="AI655">
        <f t="shared" si="33"/>
        <v>648</v>
      </c>
      <c r="AJ655" s="27" t="s">
        <v>1660</v>
      </c>
      <c r="AK655" s="8">
        <v>1066.9467896306132</v>
      </c>
      <c r="AM655">
        <f t="shared" si="34"/>
        <v>648</v>
      </c>
      <c r="AN655" s="27" t="s">
        <v>792</v>
      </c>
      <c r="AO655" s="8">
        <v>1</v>
      </c>
      <c r="AR655" s="27" t="s">
        <v>1067</v>
      </c>
      <c r="AS655" s="21">
        <v>250</v>
      </c>
    </row>
    <row r="656" spans="2:45" x14ac:dyDescent="0.35">
      <c r="B656">
        <f t="shared" si="32"/>
        <v>649</v>
      </c>
      <c r="C656" t="s">
        <v>2515</v>
      </c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>
        <v>1064.4579892269187</v>
      </c>
      <c r="V656" s="8"/>
      <c r="W656" s="8"/>
      <c r="X656" s="8"/>
      <c r="Y656" s="8"/>
      <c r="Z656" s="8">
        <v>1064.4579892269187</v>
      </c>
      <c r="AA656" s="8"/>
      <c r="AB656" s="8"/>
      <c r="AI656">
        <f t="shared" si="33"/>
        <v>649</v>
      </c>
      <c r="AJ656" t="s">
        <v>2504</v>
      </c>
      <c r="AK656" s="8">
        <v>1064.4579892269187</v>
      </c>
      <c r="AM656">
        <f t="shared" si="34"/>
        <v>649</v>
      </c>
      <c r="AN656" s="27" t="s">
        <v>1699</v>
      </c>
      <c r="AO656" s="8">
        <v>1</v>
      </c>
      <c r="AR656" s="27" t="s">
        <v>1665</v>
      </c>
      <c r="AS656" s="21">
        <v>250</v>
      </c>
    </row>
    <row r="657" spans="2:45" x14ac:dyDescent="0.35">
      <c r="B657">
        <f t="shared" si="32"/>
        <v>650</v>
      </c>
      <c r="C657" t="s">
        <v>2504</v>
      </c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>
        <v>1064.4579892269187</v>
      </c>
      <c r="V657" s="8"/>
      <c r="W657" s="8"/>
      <c r="X657" s="8"/>
      <c r="Y657" s="8"/>
      <c r="Z657" s="8">
        <v>1064.4579892269187</v>
      </c>
      <c r="AA657" s="8"/>
      <c r="AB657" s="8"/>
      <c r="AI657">
        <f t="shared" si="33"/>
        <v>650</v>
      </c>
      <c r="AJ657" t="s">
        <v>2515</v>
      </c>
      <c r="AK657" s="8">
        <v>1064.4579892269187</v>
      </c>
      <c r="AM657">
        <f t="shared" si="34"/>
        <v>650</v>
      </c>
      <c r="AN657" s="27" t="s">
        <v>1594</v>
      </c>
      <c r="AO657" s="8">
        <v>1</v>
      </c>
      <c r="AR657" s="27" t="s">
        <v>462</v>
      </c>
      <c r="AS657" s="21">
        <v>242</v>
      </c>
    </row>
    <row r="658" spans="2:45" x14ac:dyDescent="0.35">
      <c r="B658">
        <f t="shared" si="32"/>
        <v>651</v>
      </c>
      <c r="C658" t="s">
        <v>2685</v>
      </c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>
        <v>1060.6978403536116</v>
      </c>
      <c r="Z658" s="8">
        <v>1060.6978403536116</v>
      </c>
      <c r="AA658" s="8"/>
      <c r="AB658" s="8"/>
      <c r="AI658">
        <f t="shared" si="33"/>
        <v>651</v>
      </c>
      <c r="AJ658" t="s">
        <v>2685</v>
      </c>
      <c r="AK658" s="8">
        <v>1060.6978403536116</v>
      </c>
      <c r="AM658">
        <f t="shared" si="34"/>
        <v>651</v>
      </c>
      <c r="AN658" s="27" t="s">
        <v>615</v>
      </c>
      <c r="AO658" s="8">
        <v>1</v>
      </c>
      <c r="AR658" s="27" t="s">
        <v>1586</v>
      </c>
      <c r="AS658" s="21">
        <v>240</v>
      </c>
    </row>
    <row r="659" spans="2:45" x14ac:dyDescent="0.35">
      <c r="B659">
        <f t="shared" si="32"/>
        <v>652</v>
      </c>
      <c r="C659" t="s">
        <v>2406</v>
      </c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>
        <v>1056.9048513364728</v>
      </c>
      <c r="T659" s="8"/>
      <c r="U659" s="8"/>
      <c r="V659" s="8"/>
      <c r="W659" s="8"/>
      <c r="X659" s="8"/>
      <c r="Y659" s="8"/>
      <c r="Z659" s="8">
        <v>1056.9048513364728</v>
      </c>
      <c r="AA659" s="8"/>
      <c r="AB659" s="8"/>
      <c r="AI659">
        <f t="shared" si="33"/>
        <v>652</v>
      </c>
      <c r="AJ659" t="s">
        <v>2406</v>
      </c>
      <c r="AK659" s="8">
        <v>1056.9048513364728</v>
      </c>
      <c r="AM659">
        <f t="shared" si="34"/>
        <v>652</v>
      </c>
      <c r="AN659" s="27" t="s">
        <v>1590</v>
      </c>
      <c r="AO659" s="8">
        <v>1</v>
      </c>
      <c r="AR659" s="27" t="s">
        <v>1165</v>
      </c>
      <c r="AS659" s="21">
        <v>238</v>
      </c>
    </row>
    <row r="660" spans="2:45" x14ac:dyDescent="0.35">
      <c r="B660">
        <f t="shared" si="32"/>
        <v>653</v>
      </c>
      <c r="C660" t="s">
        <v>2457</v>
      </c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>
        <v>1056.9048513364728</v>
      </c>
      <c r="U660" s="8"/>
      <c r="V660" s="8"/>
      <c r="W660" s="8"/>
      <c r="X660" s="8"/>
      <c r="Y660" s="8"/>
      <c r="Z660" s="8">
        <v>1056.9048513364728</v>
      </c>
      <c r="AA660" s="8"/>
      <c r="AB660" s="8"/>
      <c r="AI660">
        <f t="shared" si="33"/>
        <v>653</v>
      </c>
      <c r="AJ660" t="s">
        <v>2457</v>
      </c>
      <c r="AK660" s="8">
        <v>1056.9048513364728</v>
      </c>
      <c r="AM660">
        <f t="shared" si="34"/>
        <v>653</v>
      </c>
      <c r="AN660" s="27" t="s">
        <v>916</v>
      </c>
      <c r="AO660" s="8">
        <v>1</v>
      </c>
      <c r="AR660" s="27" t="s">
        <v>1652</v>
      </c>
      <c r="AS660" s="21">
        <v>237</v>
      </c>
    </row>
    <row r="661" spans="2:45" x14ac:dyDescent="0.35">
      <c r="B661">
        <f t="shared" si="32"/>
        <v>654</v>
      </c>
      <c r="C661" t="s">
        <v>2624</v>
      </c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>
        <v>1054.3576623225927</v>
      </c>
      <c r="Y661" s="8"/>
      <c r="Z661" s="8">
        <v>1054.3576623225927</v>
      </c>
      <c r="AA661" s="8"/>
      <c r="AB661" s="8"/>
      <c r="AI661">
        <f t="shared" si="33"/>
        <v>654</v>
      </c>
      <c r="AJ661" t="s">
        <v>2624</v>
      </c>
      <c r="AK661" s="8">
        <v>1054.3576623225927</v>
      </c>
      <c r="AM661">
        <f t="shared" si="34"/>
        <v>654</v>
      </c>
      <c r="AN661" s="27" t="s">
        <v>497</v>
      </c>
      <c r="AO661" s="8">
        <v>1</v>
      </c>
      <c r="AR661" s="27" t="s">
        <v>1534</v>
      </c>
      <c r="AS661" s="21">
        <v>235</v>
      </c>
    </row>
    <row r="662" spans="2:45" x14ac:dyDescent="0.35">
      <c r="B662">
        <f t="shared" si="32"/>
        <v>655</v>
      </c>
      <c r="C662" s="27" t="s">
        <v>1661</v>
      </c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>
        <v>545.5402346736663</v>
      </c>
      <c r="O662" s="8">
        <v>507.12021955730512</v>
      </c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>
        <v>1052.6604542309715</v>
      </c>
      <c r="AA662" s="8"/>
      <c r="AB662" s="8"/>
      <c r="AI662">
        <f t="shared" si="33"/>
        <v>655</v>
      </c>
      <c r="AJ662" s="27" t="s">
        <v>1661</v>
      </c>
      <c r="AK662" s="8">
        <v>1052.6604542309715</v>
      </c>
      <c r="AM662">
        <f t="shared" si="34"/>
        <v>655</v>
      </c>
      <c r="AN662" s="27" t="s">
        <v>1494</v>
      </c>
      <c r="AO662" s="8">
        <v>1</v>
      </c>
      <c r="AR662" s="27" t="s">
        <v>930</v>
      </c>
      <c r="AS662" s="21">
        <v>233</v>
      </c>
    </row>
    <row r="663" spans="2:45" x14ac:dyDescent="0.35">
      <c r="B663">
        <f t="shared" si="32"/>
        <v>656</v>
      </c>
      <c r="C663" s="27" t="s">
        <v>1662</v>
      </c>
      <c r="D663" s="8"/>
      <c r="E663" s="8"/>
      <c r="F663" s="8"/>
      <c r="G663" s="8"/>
      <c r="H663" s="8">
        <v>1052.5290512761844</v>
      </c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>
        <v>1052.5290512761844</v>
      </c>
      <c r="AA663" s="8"/>
      <c r="AB663" s="8"/>
      <c r="AI663">
        <f t="shared" si="33"/>
        <v>656</v>
      </c>
      <c r="AJ663" s="27" t="s">
        <v>1662</v>
      </c>
      <c r="AK663" s="8">
        <v>1052.5290512761844</v>
      </c>
      <c r="AM663">
        <f t="shared" si="34"/>
        <v>656</v>
      </c>
      <c r="AN663" s="27" t="s">
        <v>338</v>
      </c>
      <c r="AO663" s="8">
        <v>1</v>
      </c>
      <c r="AR663" t="s">
        <v>2302</v>
      </c>
      <c r="AS663" s="21">
        <v>230</v>
      </c>
    </row>
    <row r="664" spans="2:45" x14ac:dyDescent="0.35">
      <c r="B664">
        <f t="shared" si="32"/>
        <v>657</v>
      </c>
      <c r="C664" t="s">
        <v>2617</v>
      </c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>
        <v>1051.1525224473814</v>
      </c>
      <c r="Y664" s="8"/>
      <c r="Z664" s="8">
        <v>1051.1525224473814</v>
      </c>
      <c r="AA664" s="8"/>
      <c r="AB664" s="8"/>
      <c r="AI664">
        <f t="shared" si="33"/>
        <v>657</v>
      </c>
      <c r="AJ664" t="s">
        <v>2617</v>
      </c>
      <c r="AK664" s="8">
        <v>1051.1525224473814</v>
      </c>
      <c r="AM664">
        <f t="shared" si="34"/>
        <v>657</v>
      </c>
      <c r="AN664" s="27" t="s">
        <v>875</v>
      </c>
      <c r="AO664" s="8">
        <v>1</v>
      </c>
      <c r="AR664" t="s">
        <v>2466</v>
      </c>
      <c r="AS664" s="21">
        <v>230</v>
      </c>
    </row>
    <row r="665" spans="2:45" x14ac:dyDescent="0.35">
      <c r="B665">
        <f t="shared" si="32"/>
        <v>658</v>
      </c>
      <c r="C665" s="27" t="s">
        <v>1422</v>
      </c>
      <c r="D665" s="8">
        <v>1051.1525224473812</v>
      </c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>
        <v>1051.1525224473812</v>
      </c>
      <c r="AA665" s="8"/>
      <c r="AB665" s="8"/>
      <c r="AI665">
        <f t="shared" si="33"/>
        <v>658</v>
      </c>
      <c r="AJ665" s="27" t="s">
        <v>1422</v>
      </c>
      <c r="AK665" s="8">
        <v>1051.1525224473812</v>
      </c>
      <c r="AM665">
        <f t="shared" si="34"/>
        <v>658</v>
      </c>
      <c r="AN665" s="27" t="s">
        <v>1698</v>
      </c>
      <c r="AO665" s="8">
        <v>1</v>
      </c>
      <c r="AR665" s="27" t="s">
        <v>1037</v>
      </c>
      <c r="AS665" s="21">
        <v>226</v>
      </c>
    </row>
    <row r="666" spans="2:45" x14ac:dyDescent="0.35">
      <c r="B666">
        <f t="shared" si="32"/>
        <v>659</v>
      </c>
      <c r="C666" s="27" t="s">
        <v>1135</v>
      </c>
      <c r="D666" s="8"/>
      <c r="E666" s="8"/>
      <c r="F666" s="8">
        <v>1049.7716167309957</v>
      </c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>
        <v>1049.7716167309957</v>
      </c>
      <c r="AA666" s="8"/>
      <c r="AB666" s="8"/>
      <c r="AI666">
        <f t="shared" si="33"/>
        <v>659</v>
      </c>
      <c r="AJ666" s="27" t="s">
        <v>1135</v>
      </c>
      <c r="AK666" s="8">
        <v>1049.7716167309957</v>
      </c>
      <c r="AM666">
        <f t="shared" si="34"/>
        <v>659</v>
      </c>
      <c r="AN666" s="27" t="s">
        <v>1709</v>
      </c>
      <c r="AO666" s="8">
        <v>1</v>
      </c>
      <c r="AR666" s="27" t="s">
        <v>1041</v>
      </c>
      <c r="AS666" s="21">
        <v>226</v>
      </c>
    </row>
    <row r="667" spans="2:45" x14ac:dyDescent="0.35">
      <c r="B667">
        <f t="shared" si="32"/>
        <v>660</v>
      </c>
      <c r="C667" s="27" t="s">
        <v>1663</v>
      </c>
      <c r="D667" s="8"/>
      <c r="E667" s="8"/>
      <c r="F667" s="8"/>
      <c r="G667" s="8"/>
      <c r="H667" s="8"/>
      <c r="I667" s="8">
        <v>1049.2180226701814</v>
      </c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>
        <v>1049.2180226701814</v>
      </c>
      <c r="AA667" s="8"/>
      <c r="AB667" s="8"/>
      <c r="AI667">
        <f t="shared" si="33"/>
        <v>660</v>
      </c>
      <c r="AJ667" s="27" t="s">
        <v>1663</v>
      </c>
      <c r="AK667" s="8">
        <v>1049.2180226701814</v>
      </c>
      <c r="AM667">
        <f t="shared" si="34"/>
        <v>660</v>
      </c>
      <c r="AN667" s="27" t="s">
        <v>1403</v>
      </c>
      <c r="AO667" s="8">
        <v>1</v>
      </c>
      <c r="AR667" s="27" t="s">
        <v>1043</v>
      </c>
      <c r="AS667" s="21">
        <v>226</v>
      </c>
    </row>
    <row r="668" spans="2:45" x14ac:dyDescent="0.35">
      <c r="B668">
        <f t="shared" si="32"/>
        <v>661</v>
      </c>
      <c r="C668" s="27" t="s">
        <v>335</v>
      </c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>
        <v>1044.4191397884131</v>
      </c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>
        <v>1044.4191397884131</v>
      </c>
      <c r="AA668" s="8"/>
      <c r="AB668" s="8"/>
      <c r="AI668">
        <f t="shared" si="33"/>
        <v>661</v>
      </c>
      <c r="AJ668" s="27" t="s">
        <v>335</v>
      </c>
      <c r="AK668" s="8">
        <v>1044.4191397884131</v>
      </c>
      <c r="AM668">
        <f t="shared" si="34"/>
        <v>661</v>
      </c>
      <c r="AN668" s="27" t="s">
        <v>1692</v>
      </c>
      <c r="AO668" s="8">
        <v>1</v>
      </c>
      <c r="AR668" t="s">
        <v>2542</v>
      </c>
      <c r="AS668" s="21">
        <v>222</v>
      </c>
    </row>
    <row r="669" spans="2:45" x14ac:dyDescent="0.35">
      <c r="B669">
        <f t="shared" si="32"/>
        <v>662</v>
      </c>
      <c r="C669" s="27" t="s">
        <v>728</v>
      </c>
      <c r="D669" s="8"/>
      <c r="E669" s="8"/>
      <c r="F669" s="8"/>
      <c r="G669" s="8"/>
      <c r="H669" s="8"/>
      <c r="I669" s="8"/>
      <c r="J669" s="8">
        <v>1041.3926851582253</v>
      </c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>
        <v>1041.3926851582253</v>
      </c>
      <c r="AA669" s="8"/>
      <c r="AB669" s="8"/>
      <c r="AI669">
        <f t="shared" si="33"/>
        <v>662</v>
      </c>
      <c r="AJ669" s="27" t="s">
        <v>728</v>
      </c>
      <c r="AK669" s="8">
        <v>1041.3926851582253</v>
      </c>
      <c r="AM669">
        <f t="shared" si="34"/>
        <v>662</v>
      </c>
      <c r="AN669" s="27" t="s">
        <v>1485</v>
      </c>
      <c r="AO669" s="8">
        <v>1</v>
      </c>
      <c r="AR669" t="s">
        <v>2445</v>
      </c>
      <c r="AS669" s="21">
        <v>221</v>
      </c>
    </row>
    <row r="670" spans="2:45" x14ac:dyDescent="0.35">
      <c r="B670">
        <f t="shared" si="32"/>
        <v>663</v>
      </c>
      <c r="C670" s="27" t="s">
        <v>506</v>
      </c>
      <c r="D670" s="8"/>
      <c r="E670" s="8"/>
      <c r="F670" s="8"/>
      <c r="G670" s="8"/>
      <c r="H670" s="8"/>
      <c r="I670" s="8"/>
      <c r="J670" s="8"/>
      <c r="K670" s="8"/>
      <c r="L670" s="8">
        <v>1041.3926851582248</v>
      </c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>
        <v>1041.3926851582248</v>
      </c>
      <c r="AA670" s="8"/>
      <c r="AB670" s="8"/>
      <c r="AI670">
        <f t="shared" si="33"/>
        <v>663</v>
      </c>
      <c r="AJ670" s="27" t="s">
        <v>506</v>
      </c>
      <c r="AK670" s="8">
        <v>1041.3926851582248</v>
      </c>
      <c r="AM670">
        <f t="shared" si="34"/>
        <v>663</v>
      </c>
      <c r="AN670" s="27" t="s">
        <v>1562</v>
      </c>
      <c r="AO670" s="8">
        <v>1</v>
      </c>
      <c r="AR670" s="27" t="s">
        <v>1658</v>
      </c>
      <c r="AS670" s="21">
        <v>219</v>
      </c>
    </row>
    <row r="671" spans="2:45" x14ac:dyDescent="0.35">
      <c r="B671">
        <f t="shared" si="32"/>
        <v>664</v>
      </c>
      <c r="C671" s="27" t="s">
        <v>1664</v>
      </c>
      <c r="D671" s="8">
        <v>1041.3926851582248</v>
      </c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>
        <v>1041.3926851582248</v>
      </c>
      <c r="AA671" s="8"/>
      <c r="AB671" s="8"/>
      <c r="AI671">
        <f t="shared" si="33"/>
        <v>664</v>
      </c>
      <c r="AJ671" s="27" t="s">
        <v>1664</v>
      </c>
      <c r="AK671" s="8">
        <v>1041.3926851582248</v>
      </c>
      <c r="AM671">
        <f t="shared" si="34"/>
        <v>664</v>
      </c>
      <c r="AN671" s="27" t="s">
        <v>1292</v>
      </c>
      <c r="AO671" s="8">
        <v>1</v>
      </c>
      <c r="AR671" s="27" t="s">
        <v>1566</v>
      </c>
      <c r="AS671" s="21">
        <v>215</v>
      </c>
    </row>
    <row r="672" spans="2:45" x14ac:dyDescent="0.35">
      <c r="B672">
        <f t="shared" si="32"/>
        <v>665</v>
      </c>
      <c r="C672" s="27" t="s">
        <v>1072</v>
      </c>
      <c r="D672" s="8"/>
      <c r="E672" s="8"/>
      <c r="F672" s="8"/>
      <c r="G672" s="8">
        <v>1037.4264979406234</v>
      </c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>
        <v>1037.4264979406234</v>
      </c>
      <c r="AA672" s="8"/>
      <c r="AB672" s="8"/>
      <c r="AI672">
        <f t="shared" si="33"/>
        <v>665</v>
      </c>
      <c r="AJ672" s="27" t="s">
        <v>1072</v>
      </c>
      <c r="AK672" s="8">
        <v>1037.4264979406234</v>
      </c>
      <c r="AM672">
        <f t="shared" si="34"/>
        <v>665</v>
      </c>
      <c r="AN672" s="27" t="s">
        <v>1490</v>
      </c>
      <c r="AO672" s="8">
        <v>1</v>
      </c>
      <c r="AR672" s="27" t="s">
        <v>1412</v>
      </c>
      <c r="AS672" s="21">
        <v>210</v>
      </c>
    </row>
    <row r="673" spans="2:45" x14ac:dyDescent="0.35">
      <c r="B673">
        <f t="shared" si="32"/>
        <v>666</v>
      </c>
      <c r="C673" s="27" t="s">
        <v>1487</v>
      </c>
      <c r="D673" s="8"/>
      <c r="E673" s="8"/>
      <c r="F673" s="8"/>
      <c r="G673" s="8"/>
      <c r="H673" s="8"/>
      <c r="I673" s="8"/>
      <c r="J673" s="8"/>
      <c r="K673" s="8"/>
      <c r="L673" s="8"/>
      <c r="M673" s="8">
        <v>1035.2757603485429</v>
      </c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>
        <v>1035.2757603485429</v>
      </c>
      <c r="AA673" s="8"/>
      <c r="AB673" s="8"/>
      <c r="AI673">
        <f t="shared" si="33"/>
        <v>666</v>
      </c>
      <c r="AJ673" s="27" t="s">
        <v>1487</v>
      </c>
      <c r="AK673" s="8">
        <v>1035.2757603485429</v>
      </c>
      <c r="AM673">
        <f t="shared" si="34"/>
        <v>666</v>
      </c>
      <c r="AN673" s="27" t="s">
        <v>1706</v>
      </c>
      <c r="AO673" s="8">
        <v>1</v>
      </c>
      <c r="AR673" s="27" t="s">
        <v>722</v>
      </c>
      <c r="AS673" s="21">
        <v>210</v>
      </c>
    </row>
    <row r="674" spans="2:45" x14ac:dyDescent="0.35">
      <c r="B674">
        <f t="shared" si="32"/>
        <v>667</v>
      </c>
      <c r="C674" t="s">
        <v>2695</v>
      </c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>
        <v>1033.4237554869499</v>
      </c>
      <c r="Z674" s="8">
        <v>1033.4237554869499</v>
      </c>
      <c r="AA674" s="8"/>
      <c r="AB674" s="8"/>
      <c r="AI674">
        <f t="shared" si="33"/>
        <v>667</v>
      </c>
      <c r="AJ674" t="s">
        <v>2695</v>
      </c>
      <c r="AK674" s="8">
        <v>1033.4237554869499</v>
      </c>
      <c r="AM674">
        <f t="shared" si="34"/>
        <v>667</v>
      </c>
      <c r="AN674" s="27" t="s">
        <v>1284</v>
      </c>
      <c r="AO674" s="8">
        <v>1</v>
      </c>
      <c r="AR674" t="s">
        <v>2392</v>
      </c>
      <c r="AS674" s="21">
        <v>204</v>
      </c>
    </row>
    <row r="675" spans="2:45" x14ac:dyDescent="0.35">
      <c r="B675">
        <f t="shared" si="32"/>
        <v>668</v>
      </c>
      <c r="C675" s="27" t="s">
        <v>1016</v>
      </c>
      <c r="D675" s="8"/>
      <c r="E675" s="8"/>
      <c r="F675" s="8"/>
      <c r="G675" s="8">
        <v>1031.4084642516241</v>
      </c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>
        <v>1031.4084642516241</v>
      </c>
      <c r="AA675" s="8"/>
      <c r="AB675" s="8"/>
      <c r="AI675">
        <f t="shared" si="33"/>
        <v>668</v>
      </c>
      <c r="AJ675" s="27" t="s">
        <v>1016</v>
      </c>
      <c r="AK675" s="8">
        <v>1031.4084642516241</v>
      </c>
      <c r="AM675">
        <f t="shared" si="34"/>
        <v>668</v>
      </c>
      <c r="AN675" s="27" t="s">
        <v>1322</v>
      </c>
      <c r="AO675" s="8">
        <v>1</v>
      </c>
      <c r="AR675" s="27" t="s">
        <v>1680</v>
      </c>
      <c r="AS675" s="21">
        <v>203</v>
      </c>
    </row>
    <row r="676" spans="2:45" x14ac:dyDescent="0.35">
      <c r="B676">
        <f t="shared" si="32"/>
        <v>669</v>
      </c>
      <c r="C676" s="27" t="s">
        <v>873</v>
      </c>
      <c r="D676" s="8"/>
      <c r="E676" s="8"/>
      <c r="F676" s="8"/>
      <c r="G676" s="8"/>
      <c r="H676" s="8">
        <v>1030.4893221479003</v>
      </c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>
        <v>1030.4893221479003</v>
      </c>
      <c r="AA676" s="8"/>
      <c r="AB676" s="8"/>
      <c r="AI676">
        <f t="shared" si="33"/>
        <v>669</v>
      </c>
      <c r="AJ676" s="27" t="s">
        <v>873</v>
      </c>
      <c r="AK676" s="8">
        <v>1030.4893221479003</v>
      </c>
      <c r="AM676">
        <f t="shared" si="34"/>
        <v>669</v>
      </c>
      <c r="AN676" s="27" t="s">
        <v>1277</v>
      </c>
      <c r="AO676" s="8">
        <v>1</v>
      </c>
      <c r="AR676" s="27" t="s">
        <v>1498</v>
      </c>
      <c r="AS676" s="21">
        <v>200</v>
      </c>
    </row>
    <row r="677" spans="2:45" x14ac:dyDescent="0.35">
      <c r="B677">
        <f t="shared" si="32"/>
        <v>670</v>
      </c>
      <c r="C677" t="s">
        <v>2579</v>
      </c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>
        <v>1028.0287236002437</v>
      </c>
      <c r="X677" s="8"/>
      <c r="Y677" s="8"/>
      <c r="Z677" s="8">
        <v>1028.0287236002437</v>
      </c>
      <c r="AA677" s="8"/>
      <c r="AB677" s="8"/>
      <c r="AI677">
        <f t="shared" si="33"/>
        <v>670</v>
      </c>
      <c r="AJ677" t="s">
        <v>2579</v>
      </c>
      <c r="AK677" s="8">
        <v>1028.0287236002437</v>
      </c>
      <c r="AM677">
        <f t="shared" si="34"/>
        <v>670</v>
      </c>
      <c r="AN677" s="27" t="s">
        <v>780</v>
      </c>
      <c r="AO677" s="8">
        <v>1</v>
      </c>
      <c r="AR677" s="27" t="s">
        <v>1185</v>
      </c>
      <c r="AS677" s="21">
        <v>200</v>
      </c>
    </row>
    <row r="678" spans="2:45" x14ac:dyDescent="0.35">
      <c r="B678">
        <f t="shared" si="32"/>
        <v>671</v>
      </c>
      <c r="C678" s="27" t="s">
        <v>1424</v>
      </c>
      <c r="D678" s="8">
        <v>1024.8235837250322</v>
      </c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>
        <v>1024.8235837250322</v>
      </c>
      <c r="AA678" s="8"/>
      <c r="AB678" s="8"/>
      <c r="AI678">
        <f t="shared" si="33"/>
        <v>671</v>
      </c>
      <c r="AJ678" s="27" t="s">
        <v>1424</v>
      </c>
      <c r="AK678" s="8">
        <v>1024.8235837250322</v>
      </c>
      <c r="AM678">
        <f t="shared" si="34"/>
        <v>671</v>
      </c>
      <c r="AN678" s="27" t="s">
        <v>1163</v>
      </c>
      <c r="AO678" s="8">
        <v>1</v>
      </c>
      <c r="AR678" s="27" t="s">
        <v>1599</v>
      </c>
      <c r="AS678" s="21">
        <v>200</v>
      </c>
    </row>
    <row r="679" spans="2:45" x14ac:dyDescent="0.35">
      <c r="B679">
        <f t="shared" si="32"/>
        <v>672</v>
      </c>
      <c r="C679" t="s">
        <v>2327</v>
      </c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>
        <v>602.05999132796251</v>
      </c>
      <c r="S679" s="8">
        <v>422.54902000712843</v>
      </c>
      <c r="T679" s="8"/>
      <c r="U679" s="8"/>
      <c r="V679" s="8"/>
      <c r="W679" s="8"/>
      <c r="X679" s="8"/>
      <c r="Y679" s="8"/>
      <c r="Z679" s="8">
        <v>1024.6090113350911</v>
      </c>
      <c r="AA679" s="8"/>
      <c r="AB679" s="8"/>
      <c r="AI679">
        <f t="shared" si="33"/>
        <v>672</v>
      </c>
      <c r="AJ679" t="s">
        <v>2327</v>
      </c>
      <c r="AK679" s="8">
        <v>1024.6090113350911</v>
      </c>
      <c r="AM679">
        <f t="shared" si="34"/>
        <v>672</v>
      </c>
      <c r="AN679" s="27" t="s">
        <v>1666</v>
      </c>
      <c r="AO679" s="8">
        <v>1</v>
      </c>
      <c r="AR679" s="27" t="s">
        <v>1490</v>
      </c>
      <c r="AS679" s="21">
        <v>200</v>
      </c>
    </row>
    <row r="680" spans="2:45" x14ac:dyDescent="0.35">
      <c r="B680">
        <f t="shared" si="32"/>
        <v>673</v>
      </c>
      <c r="C680" s="27" t="s">
        <v>934</v>
      </c>
      <c r="D680" s="8"/>
      <c r="E680" s="8"/>
      <c r="F680" s="8"/>
      <c r="G680" s="8"/>
      <c r="H680" s="8">
        <v>1022.77721484957</v>
      </c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>
        <v>1022.77721484957</v>
      </c>
      <c r="AA680" s="8"/>
      <c r="AB680" s="8"/>
      <c r="AI680">
        <f t="shared" si="33"/>
        <v>673</v>
      </c>
      <c r="AJ680" s="27" t="s">
        <v>934</v>
      </c>
      <c r="AK680" s="8">
        <v>1022.77721484957</v>
      </c>
      <c r="AM680">
        <f t="shared" si="34"/>
        <v>673</v>
      </c>
      <c r="AN680" s="27" t="s">
        <v>1016</v>
      </c>
      <c r="AO680" s="8">
        <v>1</v>
      </c>
      <c r="AR680" s="27" t="s">
        <v>849</v>
      </c>
      <c r="AS680" s="21">
        <v>200</v>
      </c>
    </row>
    <row r="681" spans="2:45" x14ac:dyDescent="0.35">
      <c r="B681">
        <f t="shared" si="32"/>
        <v>674</v>
      </c>
      <c r="C681" t="s">
        <v>2380</v>
      </c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>
        <v>1021.1892990699382</v>
      </c>
      <c r="S681" s="8"/>
      <c r="T681" s="8"/>
      <c r="U681" s="8"/>
      <c r="V681" s="8"/>
      <c r="W681" s="8"/>
      <c r="X681" s="8"/>
      <c r="Y681" s="8"/>
      <c r="Z681" s="8">
        <v>1021.1892990699382</v>
      </c>
      <c r="AA681" s="8"/>
      <c r="AB681" s="8"/>
      <c r="AI681">
        <f t="shared" si="33"/>
        <v>674</v>
      </c>
      <c r="AJ681" t="s">
        <v>2380</v>
      </c>
      <c r="AK681" s="8">
        <v>1021.1892990699382</v>
      </c>
      <c r="AM681">
        <f t="shared" si="34"/>
        <v>674</v>
      </c>
      <c r="AN681" s="27" t="s">
        <v>1405</v>
      </c>
      <c r="AO681" s="8">
        <v>1</v>
      </c>
      <c r="AR681" s="27" t="s">
        <v>1470</v>
      </c>
      <c r="AS681" s="21">
        <v>200</v>
      </c>
    </row>
    <row r="682" spans="2:45" x14ac:dyDescent="0.35">
      <c r="B682">
        <f t="shared" si="32"/>
        <v>675</v>
      </c>
      <c r="C682" t="s">
        <v>2606</v>
      </c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>
        <v>1021.1892990699381</v>
      </c>
      <c r="Y682" s="8"/>
      <c r="Z682" s="8">
        <v>1021.1892990699381</v>
      </c>
      <c r="AA682" s="8"/>
      <c r="AB682" s="8"/>
      <c r="AI682">
        <f t="shared" si="33"/>
        <v>675</v>
      </c>
      <c r="AJ682" t="s">
        <v>2606</v>
      </c>
      <c r="AK682" s="8">
        <v>1021.1892990699381</v>
      </c>
      <c r="AM682">
        <f t="shared" si="34"/>
        <v>675</v>
      </c>
      <c r="AN682" s="27" t="s">
        <v>1274</v>
      </c>
      <c r="AO682" s="8">
        <v>1</v>
      </c>
      <c r="AR682" s="27" t="s">
        <v>728</v>
      </c>
      <c r="AS682" s="21">
        <v>200</v>
      </c>
    </row>
    <row r="683" spans="2:45" x14ac:dyDescent="0.35">
      <c r="B683">
        <f t="shared" si="32"/>
        <v>676</v>
      </c>
      <c r="C683" s="27" t="s">
        <v>1137</v>
      </c>
      <c r="D683" s="8"/>
      <c r="E683" s="8"/>
      <c r="F683" s="8">
        <v>1019.8083933535522</v>
      </c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>
        <v>1019.8083933535522</v>
      </c>
      <c r="AA683" s="8"/>
      <c r="AB683" s="8"/>
      <c r="AI683">
        <f t="shared" si="33"/>
        <v>676</v>
      </c>
      <c r="AJ683" s="27" t="s">
        <v>1137</v>
      </c>
      <c r="AK683" s="8">
        <v>1019.8083933535522</v>
      </c>
      <c r="AM683">
        <f t="shared" si="34"/>
        <v>676</v>
      </c>
      <c r="AN683" s="27" t="s">
        <v>1708</v>
      </c>
      <c r="AO683" s="8">
        <v>1</v>
      </c>
      <c r="AR683" s="27" t="s">
        <v>1086</v>
      </c>
      <c r="AS683" s="21">
        <v>199</v>
      </c>
    </row>
    <row r="684" spans="2:45" x14ac:dyDescent="0.35">
      <c r="B684">
        <f t="shared" si="32"/>
        <v>677</v>
      </c>
      <c r="C684" s="27" t="s">
        <v>1041</v>
      </c>
      <c r="D684" s="8"/>
      <c r="E684" s="8"/>
      <c r="F684" s="8"/>
      <c r="G684" s="8">
        <v>1019.8083933535522</v>
      </c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>
        <v>1019.8083933535522</v>
      </c>
      <c r="AA684" s="8"/>
      <c r="AB684" s="8"/>
      <c r="AI684">
        <f t="shared" si="33"/>
        <v>677</v>
      </c>
      <c r="AJ684" s="27" t="s">
        <v>1041</v>
      </c>
      <c r="AK684" s="8">
        <v>1019.8083933535522</v>
      </c>
      <c r="AM684">
        <f t="shared" si="34"/>
        <v>677</v>
      </c>
      <c r="AN684" s="27" t="s">
        <v>873</v>
      </c>
      <c r="AO684" s="8">
        <v>1</v>
      </c>
      <c r="AR684" s="27" t="s">
        <v>1145</v>
      </c>
      <c r="AS684" s="21">
        <v>198</v>
      </c>
    </row>
    <row r="685" spans="2:45" x14ac:dyDescent="0.35">
      <c r="B685">
        <f t="shared" si="32"/>
        <v>678</v>
      </c>
      <c r="C685" s="27" t="s">
        <v>1475</v>
      </c>
      <c r="D685" s="8"/>
      <c r="E685" s="8">
        <v>1019.8083933535522</v>
      </c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>
        <v>1019.8083933535522</v>
      </c>
      <c r="AA685" s="8"/>
      <c r="AB685" s="8"/>
      <c r="AI685">
        <f t="shared" si="33"/>
        <v>678</v>
      </c>
      <c r="AJ685" s="27" t="s">
        <v>1475</v>
      </c>
      <c r="AK685" s="8">
        <v>1019.8083933535522</v>
      </c>
      <c r="AM685">
        <f t="shared" si="34"/>
        <v>678</v>
      </c>
      <c r="AN685" s="27" t="s">
        <v>1321</v>
      </c>
      <c r="AO685" s="8">
        <v>1</v>
      </c>
      <c r="AR685" s="27" t="s">
        <v>1081</v>
      </c>
      <c r="AS685" s="21">
        <v>198</v>
      </c>
    </row>
    <row r="686" spans="2:45" x14ac:dyDescent="0.35">
      <c r="B686">
        <f t="shared" si="32"/>
        <v>679</v>
      </c>
      <c r="C686" s="27" t="s">
        <v>1268</v>
      </c>
      <c r="D686" s="8">
        <v>1014.4297154226414</v>
      </c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>
        <v>1014.4297154226414</v>
      </c>
      <c r="AA686" s="8"/>
      <c r="AB686" s="8"/>
      <c r="AI686">
        <f t="shared" si="33"/>
        <v>679</v>
      </c>
      <c r="AJ686" s="27" t="s">
        <v>1268</v>
      </c>
      <c r="AK686" s="8">
        <v>1014.4297154226414</v>
      </c>
      <c r="AM686">
        <f t="shared" si="34"/>
        <v>679</v>
      </c>
      <c r="AN686" s="27" t="s">
        <v>794</v>
      </c>
      <c r="AO686" s="8">
        <v>1</v>
      </c>
      <c r="AR686" s="27" t="s">
        <v>1678</v>
      </c>
      <c r="AS686" s="21">
        <v>198</v>
      </c>
    </row>
    <row r="687" spans="2:45" x14ac:dyDescent="0.35">
      <c r="B687">
        <f t="shared" si="32"/>
        <v>680</v>
      </c>
      <c r="C687" t="s">
        <v>2628</v>
      </c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>
        <v>1010.723865391773</v>
      </c>
      <c r="Y687" s="8"/>
      <c r="Z687" s="8">
        <v>1010.723865391773</v>
      </c>
      <c r="AA687" s="8"/>
      <c r="AB687" s="8"/>
      <c r="AI687">
        <f t="shared" si="33"/>
        <v>680</v>
      </c>
      <c r="AJ687" t="s">
        <v>2628</v>
      </c>
      <c r="AK687" s="8">
        <v>1010.723865391773</v>
      </c>
      <c r="AM687">
        <f t="shared" si="34"/>
        <v>680</v>
      </c>
      <c r="AN687" s="27" t="s">
        <v>639</v>
      </c>
      <c r="AO687" s="8">
        <v>1</v>
      </c>
      <c r="AR687" s="27" t="s">
        <v>1139</v>
      </c>
      <c r="AS687" s="21">
        <v>194</v>
      </c>
    </row>
    <row r="688" spans="2:45" x14ac:dyDescent="0.35">
      <c r="B688">
        <f t="shared" si="32"/>
        <v>681</v>
      </c>
      <c r="C688" s="27" t="s">
        <v>992</v>
      </c>
      <c r="D688" s="8"/>
      <c r="E688" s="8"/>
      <c r="F688" s="8"/>
      <c r="G688" s="8">
        <v>1008.6001717619175</v>
      </c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>
        <v>1008.6001717619175</v>
      </c>
      <c r="AA688" s="8"/>
      <c r="AB688" s="8"/>
      <c r="AI688">
        <f t="shared" si="33"/>
        <v>681</v>
      </c>
      <c r="AJ688" s="27" t="s">
        <v>992</v>
      </c>
      <c r="AK688" s="8">
        <v>1008.6001717619175</v>
      </c>
      <c r="AM688">
        <f t="shared" si="34"/>
        <v>681</v>
      </c>
      <c r="AN688" s="27" t="s">
        <v>1287</v>
      </c>
      <c r="AO688" s="8">
        <v>1</v>
      </c>
      <c r="AR688" s="27" t="s">
        <v>1130</v>
      </c>
      <c r="AS688" s="21">
        <v>194</v>
      </c>
    </row>
    <row r="689" spans="2:45" x14ac:dyDescent="0.35">
      <c r="B689">
        <f t="shared" si="32"/>
        <v>682</v>
      </c>
      <c r="C689" t="s">
        <v>2347</v>
      </c>
      <c r="D689" s="8"/>
      <c r="E689" s="8"/>
      <c r="F689" s="8"/>
      <c r="G689" s="8"/>
      <c r="H689" s="8"/>
      <c r="I689" s="8"/>
      <c r="J689" s="8"/>
      <c r="K689" s="8"/>
      <c r="L689" s="8"/>
      <c r="M689" s="8">
        <v>1003.0910769771417</v>
      </c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>
        <v>1003.0910769771417</v>
      </c>
      <c r="AA689" s="8"/>
      <c r="AB689" s="8"/>
      <c r="AI689">
        <f t="shared" si="33"/>
        <v>682</v>
      </c>
      <c r="AJ689" t="s">
        <v>2347</v>
      </c>
      <c r="AK689" s="8">
        <v>1003.0910769771417</v>
      </c>
      <c r="AM689">
        <f t="shared" si="34"/>
        <v>682</v>
      </c>
      <c r="AN689" s="27" t="s">
        <v>1492</v>
      </c>
      <c r="AO689" s="8">
        <v>1</v>
      </c>
      <c r="AR689" s="27" t="s">
        <v>1137</v>
      </c>
      <c r="AS689" s="21">
        <v>194</v>
      </c>
    </row>
    <row r="690" spans="2:45" x14ac:dyDescent="0.35">
      <c r="B690">
        <f t="shared" si="32"/>
        <v>683</v>
      </c>
      <c r="C690" s="27" t="s">
        <v>1530</v>
      </c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>
        <v>1003.0910769771417</v>
      </c>
      <c r="Q690" s="8"/>
      <c r="R690" s="8"/>
      <c r="S690" s="8"/>
      <c r="T690" s="8"/>
      <c r="U690" s="8"/>
      <c r="V690" s="8"/>
      <c r="W690" s="8"/>
      <c r="X690" s="8"/>
      <c r="Y690" s="8"/>
      <c r="Z690" s="8">
        <v>1003.0910769771417</v>
      </c>
      <c r="AA690" s="8"/>
      <c r="AB690" s="8"/>
      <c r="AI690">
        <f t="shared" si="33"/>
        <v>683</v>
      </c>
      <c r="AJ690" s="27" t="s">
        <v>1530</v>
      </c>
      <c r="AK690" s="8">
        <v>1003.0910769771417</v>
      </c>
      <c r="AM690">
        <f t="shared" si="34"/>
        <v>683</v>
      </c>
      <c r="AN690" s="27" t="s">
        <v>1608</v>
      </c>
      <c r="AO690" s="8">
        <v>1</v>
      </c>
      <c r="AR690" s="27" t="s">
        <v>1135</v>
      </c>
      <c r="AS690" s="21">
        <v>194</v>
      </c>
    </row>
    <row r="691" spans="2:45" x14ac:dyDescent="0.35">
      <c r="B691">
        <f t="shared" si="32"/>
        <v>684</v>
      </c>
      <c r="C691" s="27" t="s">
        <v>1599</v>
      </c>
      <c r="D691" s="8"/>
      <c r="E691" s="8"/>
      <c r="F691" s="8"/>
      <c r="G691" s="8"/>
      <c r="H691" s="8"/>
      <c r="I691" s="8">
        <v>1000</v>
      </c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>
        <v>1000</v>
      </c>
      <c r="AA691" s="8"/>
      <c r="AB691" s="8"/>
      <c r="AI691">
        <f t="shared" si="33"/>
        <v>684</v>
      </c>
      <c r="AJ691" s="27" t="s">
        <v>1599</v>
      </c>
      <c r="AK691" s="8">
        <v>1000</v>
      </c>
      <c r="AM691">
        <f t="shared" si="34"/>
        <v>684</v>
      </c>
      <c r="AN691" s="27" t="s">
        <v>1496</v>
      </c>
      <c r="AO691" s="8">
        <v>1</v>
      </c>
      <c r="AR691" s="27" t="s">
        <v>1142</v>
      </c>
      <c r="AS691" s="21">
        <v>194</v>
      </c>
    </row>
    <row r="692" spans="2:45" x14ac:dyDescent="0.35">
      <c r="B692">
        <f t="shared" si="32"/>
        <v>685</v>
      </c>
      <c r="C692" s="27" t="s">
        <v>1426</v>
      </c>
      <c r="D692" s="8">
        <v>1000</v>
      </c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>
        <v>1000</v>
      </c>
      <c r="AA692" s="8"/>
      <c r="AB692" s="8"/>
      <c r="AI692">
        <f t="shared" si="33"/>
        <v>685</v>
      </c>
      <c r="AJ692" s="27" t="s">
        <v>1426</v>
      </c>
      <c r="AK692" s="8">
        <v>1000</v>
      </c>
      <c r="AM692">
        <f t="shared" si="34"/>
        <v>685</v>
      </c>
      <c r="AN692" s="27" t="s">
        <v>637</v>
      </c>
      <c r="AO692" s="8">
        <v>1</v>
      </c>
      <c r="AR692" s="27" t="s">
        <v>1594</v>
      </c>
      <c r="AS692" s="21">
        <v>190</v>
      </c>
    </row>
    <row r="693" spans="2:45" x14ac:dyDescent="0.35">
      <c r="B693">
        <f t="shared" si="32"/>
        <v>686</v>
      </c>
      <c r="C693" s="27" t="s">
        <v>1665</v>
      </c>
      <c r="D693" s="8"/>
      <c r="E693" s="8">
        <v>1000</v>
      </c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>
        <v>1000</v>
      </c>
      <c r="AA693" s="8"/>
      <c r="AB693" s="8"/>
      <c r="AI693">
        <f t="shared" si="33"/>
        <v>686</v>
      </c>
      <c r="AJ693" s="27" t="s">
        <v>1665</v>
      </c>
      <c r="AK693" s="8">
        <v>1000</v>
      </c>
      <c r="AM693">
        <f t="shared" si="34"/>
        <v>686</v>
      </c>
      <c r="AN693" s="27" t="s">
        <v>577</v>
      </c>
      <c r="AO693" s="8">
        <v>1</v>
      </c>
      <c r="AR693" s="27" t="s">
        <v>1348</v>
      </c>
      <c r="AS693" s="21">
        <v>190</v>
      </c>
    </row>
    <row r="694" spans="2:45" x14ac:dyDescent="0.35">
      <c r="B694">
        <f t="shared" si="32"/>
        <v>687</v>
      </c>
      <c r="C694" t="s">
        <v>2612</v>
      </c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>
        <v>999.99999999999989</v>
      </c>
      <c r="Y694" s="8"/>
      <c r="Z694" s="8">
        <v>999.99999999999989</v>
      </c>
      <c r="AA694" s="8"/>
      <c r="AB694" s="8"/>
      <c r="AI694">
        <f t="shared" si="33"/>
        <v>687</v>
      </c>
      <c r="AJ694" t="s">
        <v>2612</v>
      </c>
      <c r="AK694" s="8">
        <v>999.99999999999989</v>
      </c>
      <c r="AM694">
        <f t="shared" si="34"/>
        <v>687</v>
      </c>
      <c r="AN694" s="27" t="s">
        <v>1120</v>
      </c>
      <c r="AO694" s="8">
        <v>1</v>
      </c>
      <c r="AR694" s="27" t="s">
        <v>1590</v>
      </c>
      <c r="AS694" s="21">
        <v>190</v>
      </c>
    </row>
    <row r="695" spans="2:45" x14ac:dyDescent="0.35">
      <c r="B695">
        <f t="shared" si="32"/>
        <v>688</v>
      </c>
      <c r="C695" t="s">
        <v>2619</v>
      </c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>
        <v>999.99999999999989</v>
      </c>
      <c r="Y695" s="8"/>
      <c r="Z695" s="8">
        <v>999.99999999999989</v>
      </c>
      <c r="AA695" s="8"/>
      <c r="AB695" s="8"/>
      <c r="AI695">
        <f t="shared" si="33"/>
        <v>688</v>
      </c>
      <c r="AJ695" t="s">
        <v>2619</v>
      </c>
      <c r="AK695" s="8">
        <v>999.99999999999989</v>
      </c>
      <c r="AM695">
        <f t="shared" si="34"/>
        <v>688</v>
      </c>
      <c r="AN695" s="27" t="s">
        <v>628</v>
      </c>
      <c r="AO695" s="8">
        <v>1</v>
      </c>
      <c r="AR695" s="27" t="s">
        <v>1595</v>
      </c>
      <c r="AS695" s="21">
        <v>190</v>
      </c>
    </row>
    <row r="696" spans="2:45" x14ac:dyDescent="0.35">
      <c r="B696">
        <f t="shared" si="32"/>
        <v>689</v>
      </c>
      <c r="C696" s="27" t="s">
        <v>628</v>
      </c>
      <c r="D696" s="8"/>
      <c r="E696" s="8"/>
      <c r="F696" s="8"/>
      <c r="G696" s="8"/>
      <c r="H696" s="8"/>
      <c r="I696" s="8"/>
      <c r="J696" s="8"/>
      <c r="K696" s="8">
        <v>997.58052587658733</v>
      </c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>
        <v>997.58052587658733</v>
      </c>
      <c r="AA696" s="8"/>
      <c r="AB696" s="8"/>
      <c r="AI696">
        <f t="shared" si="33"/>
        <v>689</v>
      </c>
      <c r="AJ696" s="27" t="s">
        <v>628</v>
      </c>
      <c r="AK696" s="8">
        <v>997.58052587658733</v>
      </c>
      <c r="AM696">
        <f t="shared" si="34"/>
        <v>689</v>
      </c>
      <c r="AN696" s="27" t="s">
        <v>1165</v>
      </c>
      <c r="AO696" s="8">
        <v>1</v>
      </c>
      <c r="AR696" s="27" t="s">
        <v>1502</v>
      </c>
      <c r="AS696" s="21">
        <v>186</v>
      </c>
    </row>
    <row r="697" spans="2:45" x14ac:dyDescent="0.35">
      <c r="B697">
        <f t="shared" si="32"/>
        <v>690</v>
      </c>
      <c r="C697" s="27" t="s">
        <v>1666</v>
      </c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>
        <v>994.53710429849787</v>
      </c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>
        <v>994.53710429849787</v>
      </c>
      <c r="AA697" s="8"/>
      <c r="AB697" s="8"/>
      <c r="AI697">
        <f t="shared" si="33"/>
        <v>690</v>
      </c>
      <c r="AJ697" s="27" t="s">
        <v>1666</v>
      </c>
      <c r="AK697" s="8">
        <v>994.53710429849787</v>
      </c>
      <c r="AM697">
        <f t="shared" si="34"/>
        <v>690</v>
      </c>
      <c r="AN697" s="27" t="s">
        <v>1265</v>
      </c>
      <c r="AO697" s="8">
        <v>1</v>
      </c>
      <c r="AR697" t="s">
        <v>2486</v>
      </c>
      <c r="AS697" s="21">
        <v>185</v>
      </c>
    </row>
    <row r="698" spans="2:45" x14ac:dyDescent="0.35">
      <c r="B698">
        <f t="shared" si="32"/>
        <v>691</v>
      </c>
      <c r="C698" s="27" t="s">
        <v>1139</v>
      </c>
      <c r="D698" s="8"/>
      <c r="E698" s="8"/>
      <c r="F698" s="8">
        <v>991.77966975330878</v>
      </c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>
        <v>991.77966975330878</v>
      </c>
      <c r="AA698" s="8"/>
      <c r="AB698" s="8"/>
      <c r="AI698">
        <f t="shared" si="33"/>
        <v>691</v>
      </c>
      <c r="AJ698" s="27" t="s">
        <v>1139</v>
      </c>
      <c r="AK698" s="8">
        <v>991.77966975330878</v>
      </c>
      <c r="AM698">
        <f t="shared" si="34"/>
        <v>691</v>
      </c>
      <c r="AN698" s="27" t="s">
        <v>1662</v>
      </c>
      <c r="AO698" s="8">
        <v>1</v>
      </c>
      <c r="AR698" s="27" t="s">
        <v>794</v>
      </c>
      <c r="AS698" s="21">
        <v>183</v>
      </c>
    </row>
    <row r="699" spans="2:45" x14ac:dyDescent="0.35">
      <c r="B699">
        <f t="shared" si="32"/>
        <v>692</v>
      </c>
      <c r="C699" s="27" t="s">
        <v>1043</v>
      </c>
      <c r="D699" s="8"/>
      <c r="E699" s="8"/>
      <c r="F699" s="8"/>
      <c r="G699" s="8">
        <v>991.77966975330878</v>
      </c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>
        <v>991.77966975330878</v>
      </c>
      <c r="AA699" s="8"/>
      <c r="AB699" s="8"/>
      <c r="AI699">
        <f t="shared" si="33"/>
        <v>692</v>
      </c>
      <c r="AJ699" s="27" t="s">
        <v>1043</v>
      </c>
      <c r="AK699" s="8">
        <v>991.77966975330878</v>
      </c>
      <c r="AM699">
        <f t="shared" si="34"/>
        <v>692</v>
      </c>
      <c r="AN699" s="27" t="s">
        <v>1398</v>
      </c>
      <c r="AO699" s="8">
        <v>1</v>
      </c>
      <c r="AR699" s="27" t="s">
        <v>785</v>
      </c>
      <c r="AS699" s="21">
        <v>183</v>
      </c>
    </row>
    <row r="700" spans="2:45" x14ac:dyDescent="0.35">
      <c r="B700">
        <f t="shared" si="32"/>
        <v>693</v>
      </c>
      <c r="C700" s="27" t="s">
        <v>1476</v>
      </c>
      <c r="D700" s="8"/>
      <c r="E700" s="8">
        <v>991.77966975330878</v>
      </c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>
        <v>991.77966975330878</v>
      </c>
      <c r="AA700" s="8"/>
      <c r="AB700" s="8"/>
      <c r="AI700">
        <f t="shared" si="33"/>
        <v>693</v>
      </c>
      <c r="AJ700" s="27" t="s">
        <v>1476</v>
      </c>
      <c r="AK700" s="8">
        <v>991.77966975330878</v>
      </c>
      <c r="AM700">
        <f t="shared" si="34"/>
        <v>693</v>
      </c>
      <c r="AN700" s="27" t="s">
        <v>1386</v>
      </c>
      <c r="AO700" s="8">
        <v>1</v>
      </c>
      <c r="AR700" s="27" t="s">
        <v>792</v>
      </c>
      <c r="AS700" s="21">
        <v>183</v>
      </c>
    </row>
    <row r="701" spans="2:45" x14ac:dyDescent="0.35">
      <c r="B701">
        <f t="shared" si="32"/>
        <v>694</v>
      </c>
      <c r="C701" s="27" t="s">
        <v>1110</v>
      </c>
      <c r="D701" s="8"/>
      <c r="E701" s="8"/>
      <c r="F701" s="8">
        <v>990.24016271084372</v>
      </c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>
        <v>990.24016271084372</v>
      </c>
      <c r="AA701" s="8"/>
      <c r="AB701" s="8"/>
      <c r="AI701">
        <f t="shared" si="33"/>
        <v>694</v>
      </c>
      <c r="AJ701" s="27" t="s">
        <v>1110</v>
      </c>
      <c r="AK701" s="8">
        <v>990.24016271084372</v>
      </c>
      <c r="AM701">
        <f t="shared" si="34"/>
        <v>694</v>
      </c>
      <c r="AN701" s="27" t="s">
        <v>1484</v>
      </c>
      <c r="AO701" s="8">
        <v>1</v>
      </c>
      <c r="AR701" s="27" t="s">
        <v>790</v>
      </c>
      <c r="AS701" s="21">
        <v>183</v>
      </c>
    </row>
    <row r="702" spans="2:45" x14ac:dyDescent="0.35">
      <c r="B702">
        <f t="shared" si="32"/>
        <v>695</v>
      </c>
      <c r="C702" s="27" t="s">
        <v>983</v>
      </c>
      <c r="D702" s="8">
        <v>173.26149105503961</v>
      </c>
      <c r="E702" s="8"/>
      <c r="F702" s="8"/>
      <c r="G702" s="8">
        <v>816.73422778979318</v>
      </c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>
        <v>989.99571884483282</v>
      </c>
      <c r="AA702" s="8"/>
      <c r="AB702" s="8"/>
      <c r="AI702">
        <f t="shared" si="33"/>
        <v>695</v>
      </c>
      <c r="AJ702" s="27" t="s">
        <v>983</v>
      </c>
      <c r="AK702" s="8">
        <v>989.99571884483282</v>
      </c>
      <c r="AM702">
        <f t="shared" si="34"/>
        <v>695</v>
      </c>
      <c r="AN702" s="27" t="s">
        <v>1487</v>
      </c>
      <c r="AO702" s="8">
        <v>1</v>
      </c>
      <c r="AR702" s="27" t="s">
        <v>796</v>
      </c>
      <c r="AS702" s="21">
        <v>183</v>
      </c>
    </row>
    <row r="703" spans="2:45" x14ac:dyDescent="0.35">
      <c r="B703">
        <f t="shared" si="32"/>
        <v>696</v>
      </c>
      <c r="C703" s="27" t="s">
        <v>1667</v>
      </c>
      <c r="D703" s="8"/>
      <c r="E703" s="8"/>
      <c r="F703" s="8">
        <v>985.2767431792937</v>
      </c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>
        <v>985.2767431792937</v>
      </c>
      <c r="AA703" s="8"/>
      <c r="AB703" s="8"/>
      <c r="AI703">
        <f t="shared" si="33"/>
        <v>696</v>
      </c>
      <c r="AJ703" s="27" t="s">
        <v>1667</v>
      </c>
      <c r="AK703" s="8">
        <v>985.2767431792937</v>
      </c>
      <c r="AM703">
        <f t="shared" si="34"/>
        <v>696</v>
      </c>
      <c r="AN703" s="27" t="s">
        <v>1649</v>
      </c>
      <c r="AO703" s="8">
        <v>1</v>
      </c>
      <c r="AR703" s="27" t="s">
        <v>1485</v>
      </c>
      <c r="AS703" s="21">
        <v>180</v>
      </c>
    </row>
    <row r="704" spans="2:45" x14ac:dyDescent="0.35">
      <c r="B704">
        <f t="shared" si="32"/>
        <v>697</v>
      </c>
      <c r="C704" s="27" t="s">
        <v>1297</v>
      </c>
      <c r="D704" s="8">
        <v>985.2767431792937</v>
      </c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>
        <v>985.2767431792937</v>
      </c>
      <c r="AA704" s="8"/>
      <c r="AB704" s="8"/>
      <c r="AI704">
        <f t="shared" si="33"/>
        <v>697</v>
      </c>
      <c r="AJ704" s="27" t="s">
        <v>1297</v>
      </c>
      <c r="AK704" s="8">
        <v>985.2767431792937</v>
      </c>
      <c r="AM704">
        <f t="shared" si="34"/>
        <v>697</v>
      </c>
      <c r="AN704" s="27" t="s">
        <v>1034</v>
      </c>
      <c r="AO704" s="8">
        <v>1</v>
      </c>
      <c r="AR704" s="27" t="s">
        <v>628</v>
      </c>
      <c r="AS704" s="21">
        <v>180</v>
      </c>
    </row>
    <row r="705" spans="2:45" x14ac:dyDescent="0.35">
      <c r="B705">
        <f t="shared" si="32"/>
        <v>698</v>
      </c>
      <c r="C705" s="27" t="s">
        <v>1375</v>
      </c>
      <c r="D705" s="8">
        <v>984.20573281676843</v>
      </c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>
        <v>984.20573281676843</v>
      </c>
      <c r="AA705" s="8"/>
      <c r="AB705" s="8"/>
      <c r="AI705">
        <f t="shared" si="33"/>
        <v>698</v>
      </c>
      <c r="AJ705" s="27" t="s">
        <v>1375</v>
      </c>
      <c r="AK705" s="8">
        <v>984.20573281676843</v>
      </c>
      <c r="AM705">
        <f t="shared" si="34"/>
        <v>698</v>
      </c>
      <c r="AN705" s="27" t="s">
        <v>1683</v>
      </c>
      <c r="AO705" s="8">
        <v>1</v>
      </c>
      <c r="AR705" t="s">
        <v>2328</v>
      </c>
      <c r="AS705" s="21">
        <v>178</v>
      </c>
    </row>
    <row r="706" spans="2:45" x14ac:dyDescent="0.35">
      <c r="B706">
        <f t="shared" si="32"/>
        <v>699</v>
      </c>
      <c r="C706" s="27" t="s">
        <v>338</v>
      </c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>
        <v>982.27123303956841</v>
      </c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>
        <v>982.27123303956841</v>
      </c>
      <c r="AA706" s="8"/>
      <c r="AB706" s="8"/>
      <c r="AI706">
        <f t="shared" si="33"/>
        <v>699</v>
      </c>
      <c r="AJ706" s="27" t="s">
        <v>338</v>
      </c>
      <c r="AK706" s="8">
        <v>982.27123303956841</v>
      </c>
      <c r="AM706">
        <f t="shared" si="34"/>
        <v>699</v>
      </c>
      <c r="AN706" s="27" t="s">
        <v>145</v>
      </c>
      <c r="AO706" s="8">
        <v>1</v>
      </c>
      <c r="AR706" s="27" t="s">
        <v>938</v>
      </c>
      <c r="AS706" s="21">
        <v>178</v>
      </c>
    </row>
    <row r="707" spans="2:45" x14ac:dyDescent="0.35">
      <c r="B707">
        <f t="shared" si="32"/>
        <v>700</v>
      </c>
      <c r="C707" s="27" t="s">
        <v>1600</v>
      </c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>
        <v>975.17641627496778</v>
      </c>
      <c r="Q707" s="8"/>
      <c r="R707" s="8"/>
      <c r="S707" s="8"/>
      <c r="T707" s="8"/>
      <c r="U707" s="8"/>
      <c r="V707" s="8"/>
      <c r="W707" s="8"/>
      <c r="X707" s="8"/>
      <c r="Y707" s="8"/>
      <c r="Z707" s="8">
        <v>975.17641627496778</v>
      </c>
      <c r="AA707" s="8"/>
      <c r="AB707" s="8"/>
      <c r="AI707">
        <f t="shared" si="33"/>
        <v>700</v>
      </c>
      <c r="AJ707" s="27" t="s">
        <v>1600</v>
      </c>
      <c r="AK707" s="8">
        <v>975.17641627496778</v>
      </c>
      <c r="AM707">
        <f t="shared" si="34"/>
        <v>700</v>
      </c>
      <c r="AN707" s="27" t="s">
        <v>1495</v>
      </c>
      <c r="AO707" s="8">
        <v>1</v>
      </c>
      <c r="AR707" s="27" t="s">
        <v>934</v>
      </c>
      <c r="AS707" s="21">
        <v>178</v>
      </c>
    </row>
    <row r="708" spans="2:45" x14ac:dyDescent="0.35">
      <c r="B708">
        <f t="shared" si="32"/>
        <v>701</v>
      </c>
      <c r="C708" t="s">
        <v>2377</v>
      </c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>
        <v>974.44589552761204</v>
      </c>
      <c r="S708" s="8"/>
      <c r="T708" s="8"/>
      <c r="U708" s="8"/>
      <c r="V708" s="8"/>
      <c r="W708" s="8"/>
      <c r="X708" s="8"/>
      <c r="Y708" s="8"/>
      <c r="Z708" s="8">
        <v>974.44589552761204</v>
      </c>
      <c r="AA708" s="8"/>
      <c r="AB708" s="8"/>
      <c r="AI708">
        <f t="shared" si="33"/>
        <v>701</v>
      </c>
      <c r="AJ708" t="s">
        <v>2377</v>
      </c>
      <c r="AK708" s="8">
        <v>974.44589552761204</v>
      </c>
      <c r="AM708">
        <f t="shared" si="34"/>
        <v>701</v>
      </c>
      <c r="AN708" s="27" t="s">
        <v>1655</v>
      </c>
      <c r="AO708" s="8">
        <v>1</v>
      </c>
      <c r="AR708" s="27" t="s">
        <v>940</v>
      </c>
      <c r="AS708" s="21">
        <v>178</v>
      </c>
    </row>
    <row r="709" spans="2:45" x14ac:dyDescent="0.35">
      <c r="B709">
        <f t="shared" si="32"/>
        <v>702</v>
      </c>
      <c r="C709" t="s">
        <v>2346</v>
      </c>
      <c r="D709" s="8"/>
      <c r="E709" s="8"/>
      <c r="F709" s="8"/>
      <c r="G709" s="8"/>
      <c r="H709" s="8"/>
      <c r="I709" s="8"/>
      <c r="J709" s="8"/>
      <c r="K709" s="8"/>
      <c r="L709" s="8"/>
      <c r="M709" s="8">
        <v>973.12785359969837</v>
      </c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>
        <v>973.12785359969837</v>
      </c>
      <c r="AA709" s="8"/>
      <c r="AB709" s="8"/>
      <c r="AI709">
        <f t="shared" si="33"/>
        <v>702</v>
      </c>
      <c r="AJ709" t="s">
        <v>2346</v>
      </c>
      <c r="AK709" s="8">
        <v>973.12785359969837</v>
      </c>
      <c r="AM709">
        <f t="shared" si="34"/>
        <v>702</v>
      </c>
      <c r="AN709" s="27" t="s">
        <v>1638</v>
      </c>
      <c r="AO709" s="8">
        <v>1</v>
      </c>
      <c r="AR709" s="27" t="s">
        <v>828</v>
      </c>
      <c r="AS709" s="21">
        <v>175</v>
      </c>
    </row>
    <row r="710" spans="2:45" x14ac:dyDescent="0.35">
      <c r="B710">
        <f t="shared" si="32"/>
        <v>703</v>
      </c>
      <c r="C710" s="27" t="s">
        <v>1668</v>
      </c>
      <c r="D710" s="8"/>
      <c r="E710" s="8"/>
      <c r="F710" s="8"/>
      <c r="G710" s="8"/>
      <c r="H710" s="8"/>
      <c r="I710" s="8"/>
      <c r="J710" s="8"/>
      <c r="K710" s="8">
        <v>971.97127639975656</v>
      </c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>
        <v>971.97127639975656</v>
      </c>
      <c r="AA710" s="8"/>
      <c r="AB710" s="8"/>
      <c r="AI710">
        <f t="shared" si="33"/>
        <v>703</v>
      </c>
      <c r="AJ710" s="27" t="s">
        <v>1668</v>
      </c>
      <c r="AK710" s="8">
        <v>971.97127639975656</v>
      </c>
      <c r="AM710">
        <f t="shared" si="34"/>
        <v>703</v>
      </c>
      <c r="AN710" s="27" t="s">
        <v>842</v>
      </c>
      <c r="AO710" s="8">
        <v>1</v>
      </c>
      <c r="AR710" s="27" t="s">
        <v>879</v>
      </c>
      <c r="AS710" s="21">
        <v>171</v>
      </c>
    </row>
    <row r="711" spans="2:45" x14ac:dyDescent="0.35">
      <c r="B711">
        <f t="shared" si="32"/>
        <v>704</v>
      </c>
      <c r="C711" t="s">
        <v>2585</v>
      </c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>
        <v>970.03677662255677</v>
      </c>
      <c r="X711" s="8"/>
      <c r="Y711" s="8"/>
      <c r="Z711" s="8">
        <v>970.03677662255677</v>
      </c>
      <c r="AA711" s="8"/>
      <c r="AB711" s="8"/>
      <c r="AI711">
        <f t="shared" si="33"/>
        <v>704</v>
      </c>
      <c r="AJ711" t="s">
        <v>2585</v>
      </c>
      <c r="AK711" s="8">
        <v>970.03677662255677</v>
      </c>
      <c r="AM711">
        <f t="shared" si="34"/>
        <v>704</v>
      </c>
      <c r="AN711" s="27" t="s">
        <v>506</v>
      </c>
      <c r="AO711" s="8">
        <v>1</v>
      </c>
      <c r="AR711" s="27" t="s">
        <v>873</v>
      </c>
      <c r="AS711" s="21">
        <v>171</v>
      </c>
    </row>
    <row r="712" spans="2:45" x14ac:dyDescent="0.35">
      <c r="B712">
        <f t="shared" si="32"/>
        <v>705</v>
      </c>
      <c r="C712" t="s">
        <v>2385</v>
      </c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>
        <v>970.03677662255677</v>
      </c>
      <c r="T712" s="8"/>
      <c r="U712" s="8"/>
      <c r="V712" s="8"/>
      <c r="W712" s="8"/>
      <c r="X712" s="8"/>
      <c r="Y712" s="8"/>
      <c r="Z712" s="8">
        <v>970.03677662255677</v>
      </c>
      <c r="AA712" s="8"/>
      <c r="AB712" s="8"/>
      <c r="AI712">
        <f t="shared" si="33"/>
        <v>705</v>
      </c>
      <c r="AJ712" t="s">
        <v>2385</v>
      </c>
      <c r="AK712" s="8">
        <v>970.03677662255677</v>
      </c>
      <c r="AM712">
        <f t="shared" si="34"/>
        <v>705</v>
      </c>
      <c r="AN712" s="27" t="s">
        <v>1599</v>
      </c>
      <c r="AO712" s="8">
        <v>1</v>
      </c>
      <c r="AR712" s="27" t="s">
        <v>875</v>
      </c>
      <c r="AS712" s="21">
        <v>171</v>
      </c>
    </row>
    <row r="713" spans="2:45" x14ac:dyDescent="0.35">
      <c r="B713">
        <f t="shared" si="32"/>
        <v>706</v>
      </c>
      <c r="C713" t="s">
        <v>2471</v>
      </c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>
        <v>966.14173273903259</v>
      </c>
      <c r="U713" s="8"/>
      <c r="V713" s="8"/>
      <c r="W713" s="8"/>
      <c r="X713" s="8"/>
      <c r="Y713" s="8"/>
      <c r="Z713" s="8">
        <v>966.14173273903259</v>
      </c>
      <c r="AA713" s="8"/>
      <c r="AB713" s="8"/>
      <c r="AI713">
        <f t="shared" si="33"/>
        <v>706</v>
      </c>
      <c r="AJ713" t="s">
        <v>2471</v>
      </c>
      <c r="AK713" s="8">
        <v>966.14173273903259</v>
      </c>
      <c r="AM713">
        <f t="shared" si="34"/>
        <v>706</v>
      </c>
      <c r="AN713" s="27" t="s">
        <v>1067</v>
      </c>
      <c r="AO713" s="8">
        <v>1</v>
      </c>
      <c r="AR713" s="27" t="s">
        <v>877</v>
      </c>
      <c r="AS713" s="21">
        <v>171</v>
      </c>
    </row>
    <row r="714" spans="2:45" x14ac:dyDescent="0.35">
      <c r="B714">
        <f t="shared" ref="B714:B777" si="35">B713+1</f>
        <v>707</v>
      </c>
      <c r="C714" s="27" t="s">
        <v>1142</v>
      </c>
      <c r="D714" s="8"/>
      <c r="E714" s="8"/>
      <c r="F714" s="8">
        <v>965.45073103095967</v>
      </c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>
        <v>965.45073103095967</v>
      </c>
      <c r="AA714" s="8"/>
      <c r="AB714" s="8"/>
      <c r="AI714">
        <f t="shared" ref="AI714:AI777" si="36">AI713+1</f>
        <v>707</v>
      </c>
      <c r="AJ714" s="27" t="s">
        <v>1142</v>
      </c>
      <c r="AK714" s="8">
        <v>965.45073103095967</v>
      </c>
      <c r="AM714">
        <f t="shared" ref="AM714:AM777" si="37">AM713+1</f>
        <v>707</v>
      </c>
      <c r="AN714" s="27" t="s">
        <v>1580</v>
      </c>
      <c r="AO714" s="8">
        <v>1</v>
      </c>
      <c r="AR714" s="27" t="s">
        <v>881</v>
      </c>
      <c r="AS714" s="21">
        <v>171</v>
      </c>
    </row>
    <row r="715" spans="2:45" x14ac:dyDescent="0.35">
      <c r="B715">
        <f t="shared" si="35"/>
        <v>708</v>
      </c>
      <c r="C715" s="27" t="s">
        <v>1601</v>
      </c>
      <c r="D715" s="8"/>
      <c r="E715" s="8"/>
      <c r="F715" s="8"/>
      <c r="G715" s="8"/>
      <c r="H715" s="8"/>
      <c r="I715" s="8"/>
      <c r="J715" s="8"/>
      <c r="K715" s="8"/>
      <c r="L715" s="8">
        <v>962.21143911060005</v>
      </c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>
        <v>962.21143911060005</v>
      </c>
      <c r="AA715" s="8"/>
      <c r="AB715" s="8"/>
      <c r="AI715">
        <f t="shared" si="36"/>
        <v>708</v>
      </c>
      <c r="AJ715" s="27" t="s">
        <v>1601</v>
      </c>
      <c r="AK715" s="8">
        <v>962.21143911060005</v>
      </c>
      <c r="AM715">
        <f t="shared" si="37"/>
        <v>708</v>
      </c>
      <c r="AN715" s="27" t="s">
        <v>1586</v>
      </c>
      <c r="AO715" s="8">
        <v>1</v>
      </c>
      <c r="AR715" t="s">
        <v>2318</v>
      </c>
      <c r="AS715" s="21">
        <v>170</v>
      </c>
    </row>
    <row r="716" spans="2:45" x14ac:dyDescent="0.35">
      <c r="B716">
        <f t="shared" si="35"/>
        <v>709</v>
      </c>
      <c r="C716" s="27" t="s">
        <v>938</v>
      </c>
      <c r="D716" s="8"/>
      <c r="E716" s="8"/>
      <c r="F716" s="8"/>
      <c r="G716" s="8"/>
      <c r="H716" s="8">
        <v>960.62930810072532</v>
      </c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>
        <v>960.62930810072532</v>
      </c>
      <c r="AA716" s="8"/>
      <c r="AB716" s="8"/>
      <c r="AI716">
        <f t="shared" si="36"/>
        <v>709</v>
      </c>
      <c r="AJ716" s="27" t="s">
        <v>938</v>
      </c>
      <c r="AK716" s="8">
        <v>960.62930810072532</v>
      </c>
      <c r="AM716">
        <f t="shared" si="37"/>
        <v>709</v>
      </c>
      <c r="AN716" s="27" t="s">
        <v>1584</v>
      </c>
      <c r="AO716" s="8">
        <v>1</v>
      </c>
      <c r="AR716" s="27" t="s">
        <v>577</v>
      </c>
      <c r="AS716" s="21">
        <v>167</v>
      </c>
    </row>
    <row r="717" spans="2:45" x14ac:dyDescent="0.35">
      <c r="B717">
        <f t="shared" si="35"/>
        <v>710</v>
      </c>
      <c r="C717" s="27" t="s">
        <v>1304</v>
      </c>
      <c r="D717" s="8">
        <v>959.57134294439174</v>
      </c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>
        <v>959.57134294439174</v>
      </c>
      <c r="AA717" s="8"/>
      <c r="AB717" s="8"/>
      <c r="AI717">
        <f t="shared" si="36"/>
        <v>710</v>
      </c>
      <c r="AJ717" s="27" t="s">
        <v>1304</v>
      </c>
      <c r="AK717" s="8">
        <v>959.57134294439174</v>
      </c>
      <c r="AM717">
        <f t="shared" si="37"/>
        <v>710</v>
      </c>
      <c r="AN717" s="27" t="s">
        <v>1663</v>
      </c>
      <c r="AO717" s="8">
        <v>1</v>
      </c>
      <c r="AR717" s="27" t="s">
        <v>579</v>
      </c>
      <c r="AS717" s="21">
        <v>167</v>
      </c>
    </row>
    <row r="718" spans="2:45" x14ac:dyDescent="0.35">
      <c r="B718">
        <f t="shared" si="35"/>
        <v>711</v>
      </c>
      <c r="C718" s="27" t="s">
        <v>462</v>
      </c>
      <c r="D718" s="8"/>
      <c r="E718" s="8"/>
      <c r="F718" s="8"/>
      <c r="G718" s="8"/>
      <c r="H718" s="8"/>
      <c r="I718" s="8"/>
      <c r="J718" s="8"/>
      <c r="K718" s="8"/>
      <c r="L718" s="8">
        <v>958.60731484177484</v>
      </c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>
        <v>958.60731484177484</v>
      </c>
      <c r="AA718" s="8"/>
      <c r="AB718" s="8"/>
      <c r="AI718">
        <f t="shared" si="36"/>
        <v>711</v>
      </c>
      <c r="AJ718" s="27" t="s">
        <v>462</v>
      </c>
      <c r="AK718" s="8">
        <v>958.60731484177484</v>
      </c>
      <c r="AM718">
        <f t="shared" si="37"/>
        <v>711</v>
      </c>
      <c r="AN718" s="27" t="s">
        <v>1687</v>
      </c>
      <c r="AO718" s="8">
        <v>1</v>
      </c>
      <c r="AR718" s="27" t="s">
        <v>763</v>
      </c>
      <c r="AS718" s="21">
        <v>165</v>
      </c>
    </row>
    <row r="719" spans="2:45" x14ac:dyDescent="0.35">
      <c r="B719">
        <f t="shared" si="35"/>
        <v>712</v>
      </c>
      <c r="C719" s="27" t="s">
        <v>875</v>
      </c>
      <c r="D719" s="8"/>
      <c r="E719" s="8"/>
      <c r="F719" s="8"/>
      <c r="G719" s="8"/>
      <c r="H719" s="8">
        <v>957.93865499928881</v>
      </c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>
        <v>957.93865499928881</v>
      </c>
      <c r="AA719" s="8"/>
      <c r="AB719" s="8"/>
      <c r="AI719">
        <f t="shared" si="36"/>
        <v>712</v>
      </c>
      <c r="AJ719" s="27" t="s">
        <v>875</v>
      </c>
      <c r="AK719" s="8">
        <v>957.93865499928881</v>
      </c>
      <c r="AM719">
        <f t="shared" si="37"/>
        <v>712</v>
      </c>
      <c r="AN719" s="27" t="s">
        <v>1399</v>
      </c>
      <c r="AO719" s="8">
        <v>1</v>
      </c>
      <c r="AR719" s="27" t="s">
        <v>1091</v>
      </c>
      <c r="AS719" s="21">
        <v>165</v>
      </c>
    </row>
    <row r="720" spans="2:45" x14ac:dyDescent="0.35">
      <c r="B720">
        <f t="shared" si="35"/>
        <v>713</v>
      </c>
      <c r="C720" t="s">
        <v>2486</v>
      </c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>
        <v>950.2025316375848</v>
      </c>
      <c r="U720" s="8"/>
      <c r="V720" s="8"/>
      <c r="W720" s="8"/>
      <c r="X720" s="8"/>
      <c r="Y720" s="8"/>
      <c r="Z720" s="8">
        <v>950.2025316375848</v>
      </c>
      <c r="AA720" s="8"/>
      <c r="AB720" s="8"/>
      <c r="AI720">
        <f t="shared" si="36"/>
        <v>713</v>
      </c>
      <c r="AJ720" t="s">
        <v>2486</v>
      </c>
      <c r="AK720" s="8">
        <v>950.2025316375848</v>
      </c>
      <c r="AM720">
        <f t="shared" si="37"/>
        <v>713</v>
      </c>
      <c r="AN720" s="27" t="s">
        <v>909</v>
      </c>
      <c r="AO720" s="8">
        <v>1</v>
      </c>
      <c r="AR720" s="27" t="s">
        <v>1691</v>
      </c>
      <c r="AS720" s="21">
        <v>165</v>
      </c>
    </row>
    <row r="721" spans="2:45" x14ac:dyDescent="0.35">
      <c r="B721">
        <f t="shared" si="35"/>
        <v>714</v>
      </c>
      <c r="C721" s="27" t="s">
        <v>1365</v>
      </c>
      <c r="D721" s="8">
        <v>950.08654966816744</v>
      </c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>
        <v>950.08654966816744</v>
      </c>
      <c r="AA721" s="8"/>
      <c r="AB721" s="8"/>
      <c r="AI721">
        <f t="shared" si="36"/>
        <v>714</v>
      </c>
      <c r="AJ721" s="27" t="s">
        <v>1365</v>
      </c>
      <c r="AK721" s="8">
        <v>950.08654966816744</v>
      </c>
      <c r="AM721">
        <f t="shared" si="37"/>
        <v>714</v>
      </c>
      <c r="AN721" s="27" t="s">
        <v>1660</v>
      </c>
      <c r="AO721" s="8">
        <v>1</v>
      </c>
      <c r="AR721" s="27" t="s">
        <v>508</v>
      </c>
      <c r="AS721" s="21">
        <v>165</v>
      </c>
    </row>
    <row r="722" spans="2:45" x14ac:dyDescent="0.35">
      <c r="B722">
        <f t="shared" si="35"/>
        <v>715</v>
      </c>
      <c r="C722" s="27" t="s">
        <v>1670</v>
      </c>
      <c r="D722" s="8"/>
      <c r="E722" s="8"/>
      <c r="F722" s="8"/>
      <c r="G722" s="8">
        <v>946.12461921714532</v>
      </c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>
        <v>946.12461921714532</v>
      </c>
      <c r="AA722" s="8"/>
      <c r="AB722" s="8"/>
      <c r="AI722">
        <f t="shared" si="36"/>
        <v>715</v>
      </c>
      <c r="AJ722" s="27" t="s">
        <v>1670</v>
      </c>
      <c r="AK722" s="8">
        <v>946.12461921714532</v>
      </c>
      <c r="AM722">
        <f t="shared" si="37"/>
        <v>715</v>
      </c>
      <c r="AN722" s="27" t="s">
        <v>1027</v>
      </c>
      <c r="AO722" s="8">
        <v>1</v>
      </c>
      <c r="AR722" s="27" t="s">
        <v>506</v>
      </c>
      <c r="AS722" s="21">
        <v>165</v>
      </c>
    </row>
    <row r="723" spans="2:45" x14ac:dyDescent="0.35">
      <c r="B723">
        <f t="shared" si="35"/>
        <v>716</v>
      </c>
      <c r="C723" t="s">
        <v>2348</v>
      </c>
      <c r="D723" s="8"/>
      <c r="E723" s="8"/>
      <c r="F723" s="8"/>
      <c r="G723" s="8"/>
      <c r="H723" s="8"/>
      <c r="I723" s="8"/>
      <c r="J723" s="8"/>
      <c r="K723" s="8"/>
      <c r="L723" s="8"/>
      <c r="M723" s="8">
        <v>945.09912999945493</v>
      </c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>
        <v>945.09912999945493</v>
      </c>
      <c r="AA723" s="8"/>
      <c r="AB723" s="8"/>
      <c r="AI723">
        <f t="shared" si="36"/>
        <v>716</v>
      </c>
      <c r="AJ723" t="s">
        <v>2348</v>
      </c>
      <c r="AK723" s="8">
        <v>945.09912999945493</v>
      </c>
      <c r="AM723">
        <f t="shared" si="37"/>
        <v>716</v>
      </c>
      <c r="AN723" s="27" t="s">
        <v>1181</v>
      </c>
      <c r="AO723" s="8">
        <v>1</v>
      </c>
      <c r="AR723" s="27" t="s">
        <v>1469</v>
      </c>
      <c r="AS723" s="21">
        <v>165</v>
      </c>
    </row>
    <row r="724" spans="2:45" x14ac:dyDescent="0.35">
      <c r="B724">
        <f t="shared" si="35"/>
        <v>717</v>
      </c>
      <c r="C724" s="27" t="s">
        <v>792</v>
      </c>
      <c r="D724" s="8"/>
      <c r="E724" s="8"/>
      <c r="F724" s="8"/>
      <c r="G724" s="8"/>
      <c r="H724" s="8"/>
      <c r="I724" s="8">
        <v>945.09912999945493</v>
      </c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>
        <v>945.09912999945493</v>
      </c>
      <c r="AA724" s="8"/>
      <c r="AB724" s="8"/>
      <c r="AI724">
        <f t="shared" si="36"/>
        <v>717</v>
      </c>
      <c r="AJ724" s="27" t="s">
        <v>792</v>
      </c>
      <c r="AK724" s="8">
        <v>945.09912999945493</v>
      </c>
      <c r="AM724">
        <f t="shared" si="37"/>
        <v>717</v>
      </c>
      <c r="AN724" s="27" t="s">
        <v>938</v>
      </c>
      <c r="AO724" s="8">
        <v>1</v>
      </c>
      <c r="AR724" s="27" t="s">
        <v>1530</v>
      </c>
      <c r="AS724" s="21">
        <v>160</v>
      </c>
    </row>
    <row r="725" spans="2:45" x14ac:dyDescent="0.35">
      <c r="B725">
        <f t="shared" si="35"/>
        <v>718</v>
      </c>
      <c r="C725" t="s">
        <v>2681</v>
      </c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>
        <v>942.00805302231322</v>
      </c>
      <c r="Z725" s="8">
        <v>942.00805302231322</v>
      </c>
      <c r="AA725" s="8"/>
      <c r="AB725" s="8"/>
      <c r="AI725">
        <f t="shared" si="36"/>
        <v>718</v>
      </c>
      <c r="AJ725" t="s">
        <v>2681</v>
      </c>
      <c r="AK725" s="8">
        <v>942.00805302231322</v>
      </c>
      <c r="AM725">
        <f t="shared" si="37"/>
        <v>718</v>
      </c>
      <c r="AN725" s="27" t="s">
        <v>1185</v>
      </c>
      <c r="AO725" s="8">
        <v>1</v>
      </c>
      <c r="AR725" t="s">
        <v>2468</v>
      </c>
      <c r="AS725" s="21">
        <v>160</v>
      </c>
    </row>
    <row r="726" spans="2:45" x14ac:dyDescent="0.35">
      <c r="B726">
        <f t="shared" si="35"/>
        <v>719</v>
      </c>
      <c r="C726" s="27" t="s">
        <v>1672</v>
      </c>
      <c r="D726" s="8"/>
      <c r="E726" s="8">
        <v>942.00805302231322</v>
      </c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>
        <v>942.00805302231322</v>
      </c>
      <c r="AA726" s="8"/>
      <c r="AB726" s="8"/>
      <c r="AI726">
        <f t="shared" si="36"/>
        <v>719</v>
      </c>
      <c r="AJ726" s="27" t="s">
        <v>1672</v>
      </c>
      <c r="AK726" s="8">
        <v>942.00805302231322</v>
      </c>
      <c r="AM726">
        <f t="shared" si="37"/>
        <v>719</v>
      </c>
      <c r="AN726" s="27" t="s">
        <v>1670</v>
      </c>
      <c r="AO726" s="8">
        <v>1</v>
      </c>
      <c r="AR726" t="s">
        <v>2377</v>
      </c>
      <c r="AS726" s="21">
        <v>160</v>
      </c>
    </row>
    <row r="727" spans="2:45" x14ac:dyDescent="0.35">
      <c r="B727">
        <f t="shared" si="35"/>
        <v>720</v>
      </c>
      <c r="C727" t="s">
        <v>2381</v>
      </c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>
        <v>937.85209325115557</v>
      </c>
      <c r="S727" s="8"/>
      <c r="T727" s="8"/>
      <c r="U727" s="8"/>
      <c r="V727" s="8"/>
      <c r="W727" s="8"/>
      <c r="X727" s="8"/>
      <c r="Y727" s="8"/>
      <c r="Z727" s="8">
        <v>937.85209325115557</v>
      </c>
      <c r="AA727" s="8"/>
      <c r="AB727" s="8"/>
      <c r="AI727">
        <f t="shared" si="36"/>
        <v>720</v>
      </c>
      <c r="AJ727" t="s">
        <v>2353</v>
      </c>
      <c r="AK727" s="8">
        <v>937.85209325115557</v>
      </c>
      <c r="AM727">
        <f t="shared" si="37"/>
        <v>720</v>
      </c>
      <c r="AN727" s="27" t="s">
        <v>1641</v>
      </c>
      <c r="AO727" s="8">
        <v>1</v>
      </c>
      <c r="AR727" s="27" t="s">
        <v>1681</v>
      </c>
      <c r="AS727" s="21">
        <v>158</v>
      </c>
    </row>
    <row r="728" spans="2:45" x14ac:dyDescent="0.35">
      <c r="B728">
        <f t="shared" si="35"/>
        <v>721</v>
      </c>
      <c r="C728" t="s">
        <v>2353</v>
      </c>
      <c r="D728" s="8"/>
      <c r="E728" s="8"/>
      <c r="F728" s="8"/>
      <c r="G728" s="8"/>
      <c r="H728" s="8"/>
      <c r="I728" s="8"/>
      <c r="J728" s="8"/>
      <c r="K728" s="8"/>
      <c r="L728" s="8"/>
      <c r="M728" s="8">
        <v>937.85209325115557</v>
      </c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>
        <v>937.85209325115557</v>
      </c>
      <c r="AA728" s="8"/>
      <c r="AB728" s="8"/>
      <c r="AI728">
        <f t="shared" si="36"/>
        <v>721</v>
      </c>
      <c r="AJ728" t="s">
        <v>2381</v>
      </c>
      <c r="AK728" s="8">
        <v>937.85209325115557</v>
      </c>
      <c r="AM728">
        <f t="shared" si="37"/>
        <v>721</v>
      </c>
      <c r="AN728" s="27" t="s">
        <v>1424</v>
      </c>
      <c r="AO728" s="8">
        <v>1</v>
      </c>
      <c r="AR728" s="27" t="s">
        <v>1468</v>
      </c>
      <c r="AS728" s="21">
        <v>157</v>
      </c>
    </row>
    <row r="729" spans="2:45" x14ac:dyDescent="0.35">
      <c r="B729">
        <f t="shared" si="35"/>
        <v>722</v>
      </c>
      <c r="C729" t="s">
        <v>2318</v>
      </c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>
        <v>935.75910374531168</v>
      </c>
      <c r="R729" s="8"/>
      <c r="S729" s="8"/>
      <c r="T729" s="8"/>
      <c r="U729" s="8"/>
      <c r="V729" s="8"/>
      <c r="W729" s="8"/>
      <c r="X729" s="8"/>
      <c r="Y729" s="8"/>
      <c r="Z729" s="8">
        <v>935.75910374531168</v>
      </c>
      <c r="AA729" s="8"/>
      <c r="AB729" s="8"/>
      <c r="AI729">
        <f t="shared" si="36"/>
        <v>722</v>
      </c>
      <c r="AJ729" t="s">
        <v>2318</v>
      </c>
      <c r="AK729" s="8">
        <v>935.75910374531168</v>
      </c>
      <c r="AM729">
        <f t="shared" si="37"/>
        <v>722</v>
      </c>
      <c r="AN729" s="27" t="s">
        <v>1648</v>
      </c>
      <c r="AO729" s="8">
        <v>1</v>
      </c>
      <c r="AR729" s="27" t="s">
        <v>990</v>
      </c>
      <c r="AS729" s="21">
        <v>153</v>
      </c>
    </row>
    <row r="730" spans="2:45" x14ac:dyDescent="0.35">
      <c r="B730">
        <f t="shared" si="35"/>
        <v>723</v>
      </c>
      <c r="C730" s="27" t="s">
        <v>1480</v>
      </c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>
        <v>934.49845124356762</v>
      </c>
      <c r="Q730" s="8"/>
      <c r="R730" s="8"/>
      <c r="S730" s="8"/>
      <c r="T730" s="8"/>
      <c r="U730" s="8"/>
      <c r="V730" s="8"/>
      <c r="W730" s="8"/>
      <c r="X730" s="8"/>
      <c r="Y730" s="8"/>
      <c r="Z730" s="8">
        <v>934.49845124356762</v>
      </c>
      <c r="AA730" s="8"/>
      <c r="AB730" s="8"/>
      <c r="AI730">
        <f t="shared" si="36"/>
        <v>723</v>
      </c>
      <c r="AJ730" s="27" t="s">
        <v>1480</v>
      </c>
      <c r="AK730" s="8">
        <v>934.49845124356762</v>
      </c>
      <c r="AM730">
        <f t="shared" si="37"/>
        <v>723</v>
      </c>
      <c r="AN730" s="27" t="s">
        <v>778</v>
      </c>
      <c r="AO730" s="8">
        <v>1</v>
      </c>
      <c r="AR730" s="27" t="s">
        <v>1188</v>
      </c>
      <c r="AS730" s="21">
        <v>150</v>
      </c>
    </row>
    <row r="731" spans="2:45" x14ac:dyDescent="0.35">
      <c r="B731">
        <f t="shared" si="35"/>
        <v>724</v>
      </c>
      <c r="C731" s="27" t="s">
        <v>940</v>
      </c>
      <c r="D731" s="8"/>
      <c r="E731" s="8"/>
      <c r="F731" s="8"/>
      <c r="G731" s="8"/>
      <c r="H731" s="8">
        <v>932.60058450048189</v>
      </c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>
        <v>932.60058450048189</v>
      </c>
      <c r="AA731" s="8"/>
      <c r="AB731" s="8"/>
      <c r="AI731">
        <f t="shared" si="36"/>
        <v>724</v>
      </c>
      <c r="AJ731" s="27" t="s">
        <v>940</v>
      </c>
      <c r="AK731" s="8">
        <v>932.60058450048189</v>
      </c>
      <c r="AM731">
        <f t="shared" si="37"/>
        <v>724</v>
      </c>
      <c r="AN731" s="27" t="s">
        <v>1691</v>
      </c>
      <c r="AO731" s="8">
        <v>1</v>
      </c>
      <c r="AR731" t="s">
        <v>2437</v>
      </c>
      <c r="AS731" s="21">
        <v>150</v>
      </c>
    </row>
    <row r="732" spans="2:45" x14ac:dyDescent="0.35">
      <c r="B732">
        <f t="shared" si="35"/>
        <v>725</v>
      </c>
      <c r="C732" s="27" t="s">
        <v>508</v>
      </c>
      <c r="D732" s="8"/>
      <c r="E732" s="8"/>
      <c r="F732" s="8"/>
      <c r="G732" s="8"/>
      <c r="H732" s="8"/>
      <c r="I732" s="8"/>
      <c r="J732" s="8"/>
      <c r="K732" s="8"/>
      <c r="L732" s="8">
        <v>927.44933285138825</v>
      </c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>
        <v>927.44933285138825</v>
      </c>
      <c r="AA732" s="8"/>
      <c r="AB732" s="8"/>
      <c r="AI732">
        <f t="shared" si="36"/>
        <v>725</v>
      </c>
      <c r="AJ732" s="27" t="s">
        <v>508</v>
      </c>
      <c r="AK732" s="8">
        <v>927.44933285138825</v>
      </c>
      <c r="AM732">
        <f t="shared" si="37"/>
        <v>725</v>
      </c>
      <c r="AN732" s="27" t="s">
        <v>1420</v>
      </c>
      <c r="AO732" s="8">
        <v>1</v>
      </c>
      <c r="AR732" t="s">
        <v>2615</v>
      </c>
      <c r="AS732" s="21">
        <v>150</v>
      </c>
    </row>
    <row r="733" spans="2:45" x14ac:dyDescent="0.35">
      <c r="B733">
        <f t="shared" si="35"/>
        <v>726</v>
      </c>
      <c r="C733" s="27" t="s">
        <v>877</v>
      </c>
      <c r="D733" s="8"/>
      <c r="E733" s="8"/>
      <c r="F733" s="8"/>
      <c r="G733" s="8"/>
      <c r="H733" s="8">
        <v>925.75397162788749</v>
      </c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>
        <v>925.75397162788749</v>
      </c>
      <c r="AA733" s="8"/>
      <c r="AB733" s="8"/>
      <c r="AI733">
        <f t="shared" si="36"/>
        <v>726</v>
      </c>
      <c r="AJ733" s="27" t="s">
        <v>877</v>
      </c>
      <c r="AK733" s="8">
        <v>925.75397162788749</v>
      </c>
      <c r="AM733">
        <f t="shared" si="37"/>
        <v>726</v>
      </c>
      <c r="AN733" s="27" t="s">
        <v>785</v>
      </c>
      <c r="AO733" s="8">
        <v>1</v>
      </c>
      <c r="AR733" s="27" t="s">
        <v>1483</v>
      </c>
      <c r="AS733" s="21">
        <v>150</v>
      </c>
    </row>
    <row r="734" spans="2:45" x14ac:dyDescent="0.35">
      <c r="B734">
        <f t="shared" si="35"/>
        <v>727</v>
      </c>
      <c r="C734" s="27" t="s">
        <v>794</v>
      </c>
      <c r="D734" s="8"/>
      <c r="E734" s="8"/>
      <c r="F734" s="8"/>
      <c r="G734" s="8"/>
      <c r="H734" s="8"/>
      <c r="I734" s="8">
        <v>918.77019127710582</v>
      </c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>
        <v>918.77019127710582</v>
      </c>
      <c r="AA734" s="8"/>
      <c r="AB734" s="8"/>
      <c r="AI734">
        <f t="shared" si="36"/>
        <v>727</v>
      </c>
      <c r="AJ734" s="27" t="s">
        <v>794</v>
      </c>
      <c r="AK734" s="8">
        <v>918.77019127710582</v>
      </c>
      <c r="AM734">
        <f t="shared" si="37"/>
        <v>727</v>
      </c>
      <c r="AN734" s="27" t="s">
        <v>1656</v>
      </c>
      <c r="AO734" s="8">
        <v>1</v>
      </c>
      <c r="AR734" s="27" t="s">
        <v>832</v>
      </c>
      <c r="AS734" s="21">
        <v>150</v>
      </c>
    </row>
    <row r="735" spans="2:45" x14ac:dyDescent="0.35">
      <c r="B735">
        <f t="shared" si="35"/>
        <v>728</v>
      </c>
      <c r="C735" t="s">
        <v>2302</v>
      </c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>
        <v>916.45394854992526</v>
      </c>
      <c r="R735" s="8"/>
      <c r="S735" s="8"/>
      <c r="T735" s="8"/>
      <c r="U735" s="8"/>
      <c r="V735" s="8"/>
      <c r="W735" s="8"/>
      <c r="X735" s="8"/>
      <c r="Y735" s="8"/>
      <c r="Z735" s="8">
        <v>916.45394854992526</v>
      </c>
      <c r="AA735" s="8"/>
      <c r="AB735" s="8"/>
      <c r="AI735">
        <f t="shared" si="36"/>
        <v>728</v>
      </c>
      <c r="AJ735" t="s">
        <v>2302</v>
      </c>
      <c r="AK735" s="8">
        <v>916.45394854992526</v>
      </c>
      <c r="AM735">
        <f t="shared" si="37"/>
        <v>728</v>
      </c>
      <c r="AN735" s="27" t="s">
        <v>462</v>
      </c>
      <c r="AO735" s="8">
        <v>1</v>
      </c>
      <c r="AR735" s="27" t="s">
        <v>1472</v>
      </c>
      <c r="AS735" s="21">
        <v>150</v>
      </c>
    </row>
    <row r="736" spans="2:45" x14ac:dyDescent="0.35">
      <c r="B736">
        <f t="shared" si="35"/>
        <v>729</v>
      </c>
      <c r="C736" t="s">
        <v>2542</v>
      </c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>
        <v>914.98921029165137</v>
      </c>
      <c r="W736" s="8"/>
      <c r="X736" s="8"/>
      <c r="Y736" s="8"/>
      <c r="Z736" s="8">
        <v>914.98921029165137</v>
      </c>
      <c r="AA736" s="8"/>
      <c r="AB736" s="8"/>
      <c r="AI736">
        <f t="shared" si="36"/>
        <v>729</v>
      </c>
      <c r="AJ736" t="s">
        <v>2542</v>
      </c>
      <c r="AK736" s="8">
        <v>914.98921029165137</v>
      </c>
      <c r="AM736">
        <f t="shared" si="37"/>
        <v>729</v>
      </c>
      <c r="AN736" s="27" t="s">
        <v>1654</v>
      </c>
      <c r="AO736" s="8">
        <v>1</v>
      </c>
      <c r="AR736" s="27" t="s">
        <v>980</v>
      </c>
      <c r="AS736" s="21">
        <v>150</v>
      </c>
    </row>
    <row r="737" spans="2:45" x14ac:dyDescent="0.35">
      <c r="B737">
        <f t="shared" si="35"/>
        <v>730</v>
      </c>
      <c r="C737" s="27" t="s">
        <v>1383</v>
      </c>
      <c r="D737" s="8">
        <v>912.84982428109981</v>
      </c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>
        <v>912.84982428109981</v>
      </c>
      <c r="AA737" s="8"/>
      <c r="AB737" s="8"/>
      <c r="AI737">
        <f t="shared" si="36"/>
        <v>730</v>
      </c>
      <c r="AJ737" s="27" t="s">
        <v>1383</v>
      </c>
      <c r="AK737" s="8">
        <v>912.84982428109981</v>
      </c>
      <c r="AM737">
        <f t="shared" si="37"/>
        <v>730</v>
      </c>
      <c r="AN737" s="27" t="s">
        <v>1689</v>
      </c>
      <c r="AO737" s="8">
        <v>1</v>
      </c>
      <c r="AR737" s="27" t="s">
        <v>1694</v>
      </c>
      <c r="AS737" s="21">
        <v>149</v>
      </c>
    </row>
    <row r="738" spans="2:45" x14ac:dyDescent="0.35">
      <c r="B738">
        <f t="shared" si="35"/>
        <v>731</v>
      </c>
      <c r="C738" t="s">
        <v>2442</v>
      </c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>
        <v>910.77681565823468</v>
      </c>
      <c r="U738" s="8"/>
      <c r="V738" s="8"/>
      <c r="W738" s="8"/>
      <c r="X738" s="8"/>
      <c r="Y738" s="8"/>
      <c r="Z738" s="8">
        <v>910.77681565823468</v>
      </c>
      <c r="AA738" s="8"/>
      <c r="AB738" s="8"/>
      <c r="AI738">
        <f t="shared" si="36"/>
        <v>731</v>
      </c>
      <c r="AJ738" t="s">
        <v>2442</v>
      </c>
      <c r="AK738" s="8">
        <v>910.77681565823468</v>
      </c>
      <c r="AM738">
        <f t="shared" si="37"/>
        <v>731</v>
      </c>
      <c r="AN738" s="27" t="s">
        <v>1561</v>
      </c>
      <c r="AO738" s="8">
        <v>1</v>
      </c>
      <c r="AR738" s="27" t="s">
        <v>1705</v>
      </c>
      <c r="AS738" s="21">
        <v>146</v>
      </c>
    </row>
    <row r="739" spans="2:45" x14ac:dyDescent="0.35">
      <c r="B739">
        <f t="shared" si="35"/>
        <v>732</v>
      </c>
      <c r="C739" s="27" t="s">
        <v>1673</v>
      </c>
      <c r="D739" s="8"/>
      <c r="E739" s="8"/>
      <c r="F739" s="8"/>
      <c r="G739" s="8"/>
      <c r="H739" s="8"/>
      <c r="I739" s="8"/>
      <c r="J739" s="8"/>
      <c r="K739" s="8"/>
      <c r="L739" s="8">
        <v>903.08998699194365</v>
      </c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>
        <v>903.08998699194365</v>
      </c>
      <c r="AA739" s="8"/>
      <c r="AB739" s="8"/>
      <c r="AI739">
        <f t="shared" si="36"/>
        <v>732</v>
      </c>
      <c r="AJ739" s="27" t="s">
        <v>1673</v>
      </c>
      <c r="AK739" s="8">
        <v>903.08998699194365</v>
      </c>
      <c r="AM739">
        <f t="shared" si="37"/>
        <v>732</v>
      </c>
      <c r="AN739" s="27" t="s">
        <v>1695</v>
      </c>
      <c r="AO739" s="8">
        <v>1</v>
      </c>
      <c r="AR739" s="27" t="s">
        <v>335</v>
      </c>
      <c r="AS739" s="21">
        <v>145</v>
      </c>
    </row>
    <row r="740" spans="2:45" x14ac:dyDescent="0.35">
      <c r="B740">
        <f t="shared" si="35"/>
        <v>733</v>
      </c>
      <c r="C740" s="27" t="s">
        <v>635</v>
      </c>
      <c r="D740" s="8"/>
      <c r="E740" s="8"/>
      <c r="F740" s="8"/>
      <c r="G740" s="8"/>
      <c r="H740" s="8"/>
      <c r="I740" s="8"/>
      <c r="J740" s="8">
        <v>903.08998699194365</v>
      </c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>
        <v>903.08998699194365</v>
      </c>
      <c r="AA740" s="8"/>
      <c r="AB740" s="8"/>
      <c r="AI740">
        <f t="shared" si="36"/>
        <v>733</v>
      </c>
      <c r="AJ740" s="27" t="s">
        <v>635</v>
      </c>
      <c r="AK740" s="8">
        <v>903.08998699194365</v>
      </c>
      <c r="AM740">
        <f t="shared" si="37"/>
        <v>733</v>
      </c>
      <c r="AN740" s="27" t="s">
        <v>342</v>
      </c>
      <c r="AO740" s="8">
        <v>1</v>
      </c>
      <c r="AR740" s="27" t="s">
        <v>1706</v>
      </c>
      <c r="AS740" s="21">
        <v>145</v>
      </c>
    </row>
    <row r="741" spans="2:45" x14ac:dyDescent="0.35">
      <c r="B741">
        <f t="shared" si="35"/>
        <v>734</v>
      </c>
      <c r="C741" t="s">
        <v>2437</v>
      </c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>
        <v>903.08998699194353</v>
      </c>
      <c r="T741" s="8"/>
      <c r="U741" s="8"/>
      <c r="V741" s="8"/>
      <c r="W741" s="8"/>
      <c r="X741" s="8"/>
      <c r="Y741" s="8"/>
      <c r="Z741" s="8">
        <v>903.08998699194353</v>
      </c>
      <c r="AA741" s="8"/>
      <c r="AB741" s="8"/>
      <c r="AI741">
        <f t="shared" si="36"/>
        <v>734</v>
      </c>
      <c r="AJ741" t="s">
        <v>2591</v>
      </c>
      <c r="AK741" s="8">
        <v>903.08998699194353</v>
      </c>
      <c r="AM741">
        <f t="shared" si="37"/>
        <v>734</v>
      </c>
      <c r="AN741" s="27" t="s">
        <v>886</v>
      </c>
      <c r="AO741" s="8">
        <v>1</v>
      </c>
      <c r="AR741" s="27" t="s">
        <v>338</v>
      </c>
      <c r="AS741" s="21">
        <v>145</v>
      </c>
    </row>
    <row r="742" spans="2:45" x14ac:dyDescent="0.35">
      <c r="B742">
        <f t="shared" si="35"/>
        <v>735</v>
      </c>
      <c r="C742" t="s">
        <v>2591</v>
      </c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>
        <v>903.08998699194353</v>
      </c>
      <c r="X742" s="8"/>
      <c r="Y742" s="8"/>
      <c r="Z742" s="8">
        <v>903.08998699194353</v>
      </c>
      <c r="AA742" s="8"/>
      <c r="AB742" s="8"/>
      <c r="AI742">
        <f t="shared" si="36"/>
        <v>735</v>
      </c>
      <c r="AJ742" t="s">
        <v>2437</v>
      </c>
      <c r="AK742" s="8">
        <v>903.08998699194353</v>
      </c>
      <c r="AM742">
        <f t="shared" si="37"/>
        <v>735</v>
      </c>
      <c r="AN742" s="27" t="s">
        <v>1601</v>
      </c>
      <c r="AO742" s="8">
        <v>1</v>
      </c>
      <c r="AR742" t="s">
        <v>2485</v>
      </c>
      <c r="AS742" s="21">
        <v>144</v>
      </c>
    </row>
    <row r="743" spans="2:45" x14ac:dyDescent="0.35">
      <c r="B743">
        <f t="shared" si="35"/>
        <v>736</v>
      </c>
      <c r="C743" s="27" t="s">
        <v>994</v>
      </c>
      <c r="D743" s="8"/>
      <c r="E743" s="8"/>
      <c r="F743" s="8"/>
      <c r="G743" s="8">
        <v>894.65681945508084</v>
      </c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>
        <v>894.65681945508084</v>
      </c>
      <c r="AA743" s="8"/>
      <c r="AB743" s="8"/>
      <c r="AI743">
        <f t="shared" si="36"/>
        <v>736</v>
      </c>
      <c r="AJ743" s="27" t="s">
        <v>994</v>
      </c>
      <c r="AK743" s="8">
        <v>894.65681945508084</v>
      </c>
      <c r="AM743">
        <f t="shared" si="37"/>
        <v>736</v>
      </c>
      <c r="AN743" s="27" t="s">
        <v>432</v>
      </c>
      <c r="AO743" s="8">
        <v>1</v>
      </c>
      <c r="AR743" s="27" t="s">
        <v>1674</v>
      </c>
      <c r="AS743" s="21">
        <v>140</v>
      </c>
    </row>
    <row r="744" spans="2:45" x14ac:dyDescent="0.35">
      <c r="B744">
        <f t="shared" si="35"/>
        <v>737</v>
      </c>
      <c r="C744" s="27" t="s">
        <v>796</v>
      </c>
      <c r="D744" s="8"/>
      <c r="E744" s="8"/>
      <c r="F744" s="8"/>
      <c r="G744" s="8"/>
      <c r="H744" s="8"/>
      <c r="I744" s="8">
        <v>893.94660755207371</v>
      </c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>
        <v>893.94660755207371</v>
      </c>
      <c r="AA744" s="8"/>
      <c r="AB744" s="8"/>
      <c r="AI744">
        <f t="shared" si="36"/>
        <v>737</v>
      </c>
      <c r="AJ744" s="27" t="s">
        <v>796</v>
      </c>
      <c r="AK744" s="8">
        <v>893.94660755207371</v>
      </c>
      <c r="AM744">
        <f t="shared" si="37"/>
        <v>737</v>
      </c>
      <c r="AN744" s="27" t="s">
        <v>1693</v>
      </c>
      <c r="AO744" s="8">
        <v>1</v>
      </c>
      <c r="AR744" s="27" t="s">
        <v>1670</v>
      </c>
      <c r="AS744" s="21">
        <v>130</v>
      </c>
    </row>
    <row r="745" spans="2:45" x14ac:dyDescent="0.35">
      <c r="B745">
        <f t="shared" si="35"/>
        <v>738</v>
      </c>
      <c r="C745" s="27" t="s">
        <v>1674</v>
      </c>
      <c r="D745" s="8"/>
      <c r="E745" s="8"/>
      <c r="F745" s="8"/>
      <c r="G745" s="8"/>
      <c r="H745" s="8"/>
      <c r="I745" s="8">
        <v>890.855530574932</v>
      </c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>
        <v>890.855530574932</v>
      </c>
      <c r="AA745" s="8"/>
      <c r="AB745" s="8"/>
      <c r="AI745">
        <f t="shared" si="36"/>
        <v>738</v>
      </c>
      <c r="AJ745" s="27" t="s">
        <v>1674</v>
      </c>
      <c r="AK745" s="8">
        <v>890.855530574932</v>
      </c>
      <c r="AM745">
        <f t="shared" si="37"/>
        <v>738</v>
      </c>
      <c r="AN745" s="27" t="s">
        <v>994</v>
      </c>
      <c r="AO745" s="8">
        <v>1</v>
      </c>
      <c r="AR745" t="s">
        <v>2503</v>
      </c>
      <c r="AS745" s="21">
        <v>125</v>
      </c>
    </row>
    <row r="746" spans="2:45" x14ac:dyDescent="0.35">
      <c r="B746">
        <f t="shared" si="35"/>
        <v>739</v>
      </c>
      <c r="C746" t="s">
        <v>2686</v>
      </c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>
        <v>884.60658129793046</v>
      </c>
      <c r="Z746" s="8">
        <v>884.60658129793046</v>
      </c>
      <c r="AA746" s="8"/>
      <c r="AB746" s="8"/>
      <c r="AI746">
        <f t="shared" si="36"/>
        <v>739</v>
      </c>
      <c r="AJ746" t="s">
        <v>2686</v>
      </c>
      <c r="AK746" s="8">
        <v>884.60658129793046</v>
      </c>
      <c r="AM746">
        <f t="shared" si="37"/>
        <v>739</v>
      </c>
      <c r="AN746" s="27" t="s">
        <v>1294</v>
      </c>
      <c r="AO746" s="8">
        <v>1</v>
      </c>
      <c r="AR746" s="27" t="s">
        <v>1247</v>
      </c>
      <c r="AS746" s="21">
        <v>122</v>
      </c>
    </row>
    <row r="747" spans="2:45" x14ac:dyDescent="0.35">
      <c r="B747">
        <f t="shared" si="35"/>
        <v>740</v>
      </c>
      <c r="C747" t="s">
        <v>2582</v>
      </c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>
        <v>880.81359228079123</v>
      </c>
      <c r="X747" s="8"/>
      <c r="Y747" s="8"/>
      <c r="Z747" s="8">
        <v>880.81359228079123</v>
      </c>
      <c r="AA747" s="8"/>
      <c r="AB747" s="8"/>
      <c r="AI747">
        <f t="shared" si="36"/>
        <v>740</v>
      </c>
      <c r="AJ747" t="s">
        <v>2582</v>
      </c>
      <c r="AK747" s="8">
        <v>880.81359228079123</v>
      </c>
      <c r="AM747">
        <f t="shared" si="37"/>
        <v>740</v>
      </c>
      <c r="AN747" s="27" t="s">
        <v>1388</v>
      </c>
      <c r="AO747" s="8">
        <v>1</v>
      </c>
      <c r="AR747" s="27" t="s">
        <v>1378</v>
      </c>
      <c r="AS747" s="21">
        <v>122</v>
      </c>
    </row>
    <row r="748" spans="2:45" x14ac:dyDescent="0.35">
      <c r="B748">
        <f t="shared" si="35"/>
        <v>741</v>
      </c>
      <c r="C748" s="27" t="s">
        <v>193</v>
      </c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>
        <v>877.68540721784882</v>
      </c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>
        <v>877.68540721784882</v>
      </c>
      <c r="AA748" s="8"/>
      <c r="AB748" s="8"/>
      <c r="AI748">
        <f t="shared" si="36"/>
        <v>741</v>
      </c>
      <c r="AJ748" s="27" t="s">
        <v>193</v>
      </c>
      <c r="AK748" s="8">
        <v>877.68540721784882</v>
      </c>
      <c r="AM748">
        <f t="shared" si="37"/>
        <v>741</v>
      </c>
      <c r="AN748" s="27" t="s">
        <v>1483</v>
      </c>
      <c r="AO748" s="8">
        <v>1</v>
      </c>
      <c r="AR748" s="27" t="s">
        <v>1475</v>
      </c>
      <c r="AS748" s="21">
        <v>122</v>
      </c>
    </row>
    <row r="749" spans="2:45" x14ac:dyDescent="0.35">
      <c r="B749">
        <f t="shared" si="35"/>
        <v>742</v>
      </c>
      <c r="C749" s="27" t="s">
        <v>1468</v>
      </c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>
        <v>875.06126339170009</v>
      </c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>
        <v>875.06126339170009</v>
      </c>
      <c r="AA749" s="8"/>
      <c r="AB749" s="8"/>
      <c r="AI749">
        <f t="shared" si="36"/>
        <v>742</v>
      </c>
      <c r="AJ749" s="27" t="s">
        <v>1468</v>
      </c>
      <c r="AK749" s="8">
        <v>875.06126339170009</v>
      </c>
      <c r="AM749">
        <f t="shared" si="37"/>
        <v>742</v>
      </c>
      <c r="AN749" s="27" t="s">
        <v>1573</v>
      </c>
      <c r="AO749" s="8">
        <v>1</v>
      </c>
      <c r="AR749" s="27" t="s">
        <v>1476</v>
      </c>
      <c r="AS749" s="21">
        <v>122</v>
      </c>
    </row>
    <row r="750" spans="2:45" x14ac:dyDescent="0.35">
      <c r="B750">
        <f t="shared" si="35"/>
        <v>743</v>
      </c>
      <c r="C750" t="s">
        <v>2587</v>
      </c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>
        <v>875.06126339169998</v>
      </c>
      <c r="X750" s="8"/>
      <c r="Y750" s="8"/>
      <c r="Z750" s="8">
        <v>875.06126339169998</v>
      </c>
      <c r="AA750" s="8"/>
      <c r="AB750" s="8"/>
      <c r="AI750">
        <f t="shared" si="36"/>
        <v>743</v>
      </c>
      <c r="AJ750" t="s">
        <v>2587</v>
      </c>
      <c r="AK750" s="8">
        <v>875.06126339169998</v>
      </c>
      <c r="AM750">
        <f t="shared" si="37"/>
        <v>743</v>
      </c>
      <c r="AN750" s="27" t="s">
        <v>934</v>
      </c>
      <c r="AO750" s="8">
        <v>1</v>
      </c>
      <c r="AR750" s="27" t="s">
        <v>1600</v>
      </c>
      <c r="AS750" s="21">
        <v>120</v>
      </c>
    </row>
    <row r="751" spans="2:45" x14ac:dyDescent="0.35">
      <c r="B751">
        <f t="shared" si="35"/>
        <v>744</v>
      </c>
      <c r="C751" t="s">
        <v>2680</v>
      </c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>
        <v>870.90530362054244</v>
      </c>
      <c r="Z751" s="8">
        <v>870.90530362054244</v>
      </c>
      <c r="AA751" s="8"/>
      <c r="AB751" s="8"/>
      <c r="AI751">
        <f t="shared" si="36"/>
        <v>744</v>
      </c>
      <c r="AJ751" t="s">
        <v>2680</v>
      </c>
      <c r="AK751" s="8">
        <v>870.90530362054244</v>
      </c>
      <c r="AM751">
        <f t="shared" si="37"/>
        <v>744</v>
      </c>
      <c r="AN751" s="27" t="s">
        <v>508</v>
      </c>
      <c r="AO751" s="8">
        <v>1</v>
      </c>
      <c r="AR751" s="27" t="s">
        <v>193</v>
      </c>
      <c r="AS751" s="21">
        <v>120</v>
      </c>
    </row>
    <row r="752" spans="2:45" x14ac:dyDescent="0.35">
      <c r="B752">
        <f t="shared" si="35"/>
        <v>745</v>
      </c>
      <c r="C752" s="27" t="s">
        <v>577</v>
      </c>
      <c r="D752" s="8"/>
      <c r="E752" s="8"/>
      <c r="F752" s="8"/>
      <c r="G752" s="8"/>
      <c r="H752" s="8"/>
      <c r="I752" s="8"/>
      <c r="J752" s="8"/>
      <c r="K752" s="8">
        <v>869.23171973097624</v>
      </c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>
        <v>869.23171973097624</v>
      </c>
      <c r="AA752" s="8"/>
      <c r="AB752" s="8"/>
      <c r="AI752">
        <f t="shared" si="36"/>
        <v>745</v>
      </c>
      <c r="AJ752" s="27" t="s">
        <v>577</v>
      </c>
      <c r="AK752" s="8">
        <v>869.23171973097624</v>
      </c>
      <c r="AM752">
        <f t="shared" si="37"/>
        <v>745</v>
      </c>
      <c r="AN752" s="27" t="s">
        <v>1137</v>
      </c>
      <c r="AO752" s="8">
        <v>1</v>
      </c>
      <c r="AR752" s="27" t="s">
        <v>1601</v>
      </c>
      <c r="AS752" s="21">
        <v>112</v>
      </c>
    </row>
    <row r="753" spans="2:45" x14ac:dyDescent="0.35">
      <c r="B753">
        <f t="shared" si="35"/>
        <v>746</v>
      </c>
      <c r="C753" s="27" t="s">
        <v>432</v>
      </c>
      <c r="D753" s="8"/>
      <c r="E753" s="8"/>
      <c r="F753" s="8"/>
      <c r="G753" s="8"/>
      <c r="H753" s="8"/>
      <c r="I753" s="8"/>
      <c r="J753" s="8"/>
      <c r="K753" s="8"/>
      <c r="L753" s="8">
        <v>868.32788073273161</v>
      </c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>
        <v>868.32788073273161</v>
      </c>
      <c r="AA753" s="8"/>
      <c r="AB753" s="8"/>
      <c r="AI753">
        <f t="shared" si="36"/>
        <v>746</v>
      </c>
      <c r="AJ753" s="27" t="s">
        <v>432</v>
      </c>
      <c r="AK753" s="8">
        <v>868.32788073273161</v>
      </c>
      <c r="AM753">
        <f t="shared" si="37"/>
        <v>746</v>
      </c>
      <c r="AN753" s="27" t="s">
        <v>940</v>
      </c>
      <c r="AO753" s="8">
        <v>1</v>
      </c>
      <c r="AR753" t="s">
        <v>2697</v>
      </c>
      <c r="AS753" s="21">
        <v>105</v>
      </c>
    </row>
    <row r="754" spans="2:45" x14ac:dyDescent="0.35">
      <c r="B754">
        <f t="shared" si="35"/>
        <v>747</v>
      </c>
      <c r="C754" t="s">
        <v>2520</v>
      </c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>
        <v>867.76202465020071</v>
      </c>
      <c r="V754" s="8"/>
      <c r="W754" s="8"/>
      <c r="X754" s="8"/>
      <c r="Y754" s="8"/>
      <c r="Z754" s="8">
        <v>867.76202465020071</v>
      </c>
      <c r="AA754" s="8"/>
      <c r="AB754" s="8"/>
      <c r="AI754">
        <f t="shared" si="36"/>
        <v>747</v>
      </c>
      <c r="AJ754" t="s">
        <v>2520</v>
      </c>
      <c r="AK754" s="8">
        <v>867.76202465020071</v>
      </c>
      <c r="AM754">
        <f t="shared" si="37"/>
        <v>747</v>
      </c>
      <c r="AN754" s="27" t="s">
        <v>1702</v>
      </c>
      <c r="AO754" s="8">
        <v>1</v>
      </c>
      <c r="AR754" t="s">
        <v>2677</v>
      </c>
      <c r="AS754" s="21">
        <v>100</v>
      </c>
    </row>
    <row r="755" spans="2:45" x14ac:dyDescent="0.35">
      <c r="B755">
        <f t="shared" si="35"/>
        <v>748</v>
      </c>
      <c r="C755" t="s">
        <v>2466</v>
      </c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>
        <v>862.4721360836794</v>
      </c>
      <c r="U755" s="8"/>
      <c r="V755" s="8"/>
      <c r="W755" s="8"/>
      <c r="X755" s="8"/>
      <c r="Y755" s="8"/>
      <c r="Z755" s="8">
        <v>862.4721360836794</v>
      </c>
      <c r="AA755" s="8"/>
      <c r="AB755" s="8"/>
      <c r="AI755">
        <f t="shared" si="36"/>
        <v>748</v>
      </c>
      <c r="AJ755" t="s">
        <v>2466</v>
      </c>
      <c r="AK755" s="8">
        <v>862.4721360836794</v>
      </c>
      <c r="AM755">
        <f t="shared" si="37"/>
        <v>748</v>
      </c>
      <c r="AN755" s="27" t="s">
        <v>1486</v>
      </c>
      <c r="AO755" s="8">
        <v>1</v>
      </c>
      <c r="AR755" t="s">
        <v>2353</v>
      </c>
      <c r="AS755" s="21">
        <v>100</v>
      </c>
    </row>
    <row r="756" spans="2:45" x14ac:dyDescent="0.35">
      <c r="B756">
        <f t="shared" si="35"/>
        <v>749</v>
      </c>
      <c r="C756" s="27" t="s">
        <v>1469</v>
      </c>
      <c r="D756" s="8"/>
      <c r="E756" s="8">
        <v>862.4721360836794</v>
      </c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>
        <v>862.4721360836794</v>
      </c>
      <c r="AA756" s="8"/>
      <c r="AB756" s="8"/>
      <c r="AI756">
        <f t="shared" si="36"/>
        <v>749</v>
      </c>
      <c r="AJ756" s="27" t="s">
        <v>1469</v>
      </c>
      <c r="AK756" s="8">
        <v>862.4721360836794</v>
      </c>
      <c r="AM756">
        <f t="shared" si="37"/>
        <v>749</v>
      </c>
      <c r="AN756" s="27" t="s">
        <v>1690</v>
      </c>
      <c r="AO756" s="8">
        <v>1</v>
      </c>
      <c r="AR756" s="27" t="s">
        <v>1486</v>
      </c>
      <c r="AS756" s="21">
        <v>100</v>
      </c>
    </row>
    <row r="757" spans="2:45" x14ac:dyDescent="0.35">
      <c r="B757">
        <f t="shared" si="35"/>
        <v>750</v>
      </c>
      <c r="C757" t="s">
        <v>2552</v>
      </c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>
        <v>853.87196432176188</v>
      </c>
      <c r="W757" s="8"/>
      <c r="X757" s="8"/>
      <c r="Y757" s="8"/>
      <c r="Z757" s="8">
        <v>853.87196432176188</v>
      </c>
      <c r="AA757" s="8"/>
      <c r="AB757" s="8"/>
      <c r="AI757">
        <f t="shared" si="36"/>
        <v>750</v>
      </c>
      <c r="AJ757" t="s">
        <v>2552</v>
      </c>
      <c r="AK757" s="8">
        <v>853.87196432176188</v>
      </c>
      <c r="AM757">
        <f t="shared" si="37"/>
        <v>750</v>
      </c>
      <c r="AN757" s="27" t="s">
        <v>758</v>
      </c>
      <c r="AO757" s="8">
        <v>1</v>
      </c>
      <c r="AR757" s="27" t="s">
        <v>1699</v>
      </c>
      <c r="AS757" s="21">
        <v>100</v>
      </c>
    </row>
    <row r="758" spans="2:45" x14ac:dyDescent="0.35">
      <c r="B758">
        <f t="shared" si="35"/>
        <v>751</v>
      </c>
      <c r="C758" t="s">
        <v>2445</v>
      </c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>
        <v>852.7848686805479</v>
      </c>
      <c r="U758" s="8"/>
      <c r="V758" s="8"/>
      <c r="W758" s="8"/>
      <c r="X758" s="8"/>
      <c r="Y758" s="8"/>
      <c r="Z758" s="8">
        <v>852.7848686805479</v>
      </c>
      <c r="AA758" s="8"/>
      <c r="AB758" s="8"/>
      <c r="AI758">
        <f t="shared" si="36"/>
        <v>751</v>
      </c>
      <c r="AJ758" t="s">
        <v>2445</v>
      </c>
      <c r="AK758" s="8">
        <v>852.7848686805479</v>
      </c>
      <c r="AM758">
        <f t="shared" si="37"/>
        <v>751</v>
      </c>
      <c r="AN758" s="27" t="s">
        <v>1036</v>
      </c>
      <c r="AO758" s="8">
        <v>1</v>
      </c>
      <c r="AR758" s="27" t="s">
        <v>1072</v>
      </c>
      <c r="AS758" s="21">
        <v>100</v>
      </c>
    </row>
    <row r="759" spans="2:45" x14ac:dyDescent="0.35">
      <c r="B759">
        <f t="shared" si="35"/>
        <v>752</v>
      </c>
      <c r="C759" t="s">
        <v>2292</v>
      </c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>
        <v>845.09804001425687</v>
      </c>
      <c r="R759" s="8"/>
      <c r="S759" s="8"/>
      <c r="T759" s="8"/>
      <c r="U759" s="8"/>
      <c r="V759" s="8"/>
      <c r="W759" s="8"/>
      <c r="X759" s="8"/>
      <c r="Y759" s="8"/>
      <c r="Z759" s="8">
        <v>845.09804001425687</v>
      </c>
      <c r="AA759" s="8"/>
      <c r="AB759" s="8"/>
      <c r="AI759">
        <f t="shared" si="36"/>
        <v>752</v>
      </c>
      <c r="AJ759" t="s">
        <v>2292</v>
      </c>
      <c r="AK759" s="8">
        <v>845.09804001425687</v>
      </c>
      <c r="AM759">
        <f t="shared" si="37"/>
        <v>752</v>
      </c>
      <c r="AN759" s="27" t="s">
        <v>1407</v>
      </c>
      <c r="AO759" s="8">
        <v>1</v>
      </c>
      <c r="AR759" s="27" t="s">
        <v>1704</v>
      </c>
      <c r="AS759" s="21">
        <v>100</v>
      </c>
    </row>
    <row r="760" spans="2:45" x14ac:dyDescent="0.35">
      <c r="B760">
        <f t="shared" si="35"/>
        <v>753</v>
      </c>
      <c r="C760" t="s">
        <v>2688</v>
      </c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>
        <v>845.09804001425687</v>
      </c>
      <c r="Z760" s="8">
        <v>845.09804001425687</v>
      </c>
      <c r="AA760" s="8"/>
      <c r="AB760" s="8"/>
      <c r="AI760">
        <f t="shared" si="36"/>
        <v>753</v>
      </c>
      <c r="AJ760" t="s">
        <v>2615</v>
      </c>
      <c r="AK760" s="8">
        <v>845.09804001425687</v>
      </c>
      <c r="AM760">
        <f t="shared" si="37"/>
        <v>753</v>
      </c>
      <c r="AN760" s="27" t="s">
        <v>1640</v>
      </c>
      <c r="AO760" s="8">
        <v>1</v>
      </c>
      <c r="AR760" s="27" t="s">
        <v>1094</v>
      </c>
      <c r="AS760" s="21">
        <v>100</v>
      </c>
    </row>
    <row r="761" spans="2:45" x14ac:dyDescent="0.35">
      <c r="B761">
        <f t="shared" si="35"/>
        <v>754</v>
      </c>
      <c r="C761" t="s">
        <v>2615</v>
      </c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>
        <v>845.09804001425687</v>
      </c>
      <c r="Y761" s="8"/>
      <c r="Z761" s="8">
        <v>845.09804001425687</v>
      </c>
      <c r="AA761" s="8"/>
      <c r="AB761" s="8"/>
      <c r="AI761">
        <f t="shared" si="36"/>
        <v>754</v>
      </c>
      <c r="AJ761" t="s">
        <v>2688</v>
      </c>
      <c r="AK761" s="8">
        <v>845.09804001425687</v>
      </c>
      <c r="AM761">
        <f t="shared" si="37"/>
        <v>754</v>
      </c>
      <c r="AN761" s="27" t="s">
        <v>881</v>
      </c>
      <c r="AO761" s="8">
        <v>1</v>
      </c>
      <c r="AR761" s="27" t="s">
        <v>1679</v>
      </c>
      <c r="AS761" s="21">
        <v>94</v>
      </c>
    </row>
    <row r="762" spans="2:45" x14ac:dyDescent="0.35">
      <c r="B762">
        <f t="shared" si="35"/>
        <v>755</v>
      </c>
      <c r="C762" s="27" t="s">
        <v>579</v>
      </c>
      <c r="D762" s="8"/>
      <c r="E762" s="8"/>
      <c r="F762" s="8"/>
      <c r="G762" s="8"/>
      <c r="H762" s="8"/>
      <c r="I762" s="8"/>
      <c r="J762" s="8"/>
      <c r="K762" s="8">
        <v>841.2029961307328</v>
      </c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>
        <v>841.2029961307328</v>
      </c>
      <c r="AA762" s="8"/>
      <c r="AB762" s="8"/>
      <c r="AI762">
        <f t="shared" si="36"/>
        <v>755</v>
      </c>
      <c r="AJ762" s="27" t="s">
        <v>579</v>
      </c>
      <c r="AK762" s="8">
        <v>841.2029961307328</v>
      </c>
      <c r="AM762">
        <f t="shared" si="37"/>
        <v>755</v>
      </c>
      <c r="AN762" s="27" t="s">
        <v>877</v>
      </c>
      <c r="AO762" s="8">
        <v>1</v>
      </c>
      <c r="AR762" s="27" t="s">
        <v>994</v>
      </c>
      <c r="AS762" s="21">
        <v>76</v>
      </c>
    </row>
    <row r="763" spans="2:45" x14ac:dyDescent="0.35">
      <c r="B763">
        <f t="shared" si="35"/>
        <v>756</v>
      </c>
      <c r="C763" s="27" t="s">
        <v>1499</v>
      </c>
      <c r="D763" s="8"/>
      <c r="E763" s="8">
        <v>829.30377283102507</v>
      </c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>
        <v>829.30377283102507</v>
      </c>
      <c r="AA763" s="8"/>
      <c r="AB763" s="8"/>
      <c r="AI763">
        <f t="shared" si="36"/>
        <v>756</v>
      </c>
      <c r="AJ763" t="s">
        <v>2697</v>
      </c>
      <c r="AK763" s="8">
        <v>829.30377283102507</v>
      </c>
      <c r="AM763">
        <f t="shared" si="37"/>
        <v>756</v>
      </c>
      <c r="AN763" s="27" t="s">
        <v>990</v>
      </c>
      <c r="AO763" s="8">
        <v>1</v>
      </c>
      <c r="AR763" s="27" t="s">
        <v>992</v>
      </c>
      <c r="AS763" s="21">
        <v>76</v>
      </c>
    </row>
    <row r="764" spans="2:45" x14ac:dyDescent="0.35">
      <c r="B764">
        <f t="shared" si="35"/>
        <v>757</v>
      </c>
      <c r="C764" t="s">
        <v>2697</v>
      </c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>
        <v>829.30377283102507</v>
      </c>
      <c r="Z764" s="8">
        <v>829.30377283102507</v>
      </c>
      <c r="AA764" s="8"/>
      <c r="AB764" s="8"/>
      <c r="AI764">
        <f t="shared" si="36"/>
        <v>757</v>
      </c>
      <c r="AJ764" s="27" t="s">
        <v>1499</v>
      </c>
      <c r="AK764" s="8">
        <v>829.30377283102507</v>
      </c>
      <c r="AM764">
        <f t="shared" si="37"/>
        <v>757</v>
      </c>
      <c r="AN764" s="27" t="s">
        <v>1469</v>
      </c>
      <c r="AO764" s="8">
        <v>1</v>
      </c>
      <c r="AR764" s="27" t="s">
        <v>1609</v>
      </c>
      <c r="AS764" s="21">
        <v>75</v>
      </c>
    </row>
    <row r="765" spans="2:45" x14ac:dyDescent="0.35">
      <c r="B765">
        <f t="shared" si="35"/>
        <v>758</v>
      </c>
      <c r="C765" s="27" t="s">
        <v>1351</v>
      </c>
      <c r="D765" s="8">
        <v>804.98081680627433</v>
      </c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>
        <v>804.98081680627433</v>
      </c>
      <c r="AA765" s="8"/>
      <c r="AB765" s="8"/>
      <c r="AI765">
        <f t="shared" si="36"/>
        <v>758</v>
      </c>
      <c r="AJ765" s="27" t="s">
        <v>1351</v>
      </c>
      <c r="AK765" s="8">
        <v>804.98081680627433</v>
      </c>
      <c r="AM765">
        <f t="shared" si="37"/>
        <v>758</v>
      </c>
      <c r="AN765" s="27" t="s">
        <v>1135</v>
      </c>
      <c r="AO765" s="8">
        <v>1</v>
      </c>
      <c r="AR765" s="27" t="s">
        <v>1608</v>
      </c>
      <c r="AS765" s="21">
        <v>75</v>
      </c>
    </row>
    <row r="766" spans="2:45" x14ac:dyDescent="0.35">
      <c r="B766">
        <f t="shared" si="35"/>
        <v>759</v>
      </c>
      <c r="C766" t="s">
        <v>2468</v>
      </c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>
        <v>804.48018910599274</v>
      </c>
      <c r="U766" s="8"/>
      <c r="V766" s="8"/>
      <c r="W766" s="8"/>
      <c r="X766" s="8"/>
      <c r="Y766" s="8"/>
      <c r="Z766" s="8">
        <v>804.48018910599274</v>
      </c>
      <c r="AA766" s="8"/>
      <c r="AB766" s="8"/>
      <c r="AI766">
        <f t="shared" si="36"/>
        <v>759</v>
      </c>
      <c r="AJ766" t="s">
        <v>2468</v>
      </c>
      <c r="AK766" s="8">
        <v>804.48018910599274</v>
      </c>
      <c r="AM766">
        <f t="shared" si="37"/>
        <v>759</v>
      </c>
      <c r="AN766" s="27" t="s">
        <v>1647</v>
      </c>
      <c r="AO766" s="8">
        <v>1</v>
      </c>
      <c r="AR766" s="27" t="s">
        <v>1684</v>
      </c>
      <c r="AS766" s="21">
        <v>75</v>
      </c>
    </row>
    <row r="767" spans="2:45" x14ac:dyDescent="0.35">
      <c r="B767">
        <f t="shared" si="35"/>
        <v>760</v>
      </c>
      <c r="C767" s="27" t="s">
        <v>747</v>
      </c>
      <c r="D767" s="8"/>
      <c r="E767" s="8"/>
      <c r="F767" s="8"/>
      <c r="G767" s="8"/>
      <c r="H767" s="8"/>
      <c r="I767" s="8">
        <v>789.14663468510673</v>
      </c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>
        <v>789.14663468510673</v>
      </c>
      <c r="AA767" s="8"/>
      <c r="AB767" s="8"/>
      <c r="AI767">
        <f t="shared" si="36"/>
        <v>760</v>
      </c>
      <c r="AJ767" s="27" t="s">
        <v>747</v>
      </c>
      <c r="AK767" s="8">
        <v>789.14663468510673</v>
      </c>
      <c r="AM767">
        <f t="shared" si="37"/>
        <v>760</v>
      </c>
      <c r="AN767" s="27" t="s">
        <v>1632</v>
      </c>
      <c r="AO767" s="8">
        <v>1</v>
      </c>
      <c r="AR767" s="27" t="s">
        <v>1611</v>
      </c>
      <c r="AS767" s="21">
        <v>75</v>
      </c>
    </row>
    <row r="768" spans="2:45" x14ac:dyDescent="0.35">
      <c r="B768">
        <f t="shared" si="35"/>
        <v>761</v>
      </c>
      <c r="C768" s="27" t="s">
        <v>1310</v>
      </c>
      <c r="D768" s="8">
        <v>782.40907352618501</v>
      </c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>
        <v>782.40907352618501</v>
      </c>
      <c r="AA768" s="8"/>
      <c r="AB768" s="8"/>
      <c r="AI768">
        <f t="shared" si="36"/>
        <v>761</v>
      </c>
      <c r="AJ768" s="27" t="s">
        <v>1310</v>
      </c>
      <c r="AK768" s="8">
        <v>782.40907352618501</v>
      </c>
      <c r="AM768">
        <f t="shared" si="37"/>
        <v>761</v>
      </c>
      <c r="AN768" s="27" t="s">
        <v>1419</v>
      </c>
      <c r="AO768" s="8">
        <v>1</v>
      </c>
      <c r="AR768" s="27" t="s">
        <v>1610</v>
      </c>
      <c r="AS768" s="21">
        <v>75</v>
      </c>
    </row>
    <row r="769" spans="2:45" x14ac:dyDescent="0.35">
      <c r="B769">
        <f t="shared" si="35"/>
        <v>762</v>
      </c>
      <c r="C769" t="s">
        <v>2392</v>
      </c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>
        <v>778.15125038364374</v>
      </c>
      <c r="T769" s="8"/>
      <c r="U769" s="8"/>
      <c r="V769" s="8"/>
      <c r="W769" s="8"/>
      <c r="X769" s="8"/>
      <c r="Y769" s="8"/>
      <c r="Z769" s="8">
        <v>778.15125038364374</v>
      </c>
      <c r="AA769" s="8"/>
      <c r="AB769" s="8"/>
      <c r="AI769">
        <f t="shared" si="36"/>
        <v>762</v>
      </c>
      <c r="AJ769" t="s">
        <v>2392</v>
      </c>
      <c r="AK769" s="8">
        <v>778.15125038364374</v>
      </c>
      <c r="AM769">
        <f t="shared" si="37"/>
        <v>762</v>
      </c>
      <c r="AN769" s="27" t="s">
        <v>736</v>
      </c>
      <c r="AO769" s="8">
        <v>1</v>
      </c>
      <c r="AR769" s="27" t="s">
        <v>1375</v>
      </c>
      <c r="AS769" s="21"/>
    </row>
    <row r="770" spans="2:45" x14ac:dyDescent="0.35">
      <c r="B770">
        <f t="shared" si="35"/>
        <v>763</v>
      </c>
      <c r="C770" t="s">
        <v>2544</v>
      </c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>
        <v>778.15125038364363</v>
      </c>
      <c r="W770" s="8"/>
      <c r="X770" s="8"/>
      <c r="Y770" s="8"/>
      <c r="Z770" s="8">
        <v>778.15125038364363</v>
      </c>
      <c r="AI770">
        <f t="shared" si="36"/>
        <v>763</v>
      </c>
      <c r="AJ770" t="s">
        <v>2544</v>
      </c>
      <c r="AK770" s="8">
        <v>778.15125038364363</v>
      </c>
      <c r="AM770">
        <f t="shared" si="37"/>
        <v>763</v>
      </c>
      <c r="AN770" s="27" t="s">
        <v>1595</v>
      </c>
      <c r="AO770" s="8">
        <v>1</v>
      </c>
      <c r="AR770" t="s">
        <v>2352</v>
      </c>
      <c r="AS770" s="21">
        <v>0</v>
      </c>
    </row>
    <row r="771" spans="2:45" x14ac:dyDescent="0.35">
      <c r="B771">
        <f t="shared" si="35"/>
        <v>764</v>
      </c>
      <c r="C771" s="27" t="s">
        <v>1485</v>
      </c>
      <c r="D771" s="8"/>
      <c r="E771" s="8">
        <v>778.15125038364363</v>
      </c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>
        <v>778.15125038364363</v>
      </c>
      <c r="AI771">
        <f t="shared" si="36"/>
        <v>764</v>
      </c>
      <c r="AJ771" s="27" t="s">
        <v>1485</v>
      </c>
      <c r="AK771" s="8">
        <v>778.15125038364363</v>
      </c>
      <c r="AM771">
        <f t="shared" si="37"/>
        <v>764</v>
      </c>
      <c r="AN771" s="27" t="s">
        <v>1401</v>
      </c>
      <c r="AO771" s="8">
        <v>1</v>
      </c>
      <c r="AR771" s="27" t="s">
        <v>1422</v>
      </c>
      <c r="AS771" s="21"/>
    </row>
    <row r="772" spans="2:45" x14ac:dyDescent="0.35">
      <c r="B772">
        <f t="shared" si="35"/>
        <v>765</v>
      </c>
      <c r="C772" s="27" t="s">
        <v>1678</v>
      </c>
      <c r="D772" s="8"/>
      <c r="E772" s="8">
        <v>778.15125038364363</v>
      </c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>
        <v>778.15125038364363</v>
      </c>
      <c r="AI772">
        <f t="shared" si="36"/>
        <v>765</v>
      </c>
      <c r="AJ772" s="27" t="s">
        <v>1678</v>
      </c>
      <c r="AK772" s="8">
        <v>778.15125038364363</v>
      </c>
      <c r="AM772">
        <f t="shared" si="37"/>
        <v>765</v>
      </c>
      <c r="AN772" s="27" t="s">
        <v>1678</v>
      </c>
      <c r="AO772" s="8">
        <v>1</v>
      </c>
      <c r="AR772" s="27" t="s">
        <v>1703</v>
      </c>
      <c r="AS772" s="21"/>
    </row>
    <row r="773" spans="2:45" x14ac:dyDescent="0.35">
      <c r="B773">
        <f t="shared" si="35"/>
        <v>766</v>
      </c>
      <c r="C773" t="s">
        <v>2590</v>
      </c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>
        <v>778.15125038364351</v>
      </c>
      <c r="X773" s="8"/>
      <c r="Y773" s="8"/>
      <c r="Z773" s="8">
        <v>778.15125038364351</v>
      </c>
      <c r="AI773">
        <f t="shared" si="36"/>
        <v>766</v>
      </c>
      <c r="AJ773" t="s">
        <v>2590</v>
      </c>
      <c r="AK773" s="8">
        <v>778.15125038364351</v>
      </c>
      <c r="AM773">
        <f t="shared" si="37"/>
        <v>766</v>
      </c>
      <c r="AN773" s="27" t="s">
        <v>1680</v>
      </c>
      <c r="AO773" s="8">
        <v>1</v>
      </c>
      <c r="AR773" s="27" t="s">
        <v>1414</v>
      </c>
      <c r="AS773" s="21"/>
    </row>
    <row r="774" spans="2:45" x14ac:dyDescent="0.35">
      <c r="B774">
        <f t="shared" si="35"/>
        <v>767</v>
      </c>
      <c r="C774" s="27" t="s">
        <v>881</v>
      </c>
      <c r="D774" s="8"/>
      <c r="E774" s="8"/>
      <c r="F774" s="8"/>
      <c r="G774" s="8"/>
      <c r="H774" s="8">
        <v>770.85201164214425</v>
      </c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>
        <v>770.85201164214425</v>
      </c>
      <c r="AI774">
        <f t="shared" si="36"/>
        <v>767</v>
      </c>
      <c r="AJ774" s="27" t="s">
        <v>881</v>
      </c>
      <c r="AK774" s="8">
        <v>770.85201164214425</v>
      </c>
      <c r="AM774">
        <f t="shared" si="37"/>
        <v>767</v>
      </c>
      <c r="AN774" s="27" t="s">
        <v>1480</v>
      </c>
      <c r="AO774" s="8">
        <v>1</v>
      </c>
      <c r="AR774" s="27" t="s">
        <v>1582</v>
      </c>
      <c r="AS774" s="21"/>
    </row>
    <row r="775" spans="2:45" x14ac:dyDescent="0.35">
      <c r="B775">
        <f t="shared" si="35"/>
        <v>768</v>
      </c>
      <c r="C775" s="27" t="s">
        <v>1679</v>
      </c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>
        <v>767.68581670547871</v>
      </c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>
        <v>767.68581670547871</v>
      </c>
      <c r="AI775">
        <f t="shared" si="36"/>
        <v>768</v>
      </c>
      <c r="AJ775" s="27" t="s">
        <v>1679</v>
      </c>
      <c r="AK775" s="8">
        <v>767.68581670547871</v>
      </c>
      <c r="AM775">
        <f t="shared" si="37"/>
        <v>768</v>
      </c>
      <c r="AN775" s="27" t="s">
        <v>669</v>
      </c>
      <c r="AO775" s="8">
        <v>1</v>
      </c>
      <c r="AR775" s="27" t="s">
        <v>1353</v>
      </c>
      <c r="AS775" s="21"/>
    </row>
    <row r="776" spans="2:45" x14ac:dyDescent="0.35">
      <c r="B776">
        <f t="shared" si="35"/>
        <v>769</v>
      </c>
      <c r="C776" s="27" t="s">
        <v>1307</v>
      </c>
      <c r="D776" s="8">
        <v>767.6858167054786</v>
      </c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>
        <v>767.6858167054786</v>
      </c>
      <c r="AI776">
        <f t="shared" si="36"/>
        <v>769</v>
      </c>
      <c r="AJ776" s="27" t="s">
        <v>1307</v>
      </c>
      <c r="AK776" s="8">
        <v>767.6858167054786</v>
      </c>
      <c r="AM776">
        <f t="shared" si="37"/>
        <v>769</v>
      </c>
      <c r="AN776" s="27" t="s">
        <v>193</v>
      </c>
      <c r="AO776" s="8">
        <v>1</v>
      </c>
      <c r="AR776" s="27" t="s">
        <v>1272</v>
      </c>
      <c r="AS776" s="21"/>
    </row>
    <row r="777" spans="2:45" x14ac:dyDescent="0.35">
      <c r="B777">
        <f t="shared" si="35"/>
        <v>770</v>
      </c>
      <c r="C777" s="27" t="s">
        <v>1680</v>
      </c>
      <c r="D777" s="8"/>
      <c r="E777" s="8"/>
      <c r="F777" s="8">
        <v>763.42799356293722</v>
      </c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>
        <v>763.42799356293722</v>
      </c>
      <c r="AI777">
        <f t="shared" si="36"/>
        <v>770</v>
      </c>
      <c r="AJ777" s="27" t="s">
        <v>1680</v>
      </c>
      <c r="AK777" s="8">
        <v>763.42799356293722</v>
      </c>
      <c r="AM777">
        <f t="shared" si="37"/>
        <v>770</v>
      </c>
      <c r="AN777" s="27" t="s">
        <v>1704</v>
      </c>
      <c r="AO777" s="8">
        <v>1</v>
      </c>
      <c r="AR777" s="27" t="s">
        <v>1258</v>
      </c>
      <c r="AS777" s="21"/>
    </row>
    <row r="778" spans="2:45" x14ac:dyDescent="0.35">
      <c r="B778">
        <f t="shared" ref="B778:B841" si="38">B777+1</f>
        <v>771</v>
      </c>
      <c r="C778" t="s">
        <v>2674</v>
      </c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>
        <v>753.32766665861152</v>
      </c>
      <c r="Z778" s="8">
        <v>753.32766665861152</v>
      </c>
      <c r="AI778">
        <f t="shared" ref="AI778:AI840" si="39">AI777+1</f>
        <v>771</v>
      </c>
      <c r="AJ778" t="s">
        <v>2674</v>
      </c>
      <c r="AK778" s="8">
        <v>753.32766665861152</v>
      </c>
      <c r="AM778">
        <f t="shared" ref="AM778:AM840" si="40">AM777+1</f>
        <v>771</v>
      </c>
      <c r="AN778" s="27" t="s">
        <v>1685</v>
      </c>
      <c r="AO778" s="8">
        <v>1</v>
      </c>
      <c r="AR778" s="27" t="s">
        <v>1304</v>
      </c>
      <c r="AS778" s="21"/>
    </row>
    <row r="779" spans="2:45" x14ac:dyDescent="0.35">
      <c r="B779">
        <f t="shared" si="38"/>
        <v>772</v>
      </c>
      <c r="C779" s="27" t="s">
        <v>1163</v>
      </c>
      <c r="D779" s="8"/>
      <c r="E779" s="8"/>
      <c r="F779" s="8">
        <v>753.32766665861152</v>
      </c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>
        <v>753.32766665861152</v>
      </c>
      <c r="AI779">
        <f t="shared" si="39"/>
        <v>772</v>
      </c>
      <c r="AJ779" s="27" t="s">
        <v>1163</v>
      </c>
      <c r="AK779" s="8">
        <v>753.32766665861152</v>
      </c>
      <c r="AM779">
        <f t="shared" si="40"/>
        <v>772</v>
      </c>
      <c r="AN779" s="27" t="s">
        <v>647</v>
      </c>
      <c r="AO779" s="8">
        <v>1</v>
      </c>
      <c r="AR779" t="s">
        <v>2346</v>
      </c>
      <c r="AS779" s="21">
        <v>0</v>
      </c>
    </row>
    <row r="780" spans="2:45" x14ac:dyDescent="0.35">
      <c r="B780">
        <f t="shared" si="38"/>
        <v>773</v>
      </c>
      <c r="C780" s="27" t="s">
        <v>1369</v>
      </c>
      <c r="D780" s="8">
        <v>736.66484002016409</v>
      </c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>
        <v>736.66484002016409</v>
      </c>
      <c r="AI780">
        <f t="shared" si="39"/>
        <v>773</v>
      </c>
      <c r="AJ780" s="27" t="s">
        <v>1369</v>
      </c>
      <c r="AK780" s="8">
        <v>736.66484002016409</v>
      </c>
      <c r="AM780">
        <f t="shared" si="40"/>
        <v>773</v>
      </c>
      <c r="AN780" s="27" t="s">
        <v>849</v>
      </c>
      <c r="AO780" s="8">
        <v>1</v>
      </c>
      <c r="AR780" t="s">
        <v>2347</v>
      </c>
      <c r="AS780" s="21">
        <v>0</v>
      </c>
    </row>
    <row r="781" spans="2:45" x14ac:dyDescent="0.35">
      <c r="B781">
        <f t="shared" si="38"/>
        <v>774</v>
      </c>
      <c r="C781" s="27" t="s">
        <v>1356</v>
      </c>
      <c r="D781" s="8">
        <v>734.39974252056697</v>
      </c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>
        <v>734.39974252056697</v>
      </c>
      <c r="AI781">
        <f t="shared" si="39"/>
        <v>774</v>
      </c>
      <c r="AJ781" s="27" t="s">
        <v>1356</v>
      </c>
      <c r="AK781" s="8">
        <v>734.39974252056697</v>
      </c>
      <c r="AM781">
        <f t="shared" si="40"/>
        <v>774</v>
      </c>
      <c r="AN781" s="27" t="s">
        <v>1610</v>
      </c>
      <c r="AO781" s="8">
        <v>1</v>
      </c>
      <c r="AR781" s="27" t="s">
        <v>1383</v>
      </c>
      <c r="AS781" s="21"/>
    </row>
    <row r="782" spans="2:45" x14ac:dyDescent="0.35">
      <c r="B782">
        <f t="shared" si="38"/>
        <v>775</v>
      </c>
      <c r="C782" s="27" t="s">
        <v>1502</v>
      </c>
      <c r="D782" s="8"/>
      <c r="E782" s="8">
        <v>732.3937598229686</v>
      </c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>
        <v>732.3937598229686</v>
      </c>
      <c r="AI782">
        <f t="shared" si="39"/>
        <v>775</v>
      </c>
      <c r="AJ782" s="27" t="s">
        <v>1502</v>
      </c>
      <c r="AK782" s="8">
        <v>732.3937598229686</v>
      </c>
      <c r="AM782">
        <f t="shared" si="40"/>
        <v>775</v>
      </c>
      <c r="AN782" s="27" t="s">
        <v>1475</v>
      </c>
      <c r="AO782" s="8">
        <v>1</v>
      </c>
      <c r="AR782" t="s">
        <v>2348</v>
      </c>
      <c r="AS782" s="21">
        <v>0</v>
      </c>
    </row>
    <row r="783" spans="2:45" x14ac:dyDescent="0.35">
      <c r="B783">
        <f t="shared" si="38"/>
        <v>776</v>
      </c>
      <c r="C783" s="27" t="s">
        <v>1280</v>
      </c>
      <c r="D783" s="8">
        <v>728.02180139384132</v>
      </c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>
        <v>728.02180139384132</v>
      </c>
      <c r="AI783">
        <f t="shared" si="39"/>
        <v>776</v>
      </c>
      <c r="AJ783" s="27" t="s">
        <v>1280</v>
      </c>
      <c r="AK783" s="8">
        <v>728.02180139384132</v>
      </c>
      <c r="AM783">
        <f t="shared" si="40"/>
        <v>776</v>
      </c>
      <c r="AN783" s="27" t="s">
        <v>1567</v>
      </c>
      <c r="AO783" s="8">
        <v>1</v>
      </c>
      <c r="AR783" s="27" t="s">
        <v>1710</v>
      </c>
      <c r="AS783" s="21"/>
    </row>
    <row r="784" spans="2:45" x14ac:dyDescent="0.35">
      <c r="B784">
        <f t="shared" si="38"/>
        <v>777</v>
      </c>
      <c r="C784" s="27" t="s">
        <v>1681</v>
      </c>
      <c r="D784" s="8"/>
      <c r="E784" s="8">
        <v>726.9987279362623</v>
      </c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>
        <v>726.9987279362623</v>
      </c>
      <c r="AI784">
        <f t="shared" si="39"/>
        <v>777</v>
      </c>
      <c r="AJ784" s="27" t="s">
        <v>1681</v>
      </c>
      <c r="AK784" s="8">
        <v>726.9987279362623</v>
      </c>
      <c r="AM784">
        <f t="shared" si="40"/>
        <v>777</v>
      </c>
      <c r="AN784" s="27" t="s">
        <v>572</v>
      </c>
      <c r="AO784" s="8">
        <v>1</v>
      </c>
      <c r="AR784" s="27" t="s">
        <v>1588</v>
      </c>
      <c r="AS784" s="21"/>
    </row>
    <row r="785" spans="2:45" x14ac:dyDescent="0.35">
      <c r="B785">
        <f t="shared" si="38"/>
        <v>778</v>
      </c>
      <c r="C785" s="27" t="s">
        <v>1609</v>
      </c>
      <c r="D785" s="8"/>
      <c r="E785" s="8"/>
      <c r="F785" s="8"/>
      <c r="G785" s="8">
        <v>714.0337507718948</v>
      </c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>
        <v>714.0337507718948</v>
      </c>
      <c r="AI785">
        <f t="shared" si="39"/>
        <v>778</v>
      </c>
      <c r="AJ785" s="27" t="s">
        <v>1609</v>
      </c>
      <c r="AK785" s="8">
        <v>714.0337507718948</v>
      </c>
      <c r="AM785">
        <f t="shared" si="40"/>
        <v>778</v>
      </c>
      <c r="AN785" s="27" t="s">
        <v>728</v>
      </c>
      <c r="AO785" s="8">
        <v>1</v>
      </c>
      <c r="AR785" t="s">
        <v>2520</v>
      </c>
      <c r="AS785" s="21"/>
    </row>
    <row r="786" spans="2:45" x14ac:dyDescent="0.35">
      <c r="B786">
        <f t="shared" si="38"/>
        <v>779</v>
      </c>
      <c r="C786" s="27" t="s">
        <v>1608</v>
      </c>
      <c r="D786" s="8"/>
      <c r="E786" s="8"/>
      <c r="F786" s="8"/>
      <c r="G786" s="8">
        <v>714.0337507718948</v>
      </c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>
        <v>714.0337507718948</v>
      </c>
      <c r="AI786">
        <f t="shared" si="39"/>
        <v>779</v>
      </c>
      <c r="AJ786" s="27" t="s">
        <v>1608</v>
      </c>
      <c r="AK786" s="8">
        <v>714.0337507718948</v>
      </c>
      <c r="AM786">
        <f t="shared" si="40"/>
        <v>779</v>
      </c>
      <c r="AN786" s="27" t="s">
        <v>1696</v>
      </c>
      <c r="AO786" s="8">
        <v>1</v>
      </c>
      <c r="AR786" s="27" t="s">
        <v>1307</v>
      </c>
      <c r="AS786" s="21"/>
    </row>
    <row r="787" spans="2:45" x14ac:dyDescent="0.35">
      <c r="B787">
        <f t="shared" si="38"/>
        <v>780</v>
      </c>
      <c r="C787" s="27" t="s">
        <v>1610</v>
      </c>
      <c r="D787" s="8"/>
      <c r="E787" s="8"/>
      <c r="F787" s="8"/>
      <c r="G787" s="8">
        <v>714.0337507718948</v>
      </c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>
        <v>714.0337507718948</v>
      </c>
      <c r="AI787">
        <f t="shared" si="39"/>
        <v>780</v>
      </c>
      <c r="AJ787" s="27" t="s">
        <v>1610</v>
      </c>
      <c r="AK787" s="8">
        <v>714.0337507718948</v>
      </c>
      <c r="AM787">
        <f t="shared" si="40"/>
        <v>780</v>
      </c>
      <c r="AN787" s="27" t="s">
        <v>1426</v>
      </c>
      <c r="AO787" s="8">
        <v>1</v>
      </c>
      <c r="AR787" s="27" t="s">
        <v>1707</v>
      </c>
      <c r="AS787" s="21"/>
    </row>
    <row r="788" spans="2:45" x14ac:dyDescent="0.35">
      <c r="B788">
        <f t="shared" si="38"/>
        <v>781</v>
      </c>
      <c r="C788" s="27" t="s">
        <v>1611</v>
      </c>
      <c r="D788" s="8"/>
      <c r="E788" s="8"/>
      <c r="F788" s="8"/>
      <c r="G788" s="8">
        <v>714.0337507718948</v>
      </c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>
        <v>714.0337507718948</v>
      </c>
      <c r="AI788">
        <f t="shared" si="39"/>
        <v>781</v>
      </c>
      <c r="AJ788" s="27" t="s">
        <v>1611</v>
      </c>
      <c r="AK788" s="8">
        <v>714.0337507718948</v>
      </c>
      <c r="AM788">
        <f t="shared" si="40"/>
        <v>781</v>
      </c>
      <c r="AN788" s="27" t="s">
        <v>1470</v>
      </c>
      <c r="AO788" s="8">
        <v>1</v>
      </c>
      <c r="AR788" t="s">
        <v>2272</v>
      </c>
      <c r="AS788" s="21"/>
    </row>
    <row r="789" spans="2:45" x14ac:dyDescent="0.35">
      <c r="B789">
        <f t="shared" si="38"/>
        <v>782</v>
      </c>
      <c r="C789" t="s">
        <v>2503</v>
      </c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>
        <v>713.21044345062899</v>
      </c>
      <c r="V789" s="8"/>
      <c r="W789" s="8"/>
      <c r="X789" s="8"/>
      <c r="Y789" s="8"/>
      <c r="Z789" s="8">
        <v>713.21044345062899</v>
      </c>
      <c r="AI789">
        <f t="shared" si="39"/>
        <v>782</v>
      </c>
      <c r="AJ789" t="s">
        <v>2503</v>
      </c>
      <c r="AK789" s="8">
        <v>713.21044345062899</v>
      </c>
      <c r="AM789">
        <f t="shared" si="40"/>
        <v>782</v>
      </c>
      <c r="AN789" s="27" t="s">
        <v>1117</v>
      </c>
      <c r="AO789" s="8">
        <v>1</v>
      </c>
      <c r="AR789" t="s">
        <v>2491</v>
      </c>
      <c r="AS789" s="21"/>
    </row>
    <row r="790" spans="2:45" x14ac:dyDescent="0.35">
      <c r="B790">
        <f t="shared" si="38"/>
        <v>783</v>
      </c>
      <c r="C790" s="27" t="s">
        <v>1682</v>
      </c>
      <c r="D790" s="8"/>
      <c r="E790" s="8"/>
      <c r="F790" s="8"/>
      <c r="G790" s="8"/>
      <c r="H790" s="8">
        <v>698.97000433601875</v>
      </c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>
        <v>698.97000433601875</v>
      </c>
      <c r="AI790">
        <f t="shared" si="39"/>
        <v>783</v>
      </c>
      <c r="AJ790" s="27" t="s">
        <v>1682</v>
      </c>
      <c r="AK790" s="8">
        <v>698.97000433601875</v>
      </c>
      <c r="AM790">
        <f t="shared" si="40"/>
        <v>783</v>
      </c>
      <c r="AN790" s="27" t="s">
        <v>1644</v>
      </c>
      <c r="AO790" s="8">
        <v>1</v>
      </c>
      <c r="AR790" s="27" t="s">
        <v>1398</v>
      </c>
      <c r="AS790" s="21"/>
    </row>
    <row r="791" spans="2:45" x14ac:dyDescent="0.35">
      <c r="B791">
        <f t="shared" si="38"/>
        <v>784</v>
      </c>
      <c r="C791" s="27" t="s">
        <v>639</v>
      </c>
      <c r="D791" s="8"/>
      <c r="E791" s="8"/>
      <c r="F791" s="8"/>
      <c r="G791" s="8"/>
      <c r="H791" s="8"/>
      <c r="I791" s="8"/>
      <c r="J791" s="8">
        <v>692.23662167705049</v>
      </c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>
        <v>692.23662167705049</v>
      </c>
      <c r="AI791">
        <f t="shared" si="39"/>
        <v>784</v>
      </c>
      <c r="AJ791" s="27" t="s">
        <v>639</v>
      </c>
      <c r="AK791" s="8">
        <v>692.23662167705049</v>
      </c>
      <c r="AM791">
        <f t="shared" si="40"/>
        <v>784</v>
      </c>
      <c r="AN791" s="27" t="s">
        <v>1043</v>
      </c>
      <c r="AO791" s="8">
        <v>1</v>
      </c>
      <c r="AR791" s="27" t="s">
        <v>1332</v>
      </c>
      <c r="AS791" s="21"/>
    </row>
    <row r="792" spans="2:45" x14ac:dyDescent="0.35">
      <c r="B792">
        <f t="shared" si="38"/>
        <v>785</v>
      </c>
      <c r="C792" s="27" t="s">
        <v>637</v>
      </c>
      <c r="D792" s="8"/>
      <c r="E792" s="8"/>
      <c r="F792" s="8"/>
      <c r="G792" s="8"/>
      <c r="H792" s="8"/>
      <c r="I792" s="8"/>
      <c r="J792" s="8">
        <v>692.23662167705049</v>
      </c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>
        <v>692.23662167705049</v>
      </c>
      <c r="AI792">
        <f t="shared" si="39"/>
        <v>785</v>
      </c>
      <c r="AJ792" s="27" t="s">
        <v>637</v>
      </c>
      <c r="AK792" s="8">
        <v>692.23662167705049</v>
      </c>
      <c r="AM792">
        <f t="shared" si="40"/>
        <v>785</v>
      </c>
      <c r="AN792" s="27" t="s">
        <v>980</v>
      </c>
      <c r="AO792" s="8">
        <v>1</v>
      </c>
      <c r="AR792" s="27" t="s">
        <v>1350</v>
      </c>
      <c r="AS792" s="21"/>
    </row>
    <row r="793" spans="2:45" x14ac:dyDescent="0.35">
      <c r="B793">
        <f t="shared" si="38"/>
        <v>786</v>
      </c>
      <c r="C793" s="27" t="s">
        <v>342</v>
      </c>
      <c r="D793" s="8"/>
      <c r="E793" s="8"/>
      <c r="F793" s="8"/>
      <c r="G793" s="8"/>
      <c r="H793" s="8"/>
      <c r="I793" s="8"/>
      <c r="J793" s="8"/>
      <c r="K793" s="8"/>
      <c r="L793" s="8"/>
      <c r="M793" s="8">
        <v>692.23662167705049</v>
      </c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>
        <v>692.23662167705049</v>
      </c>
      <c r="AI793">
        <f t="shared" si="39"/>
        <v>786</v>
      </c>
      <c r="AJ793" s="27" t="s">
        <v>342</v>
      </c>
      <c r="AK793" s="8">
        <v>692.23662167705049</v>
      </c>
      <c r="AM793">
        <f t="shared" si="40"/>
        <v>786</v>
      </c>
      <c r="AN793" s="27" t="s">
        <v>1672</v>
      </c>
      <c r="AO793" s="8">
        <v>1</v>
      </c>
      <c r="AR793" s="27" t="s">
        <v>1274</v>
      </c>
      <c r="AS793" s="21"/>
    </row>
    <row r="794" spans="2:45" x14ac:dyDescent="0.35">
      <c r="B794">
        <f t="shared" si="38"/>
        <v>787</v>
      </c>
      <c r="C794" t="s">
        <v>2626</v>
      </c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>
        <v>686.38087702799828</v>
      </c>
      <c r="Y794" s="8"/>
      <c r="Z794" s="8">
        <v>686.38087702799828</v>
      </c>
      <c r="AI794">
        <f t="shared" si="39"/>
        <v>787</v>
      </c>
      <c r="AJ794" t="s">
        <v>2626</v>
      </c>
      <c r="AK794" s="8">
        <v>686.38087702799828</v>
      </c>
      <c r="AM794">
        <f t="shared" si="40"/>
        <v>787</v>
      </c>
      <c r="AN794" s="27" t="s">
        <v>1481</v>
      </c>
      <c r="AO794" s="8">
        <v>1</v>
      </c>
      <c r="AR794" s="27" t="s">
        <v>1284</v>
      </c>
      <c r="AS794" s="21"/>
    </row>
    <row r="795" spans="2:45" x14ac:dyDescent="0.35">
      <c r="B795">
        <f t="shared" si="38"/>
        <v>788</v>
      </c>
      <c r="C795" s="27" t="s">
        <v>1165</v>
      </c>
      <c r="D795" s="8"/>
      <c r="E795" s="8"/>
      <c r="F795" s="8">
        <v>686.38087702799828</v>
      </c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>
        <v>686.38087702799828</v>
      </c>
      <c r="AI795">
        <f t="shared" si="39"/>
        <v>788</v>
      </c>
      <c r="AJ795" s="27" t="s">
        <v>1165</v>
      </c>
      <c r="AK795" s="8">
        <v>686.38087702799828</v>
      </c>
      <c r="AM795">
        <f t="shared" si="40"/>
        <v>788</v>
      </c>
      <c r="AN795" s="27" t="s">
        <v>840</v>
      </c>
      <c r="AO795" s="8">
        <v>1</v>
      </c>
      <c r="AR795" s="27" t="s">
        <v>1322</v>
      </c>
      <c r="AS795" s="21"/>
    </row>
    <row r="796" spans="2:45" x14ac:dyDescent="0.35">
      <c r="B796">
        <f t="shared" si="38"/>
        <v>789</v>
      </c>
      <c r="C796" t="s">
        <v>2677</v>
      </c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>
        <v>679.2259461402615</v>
      </c>
      <c r="Z796" s="8">
        <v>679.2259461402615</v>
      </c>
      <c r="AI796">
        <f t="shared" si="39"/>
        <v>789</v>
      </c>
      <c r="AJ796" t="s">
        <v>2677</v>
      </c>
      <c r="AK796" s="8">
        <v>679.2259461402615</v>
      </c>
      <c r="AM796">
        <f t="shared" si="40"/>
        <v>789</v>
      </c>
      <c r="AN796" s="27" t="s">
        <v>1282</v>
      </c>
      <c r="AO796" s="8">
        <v>1</v>
      </c>
      <c r="AR796" s="27" t="s">
        <v>1377</v>
      </c>
      <c r="AS796" s="21"/>
    </row>
    <row r="797" spans="2:45" x14ac:dyDescent="0.35">
      <c r="B797">
        <f t="shared" si="38"/>
        <v>790</v>
      </c>
      <c r="C797" s="27" t="s">
        <v>1683</v>
      </c>
      <c r="D797" s="8"/>
      <c r="E797" s="8"/>
      <c r="F797" s="8"/>
      <c r="G797" s="8"/>
      <c r="H797" s="8"/>
      <c r="I797" s="8"/>
      <c r="J797" s="8"/>
      <c r="K797" s="8"/>
      <c r="L797" s="8">
        <v>676.09125905568123</v>
      </c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>
        <v>676.09125905568123</v>
      </c>
      <c r="AI797">
        <f t="shared" si="39"/>
        <v>790</v>
      </c>
      <c r="AJ797" s="27" t="s">
        <v>1683</v>
      </c>
      <c r="AK797" s="8">
        <v>676.09125905568123</v>
      </c>
      <c r="AM797">
        <f t="shared" si="40"/>
        <v>790</v>
      </c>
      <c r="AN797" s="27" t="s">
        <v>1290</v>
      </c>
      <c r="AO797" s="8">
        <v>1</v>
      </c>
      <c r="AR797" s="27" t="s">
        <v>1709</v>
      </c>
      <c r="AS797" s="21"/>
    </row>
    <row r="798" spans="2:45" x14ac:dyDescent="0.35">
      <c r="B798">
        <f t="shared" si="38"/>
        <v>791</v>
      </c>
      <c r="C798" s="27" t="s">
        <v>1249</v>
      </c>
      <c r="D798" s="8">
        <v>675.78526965726996</v>
      </c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>
        <v>675.78526965726996</v>
      </c>
      <c r="AI798">
        <f t="shared" si="39"/>
        <v>791</v>
      </c>
      <c r="AJ798" s="27" t="s">
        <v>1249</v>
      </c>
      <c r="AK798" s="8">
        <v>675.78526965726996</v>
      </c>
      <c r="AM798">
        <f t="shared" si="40"/>
        <v>791</v>
      </c>
      <c r="AN798" s="27" t="s">
        <v>1664</v>
      </c>
      <c r="AO798" s="8">
        <v>1</v>
      </c>
      <c r="AR798" s="27" t="s">
        <v>1420</v>
      </c>
      <c r="AS798" s="21"/>
    </row>
    <row r="799" spans="2:45" x14ac:dyDescent="0.35">
      <c r="B799">
        <f t="shared" si="38"/>
        <v>792</v>
      </c>
      <c r="C799" s="27" t="s">
        <v>1684</v>
      </c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>
        <v>658.54134728041072</v>
      </c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>
        <v>658.54134728041072</v>
      </c>
      <c r="AI799">
        <f t="shared" si="39"/>
        <v>792</v>
      </c>
      <c r="AJ799" s="27" t="s">
        <v>1684</v>
      </c>
      <c r="AK799" s="8">
        <v>658.54134728041072</v>
      </c>
      <c r="AM799">
        <f t="shared" si="40"/>
        <v>792</v>
      </c>
      <c r="AN799" s="27" t="s">
        <v>1597</v>
      </c>
      <c r="AO799" s="8">
        <v>1</v>
      </c>
      <c r="AR799" s="27" t="s">
        <v>1321</v>
      </c>
      <c r="AS799" s="21"/>
    </row>
    <row r="800" spans="2:45" x14ac:dyDescent="0.35">
      <c r="B800">
        <f t="shared" si="38"/>
        <v>793</v>
      </c>
      <c r="C800" t="s">
        <v>2485</v>
      </c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>
        <v>653.21251377534361</v>
      </c>
      <c r="U800" s="8"/>
      <c r="V800" s="8"/>
      <c r="W800" s="8"/>
      <c r="X800" s="8"/>
      <c r="Y800" s="8"/>
      <c r="Z800" s="8">
        <v>653.21251377534361</v>
      </c>
      <c r="AI800">
        <f t="shared" si="39"/>
        <v>793</v>
      </c>
      <c r="AJ800" t="s">
        <v>2485</v>
      </c>
      <c r="AK800" s="8">
        <v>653.21251377534361</v>
      </c>
      <c r="AM800">
        <f t="shared" si="40"/>
        <v>793</v>
      </c>
      <c r="AN800" s="27" t="s">
        <v>182</v>
      </c>
      <c r="AO800" s="8">
        <v>1</v>
      </c>
      <c r="AR800" s="27" t="s">
        <v>1407</v>
      </c>
      <c r="AS800" s="21"/>
    </row>
    <row r="801" spans="2:45" x14ac:dyDescent="0.35">
      <c r="B801">
        <f t="shared" si="38"/>
        <v>794</v>
      </c>
      <c r="C801" s="27" t="s">
        <v>1685</v>
      </c>
      <c r="D801" s="8"/>
      <c r="E801" s="8"/>
      <c r="F801" s="8">
        <v>631.62071738729071</v>
      </c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>
        <v>631.62071738729071</v>
      </c>
      <c r="AI801">
        <f t="shared" si="39"/>
        <v>794</v>
      </c>
      <c r="AJ801" s="27" t="s">
        <v>1685</v>
      </c>
      <c r="AK801" s="8">
        <v>631.62071738729071</v>
      </c>
      <c r="AM801">
        <f t="shared" si="40"/>
        <v>794</v>
      </c>
      <c r="AN801" s="27" t="s">
        <v>1657</v>
      </c>
      <c r="AO801" s="8">
        <v>1</v>
      </c>
      <c r="AR801" s="27" t="s">
        <v>1314</v>
      </c>
      <c r="AS801" s="21"/>
    </row>
    <row r="802" spans="2:45" x14ac:dyDescent="0.35">
      <c r="B802">
        <f t="shared" si="38"/>
        <v>795</v>
      </c>
      <c r="C802" s="27" t="s">
        <v>1686</v>
      </c>
      <c r="D802" s="8">
        <v>158.06815492240878</v>
      </c>
      <c r="E802" s="8"/>
      <c r="F802" s="8"/>
      <c r="G802" s="8"/>
      <c r="H802" s="8"/>
      <c r="I802" s="8"/>
      <c r="J802" s="8"/>
      <c r="K802" s="8">
        <v>471.00402651115661</v>
      </c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>
        <v>629.07218143356545</v>
      </c>
      <c r="AI802">
        <f t="shared" si="39"/>
        <v>795</v>
      </c>
      <c r="AJ802" s="27" t="s">
        <v>1686</v>
      </c>
      <c r="AK802" s="8">
        <v>629.07218143356545</v>
      </c>
      <c r="AM802">
        <f t="shared" si="40"/>
        <v>795</v>
      </c>
      <c r="AN802" s="27" t="s">
        <v>1652</v>
      </c>
      <c r="AO802" s="8">
        <v>1</v>
      </c>
      <c r="AR802" s="27" t="s">
        <v>1362</v>
      </c>
      <c r="AS802" s="21"/>
    </row>
    <row r="803" spans="2:45" x14ac:dyDescent="0.35">
      <c r="B803">
        <f t="shared" si="38"/>
        <v>796</v>
      </c>
      <c r="C803" s="27" t="s">
        <v>1687</v>
      </c>
      <c r="D803" s="8"/>
      <c r="E803" s="8">
        <v>621.51902434314718</v>
      </c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>
        <v>621.51902434314718</v>
      </c>
      <c r="AI803">
        <f t="shared" si="39"/>
        <v>796</v>
      </c>
      <c r="AJ803" s="27" t="s">
        <v>1687</v>
      </c>
      <c r="AK803" s="8">
        <v>621.51902434314718</v>
      </c>
      <c r="AM803">
        <f t="shared" si="40"/>
        <v>796</v>
      </c>
      <c r="AN803" s="27" t="s">
        <v>1658</v>
      </c>
      <c r="AO803" s="8">
        <v>1</v>
      </c>
      <c r="AR803" s="27" t="s">
        <v>1424</v>
      </c>
      <c r="AS803" s="21"/>
    </row>
    <row r="804" spans="2:45" x14ac:dyDescent="0.35">
      <c r="B804">
        <f t="shared" si="38"/>
        <v>797</v>
      </c>
      <c r="C804" t="s">
        <v>2570</v>
      </c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>
        <v>602.05999132796239</v>
      </c>
      <c r="X804" s="8"/>
      <c r="Y804" s="8"/>
      <c r="Z804" s="8">
        <v>602.05999132796239</v>
      </c>
      <c r="AI804">
        <f t="shared" si="39"/>
        <v>797</v>
      </c>
      <c r="AJ804" t="s">
        <v>2570</v>
      </c>
      <c r="AK804" s="8">
        <v>602.05999132796239</v>
      </c>
      <c r="AM804">
        <f t="shared" si="40"/>
        <v>797</v>
      </c>
      <c r="AN804" s="27" t="s">
        <v>1659</v>
      </c>
      <c r="AO804" s="8">
        <v>1</v>
      </c>
      <c r="AR804" s="27" t="s">
        <v>1369</v>
      </c>
      <c r="AS804" s="21"/>
    </row>
    <row r="805" spans="2:45" x14ac:dyDescent="0.35">
      <c r="B805">
        <f t="shared" si="38"/>
        <v>798</v>
      </c>
      <c r="C805" s="27" t="s">
        <v>1366</v>
      </c>
      <c r="D805" s="8">
        <v>589.61936615231866</v>
      </c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>
        <v>589.61936615231866</v>
      </c>
      <c r="AI805">
        <f t="shared" si="39"/>
        <v>798</v>
      </c>
      <c r="AJ805" s="27" t="s">
        <v>1366</v>
      </c>
      <c r="AK805" s="8">
        <v>589.61936615231866</v>
      </c>
      <c r="AM805">
        <f t="shared" si="40"/>
        <v>798</v>
      </c>
      <c r="AN805" s="27" t="s">
        <v>1639</v>
      </c>
      <c r="AO805" s="8">
        <v>1</v>
      </c>
      <c r="AR805" s="27" t="s">
        <v>1689</v>
      </c>
      <c r="AS805" s="21"/>
    </row>
    <row r="806" spans="2:45" x14ac:dyDescent="0.35">
      <c r="B806">
        <f t="shared" si="38"/>
        <v>799</v>
      </c>
      <c r="C806" s="27" t="s">
        <v>1688</v>
      </c>
      <c r="D806" s="8">
        <v>587.33673450725598</v>
      </c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>
        <v>587.33673450725598</v>
      </c>
      <c r="AI806">
        <f t="shared" si="39"/>
        <v>799</v>
      </c>
      <c r="AJ806" s="27" t="s">
        <v>1688</v>
      </c>
      <c r="AK806" s="8">
        <v>587.33673450725598</v>
      </c>
      <c r="AM806">
        <f t="shared" si="40"/>
        <v>799</v>
      </c>
      <c r="AN806" s="27" t="s">
        <v>458</v>
      </c>
      <c r="AO806" s="8">
        <v>1</v>
      </c>
      <c r="AR806" s="27" t="s">
        <v>1403</v>
      </c>
      <c r="AS806" s="21"/>
    </row>
    <row r="807" spans="2:45" x14ac:dyDescent="0.35">
      <c r="B807">
        <f t="shared" si="38"/>
        <v>800</v>
      </c>
      <c r="C807" s="27" t="s">
        <v>1689</v>
      </c>
      <c r="D807" s="8">
        <v>583.57658563394921</v>
      </c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>
        <v>583.57658563394921</v>
      </c>
      <c r="AI807">
        <f t="shared" si="39"/>
        <v>800</v>
      </c>
      <c r="AJ807" s="27" t="s">
        <v>1689</v>
      </c>
      <c r="AK807" s="8">
        <v>583.57658563394921</v>
      </c>
      <c r="AM807">
        <f t="shared" si="40"/>
        <v>800</v>
      </c>
      <c r="AN807" s="27" t="s">
        <v>1629</v>
      </c>
      <c r="AO807" s="8">
        <v>1</v>
      </c>
      <c r="AR807" s="27" t="s">
        <v>1366</v>
      </c>
      <c r="AS807" s="21"/>
    </row>
    <row r="808" spans="2:45" x14ac:dyDescent="0.35">
      <c r="B808">
        <f t="shared" si="38"/>
        <v>801</v>
      </c>
      <c r="C808" t="s">
        <v>2684</v>
      </c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>
        <v>559.30801090701254</v>
      </c>
      <c r="Z808" s="8">
        <v>559.30801090701254</v>
      </c>
      <c r="AI808">
        <f t="shared" si="39"/>
        <v>801</v>
      </c>
      <c r="AJ808" t="s">
        <v>2684</v>
      </c>
      <c r="AK808" s="8">
        <v>559.30801090701254</v>
      </c>
      <c r="AM808">
        <f t="shared" si="40"/>
        <v>801</v>
      </c>
      <c r="AN808" s="27" t="s">
        <v>1645</v>
      </c>
      <c r="AO808" s="8">
        <v>1</v>
      </c>
      <c r="AR808" s="27" t="s">
        <v>1399</v>
      </c>
      <c r="AS808" s="21"/>
    </row>
    <row r="809" spans="2:45" x14ac:dyDescent="0.35">
      <c r="B809">
        <f t="shared" si="38"/>
        <v>802</v>
      </c>
      <c r="C809" s="27" t="s">
        <v>1386</v>
      </c>
      <c r="D809" s="8">
        <v>556.30250076728726</v>
      </c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>
        <v>556.30250076728726</v>
      </c>
      <c r="AI809">
        <f t="shared" si="39"/>
        <v>802</v>
      </c>
      <c r="AJ809" s="27" t="s">
        <v>1386</v>
      </c>
      <c r="AK809" s="8">
        <v>556.30250076728726</v>
      </c>
      <c r="AM809">
        <f t="shared" si="40"/>
        <v>802</v>
      </c>
      <c r="AN809" s="27" t="s">
        <v>1569</v>
      </c>
      <c r="AO809" s="8">
        <v>1</v>
      </c>
      <c r="AR809" s="27" t="s">
        <v>1708</v>
      </c>
      <c r="AS809" s="21"/>
    </row>
    <row r="810" spans="2:45" x14ac:dyDescent="0.35">
      <c r="B810">
        <f t="shared" si="38"/>
        <v>803</v>
      </c>
      <c r="C810" s="27" t="s">
        <v>1690</v>
      </c>
      <c r="D810" s="8"/>
      <c r="E810" s="8"/>
      <c r="F810" s="8"/>
      <c r="G810" s="8"/>
      <c r="H810" s="8">
        <v>548.45500650402812</v>
      </c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>
        <v>548.45500650402812</v>
      </c>
      <c r="AI810">
        <f t="shared" si="39"/>
        <v>803</v>
      </c>
      <c r="AJ810" s="27" t="s">
        <v>1690</v>
      </c>
      <c r="AK810" s="8">
        <v>548.45500650402812</v>
      </c>
      <c r="AM810">
        <f t="shared" si="40"/>
        <v>803</v>
      </c>
      <c r="AN810" s="27" t="s">
        <v>796</v>
      </c>
      <c r="AO810" s="8">
        <v>1</v>
      </c>
      <c r="AR810" s="27" t="s">
        <v>1381</v>
      </c>
      <c r="AS810" s="21"/>
    </row>
    <row r="811" spans="2:45" x14ac:dyDescent="0.35">
      <c r="B811">
        <f t="shared" si="38"/>
        <v>804</v>
      </c>
      <c r="C811" t="s">
        <v>2439</v>
      </c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>
        <v>539.59062302381233</v>
      </c>
      <c r="U811" s="8"/>
      <c r="V811" s="8"/>
      <c r="W811" s="8"/>
      <c r="X811" s="8"/>
      <c r="Y811" s="8"/>
      <c r="Z811" s="8">
        <v>539.59062302381233</v>
      </c>
      <c r="AI811">
        <f t="shared" si="39"/>
        <v>804</v>
      </c>
      <c r="AJ811" t="s">
        <v>2439</v>
      </c>
      <c r="AK811" s="8">
        <v>539.59062302381233</v>
      </c>
      <c r="AM811">
        <f t="shared" si="40"/>
        <v>804</v>
      </c>
      <c r="AN811" s="27" t="s">
        <v>1476</v>
      </c>
      <c r="AO811" s="8">
        <v>1</v>
      </c>
      <c r="AR811" s="27" t="s">
        <v>1268</v>
      </c>
      <c r="AS811" s="21"/>
    </row>
    <row r="812" spans="2:45" x14ac:dyDescent="0.35">
      <c r="B812">
        <f t="shared" si="38"/>
        <v>805</v>
      </c>
      <c r="C812" s="27" t="s">
        <v>1255</v>
      </c>
      <c r="D812" s="8">
        <v>523.02310110081339</v>
      </c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>
        <v>523.02310110081339</v>
      </c>
      <c r="AI812">
        <f t="shared" si="39"/>
        <v>805</v>
      </c>
      <c r="AJ812" s="27" t="s">
        <v>1255</v>
      </c>
      <c r="AK812" s="8">
        <v>523.02310110081339</v>
      </c>
      <c r="AM812">
        <f t="shared" si="40"/>
        <v>805</v>
      </c>
      <c r="AN812" s="27" t="s">
        <v>992</v>
      </c>
      <c r="AO812" s="8">
        <v>1</v>
      </c>
      <c r="AR812" s="27" t="s">
        <v>1356</v>
      </c>
      <c r="AS812" s="21"/>
    </row>
    <row r="813" spans="2:45" x14ac:dyDescent="0.35">
      <c r="B813">
        <f t="shared" si="38"/>
        <v>806</v>
      </c>
      <c r="C813" s="27" t="s">
        <v>1691</v>
      </c>
      <c r="D813" s="8"/>
      <c r="E813" s="8"/>
      <c r="F813" s="8">
        <v>508.15548845963121</v>
      </c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>
        <v>508.15548845963121</v>
      </c>
      <c r="AI813">
        <f t="shared" si="39"/>
        <v>806</v>
      </c>
      <c r="AJ813" s="27" t="s">
        <v>1691</v>
      </c>
      <c r="AK813" s="8">
        <v>508.15548845963121</v>
      </c>
      <c r="AM813">
        <f t="shared" si="40"/>
        <v>806</v>
      </c>
      <c r="AN813" s="27" t="s">
        <v>1697</v>
      </c>
      <c r="AO813" s="8">
        <v>1</v>
      </c>
      <c r="AR813" s="27" t="s">
        <v>1265</v>
      </c>
      <c r="AS813" s="21"/>
    </row>
    <row r="814" spans="2:45" x14ac:dyDescent="0.35">
      <c r="B814">
        <f t="shared" si="38"/>
        <v>807</v>
      </c>
      <c r="C814" s="27" t="s">
        <v>1295</v>
      </c>
      <c r="D814" s="8">
        <v>507.44958487094482</v>
      </c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>
        <v>507.44958487094482</v>
      </c>
      <c r="AI814">
        <f t="shared" si="39"/>
        <v>807</v>
      </c>
      <c r="AJ814" s="27" t="s">
        <v>1295</v>
      </c>
      <c r="AK814" s="8">
        <v>507.44958487094482</v>
      </c>
      <c r="AM814">
        <f t="shared" si="40"/>
        <v>807</v>
      </c>
      <c r="AN814" s="27" t="s">
        <v>546</v>
      </c>
      <c r="AO814" s="8">
        <v>1</v>
      </c>
      <c r="AR814" s="27" t="s">
        <v>1280</v>
      </c>
      <c r="AS814" s="21"/>
    </row>
    <row r="815" spans="2:45" x14ac:dyDescent="0.35">
      <c r="B815">
        <f t="shared" si="38"/>
        <v>808</v>
      </c>
      <c r="C815" s="27" t="s">
        <v>1272</v>
      </c>
      <c r="D815" s="8">
        <v>498.05516155530529</v>
      </c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>
        <v>498.05516155530529</v>
      </c>
      <c r="AI815">
        <f t="shared" si="39"/>
        <v>808</v>
      </c>
      <c r="AJ815" s="27" t="s">
        <v>1272</v>
      </c>
      <c r="AK815" s="8">
        <v>498.05516155530529</v>
      </c>
      <c r="AM815">
        <f t="shared" si="40"/>
        <v>808</v>
      </c>
      <c r="AN815" s="27" t="s">
        <v>635</v>
      </c>
      <c r="AO815" s="8">
        <v>1</v>
      </c>
      <c r="AR815" s="27" t="s">
        <v>1302</v>
      </c>
      <c r="AS815" s="21"/>
    </row>
    <row r="816" spans="2:45" x14ac:dyDescent="0.35">
      <c r="B816">
        <f t="shared" si="38"/>
        <v>809</v>
      </c>
      <c r="C816" s="27" t="s">
        <v>1692</v>
      </c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>
        <v>483.0708663695163</v>
      </c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>
        <v>483.0708663695163</v>
      </c>
      <c r="AI816">
        <f t="shared" si="39"/>
        <v>809</v>
      </c>
      <c r="AJ816" s="27" t="s">
        <v>1692</v>
      </c>
      <c r="AK816" s="8">
        <v>483.0708663695163</v>
      </c>
      <c r="AM816">
        <f t="shared" si="40"/>
        <v>809</v>
      </c>
      <c r="AN816" s="27" t="s">
        <v>1646</v>
      </c>
      <c r="AO816" s="8">
        <v>1</v>
      </c>
      <c r="AR816" s="27" t="s">
        <v>1260</v>
      </c>
      <c r="AS816" s="21"/>
    </row>
    <row r="817" spans="2:45" x14ac:dyDescent="0.35">
      <c r="B817">
        <f t="shared" si="38"/>
        <v>810</v>
      </c>
      <c r="C817" s="27" t="s">
        <v>1693</v>
      </c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>
        <v>483.0708663695163</v>
      </c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>
        <v>483.0708663695163</v>
      </c>
      <c r="AI817">
        <f t="shared" si="39"/>
        <v>810</v>
      </c>
      <c r="AJ817" s="27" t="s">
        <v>1693</v>
      </c>
      <c r="AK817" s="8">
        <v>483.0708663695163</v>
      </c>
      <c r="AM817">
        <f t="shared" si="40"/>
        <v>810</v>
      </c>
      <c r="AN817" s="27" t="s">
        <v>1688</v>
      </c>
      <c r="AO817" s="8">
        <v>1</v>
      </c>
      <c r="AR817" s="27" t="s">
        <v>1405</v>
      </c>
      <c r="AS817" s="21"/>
    </row>
    <row r="818" spans="2:45" x14ac:dyDescent="0.35">
      <c r="B818">
        <f t="shared" si="38"/>
        <v>811</v>
      </c>
      <c r="C818" s="27" t="s">
        <v>1694</v>
      </c>
      <c r="D818" s="8"/>
      <c r="E818" s="8"/>
      <c r="F818" s="8">
        <v>481.10571955530014</v>
      </c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>
        <v>481.10571955530014</v>
      </c>
      <c r="AI818">
        <f t="shared" si="39"/>
        <v>811</v>
      </c>
      <c r="AJ818" s="27" t="s">
        <v>1694</v>
      </c>
      <c r="AK818" s="8">
        <v>481.10571955530014</v>
      </c>
      <c r="AM818">
        <f t="shared" si="40"/>
        <v>811</v>
      </c>
      <c r="AN818" s="27" t="s">
        <v>747</v>
      </c>
      <c r="AO818" s="8">
        <v>1</v>
      </c>
      <c r="AR818" s="27" t="s">
        <v>1351</v>
      </c>
      <c r="AS818" s="21"/>
    </row>
    <row r="819" spans="2:45" x14ac:dyDescent="0.35">
      <c r="B819">
        <f t="shared" si="38"/>
        <v>812</v>
      </c>
      <c r="C819" s="27" t="s">
        <v>1695</v>
      </c>
      <c r="D819" s="8"/>
      <c r="E819" s="8"/>
      <c r="F819" s="8"/>
      <c r="G819" s="8"/>
      <c r="H819" s="8"/>
      <c r="I819" s="8"/>
      <c r="J819" s="8"/>
      <c r="K819" s="8">
        <v>471.00402651115661</v>
      </c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>
        <v>471.00402651115661</v>
      </c>
      <c r="AI819">
        <f t="shared" si="39"/>
        <v>812</v>
      </c>
      <c r="AJ819" s="27" t="s">
        <v>1695</v>
      </c>
      <c r="AK819" s="8">
        <v>471.00402651115661</v>
      </c>
      <c r="AM819">
        <f t="shared" si="40"/>
        <v>812</v>
      </c>
      <c r="AN819" s="27" t="s">
        <v>1477</v>
      </c>
      <c r="AO819" s="8">
        <v>1</v>
      </c>
      <c r="AR819" s="27" t="s">
        <v>1294</v>
      </c>
      <c r="AS819" s="21"/>
    </row>
    <row r="820" spans="2:45" x14ac:dyDescent="0.35">
      <c r="B820">
        <f t="shared" si="38"/>
        <v>813</v>
      </c>
      <c r="C820" s="27" t="s">
        <v>1388</v>
      </c>
      <c r="D820" s="8">
        <v>462.88081560505236</v>
      </c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>
        <v>462.88081560505236</v>
      </c>
      <c r="AI820">
        <f t="shared" si="39"/>
        <v>813</v>
      </c>
      <c r="AJ820" s="27" t="s">
        <v>1388</v>
      </c>
      <c r="AK820" s="8">
        <v>462.88081560505236</v>
      </c>
      <c r="AM820">
        <f t="shared" si="40"/>
        <v>813</v>
      </c>
      <c r="AN820" s="27" t="s">
        <v>1673</v>
      </c>
      <c r="AO820" s="8">
        <v>1</v>
      </c>
      <c r="AR820" s="27" t="s">
        <v>1388</v>
      </c>
      <c r="AS820" s="21"/>
    </row>
    <row r="821" spans="2:45" x14ac:dyDescent="0.35">
      <c r="B821">
        <f t="shared" si="38"/>
        <v>814</v>
      </c>
      <c r="C821" s="27" t="s">
        <v>1391</v>
      </c>
      <c r="D821" s="8">
        <v>449.09253111941894</v>
      </c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>
        <v>449.09253111941894</v>
      </c>
      <c r="AI821">
        <f t="shared" si="39"/>
        <v>814</v>
      </c>
      <c r="AJ821" s="27" t="s">
        <v>1391</v>
      </c>
      <c r="AK821" s="8">
        <v>449.09253111941894</v>
      </c>
      <c r="AM821">
        <f t="shared" si="40"/>
        <v>814</v>
      </c>
      <c r="AN821" s="27" t="s">
        <v>1041</v>
      </c>
      <c r="AO821" s="8">
        <v>1</v>
      </c>
      <c r="AR821" s="27" t="s">
        <v>1277</v>
      </c>
      <c r="AS821" s="21"/>
    </row>
    <row r="822" spans="2:45" x14ac:dyDescent="0.35">
      <c r="B822">
        <f t="shared" si="38"/>
        <v>815</v>
      </c>
      <c r="C822" s="27" t="s">
        <v>1696</v>
      </c>
      <c r="D822" s="8">
        <v>425.96873227228116</v>
      </c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>
        <v>425.96873227228116</v>
      </c>
      <c r="AI822">
        <f t="shared" si="39"/>
        <v>815</v>
      </c>
      <c r="AJ822" s="27" t="s">
        <v>1696</v>
      </c>
      <c r="AK822" s="8">
        <v>425.96873227228116</v>
      </c>
      <c r="AM822">
        <f t="shared" si="40"/>
        <v>815</v>
      </c>
      <c r="AN822" s="27" t="s">
        <v>1564</v>
      </c>
      <c r="AO822" s="8">
        <v>1</v>
      </c>
      <c r="AR822" s="27" t="s">
        <v>1255</v>
      </c>
      <c r="AS822" s="21"/>
    </row>
    <row r="823" spans="2:45" x14ac:dyDescent="0.35">
      <c r="B823">
        <f t="shared" si="38"/>
        <v>816</v>
      </c>
      <c r="C823" s="27" t="s">
        <v>1697</v>
      </c>
      <c r="D823" s="8"/>
      <c r="E823" s="8"/>
      <c r="F823" s="8"/>
      <c r="G823" s="8"/>
      <c r="H823" s="8"/>
      <c r="I823" s="8"/>
      <c r="J823" s="8"/>
      <c r="K823" s="8"/>
      <c r="L823" s="8"/>
      <c r="M823" s="8">
        <v>422.54902000712843</v>
      </c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>
        <v>422.54902000712843</v>
      </c>
      <c r="AI823">
        <f t="shared" si="39"/>
        <v>816</v>
      </c>
      <c r="AJ823" s="27" t="s">
        <v>1697</v>
      </c>
      <c r="AK823" s="8">
        <v>422.54902000712843</v>
      </c>
      <c r="AM823">
        <f t="shared" si="40"/>
        <v>816</v>
      </c>
      <c r="AN823" s="27" t="s">
        <v>503</v>
      </c>
      <c r="AO823" s="8">
        <v>1</v>
      </c>
      <c r="AR823" s="27" t="s">
        <v>1702</v>
      </c>
      <c r="AS823" s="21"/>
    </row>
    <row r="824" spans="2:45" x14ac:dyDescent="0.35">
      <c r="B824">
        <f t="shared" si="38"/>
        <v>817</v>
      </c>
      <c r="C824" s="27" t="s">
        <v>1698</v>
      </c>
      <c r="D824" s="8">
        <v>409.12417562455141</v>
      </c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>
        <v>409.12417562455141</v>
      </c>
      <c r="AI824">
        <f t="shared" si="39"/>
        <v>817</v>
      </c>
      <c r="AJ824" s="27" t="s">
        <v>1698</v>
      </c>
      <c r="AK824" s="8">
        <v>409.12417562455141</v>
      </c>
      <c r="AM824">
        <f t="shared" si="40"/>
        <v>817</v>
      </c>
      <c r="AN824" s="27" t="s">
        <v>1479</v>
      </c>
      <c r="AO824" s="8">
        <v>1</v>
      </c>
      <c r="AR824" s="27" t="s">
        <v>1292</v>
      </c>
      <c r="AS824" s="21"/>
    </row>
    <row r="825" spans="2:45" x14ac:dyDescent="0.35">
      <c r="B825">
        <f t="shared" si="38"/>
        <v>818</v>
      </c>
      <c r="C825" s="27" t="s">
        <v>1699</v>
      </c>
      <c r="D825" s="8"/>
      <c r="E825" s="8"/>
      <c r="F825" s="8"/>
      <c r="G825" s="8"/>
      <c r="H825" s="8"/>
      <c r="I825" s="8"/>
      <c r="J825" s="8"/>
      <c r="K825" s="8"/>
      <c r="L825" s="8">
        <v>404.05723688054348</v>
      </c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>
        <v>404.05723688054348</v>
      </c>
      <c r="AI825">
        <f t="shared" si="39"/>
        <v>818</v>
      </c>
      <c r="AJ825" s="27" t="s">
        <v>1699</v>
      </c>
      <c r="AK825" s="8">
        <v>404.05723688054348</v>
      </c>
      <c r="AM825">
        <f t="shared" si="40"/>
        <v>818</v>
      </c>
      <c r="AN825" s="27" t="s">
        <v>1416</v>
      </c>
      <c r="AO825" s="8">
        <v>1</v>
      </c>
      <c r="AR825" s="27" t="s">
        <v>1649</v>
      </c>
      <c r="AS825" s="21">
        <v>0</v>
      </c>
    </row>
    <row r="826" spans="2:45" x14ac:dyDescent="0.35">
      <c r="B826">
        <f t="shared" si="38"/>
        <v>819</v>
      </c>
      <c r="C826" s="27" t="s">
        <v>1700</v>
      </c>
      <c r="D826" s="8">
        <v>391.20662601306935</v>
      </c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>
        <v>391.20662601306935</v>
      </c>
      <c r="AI826">
        <f t="shared" si="39"/>
        <v>819</v>
      </c>
      <c r="AJ826" s="27" t="s">
        <v>1700</v>
      </c>
      <c r="AK826" s="8">
        <v>391.20662601306935</v>
      </c>
      <c r="AM826">
        <f t="shared" si="40"/>
        <v>819</v>
      </c>
      <c r="AN826" s="27" t="s">
        <v>617</v>
      </c>
      <c r="AO826" s="8">
        <v>1</v>
      </c>
      <c r="AR826" s="27" t="s">
        <v>1295</v>
      </c>
      <c r="AS826" s="21"/>
    </row>
    <row r="827" spans="2:45" x14ac:dyDescent="0.35">
      <c r="B827">
        <f t="shared" si="38"/>
        <v>820</v>
      </c>
      <c r="C827" s="27" t="s">
        <v>1702</v>
      </c>
      <c r="D827" s="8">
        <v>384.00423072874526</v>
      </c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>
        <v>384.00423072874526</v>
      </c>
      <c r="AI827">
        <f t="shared" si="39"/>
        <v>820</v>
      </c>
      <c r="AJ827" s="27" t="s">
        <v>1702</v>
      </c>
      <c r="AK827" s="8">
        <v>384.00423072874526</v>
      </c>
      <c r="AM827">
        <f t="shared" si="40"/>
        <v>820</v>
      </c>
      <c r="AN827" s="27" t="s">
        <v>1574</v>
      </c>
      <c r="AO827" s="8">
        <v>1</v>
      </c>
      <c r="AR827" s="27" t="s">
        <v>1698</v>
      </c>
      <c r="AS827" s="21"/>
    </row>
    <row r="828" spans="2:45" x14ac:dyDescent="0.35">
      <c r="B828">
        <f t="shared" si="38"/>
        <v>821</v>
      </c>
      <c r="C828" s="27" t="s">
        <v>1394</v>
      </c>
      <c r="D828" s="8">
        <v>374.45891282251489</v>
      </c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>
        <v>374.45891282251489</v>
      </c>
      <c r="AI828">
        <f t="shared" si="39"/>
        <v>821</v>
      </c>
      <c r="AJ828" s="27" t="s">
        <v>1394</v>
      </c>
      <c r="AK828" s="8">
        <v>374.45891282251489</v>
      </c>
      <c r="AM828">
        <f t="shared" si="40"/>
        <v>821</v>
      </c>
      <c r="AN828" s="27" t="s">
        <v>671</v>
      </c>
      <c r="AO828" s="8">
        <v>1</v>
      </c>
      <c r="AR828" s="27" t="s">
        <v>1386</v>
      </c>
      <c r="AS828" s="21"/>
    </row>
    <row r="829" spans="2:45" x14ac:dyDescent="0.35">
      <c r="B829">
        <f t="shared" si="38"/>
        <v>822</v>
      </c>
      <c r="C829" s="27" t="s">
        <v>1703</v>
      </c>
      <c r="D829" s="8">
        <v>367.97678529459432</v>
      </c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>
        <v>367.97678529459432</v>
      </c>
      <c r="AI829">
        <f t="shared" si="39"/>
        <v>822</v>
      </c>
      <c r="AJ829" s="27" t="s">
        <v>1703</v>
      </c>
      <c r="AK829" s="8">
        <v>367.97678529459432</v>
      </c>
      <c r="AM829">
        <f t="shared" si="40"/>
        <v>822</v>
      </c>
      <c r="AN829" s="27" t="s">
        <v>1592</v>
      </c>
      <c r="AO829" s="8">
        <v>1</v>
      </c>
      <c r="AR829" s="27" t="s">
        <v>1487</v>
      </c>
      <c r="AS829" s="21">
        <v>0</v>
      </c>
    </row>
    <row r="830" spans="2:45" x14ac:dyDescent="0.35">
      <c r="B830">
        <f t="shared" si="38"/>
        <v>823</v>
      </c>
      <c r="C830" s="27" t="s">
        <v>1274</v>
      </c>
      <c r="D830" s="8">
        <v>361.21720164729766</v>
      </c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>
        <v>361.21720164729766</v>
      </c>
      <c r="AI830">
        <f t="shared" si="39"/>
        <v>823</v>
      </c>
      <c r="AJ830" s="27" t="s">
        <v>1274</v>
      </c>
      <c r="AK830" s="8">
        <v>361.21720164729766</v>
      </c>
      <c r="AM830">
        <f t="shared" si="40"/>
        <v>823</v>
      </c>
      <c r="AN830" s="27" t="s">
        <v>1642</v>
      </c>
      <c r="AO830" s="8">
        <v>1</v>
      </c>
      <c r="AR830" s="27" t="s">
        <v>1287</v>
      </c>
      <c r="AS830" s="21"/>
    </row>
    <row r="831" spans="2:45" x14ac:dyDescent="0.35">
      <c r="B831">
        <f t="shared" si="38"/>
        <v>824</v>
      </c>
      <c r="C831" s="27" t="s">
        <v>1704</v>
      </c>
      <c r="D831" s="8"/>
      <c r="E831" s="8"/>
      <c r="F831" s="8"/>
      <c r="G831" s="8"/>
      <c r="H831" s="8"/>
      <c r="I831" s="8"/>
      <c r="J831" s="8"/>
      <c r="K831" s="8"/>
      <c r="L831" s="8">
        <v>349.48500216800943</v>
      </c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>
        <v>349.48500216800943</v>
      </c>
      <c r="AI831">
        <f t="shared" si="39"/>
        <v>824</v>
      </c>
      <c r="AJ831" s="27" t="s">
        <v>1704</v>
      </c>
      <c r="AK831" s="8">
        <v>349.48500216800943</v>
      </c>
      <c r="AM831">
        <f t="shared" si="40"/>
        <v>824</v>
      </c>
      <c r="AN831" s="27" t="s">
        <v>1012</v>
      </c>
      <c r="AO831" s="8">
        <v>1</v>
      </c>
      <c r="AR831" s="27" t="s">
        <v>1391</v>
      </c>
      <c r="AS831" s="21"/>
    </row>
    <row r="832" spans="2:45" x14ac:dyDescent="0.35">
      <c r="B832">
        <f t="shared" si="38"/>
        <v>825</v>
      </c>
      <c r="C832" s="27" t="s">
        <v>1705</v>
      </c>
      <c r="D832" s="8"/>
      <c r="E832" s="8"/>
      <c r="F832" s="8"/>
      <c r="G832" s="8"/>
      <c r="H832" s="8">
        <v>349.48500216800937</v>
      </c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>
        <v>349.48500216800937</v>
      </c>
      <c r="AI832">
        <f t="shared" si="39"/>
        <v>825</v>
      </c>
      <c r="AJ832" s="27" t="s">
        <v>1705</v>
      </c>
      <c r="AK832" s="8">
        <v>349.48500216800937</v>
      </c>
      <c r="AM832">
        <f t="shared" si="40"/>
        <v>825</v>
      </c>
      <c r="AN832" s="27" t="s">
        <v>1394</v>
      </c>
      <c r="AO832" s="8">
        <v>1</v>
      </c>
      <c r="AR832" s="27" t="s">
        <v>1416</v>
      </c>
      <c r="AS832" s="21"/>
    </row>
    <row r="833" spans="2:48" x14ac:dyDescent="0.35">
      <c r="B833">
        <f t="shared" si="38"/>
        <v>826</v>
      </c>
      <c r="C833" s="27" t="s">
        <v>1706</v>
      </c>
      <c r="D833" s="8"/>
      <c r="E833" s="8"/>
      <c r="F833" s="8"/>
      <c r="G833" s="8"/>
      <c r="H833" s="8">
        <v>349.48500216800937</v>
      </c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>
        <v>349.48500216800937</v>
      </c>
      <c r="AI833">
        <f t="shared" si="39"/>
        <v>826</v>
      </c>
      <c r="AJ833" s="27" t="s">
        <v>1706</v>
      </c>
      <c r="AK833" s="8">
        <v>349.48500216800937</v>
      </c>
      <c r="AM833">
        <f t="shared" si="40"/>
        <v>826</v>
      </c>
      <c r="AN833" s="27" t="s">
        <v>1572</v>
      </c>
      <c r="AO833" s="8">
        <v>1</v>
      </c>
      <c r="AR833" s="27" t="s">
        <v>1290</v>
      </c>
      <c r="AS833" s="21"/>
    </row>
    <row r="834" spans="2:48" x14ac:dyDescent="0.35">
      <c r="B834">
        <f t="shared" si="38"/>
        <v>827</v>
      </c>
      <c r="C834" t="s">
        <v>2328</v>
      </c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>
        <v>331.37891584078699</v>
      </c>
      <c r="S834" s="8"/>
      <c r="T834" s="8"/>
      <c r="U834" s="8"/>
      <c r="V834" s="8"/>
      <c r="W834" s="8"/>
      <c r="X834" s="8"/>
      <c r="Y834" s="8"/>
      <c r="Z834" s="8">
        <v>331.37891584078699</v>
      </c>
      <c r="AI834">
        <f t="shared" si="39"/>
        <v>827</v>
      </c>
      <c r="AJ834" t="s">
        <v>2328</v>
      </c>
      <c r="AK834" s="8">
        <v>331.37891584078699</v>
      </c>
      <c r="AM834">
        <f t="shared" si="40"/>
        <v>827</v>
      </c>
      <c r="AN834" s="27" t="s">
        <v>1636</v>
      </c>
      <c r="AO834" s="8">
        <v>1</v>
      </c>
      <c r="AR834" s="27" t="s">
        <v>1597</v>
      </c>
      <c r="AS834" s="21"/>
    </row>
    <row r="835" spans="2:48" x14ac:dyDescent="0.35">
      <c r="B835">
        <f t="shared" si="38"/>
        <v>828</v>
      </c>
      <c r="C835" s="27" t="s">
        <v>1260</v>
      </c>
      <c r="D835" s="8">
        <v>309.33583025305779</v>
      </c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>
        <v>309.33583025305779</v>
      </c>
      <c r="AI835">
        <f t="shared" si="39"/>
        <v>828</v>
      </c>
      <c r="AJ835" s="27" t="s">
        <v>1260</v>
      </c>
      <c r="AK835" s="8">
        <v>309.33583025305779</v>
      </c>
      <c r="AM835">
        <f t="shared" si="40"/>
        <v>828</v>
      </c>
      <c r="AN835" s="27" t="s">
        <v>1472</v>
      </c>
      <c r="AO835" s="8">
        <v>1</v>
      </c>
      <c r="AR835" s="27" t="s">
        <v>1245</v>
      </c>
      <c r="AS835" s="21"/>
    </row>
    <row r="836" spans="2:48" x14ac:dyDescent="0.35">
      <c r="B836">
        <f t="shared" si="38"/>
        <v>829</v>
      </c>
      <c r="C836" s="27" t="s">
        <v>1707</v>
      </c>
      <c r="D836" s="8">
        <v>301.02999566398125</v>
      </c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>
        <v>301.02999566398125</v>
      </c>
      <c r="AI836">
        <f t="shared" si="39"/>
        <v>829</v>
      </c>
      <c r="AJ836" s="27" t="s">
        <v>1707</v>
      </c>
      <c r="AK836" s="8">
        <v>301.02999566398125</v>
      </c>
      <c r="AM836">
        <f t="shared" si="40"/>
        <v>829</v>
      </c>
      <c r="AN836" s="27" t="s">
        <v>1108</v>
      </c>
      <c r="AO836" s="8">
        <v>1</v>
      </c>
      <c r="AR836" s="27" t="s">
        <v>1380</v>
      </c>
      <c r="AS836" s="21"/>
    </row>
    <row r="837" spans="2:48" x14ac:dyDescent="0.35">
      <c r="B837">
        <f t="shared" si="38"/>
        <v>830</v>
      </c>
      <c r="C837" s="27" t="s">
        <v>1377</v>
      </c>
      <c r="D837" s="8">
        <v>291.30987619294268</v>
      </c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>
        <v>291.30987619294268</v>
      </c>
      <c r="AI837">
        <f t="shared" si="39"/>
        <v>830</v>
      </c>
      <c r="AJ837" s="27" t="s">
        <v>1377</v>
      </c>
      <c r="AK837" s="8">
        <v>291.30987619294268</v>
      </c>
      <c r="AM837">
        <f t="shared" si="40"/>
        <v>830</v>
      </c>
      <c r="AN837" s="27" t="s">
        <v>1576</v>
      </c>
      <c r="AO837" s="8">
        <v>1</v>
      </c>
      <c r="AR837" s="27" t="s">
        <v>1477</v>
      </c>
      <c r="AS837" s="21">
        <v>0</v>
      </c>
    </row>
    <row r="838" spans="2:48" x14ac:dyDescent="0.35">
      <c r="B838">
        <f t="shared" si="38"/>
        <v>831</v>
      </c>
      <c r="C838" s="27" t="s">
        <v>1708</v>
      </c>
      <c r="D838" s="8">
        <v>274.70105694163215</v>
      </c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>
        <v>274.70105694163215</v>
      </c>
      <c r="AI838">
        <f t="shared" si="39"/>
        <v>831</v>
      </c>
      <c r="AJ838" s="27" t="s">
        <v>1708</v>
      </c>
      <c r="AK838" s="8">
        <v>274.70105694163215</v>
      </c>
      <c r="AM838">
        <f t="shared" si="40"/>
        <v>831</v>
      </c>
      <c r="AN838" s="27" t="s">
        <v>579</v>
      </c>
      <c r="AO838" s="8">
        <v>1</v>
      </c>
      <c r="AR838" s="27" t="s">
        <v>1401</v>
      </c>
      <c r="AS838" s="21"/>
    </row>
    <row r="839" spans="2:48" x14ac:dyDescent="0.35">
      <c r="B839">
        <f t="shared" si="38"/>
        <v>832</v>
      </c>
      <c r="C839" s="27" t="s">
        <v>1709</v>
      </c>
      <c r="D839" s="8">
        <v>265.70203332223821</v>
      </c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>
        <v>265.70203332223821</v>
      </c>
      <c r="AI839">
        <f t="shared" si="39"/>
        <v>832</v>
      </c>
      <c r="AJ839" s="27" t="s">
        <v>1709</v>
      </c>
      <c r="AK839" s="8">
        <v>265.70203332223821</v>
      </c>
      <c r="AM839">
        <f t="shared" si="40"/>
        <v>832</v>
      </c>
      <c r="AN839" s="27" t="s">
        <v>1072</v>
      </c>
      <c r="AO839" s="8">
        <v>1</v>
      </c>
      <c r="AR839" s="27" t="s">
        <v>1339</v>
      </c>
      <c r="AS839" s="21"/>
    </row>
    <row r="840" spans="2:48" x14ac:dyDescent="0.35">
      <c r="B840">
        <f t="shared" si="38"/>
        <v>833</v>
      </c>
      <c r="C840" s="27" t="s">
        <v>1353</v>
      </c>
      <c r="D840" s="8">
        <v>236.08918873096661</v>
      </c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>
        <v>236.08918873096661</v>
      </c>
      <c r="AI840">
        <f t="shared" si="39"/>
        <v>833</v>
      </c>
      <c r="AJ840" s="27" t="s">
        <v>1353</v>
      </c>
      <c r="AK840" s="8">
        <v>236.08918873096661</v>
      </c>
      <c r="AM840">
        <f t="shared" si="40"/>
        <v>833</v>
      </c>
      <c r="AN840" s="27" t="s">
        <v>1391</v>
      </c>
      <c r="AO840" s="8">
        <v>1</v>
      </c>
      <c r="AR840" s="27" t="s">
        <v>1394</v>
      </c>
      <c r="AS840" s="21"/>
    </row>
    <row r="841" spans="2:48" x14ac:dyDescent="0.35">
      <c r="B841">
        <f t="shared" si="38"/>
        <v>834</v>
      </c>
      <c r="C841" s="27" t="s">
        <v>1277</v>
      </c>
      <c r="D841" s="8">
        <v>230.44892137827389</v>
      </c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>
        <v>230.44892137827389</v>
      </c>
      <c r="AJ841" s="27" t="s">
        <v>1277</v>
      </c>
      <c r="AK841" s="8">
        <v>230.44892137827389</v>
      </c>
      <c r="AN841" s="27" t="s">
        <v>1665</v>
      </c>
      <c r="AO841" s="8">
        <v>1</v>
      </c>
      <c r="AR841" s="27" t="s">
        <v>1297</v>
      </c>
      <c r="AS841" s="21"/>
    </row>
    <row r="842" spans="2:48" x14ac:dyDescent="0.35">
      <c r="B842">
        <f t="shared" ref="B842:B863" si="41">B841+1</f>
        <v>835</v>
      </c>
      <c r="C842" s="27" t="s">
        <v>1396</v>
      </c>
      <c r="D842" s="8">
        <v>229.96663983853605</v>
      </c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>
        <v>229.96663983853605</v>
      </c>
      <c r="AJ842" s="27" t="s">
        <v>1396</v>
      </c>
      <c r="AK842" s="8">
        <v>229.96663983853605</v>
      </c>
      <c r="AN842" s="27" t="s">
        <v>1674</v>
      </c>
      <c r="AO842" s="8">
        <v>1</v>
      </c>
      <c r="AR842" s="27" t="s">
        <v>1365</v>
      </c>
      <c r="AS842" s="21"/>
    </row>
    <row r="843" spans="2:48" x14ac:dyDescent="0.35">
      <c r="B843">
        <f t="shared" si="41"/>
        <v>836</v>
      </c>
      <c r="C843" t="s">
        <v>2272</v>
      </c>
      <c r="D843" s="8">
        <v>221.84874961635637</v>
      </c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>
        <v>221.84874961635637</v>
      </c>
      <c r="AJ843" t="s">
        <v>2272</v>
      </c>
      <c r="AK843" s="8">
        <v>221.84874961635637</v>
      </c>
      <c r="AN843" s="27" t="s">
        <v>1668</v>
      </c>
      <c r="AO843" s="8">
        <v>1</v>
      </c>
      <c r="AR843" s="27" t="s">
        <v>1664</v>
      </c>
      <c r="AS843" s="21"/>
      <c r="AV843" s="2"/>
    </row>
    <row r="844" spans="2:48" x14ac:dyDescent="0.35">
      <c r="B844">
        <f t="shared" si="41"/>
        <v>837</v>
      </c>
      <c r="C844" s="27" t="s">
        <v>1398</v>
      </c>
      <c r="D844" s="8">
        <v>206.05448243312452</v>
      </c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>
        <v>206.05448243312452</v>
      </c>
      <c r="AJ844" s="27" t="s">
        <v>1398</v>
      </c>
      <c r="AK844" s="8">
        <v>206.05448243312452</v>
      </c>
      <c r="AN844" s="27" t="s">
        <v>1653</v>
      </c>
      <c r="AO844" s="8">
        <v>1</v>
      </c>
      <c r="AR844" s="27" t="s">
        <v>1310</v>
      </c>
      <c r="AS844" s="21"/>
      <c r="AV844" s="2"/>
    </row>
    <row r="845" spans="2:48" x14ac:dyDescent="0.35">
      <c r="B845">
        <f t="shared" si="41"/>
        <v>838</v>
      </c>
      <c r="C845" s="27" t="s">
        <v>1282</v>
      </c>
      <c r="D845" s="8">
        <v>197.02516589132401</v>
      </c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>
        <v>197.02516589132401</v>
      </c>
      <c r="AJ845" s="27" t="s">
        <v>1282</v>
      </c>
      <c r="AK845" s="8">
        <v>197.02516589132401</v>
      </c>
      <c r="AN845" s="27" t="s">
        <v>722</v>
      </c>
      <c r="AO845" s="8">
        <v>1</v>
      </c>
      <c r="AR845" s="27" t="s">
        <v>1591</v>
      </c>
      <c r="AS845" s="21"/>
      <c r="AV845" s="2"/>
    </row>
    <row r="846" spans="2:48" x14ac:dyDescent="0.35">
      <c r="B846">
        <f t="shared" si="41"/>
        <v>839</v>
      </c>
      <c r="C846" s="27" t="s">
        <v>1381</v>
      </c>
      <c r="D846" s="8">
        <v>188.32571547269293</v>
      </c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>
        <v>188.32571547269293</v>
      </c>
      <c r="AJ846" s="27" t="s">
        <v>1381</v>
      </c>
      <c r="AK846" s="8">
        <v>188.32571547269293</v>
      </c>
      <c r="AN846" s="27" t="s">
        <v>1031</v>
      </c>
      <c r="AO846" s="8">
        <v>1</v>
      </c>
      <c r="AR846" s="27" t="s">
        <v>1336</v>
      </c>
      <c r="AS846" s="21"/>
      <c r="AV846" s="2"/>
    </row>
    <row r="847" spans="2:48" x14ac:dyDescent="0.35">
      <c r="B847">
        <f t="shared" si="41"/>
        <v>840</v>
      </c>
      <c r="C847" s="27" t="s">
        <v>1399</v>
      </c>
      <c r="D847" s="8">
        <v>176.09125905568135</v>
      </c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>
        <v>176.09125905568135</v>
      </c>
      <c r="AJ847" s="27" t="s">
        <v>1399</v>
      </c>
      <c r="AK847" s="8">
        <v>176.09125905568135</v>
      </c>
      <c r="AN847" s="27" t="s">
        <v>844</v>
      </c>
      <c r="AO847" s="8">
        <v>1</v>
      </c>
      <c r="AR847" s="27" t="s">
        <v>1426</v>
      </c>
      <c r="AS847" s="21"/>
      <c r="AV847" s="2"/>
    </row>
    <row r="848" spans="2:48" x14ac:dyDescent="0.35">
      <c r="B848">
        <f t="shared" si="41"/>
        <v>841</v>
      </c>
      <c r="C848" s="27" t="s">
        <v>1401</v>
      </c>
      <c r="D848" s="8">
        <v>168.91267442855784</v>
      </c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>
        <v>168.91267442855784</v>
      </c>
      <c r="AJ848" s="27" t="s">
        <v>1401</v>
      </c>
      <c r="AK848" s="8">
        <v>168.91267442855784</v>
      </c>
      <c r="AN848" s="27" t="s">
        <v>1684</v>
      </c>
      <c r="AO848" s="8">
        <v>1</v>
      </c>
      <c r="AR848" s="27" t="s">
        <v>1696</v>
      </c>
      <c r="AS848" s="21"/>
      <c r="AV848" s="2"/>
    </row>
    <row r="849" spans="2:48" x14ac:dyDescent="0.35">
      <c r="B849">
        <f t="shared" si="41"/>
        <v>842</v>
      </c>
      <c r="C849" s="27" t="s">
        <v>1284</v>
      </c>
      <c r="D849" s="8">
        <v>165.99093215135531</v>
      </c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>
        <v>165.99093215135531</v>
      </c>
      <c r="AJ849" s="27" t="s">
        <v>1284</v>
      </c>
      <c r="AK849" s="8">
        <v>165.99093215135531</v>
      </c>
      <c r="AN849" s="27" t="s">
        <v>1128</v>
      </c>
      <c r="AO849" s="8">
        <v>1</v>
      </c>
      <c r="AR849" s="27" t="s">
        <v>1261</v>
      </c>
      <c r="AS849" s="21"/>
      <c r="AV849" s="2"/>
    </row>
    <row r="850" spans="2:48" x14ac:dyDescent="0.35">
      <c r="B850">
        <f t="shared" si="41"/>
        <v>843</v>
      </c>
      <c r="C850" s="27" t="s">
        <v>1403</v>
      </c>
      <c r="D850" s="8">
        <v>141.32915279646951</v>
      </c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>
        <v>141.32915279646951</v>
      </c>
      <c r="AJ850" s="27" t="s">
        <v>1403</v>
      </c>
      <c r="AK850" s="8">
        <v>141.32915279646951</v>
      </c>
      <c r="AN850" s="27" t="s">
        <v>928</v>
      </c>
      <c r="AO850" s="8">
        <v>1</v>
      </c>
      <c r="AR850" s="27" t="s">
        <v>1688</v>
      </c>
      <c r="AS850" s="21"/>
      <c r="AV850" s="2"/>
    </row>
    <row r="851" spans="2:48" x14ac:dyDescent="0.35">
      <c r="B851">
        <f t="shared" si="41"/>
        <v>844</v>
      </c>
      <c r="C851" s="27" t="s">
        <v>1287</v>
      </c>
      <c r="D851" s="8">
        <v>137.02723621603874</v>
      </c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>
        <v>137.02723621603874</v>
      </c>
      <c r="AJ851" s="27" t="s">
        <v>1287</v>
      </c>
      <c r="AK851" s="8">
        <v>137.02723621603874</v>
      </c>
      <c r="AN851" s="27" t="s">
        <v>1611</v>
      </c>
      <c r="AO851" s="8">
        <v>1</v>
      </c>
      <c r="AR851" s="27" t="s">
        <v>1419</v>
      </c>
      <c r="AS851" s="21"/>
      <c r="AV851" s="2"/>
    </row>
    <row r="852" spans="2:48" x14ac:dyDescent="0.35">
      <c r="B852">
        <f t="shared" si="41"/>
        <v>845</v>
      </c>
      <c r="C852" s="27" t="s">
        <v>1405</v>
      </c>
      <c r="D852" s="8">
        <v>134.69857389745621</v>
      </c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>
        <v>134.69857389745621</v>
      </c>
      <c r="AJ852" s="27" t="s">
        <v>1405</v>
      </c>
      <c r="AK852" s="8">
        <v>134.69857389745621</v>
      </c>
      <c r="AN852" s="27" t="s">
        <v>1029</v>
      </c>
      <c r="AO852" s="8">
        <v>1</v>
      </c>
      <c r="AR852" s="27" t="s">
        <v>1249</v>
      </c>
      <c r="AS852" s="21"/>
      <c r="AV852" s="2"/>
    </row>
    <row r="853" spans="2:48" x14ac:dyDescent="0.35">
      <c r="B853">
        <f t="shared" si="41"/>
        <v>846</v>
      </c>
      <c r="C853" s="27" t="s">
        <v>1290</v>
      </c>
      <c r="D853" s="8">
        <v>123.23895173040556</v>
      </c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>
        <v>123.23895173040556</v>
      </c>
      <c r="AJ853" s="27" t="s">
        <v>1290</v>
      </c>
      <c r="AK853" s="8">
        <v>123.23895173040556</v>
      </c>
      <c r="AN853" s="27" t="s">
        <v>1468</v>
      </c>
      <c r="AO853" s="8">
        <v>1</v>
      </c>
      <c r="AR853" s="27" t="s">
        <v>1700</v>
      </c>
      <c r="AS853" s="21"/>
      <c r="AV853" s="2"/>
    </row>
    <row r="854" spans="2:48" x14ac:dyDescent="0.35">
      <c r="B854">
        <f t="shared" si="41"/>
        <v>847</v>
      </c>
      <c r="C854" s="27" t="s">
        <v>1292</v>
      </c>
      <c r="D854" s="8">
        <v>103.34412301346619</v>
      </c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>
        <v>103.34412301346619</v>
      </c>
      <c r="AJ854" s="27" t="s">
        <v>1292</v>
      </c>
      <c r="AK854" s="8">
        <v>103.34412301346619</v>
      </c>
      <c r="AN854" s="27" t="s">
        <v>1396</v>
      </c>
      <c r="AO854" s="8">
        <v>1</v>
      </c>
      <c r="AR854" s="27" t="s">
        <v>1242</v>
      </c>
      <c r="AS854" s="21"/>
      <c r="AV854" s="2"/>
    </row>
    <row r="855" spans="2:48" x14ac:dyDescent="0.35">
      <c r="B855">
        <f t="shared" si="41"/>
        <v>848</v>
      </c>
      <c r="C855" s="27" t="s">
        <v>1294</v>
      </c>
      <c r="D855" s="8">
        <v>72.086429283024117</v>
      </c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>
        <v>72.086429283024117</v>
      </c>
      <c r="AJ855" s="27" t="s">
        <v>1294</v>
      </c>
      <c r="AK855" s="8">
        <v>72.086429283024117</v>
      </c>
      <c r="AN855" s="27" t="s">
        <v>1142</v>
      </c>
      <c r="AO855" s="8">
        <v>1</v>
      </c>
      <c r="AR855" s="27" t="s">
        <v>1396</v>
      </c>
      <c r="AS855" s="21"/>
      <c r="AV855" s="2"/>
    </row>
    <row r="856" spans="2:48" x14ac:dyDescent="0.35">
      <c r="B856">
        <f t="shared" si="41"/>
        <v>849</v>
      </c>
      <c r="C856" s="27" t="s">
        <v>1710</v>
      </c>
      <c r="D856" s="8">
        <v>50.692708236187435</v>
      </c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>
        <v>50.692708236187435</v>
      </c>
      <c r="AJ856" s="27" t="s">
        <v>1710</v>
      </c>
      <c r="AK856" s="8">
        <v>50.692708236187435</v>
      </c>
      <c r="AN856" s="27" t="s">
        <v>1700</v>
      </c>
      <c r="AO856" s="8">
        <v>1</v>
      </c>
      <c r="AR856" s="27" t="s">
        <v>1334</v>
      </c>
      <c r="AS856" s="21"/>
      <c r="AV856" s="2"/>
    </row>
    <row r="857" spans="2:48" x14ac:dyDescent="0.35">
      <c r="B857">
        <f t="shared" si="41"/>
        <v>850</v>
      </c>
      <c r="C857" s="27" t="s">
        <v>1261</v>
      </c>
      <c r="D857" s="8">
        <v>50.692708236187435</v>
      </c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>
        <v>50.692708236187435</v>
      </c>
      <c r="AJ857" s="27" t="s">
        <v>1261</v>
      </c>
      <c r="AK857" s="8">
        <v>50.692708236187435</v>
      </c>
      <c r="AN857" s="27" t="s">
        <v>1667</v>
      </c>
      <c r="AO857" s="8">
        <v>1</v>
      </c>
      <c r="AR857" s="27" t="s">
        <v>1282</v>
      </c>
      <c r="AS857" s="21"/>
      <c r="AV857" s="2"/>
    </row>
    <row r="858" spans="2:48" x14ac:dyDescent="0.35">
      <c r="B858">
        <f t="shared" si="41"/>
        <v>851</v>
      </c>
      <c r="C858" s="27" t="s">
        <v>1407</v>
      </c>
      <c r="D858" s="8">
        <v>45.757490560675237</v>
      </c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>
        <v>45.757490560675237</v>
      </c>
      <c r="AJ858" s="27" t="s">
        <v>1407</v>
      </c>
      <c r="AK858" s="8">
        <v>45.757490560675237</v>
      </c>
      <c r="AN858" s="27" t="s">
        <v>1682</v>
      </c>
      <c r="AO858" s="8">
        <v>1</v>
      </c>
      <c r="AR858" s="27" t="s">
        <v>1373</v>
      </c>
      <c r="AS858" s="21"/>
      <c r="AV858" s="2"/>
    </row>
    <row r="859" spans="2:48" x14ac:dyDescent="0.35">
      <c r="B859">
        <f t="shared" si="41"/>
        <v>852</v>
      </c>
      <c r="AJ859" t="s">
        <v>2491</v>
      </c>
      <c r="AK859" s="8"/>
      <c r="AN859" t="s">
        <v>2491</v>
      </c>
      <c r="AO859" s="8"/>
      <c r="AR859" s="27" t="s">
        <v>1481</v>
      </c>
      <c r="AS859" s="21">
        <v>0</v>
      </c>
      <c r="AV859" s="2"/>
    </row>
    <row r="860" spans="2:48" x14ac:dyDescent="0.35">
      <c r="B860">
        <f t="shared" si="41"/>
        <v>853</v>
      </c>
      <c r="AS860"/>
      <c r="AV860" s="2"/>
    </row>
    <row r="861" spans="2:48" x14ac:dyDescent="0.35">
      <c r="B861">
        <f t="shared" si="41"/>
        <v>854</v>
      </c>
      <c r="AS861"/>
      <c r="AV861" s="2"/>
    </row>
    <row r="862" spans="2:48" x14ac:dyDescent="0.35">
      <c r="B862">
        <f t="shared" si="41"/>
        <v>855</v>
      </c>
      <c r="AS862"/>
      <c r="AV862" s="2"/>
    </row>
    <row r="863" spans="2:48" x14ac:dyDescent="0.35">
      <c r="B863">
        <f t="shared" si="41"/>
        <v>856</v>
      </c>
      <c r="AV863" s="2"/>
    </row>
    <row r="864" spans="2:48" x14ac:dyDescent="0.35">
      <c r="AV864" s="2"/>
    </row>
    <row r="865" spans="48:48" x14ac:dyDescent="0.35">
      <c r="AV865" s="2"/>
    </row>
    <row r="866" spans="48:48" x14ac:dyDescent="0.35">
      <c r="AV866" s="2"/>
    </row>
    <row r="867" spans="48:48" x14ac:dyDescent="0.35">
      <c r="AV867" s="2"/>
    </row>
    <row r="868" spans="48:48" x14ac:dyDescent="0.35">
      <c r="AV868" s="2"/>
    </row>
    <row r="869" spans="48:48" x14ac:dyDescent="0.35">
      <c r="AV869" s="2"/>
    </row>
    <row r="870" spans="48:48" x14ac:dyDescent="0.35">
      <c r="AV870" s="2"/>
    </row>
    <row r="871" spans="48:48" x14ac:dyDescent="0.35">
      <c r="AV871" s="2"/>
    </row>
    <row r="872" spans="48:48" x14ac:dyDescent="0.35">
      <c r="AV872" s="2"/>
    </row>
    <row r="873" spans="48:48" x14ac:dyDescent="0.35">
      <c r="AV873" s="2"/>
    </row>
    <row r="874" spans="48:48" x14ac:dyDescent="0.35">
      <c r="AV874" s="2"/>
    </row>
    <row r="875" spans="48:48" x14ac:dyDescent="0.35">
      <c r="AV875" s="2"/>
    </row>
    <row r="876" spans="48:48" x14ac:dyDescent="0.35">
      <c r="AV876" s="2"/>
    </row>
    <row r="877" spans="48:48" x14ac:dyDescent="0.35">
      <c r="AV877" s="2"/>
    </row>
    <row r="878" spans="48:48" x14ac:dyDescent="0.35">
      <c r="AV878" s="2"/>
    </row>
    <row r="879" spans="48:48" x14ac:dyDescent="0.35">
      <c r="AV879" s="2"/>
    </row>
    <row r="880" spans="48:48" x14ac:dyDescent="0.35">
      <c r="AV880" s="2"/>
    </row>
    <row r="881" spans="48:48" x14ac:dyDescent="0.35">
      <c r="AV881" s="2"/>
    </row>
    <row r="882" spans="48:48" x14ac:dyDescent="0.35">
      <c r="AV882" s="2"/>
    </row>
    <row r="883" spans="48:48" x14ac:dyDescent="0.35">
      <c r="AV883" s="2"/>
    </row>
    <row r="884" spans="48:48" x14ac:dyDescent="0.35">
      <c r="AV884" s="2"/>
    </row>
    <row r="885" spans="48:48" x14ac:dyDescent="0.35">
      <c r="AV885" s="2"/>
    </row>
    <row r="886" spans="48:48" x14ac:dyDescent="0.35">
      <c r="AV886" s="2"/>
    </row>
    <row r="887" spans="48:48" x14ac:dyDescent="0.35">
      <c r="AV887" s="2"/>
    </row>
    <row r="888" spans="48:48" x14ac:dyDescent="0.35">
      <c r="AV888" s="2"/>
    </row>
    <row r="889" spans="48:48" x14ac:dyDescent="0.35">
      <c r="AV889" s="2"/>
    </row>
    <row r="890" spans="48:48" x14ac:dyDescent="0.35">
      <c r="AV890" s="2"/>
    </row>
    <row r="891" spans="48:48" x14ac:dyDescent="0.35">
      <c r="AV891" s="2"/>
    </row>
    <row r="892" spans="48:48" x14ac:dyDescent="0.35">
      <c r="AV892" s="2"/>
    </row>
    <row r="893" spans="48:48" x14ac:dyDescent="0.35">
      <c r="AV893" s="2"/>
    </row>
    <row r="894" spans="48:48" x14ac:dyDescent="0.35">
      <c r="AV894" s="2"/>
    </row>
    <row r="895" spans="48:48" x14ac:dyDescent="0.35">
      <c r="AV895" s="2"/>
    </row>
    <row r="896" spans="48:48" x14ac:dyDescent="0.35">
      <c r="AV896" s="2"/>
    </row>
    <row r="897" spans="48:48" x14ac:dyDescent="0.35">
      <c r="AV897" s="2"/>
    </row>
    <row r="898" spans="48:48" x14ac:dyDescent="0.35">
      <c r="AV898" s="2"/>
    </row>
    <row r="899" spans="48:48" x14ac:dyDescent="0.35">
      <c r="AV899" s="2"/>
    </row>
    <row r="900" spans="48:48" x14ac:dyDescent="0.35">
      <c r="AV900" s="2"/>
    </row>
    <row r="901" spans="48:48" x14ac:dyDescent="0.35">
      <c r="AV901" s="2"/>
    </row>
    <row r="902" spans="48:48" x14ac:dyDescent="0.35">
      <c r="AV902" s="2"/>
    </row>
    <row r="903" spans="48:48" x14ac:dyDescent="0.35">
      <c r="AV903" s="2"/>
    </row>
    <row r="904" spans="48:48" x14ac:dyDescent="0.35">
      <c r="AV904" s="2"/>
    </row>
    <row r="905" spans="48:48" x14ac:dyDescent="0.35">
      <c r="AV905" s="2"/>
    </row>
    <row r="906" spans="48:48" x14ac:dyDescent="0.35">
      <c r="AV906" s="2"/>
    </row>
    <row r="907" spans="48:48" x14ac:dyDescent="0.35">
      <c r="AV907" s="2"/>
    </row>
    <row r="908" spans="48:48" x14ac:dyDescent="0.35">
      <c r="AV908" s="2"/>
    </row>
    <row r="909" spans="48:48" x14ac:dyDescent="0.35">
      <c r="AV909" s="2"/>
    </row>
    <row r="910" spans="48:48" x14ac:dyDescent="0.35">
      <c r="AV910" s="2"/>
    </row>
    <row r="911" spans="48:48" x14ac:dyDescent="0.35">
      <c r="AV911" s="2"/>
    </row>
    <row r="912" spans="48:48" x14ac:dyDescent="0.35">
      <c r="AV912" s="2"/>
    </row>
    <row r="913" spans="48:48" x14ac:dyDescent="0.35">
      <c r="AV913" s="2"/>
    </row>
    <row r="914" spans="48:48" x14ac:dyDescent="0.35">
      <c r="AV914" s="2"/>
    </row>
    <row r="915" spans="48:48" x14ac:dyDescent="0.35">
      <c r="AV915" s="2"/>
    </row>
    <row r="916" spans="48:48" x14ac:dyDescent="0.35">
      <c r="AV916" s="2"/>
    </row>
    <row r="917" spans="48:48" x14ac:dyDescent="0.35">
      <c r="AV917" s="2"/>
    </row>
    <row r="918" spans="48:48" x14ac:dyDescent="0.35">
      <c r="AV918" s="2"/>
    </row>
    <row r="919" spans="48:48" x14ac:dyDescent="0.35">
      <c r="AV919" s="2"/>
    </row>
    <row r="920" spans="48:48" x14ac:dyDescent="0.35">
      <c r="AV920" s="2"/>
    </row>
    <row r="921" spans="48:48" x14ac:dyDescent="0.35">
      <c r="AV921" s="2"/>
    </row>
    <row r="922" spans="48:48" x14ac:dyDescent="0.35">
      <c r="AV922" s="2"/>
    </row>
    <row r="923" spans="48:48" x14ac:dyDescent="0.35">
      <c r="AV923" s="2"/>
    </row>
    <row r="924" spans="48:48" x14ac:dyDescent="0.35">
      <c r="AV924" s="2"/>
    </row>
    <row r="925" spans="48:48" x14ac:dyDescent="0.35">
      <c r="AV925" s="2"/>
    </row>
    <row r="926" spans="48:48" x14ac:dyDescent="0.35">
      <c r="AV926" s="2"/>
    </row>
    <row r="927" spans="48:48" x14ac:dyDescent="0.35">
      <c r="AV927" s="2"/>
    </row>
    <row r="928" spans="48:48" x14ac:dyDescent="0.35">
      <c r="AV928" s="2"/>
    </row>
    <row r="929" spans="48:48" x14ac:dyDescent="0.35">
      <c r="AV929" s="2"/>
    </row>
    <row r="930" spans="48:48" x14ac:dyDescent="0.35">
      <c r="AV930" s="2"/>
    </row>
    <row r="931" spans="48:48" x14ac:dyDescent="0.35">
      <c r="AV931" s="2"/>
    </row>
    <row r="932" spans="48:48" x14ac:dyDescent="0.35">
      <c r="AV932" s="2"/>
    </row>
    <row r="933" spans="48:48" x14ac:dyDescent="0.35">
      <c r="AV933" s="2"/>
    </row>
    <row r="934" spans="48:48" x14ac:dyDescent="0.35">
      <c r="AV934" s="2"/>
    </row>
    <row r="935" spans="48:48" x14ac:dyDescent="0.35">
      <c r="AV935" s="2"/>
    </row>
    <row r="936" spans="48:48" x14ac:dyDescent="0.35">
      <c r="AV936" s="2"/>
    </row>
    <row r="937" spans="48:48" x14ac:dyDescent="0.35">
      <c r="AV937" s="2"/>
    </row>
    <row r="938" spans="48:48" x14ac:dyDescent="0.35">
      <c r="AV938" s="2"/>
    </row>
    <row r="939" spans="48:48" x14ac:dyDescent="0.35">
      <c r="AV939" s="2"/>
    </row>
    <row r="940" spans="48:48" x14ac:dyDescent="0.35">
      <c r="AV940" s="2"/>
    </row>
    <row r="941" spans="48:48" x14ac:dyDescent="0.35">
      <c r="AV941" s="2"/>
    </row>
    <row r="942" spans="48:48" x14ac:dyDescent="0.35">
      <c r="AV942" s="2"/>
    </row>
    <row r="943" spans="48:48" x14ac:dyDescent="0.35">
      <c r="AV943" s="2"/>
    </row>
    <row r="944" spans="48:48" x14ac:dyDescent="0.35">
      <c r="AV944" s="2"/>
    </row>
    <row r="945" spans="48:48" x14ac:dyDescent="0.35">
      <c r="AV945" s="2"/>
    </row>
    <row r="946" spans="48:48" x14ac:dyDescent="0.35">
      <c r="AV946" s="2"/>
    </row>
    <row r="947" spans="48:48" x14ac:dyDescent="0.35">
      <c r="AV947" s="2"/>
    </row>
    <row r="948" spans="48:48" x14ac:dyDescent="0.35">
      <c r="AV948" s="2"/>
    </row>
    <row r="949" spans="48:48" x14ac:dyDescent="0.35">
      <c r="AV949" s="2"/>
    </row>
    <row r="950" spans="48:48" x14ac:dyDescent="0.35">
      <c r="AV950" s="2"/>
    </row>
    <row r="951" spans="48:48" x14ac:dyDescent="0.35">
      <c r="AV951" s="2"/>
    </row>
    <row r="952" spans="48:48" x14ac:dyDescent="0.35">
      <c r="AV952" s="2"/>
    </row>
    <row r="953" spans="48:48" x14ac:dyDescent="0.35">
      <c r="AV953" s="2"/>
    </row>
    <row r="954" spans="48:48" x14ac:dyDescent="0.35">
      <c r="AV954" s="2"/>
    </row>
    <row r="955" spans="48:48" x14ac:dyDescent="0.35">
      <c r="AV955" s="2"/>
    </row>
    <row r="956" spans="48:48" x14ac:dyDescent="0.35">
      <c r="AV956" s="2"/>
    </row>
    <row r="957" spans="48:48" x14ac:dyDescent="0.35">
      <c r="AV957" s="2"/>
    </row>
    <row r="958" spans="48:48" x14ac:dyDescent="0.35">
      <c r="AV958" s="2"/>
    </row>
    <row r="959" spans="48:48" x14ac:dyDescent="0.35">
      <c r="AV959" s="2"/>
    </row>
    <row r="960" spans="48:48" x14ac:dyDescent="0.35">
      <c r="AV960" s="2"/>
    </row>
    <row r="961" spans="48:48" x14ac:dyDescent="0.35">
      <c r="AV961" s="2"/>
    </row>
    <row r="962" spans="48:48" x14ac:dyDescent="0.35">
      <c r="AV962" s="2"/>
    </row>
    <row r="963" spans="48:48" x14ac:dyDescent="0.35">
      <c r="AV963" s="2"/>
    </row>
    <row r="964" spans="48:48" x14ac:dyDescent="0.35">
      <c r="AV964" s="2"/>
    </row>
    <row r="965" spans="48:48" x14ac:dyDescent="0.35">
      <c r="AV965" s="2"/>
    </row>
    <row r="966" spans="48:48" x14ac:dyDescent="0.35">
      <c r="AV966" s="2"/>
    </row>
    <row r="967" spans="48:48" x14ac:dyDescent="0.35">
      <c r="AV967" s="2"/>
    </row>
    <row r="968" spans="48:48" x14ac:dyDescent="0.35">
      <c r="AV968" s="2"/>
    </row>
    <row r="969" spans="48:48" x14ac:dyDescent="0.35">
      <c r="AV969" s="2"/>
    </row>
    <row r="970" spans="48:48" x14ac:dyDescent="0.35">
      <c r="AV970" s="2"/>
    </row>
    <row r="971" spans="48:48" x14ac:dyDescent="0.35">
      <c r="AV971" s="2"/>
    </row>
    <row r="972" spans="48:48" x14ac:dyDescent="0.35">
      <c r="AV972" s="2"/>
    </row>
    <row r="973" spans="48:48" x14ac:dyDescent="0.35">
      <c r="AV973" s="2"/>
    </row>
    <row r="974" spans="48:48" x14ac:dyDescent="0.35">
      <c r="AV974" s="2"/>
    </row>
    <row r="975" spans="48:48" x14ac:dyDescent="0.35">
      <c r="AV975" s="2"/>
    </row>
    <row r="976" spans="48:48" x14ac:dyDescent="0.35">
      <c r="AV976" s="2"/>
    </row>
    <row r="977" spans="48:48" x14ac:dyDescent="0.35">
      <c r="AV977" s="2"/>
    </row>
    <row r="978" spans="48:48" x14ac:dyDescent="0.35">
      <c r="AV978" s="2"/>
    </row>
    <row r="979" spans="48:48" x14ac:dyDescent="0.35">
      <c r="AV979" s="2"/>
    </row>
    <row r="980" spans="48:48" x14ac:dyDescent="0.35">
      <c r="AV980" s="2"/>
    </row>
    <row r="981" spans="48:48" x14ac:dyDescent="0.35">
      <c r="AV981" s="2"/>
    </row>
    <row r="982" spans="48:48" x14ac:dyDescent="0.35">
      <c r="AV982" s="2"/>
    </row>
    <row r="983" spans="48:48" x14ac:dyDescent="0.35">
      <c r="AV983" s="2"/>
    </row>
    <row r="984" spans="48:48" x14ac:dyDescent="0.35">
      <c r="AV984" s="2"/>
    </row>
    <row r="985" spans="48:48" x14ac:dyDescent="0.35">
      <c r="AV985" s="2"/>
    </row>
    <row r="986" spans="48:48" x14ac:dyDescent="0.35">
      <c r="AV986" s="2"/>
    </row>
    <row r="987" spans="48:48" x14ac:dyDescent="0.35">
      <c r="AV987" s="2"/>
    </row>
    <row r="988" spans="48:48" x14ac:dyDescent="0.35">
      <c r="AV988" s="2"/>
    </row>
    <row r="989" spans="48:48" x14ac:dyDescent="0.35">
      <c r="AV989" s="2"/>
    </row>
    <row r="990" spans="48:48" x14ac:dyDescent="0.35">
      <c r="AV990" s="2"/>
    </row>
    <row r="991" spans="48:48" x14ac:dyDescent="0.35">
      <c r="AV991" s="2"/>
    </row>
    <row r="992" spans="48:48" x14ac:dyDescent="0.35">
      <c r="AV992" s="2"/>
    </row>
    <row r="993" spans="48:48" x14ac:dyDescent="0.35">
      <c r="AV993" s="2"/>
    </row>
    <row r="994" spans="48:48" x14ac:dyDescent="0.35">
      <c r="AV994" s="2"/>
    </row>
    <row r="995" spans="48:48" x14ac:dyDescent="0.35">
      <c r="AV995" s="2"/>
    </row>
    <row r="996" spans="48:48" x14ac:dyDescent="0.35">
      <c r="AV996" s="2"/>
    </row>
    <row r="997" spans="48:48" x14ac:dyDescent="0.35">
      <c r="AV997" s="2"/>
    </row>
    <row r="998" spans="48:48" x14ac:dyDescent="0.35">
      <c r="AV998" s="2"/>
    </row>
    <row r="999" spans="48:48" x14ac:dyDescent="0.35">
      <c r="AV999" s="2"/>
    </row>
    <row r="1000" spans="48:48" x14ac:dyDescent="0.35">
      <c r="AV1000" s="2"/>
    </row>
    <row r="1001" spans="48:48" x14ac:dyDescent="0.35">
      <c r="AV1001" s="2"/>
    </row>
    <row r="1002" spans="48:48" x14ac:dyDescent="0.35">
      <c r="AV1002" s="2"/>
    </row>
    <row r="1003" spans="48:48" x14ac:dyDescent="0.35">
      <c r="AV1003" s="2"/>
    </row>
    <row r="1004" spans="48:48" x14ac:dyDescent="0.35">
      <c r="AV1004" s="2"/>
    </row>
    <row r="1005" spans="48:48" x14ac:dyDescent="0.35">
      <c r="AV1005" s="2"/>
    </row>
    <row r="1006" spans="48:48" x14ac:dyDescent="0.35">
      <c r="AV1006" s="2"/>
    </row>
    <row r="1007" spans="48:48" x14ac:dyDescent="0.35">
      <c r="AV1007" s="2"/>
    </row>
    <row r="1008" spans="48:48" x14ac:dyDescent="0.35">
      <c r="AV1008" s="2"/>
    </row>
    <row r="1009" spans="48:48" x14ac:dyDescent="0.35">
      <c r="AV1009" s="2"/>
    </row>
    <row r="1010" spans="48:48" x14ac:dyDescent="0.35">
      <c r="AV1010" s="2"/>
    </row>
    <row r="1011" spans="48:48" x14ac:dyDescent="0.35">
      <c r="AV1011" s="2"/>
    </row>
    <row r="1012" spans="48:48" x14ac:dyDescent="0.35">
      <c r="AV1012" s="2"/>
    </row>
    <row r="1013" spans="48:48" x14ac:dyDescent="0.35">
      <c r="AV1013" s="2"/>
    </row>
    <row r="1014" spans="48:48" x14ac:dyDescent="0.35">
      <c r="AV1014" s="2"/>
    </row>
    <row r="1015" spans="48:48" x14ac:dyDescent="0.35">
      <c r="AV1015" s="2"/>
    </row>
    <row r="1016" spans="48:48" x14ac:dyDescent="0.35">
      <c r="AV1016" s="2"/>
    </row>
    <row r="1017" spans="48:48" x14ac:dyDescent="0.35">
      <c r="AV1017" s="2"/>
    </row>
    <row r="1018" spans="48:48" x14ac:dyDescent="0.35">
      <c r="AV1018" s="2"/>
    </row>
    <row r="1019" spans="48:48" x14ac:dyDescent="0.35">
      <c r="AV1019" s="2"/>
    </row>
    <row r="1020" spans="48:48" x14ac:dyDescent="0.35">
      <c r="AV1020" s="2"/>
    </row>
    <row r="1021" spans="48:48" x14ac:dyDescent="0.35">
      <c r="AV1021" s="2"/>
    </row>
    <row r="1022" spans="48:48" x14ac:dyDescent="0.35">
      <c r="AV1022" s="2"/>
    </row>
    <row r="1023" spans="48:48" x14ac:dyDescent="0.35">
      <c r="AV1023" s="2"/>
    </row>
    <row r="1024" spans="48:48" x14ac:dyDescent="0.35">
      <c r="AV1024" s="2"/>
    </row>
    <row r="1025" spans="48:48" x14ac:dyDescent="0.35">
      <c r="AV1025" s="2"/>
    </row>
    <row r="1026" spans="48:48" x14ac:dyDescent="0.35">
      <c r="AV1026" s="2"/>
    </row>
    <row r="1027" spans="48:48" x14ac:dyDescent="0.35">
      <c r="AV1027" s="2"/>
    </row>
    <row r="1028" spans="48:48" x14ac:dyDescent="0.35">
      <c r="AV1028" s="2"/>
    </row>
    <row r="1029" spans="48:48" x14ac:dyDescent="0.35">
      <c r="AV1029" s="2"/>
    </row>
    <row r="1030" spans="48:48" x14ac:dyDescent="0.35">
      <c r="AV1030" s="2"/>
    </row>
    <row r="1031" spans="48:48" x14ac:dyDescent="0.35">
      <c r="AV1031" s="2"/>
    </row>
    <row r="1032" spans="48:48" x14ac:dyDescent="0.35">
      <c r="AV1032" s="2"/>
    </row>
    <row r="1033" spans="48:48" x14ac:dyDescent="0.35">
      <c r="AV1033" s="2"/>
    </row>
    <row r="1034" spans="48:48" x14ac:dyDescent="0.35">
      <c r="AV1034" s="2"/>
    </row>
    <row r="1035" spans="48:48" x14ac:dyDescent="0.35">
      <c r="AV1035" s="2"/>
    </row>
    <row r="1036" spans="48:48" x14ac:dyDescent="0.35">
      <c r="AV1036" s="2"/>
    </row>
    <row r="1037" spans="48:48" x14ac:dyDescent="0.35">
      <c r="AV1037" s="2"/>
    </row>
    <row r="1038" spans="48:48" x14ac:dyDescent="0.35">
      <c r="AV1038" s="2"/>
    </row>
    <row r="1039" spans="48:48" x14ac:dyDescent="0.35">
      <c r="AV1039" s="2"/>
    </row>
    <row r="1040" spans="48:48" x14ac:dyDescent="0.35">
      <c r="AV1040" s="2"/>
    </row>
    <row r="1041" spans="48:48" x14ac:dyDescent="0.35">
      <c r="AV1041" s="2"/>
    </row>
    <row r="1042" spans="48:48" x14ac:dyDescent="0.35">
      <c r="AV1042" s="2"/>
    </row>
    <row r="1043" spans="48:48" x14ac:dyDescent="0.35">
      <c r="AV1043" s="2"/>
    </row>
    <row r="1044" spans="48:48" x14ac:dyDescent="0.35">
      <c r="AV1044" s="2"/>
    </row>
    <row r="1045" spans="48:48" x14ac:dyDescent="0.35">
      <c r="AV1045" s="2"/>
    </row>
    <row r="1046" spans="48:48" x14ac:dyDescent="0.35">
      <c r="AV1046" s="2"/>
    </row>
    <row r="1047" spans="48:48" x14ac:dyDescent="0.35">
      <c r="AV1047" s="2"/>
    </row>
    <row r="1048" spans="48:48" x14ac:dyDescent="0.35">
      <c r="AV1048" s="2"/>
    </row>
    <row r="1049" spans="48:48" x14ac:dyDescent="0.35">
      <c r="AV1049" s="2"/>
    </row>
    <row r="1050" spans="48:48" x14ac:dyDescent="0.35">
      <c r="AV1050" s="2"/>
    </row>
    <row r="1051" spans="48:48" x14ac:dyDescent="0.35">
      <c r="AV1051" s="2"/>
    </row>
    <row r="1052" spans="48:48" x14ac:dyDescent="0.35">
      <c r="AV1052" s="2"/>
    </row>
    <row r="1053" spans="48:48" x14ac:dyDescent="0.35">
      <c r="AV1053" s="2"/>
    </row>
    <row r="1054" spans="48:48" x14ac:dyDescent="0.35">
      <c r="AV1054" s="2"/>
    </row>
    <row r="1055" spans="48:48" x14ac:dyDescent="0.35">
      <c r="AV1055" s="2"/>
    </row>
    <row r="1056" spans="48:48" x14ac:dyDescent="0.35">
      <c r="AV1056" s="2"/>
    </row>
    <row r="1057" spans="48:48" x14ac:dyDescent="0.35">
      <c r="AV1057" s="2"/>
    </row>
    <row r="1058" spans="48:48" x14ac:dyDescent="0.35">
      <c r="AV1058" s="2"/>
    </row>
    <row r="1059" spans="48:48" x14ac:dyDescent="0.35">
      <c r="AV1059" s="2"/>
    </row>
    <row r="1060" spans="48:48" x14ac:dyDescent="0.35">
      <c r="AV1060" s="2"/>
    </row>
    <row r="1061" spans="48:48" x14ac:dyDescent="0.35">
      <c r="AV1061" s="2"/>
    </row>
    <row r="1062" spans="48:48" x14ac:dyDescent="0.35">
      <c r="AV1062" s="2"/>
    </row>
    <row r="1063" spans="48:48" x14ac:dyDescent="0.35">
      <c r="AV1063" s="2"/>
    </row>
    <row r="1064" spans="48:48" x14ac:dyDescent="0.35">
      <c r="AV1064" s="2"/>
    </row>
    <row r="1065" spans="48:48" x14ac:dyDescent="0.35">
      <c r="AV1065" s="2"/>
    </row>
    <row r="1066" spans="48:48" x14ac:dyDescent="0.35">
      <c r="AV1066" s="2"/>
    </row>
    <row r="1067" spans="48:48" x14ac:dyDescent="0.35">
      <c r="AV1067" s="2"/>
    </row>
    <row r="1068" spans="48:48" x14ac:dyDescent="0.35">
      <c r="AV1068" s="2"/>
    </row>
    <row r="1069" spans="48:48" x14ac:dyDescent="0.35">
      <c r="AV1069" s="2"/>
    </row>
    <row r="1070" spans="48:48" x14ac:dyDescent="0.35">
      <c r="AV1070" s="2"/>
    </row>
    <row r="1071" spans="48:48" x14ac:dyDescent="0.35">
      <c r="AV1071" s="2"/>
    </row>
    <row r="1072" spans="48:48" x14ac:dyDescent="0.35">
      <c r="AV1072" s="2"/>
    </row>
    <row r="1073" spans="48:48" x14ac:dyDescent="0.35">
      <c r="AV1073" s="2"/>
    </row>
    <row r="1074" spans="48:48" x14ac:dyDescent="0.35">
      <c r="AV1074" s="2"/>
    </row>
    <row r="1075" spans="48:48" x14ac:dyDescent="0.35">
      <c r="AV1075" s="2"/>
    </row>
    <row r="1076" spans="48:48" x14ac:dyDescent="0.35">
      <c r="AV1076" s="2"/>
    </row>
    <row r="1077" spans="48:48" x14ac:dyDescent="0.35">
      <c r="AV1077" s="2"/>
    </row>
    <row r="1078" spans="48:48" x14ac:dyDescent="0.35">
      <c r="AV1078" s="2"/>
    </row>
    <row r="1079" spans="48:48" x14ac:dyDescent="0.35">
      <c r="AV1079" s="2"/>
    </row>
    <row r="1080" spans="48:48" x14ac:dyDescent="0.35">
      <c r="AV1080" s="2"/>
    </row>
    <row r="1081" spans="48:48" x14ac:dyDescent="0.35">
      <c r="AV1081" s="2"/>
    </row>
    <row r="1082" spans="48:48" x14ac:dyDescent="0.35">
      <c r="AV1082" s="2"/>
    </row>
    <row r="1083" spans="48:48" x14ac:dyDescent="0.35">
      <c r="AV1083" s="2"/>
    </row>
    <row r="1084" spans="48:48" x14ac:dyDescent="0.35">
      <c r="AV1084" s="2"/>
    </row>
    <row r="1085" spans="48:48" x14ac:dyDescent="0.35">
      <c r="AV1085" s="2"/>
    </row>
    <row r="1086" spans="48:48" x14ac:dyDescent="0.35">
      <c r="AV1086" s="2"/>
    </row>
    <row r="1087" spans="48:48" x14ac:dyDescent="0.35">
      <c r="AV1087" s="2"/>
    </row>
    <row r="1088" spans="48:48" x14ac:dyDescent="0.35">
      <c r="AV1088" s="2"/>
    </row>
    <row r="1089" spans="48:48" x14ac:dyDescent="0.35">
      <c r="AV1089" s="2"/>
    </row>
    <row r="1090" spans="48:48" x14ac:dyDescent="0.35">
      <c r="AV1090" s="2"/>
    </row>
    <row r="1091" spans="48:48" x14ac:dyDescent="0.35">
      <c r="AV1091" s="2"/>
    </row>
    <row r="1092" spans="48:48" x14ac:dyDescent="0.35">
      <c r="AV1092" s="2"/>
    </row>
    <row r="1093" spans="48:48" x14ac:dyDescent="0.35">
      <c r="AV1093" s="2"/>
    </row>
    <row r="1094" spans="48:48" x14ac:dyDescent="0.35">
      <c r="AV1094" s="2"/>
    </row>
    <row r="1095" spans="48:48" x14ac:dyDescent="0.35">
      <c r="AV1095" s="2"/>
    </row>
    <row r="1096" spans="48:48" x14ac:dyDescent="0.35">
      <c r="AV1096" s="2"/>
    </row>
    <row r="1097" spans="48:48" x14ac:dyDescent="0.35">
      <c r="AV1097" s="2"/>
    </row>
    <row r="1098" spans="48:48" x14ac:dyDescent="0.35">
      <c r="AV1098" s="2"/>
    </row>
    <row r="1099" spans="48:48" x14ac:dyDescent="0.35">
      <c r="AV1099" s="2"/>
    </row>
    <row r="1100" spans="48:48" x14ac:dyDescent="0.35">
      <c r="AV1100" s="2"/>
    </row>
    <row r="1101" spans="48:48" x14ac:dyDescent="0.35">
      <c r="AV1101" s="2"/>
    </row>
    <row r="1102" spans="48:48" x14ac:dyDescent="0.35">
      <c r="AV1102" s="2"/>
    </row>
    <row r="1103" spans="48:48" x14ac:dyDescent="0.35">
      <c r="AV1103" s="2"/>
    </row>
    <row r="1104" spans="48:48" x14ac:dyDescent="0.35">
      <c r="AV1104" s="2"/>
    </row>
    <row r="1105" spans="48:48" x14ac:dyDescent="0.35">
      <c r="AV1105" s="2"/>
    </row>
    <row r="1106" spans="48:48" x14ac:dyDescent="0.35">
      <c r="AV1106" s="2"/>
    </row>
    <row r="1107" spans="48:48" x14ac:dyDescent="0.35">
      <c r="AV1107" s="2"/>
    </row>
    <row r="1108" spans="48:48" x14ac:dyDescent="0.35">
      <c r="AV1108" s="2"/>
    </row>
    <row r="1109" spans="48:48" x14ac:dyDescent="0.35">
      <c r="AV1109" s="2"/>
    </row>
    <row r="1110" spans="48:48" x14ac:dyDescent="0.35">
      <c r="AV1110" s="2"/>
    </row>
    <row r="1111" spans="48:48" x14ac:dyDescent="0.35">
      <c r="AV1111" s="2"/>
    </row>
    <row r="1112" spans="48:48" x14ac:dyDescent="0.35">
      <c r="AV1112" s="2"/>
    </row>
    <row r="1113" spans="48:48" x14ac:dyDescent="0.35">
      <c r="AV1113" s="2"/>
    </row>
    <row r="1114" spans="48:48" x14ac:dyDescent="0.35">
      <c r="AV1114" s="2"/>
    </row>
    <row r="1115" spans="48:48" x14ac:dyDescent="0.35">
      <c r="AV1115" s="2"/>
    </row>
    <row r="1116" spans="48:48" x14ac:dyDescent="0.35">
      <c r="AV1116" s="2"/>
    </row>
    <row r="1117" spans="48:48" x14ac:dyDescent="0.35">
      <c r="AV1117" s="2"/>
    </row>
    <row r="1118" spans="48:48" x14ac:dyDescent="0.35">
      <c r="AV1118" s="2"/>
    </row>
    <row r="1119" spans="48:48" x14ac:dyDescent="0.35">
      <c r="AV1119" s="2"/>
    </row>
    <row r="1120" spans="48:48" x14ac:dyDescent="0.35">
      <c r="AV1120" s="2"/>
    </row>
    <row r="1121" spans="48:48" x14ac:dyDescent="0.35">
      <c r="AV1121" s="2"/>
    </row>
    <row r="1122" spans="48:48" x14ac:dyDescent="0.35">
      <c r="AV1122" s="2"/>
    </row>
    <row r="1123" spans="48:48" x14ac:dyDescent="0.35">
      <c r="AV1123" s="2"/>
    </row>
    <row r="1124" spans="48:48" x14ac:dyDescent="0.35">
      <c r="AV1124" s="2"/>
    </row>
    <row r="1125" spans="48:48" x14ac:dyDescent="0.35">
      <c r="AV1125" s="2"/>
    </row>
    <row r="1126" spans="48:48" x14ac:dyDescent="0.35">
      <c r="AV1126" s="2"/>
    </row>
    <row r="1127" spans="48:48" x14ac:dyDescent="0.35">
      <c r="AV1127" s="2"/>
    </row>
    <row r="1128" spans="48:48" x14ac:dyDescent="0.35">
      <c r="AV1128" s="2"/>
    </row>
    <row r="1129" spans="48:48" x14ac:dyDescent="0.35">
      <c r="AV1129" s="2"/>
    </row>
    <row r="1130" spans="48:48" x14ac:dyDescent="0.35">
      <c r="AV1130" s="2"/>
    </row>
    <row r="1131" spans="48:48" x14ac:dyDescent="0.35">
      <c r="AV1131" s="2"/>
    </row>
    <row r="1132" spans="48:48" x14ac:dyDescent="0.35">
      <c r="AV1132" s="2"/>
    </row>
    <row r="1133" spans="48:48" x14ac:dyDescent="0.35">
      <c r="AV1133" s="2"/>
    </row>
    <row r="1134" spans="48:48" x14ac:dyDescent="0.35">
      <c r="AV1134" s="2"/>
    </row>
    <row r="1135" spans="48:48" x14ac:dyDescent="0.35">
      <c r="AV1135" s="2"/>
    </row>
    <row r="1136" spans="48:48" x14ac:dyDescent="0.35">
      <c r="AV1136" s="2"/>
    </row>
    <row r="1137" spans="48:48" x14ac:dyDescent="0.35">
      <c r="AV1137" s="2"/>
    </row>
    <row r="1138" spans="48:48" x14ac:dyDescent="0.35">
      <c r="AV1138" s="2"/>
    </row>
    <row r="1139" spans="48:48" x14ac:dyDescent="0.35">
      <c r="AV1139" s="2"/>
    </row>
    <row r="1140" spans="48:48" x14ac:dyDescent="0.35">
      <c r="AV1140" s="2"/>
    </row>
    <row r="1141" spans="48:48" x14ac:dyDescent="0.35">
      <c r="AV1141" s="2"/>
    </row>
    <row r="1142" spans="48:48" x14ac:dyDescent="0.35">
      <c r="AV1142" s="2"/>
    </row>
    <row r="1143" spans="48:48" x14ac:dyDescent="0.35">
      <c r="AV1143" s="2"/>
    </row>
    <row r="1144" spans="48:48" x14ac:dyDescent="0.35">
      <c r="AV1144" s="2"/>
    </row>
    <row r="1145" spans="48:48" x14ac:dyDescent="0.35">
      <c r="AV1145" s="2"/>
    </row>
    <row r="1146" spans="48:48" x14ac:dyDescent="0.35">
      <c r="AV1146" s="2"/>
    </row>
    <row r="1147" spans="48:48" x14ac:dyDescent="0.35">
      <c r="AV1147" s="2"/>
    </row>
    <row r="1148" spans="48:48" x14ac:dyDescent="0.35">
      <c r="AV1148" s="2"/>
    </row>
    <row r="1149" spans="48:48" x14ac:dyDescent="0.35">
      <c r="AV1149" s="2"/>
    </row>
    <row r="1150" spans="48:48" x14ac:dyDescent="0.35">
      <c r="AV1150" s="2"/>
    </row>
    <row r="1151" spans="48:48" x14ac:dyDescent="0.35">
      <c r="AV1151" s="2"/>
    </row>
    <row r="1152" spans="48:48" x14ac:dyDescent="0.35">
      <c r="AV1152" s="2"/>
    </row>
    <row r="1153" spans="48:48" x14ac:dyDescent="0.35">
      <c r="AV1153" s="2"/>
    </row>
    <row r="1154" spans="48:48" x14ac:dyDescent="0.35">
      <c r="AV1154" s="2"/>
    </row>
    <row r="1155" spans="48:48" x14ac:dyDescent="0.35">
      <c r="AV1155" s="2"/>
    </row>
    <row r="1156" spans="48:48" x14ac:dyDescent="0.35">
      <c r="AV1156" s="2"/>
    </row>
    <row r="1157" spans="48:48" x14ac:dyDescent="0.35">
      <c r="AV1157" s="2"/>
    </row>
    <row r="1158" spans="48:48" x14ac:dyDescent="0.35">
      <c r="AV1158" s="2"/>
    </row>
    <row r="1159" spans="48:48" x14ac:dyDescent="0.35">
      <c r="AV1159" s="2"/>
    </row>
    <row r="1160" spans="48:48" x14ac:dyDescent="0.35">
      <c r="AV1160" s="2"/>
    </row>
    <row r="1161" spans="48:48" x14ac:dyDescent="0.35">
      <c r="AV1161" s="2"/>
    </row>
    <row r="1162" spans="48:48" x14ac:dyDescent="0.35">
      <c r="AV1162" s="2"/>
    </row>
    <row r="1163" spans="48:48" x14ac:dyDescent="0.35">
      <c r="AV1163" s="2"/>
    </row>
    <row r="1164" spans="48:48" x14ac:dyDescent="0.35">
      <c r="AV1164" s="2"/>
    </row>
    <row r="1165" spans="48:48" x14ac:dyDescent="0.35">
      <c r="AV1165" s="2"/>
    </row>
    <row r="1166" spans="48:48" x14ac:dyDescent="0.35">
      <c r="AV1166" s="2"/>
    </row>
    <row r="1167" spans="48:48" x14ac:dyDescent="0.35">
      <c r="AV1167" s="2"/>
    </row>
    <row r="1168" spans="48:48" x14ac:dyDescent="0.35">
      <c r="AV1168" s="2"/>
    </row>
    <row r="1169" spans="48:48" x14ac:dyDescent="0.35">
      <c r="AV1169" s="2"/>
    </row>
    <row r="1170" spans="48:48" x14ac:dyDescent="0.35">
      <c r="AV1170" s="2"/>
    </row>
    <row r="1171" spans="48:48" x14ac:dyDescent="0.35">
      <c r="AV1171" s="2"/>
    </row>
    <row r="1172" spans="48:48" x14ac:dyDescent="0.35">
      <c r="AV1172" s="2"/>
    </row>
    <row r="1173" spans="48:48" x14ac:dyDescent="0.35">
      <c r="AV1173" s="2"/>
    </row>
    <row r="1174" spans="48:48" x14ac:dyDescent="0.35">
      <c r="AV1174" s="2"/>
    </row>
    <row r="1175" spans="48:48" x14ac:dyDescent="0.35">
      <c r="AV1175" s="2"/>
    </row>
    <row r="1176" spans="48:48" x14ac:dyDescent="0.35">
      <c r="AV1176" s="2"/>
    </row>
    <row r="1177" spans="48:48" x14ac:dyDescent="0.35">
      <c r="AV1177" s="2"/>
    </row>
    <row r="1178" spans="48:48" x14ac:dyDescent="0.35">
      <c r="AV1178" s="2"/>
    </row>
    <row r="1179" spans="48:48" x14ac:dyDescent="0.35">
      <c r="AV1179" s="2"/>
    </row>
    <row r="1180" spans="48:48" x14ac:dyDescent="0.35">
      <c r="AV1180" s="2"/>
    </row>
    <row r="1181" spans="48:48" x14ac:dyDescent="0.35">
      <c r="AV1181" s="2"/>
    </row>
    <row r="1182" spans="48:48" x14ac:dyDescent="0.35">
      <c r="AV1182" s="2"/>
    </row>
    <row r="1183" spans="48:48" x14ac:dyDescent="0.35">
      <c r="AV1183" s="2"/>
    </row>
    <row r="1184" spans="48:48" x14ac:dyDescent="0.35">
      <c r="AV1184" s="2"/>
    </row>
    <row r="1185" spans="48:48" x14ac:dyDescent="0.35">
      <c r="AV1185" s="2"/>
    </row>
    <row r="1186" spans="48:48" x14ac:dyDescent="0.35">
      <c r="AV1186" s="2"/>
    </row>
    <row r="1187" spans="48:48" x14ac:dyDescent="0.35">
      <c r="AV1187" s="2"/>
    </row>
    <row r="1188" spans="48:48" x14ac:dyDescent="0.35">
      <c r="AV1188" s="2"/>
    </row>
    <row r="1189" spans="48:48" x14ac:dyDescent="0.35">
      <c r="AV1189" s="2"/>
    </row>
    <row r="1190" spans="48:48" x14ac:dyDescent="0.35">
      <c r="AV1190" s="2"/>
    </row>
    <row r="1191" spans="48:48" x14ac:dyDescent="0.35">
      <c r="AV1191" s="2"/>
    </row>
    <row r="1192" spans="48:48" x14ac:dyDescent="0.35">
      <c r="AV1192" s="2"/>
    </row>
    <row r="1193" spans="48:48" x14ac:dyDescent="0.35">
      <c r="AV1193" s="2"/>
    </row>
    <row r="1194" spans="48:48" x14ac:dyDescent="0.35">
      <c r="AV1194" s="2"/>
    </row>
    <row r="1195" spans="48:48" x14ac:dyDescent="0.35">
      <c r="AV1195" s="2"/>
    </row>
    <row r="1196" spans="48:48" x14ac:dyDescent="0.35">
      <c r="AV1196" s="2"/>
    </row>
    <row r="1197" spans="48:48" x14ac:dyDescent="0.35">
      <c r="AV1197" s="2"/>
    </row>
    <row r="1198" spans="48:48" x14ac:dyDescent="0.35">
      <c r="AV1198" s="2"/>
    </row>
    <row r="1199" spans="48:48" x14ac:dyDescent="0.35">
      <c r="AV1199" s="2"/>
    </row>
    <row r="1200" spans="48:48" x14ac:dyDescent="0.35">
      <c r="AV1200" s="2"/>
    </row>
    <row r="1201" spans="48:48" x14ac:dyDescent="0.35">
      <c r="AV1201" s="2"/>
    </row>
    <row r="1202" spans="48:48" x14ac:dyDescent="0.35">
      <c r="AV1202" s="2"/>
    </row>
    <row r="1203" spans="48:48" x14ac:dyDescent="0.35">
      <c r="AV1203" s="2"/>
    </row>
    <row r="1204" spans="48:48" x14ac:dyDescent="0.35">
      <c r="AV1204" s="2"/>
    </row>
    <row r="1205" spans="48:48" x14ac:dyDescent="0.35">
      <c r="AV1205" s="2"/>
    </row>
    <row r="1206" spans="48:48" x14ac:dyDescent="0.35">
      <c r="AV1206" s="2"/>
    </row>
    <row r="1207" spans="48:48" x14ac:dyDescent="0.35">
      <c r="AV1207" s="2"/>
    </row>
    <row r="1208" spans="48:48" x14ac:dyDescent="0.35">
      <c r="AV1208" s="2"/>
    </row>
    <row r="1209" spans="48:48" x14ac:dyDescent="0.35">
      <c r="AV1209" s="2"/>
    </row>
    <row r="1210" spans="48:48" x14ac:dyDescent="0.35">
      <c r="AV1210" s="2"/>
    </row>
    <row r="1211" spans="48:48" x14ac:dyDescent="0.35">
      <c r="AV1211" s="2"/>
    </row>
    <row r="1212" spans="48:48" x14ac:dyDescent="0.35">
      <c r="AV1212" s="2"/>
    </row>
    <row r="1213" spans="48:48" x14ac:dyDescent="0.35">
      <c r="AV1213" s="2"/>
    </row>
    <row r="1214" spans="48:48" x14ac:dyDescent="0.35">
      <c r="AV1214" s="2"/>
    </row>
    <row r="1215" spans="48:48" x14ac:dyDescent="0.35">
      <c r="AV1215" s="2"/>
    </row>
    <row r="1216" spans="48:48" x14ac:dyDescent="0.35">
      <c r="AV1216" s="2"/>
    </row>
    <row r="1217" spans="48:48" x14ac:dyDescent="0.35">
      <c r="AV1217" s="2"/>
    </row>
    <row r="1218" spans="48:48" x14ac:dyDescent="0.35">
      <c r="AV1218" s="2"/>
    </row>
    <row r="1219" spans="48:48" x14ac:dyDescent="0.35">
      <c r="AV1219" s="2"/>
    </row>
    <row r="1220" spans="48:48" x14ac:dyDescent="0.35">
      <c r="AV1220" s="2"/>
    </row>
    <row r="1221" spans="48:48" x14ac:dyDescent="0.35">
      <c r="AV1221" s="2"/>
    </row>
    <row r="1222" spans="48:48" x14ac:dyDescent="0.35">
      <c r="AV1222" s="2"/>
    </row>
    <row r="1223" spans="48:48" x14ac:dyDescent="0.35">
      <c r="AV1223" s="2"/>
    </row>
    <row r="1224" spans="48:48" x14ac:dyDescent="0.35">
      <c r="AV1224" s="2"/>
    </row>
    <row r="1225" spans="48:48" x14ac:dyDescent="0.35">
      <c r="AV1225" s="2"/>
    </row>
    <row r="1226" spans="48:48" x14ac:dyDescent="0.35">
      <c r="AV1226" s="2"/>
    </row>
    <row r="1227" spans="48:48" x14ac:dyDescent="0.35">
      <c r="AV1227" s="2"/>
    </row>
    <row r="1228" spans="48:48" x14ac:dyDescent="0.35">
      <c r="AV1228" s="2"/>
    </row>
    <row r="1229" spans="48:48" x14ac:dyDescent="0.35">
      <c r="AV1229" s="2"/>
    </row>
    <row r="1230" spans="48:48" x14ac:dyDescent="0.35">
      <c r="AV1230" s="2"/>
    </row>
    <row r="1231" spans="48:48" x14ac:dyDescent="0.35">
      <c r="AV1231" s="2"/>
    </row>
    <row r="1232" spans="48:48" x14ac:dyDescent="0.35">
      <c r="AV1232" s="2"/>
    </row>
    <row r="1233" spans="48:48" x14ac:dyDescent="0.35">
      <c r="AV1233" s="2"/>
    </row>
    <row r="1234" spans="48:48" x14ac:dyDescent="0.35">
      <c r="AV1234" s="2"/>
    </row>
    <row r="1235" spans="48:48" x14ac:dyDescent="0.35">
      <c r="AV1235" s="2"/>
    </row>
    <row r="1236" spans="48:48" x14ac:dyDescent="0.35">
      <c r="AV1236" s="2"/>
    </row>
    <row r="1237" spans="48:48" x14ac:dyDescent="0.35">
      <c r="AV1237" s="2"/>
    </row>
    <row r="1238" spans="48:48" x14ac:dyDescent="0.35">
      <c r="AV1238" s="2"/>
    </row>
  </sheetData>
  <autoFilter ref="A7:A1167" xr:uid="{00000000-0009-0000-0000-000001000000}"/>
  <mergeCells count="1">
    <mergeCell ref="AC4:AE4"/>
  </mergeCells>
  <conditionalFormatting pivot="1" sqref="D8:R858">
    <cfRule type="cellIs" dxfId="1100" priority="12" operator="equal">
      <formula>D$5</formula>
    </cfRule>
  </conditionalFormatting>
  <conditionalFormatting pivot="1" sqref="S10">
    <cfRule type="cellIs" dxfId="1099" priority="10" operator="equal">
      <formula>S$5</formula>
    </cfRule>
  </conditionalFormatting>
  <conditionalFormatting pivot="1" sqref="T10">
    <cfRule type="cellIs" dxfId="1098" priority="6" operator="equal">
      <formula>T$5</formula>
    </cfRule>
  </conditionalFormatting>
  <conditionalFormatting pivot="1" sqref="U8">
    <cfRule type="cellIs" dxfId="1097" priority="5" operator="equal">
      <formula>U$5</formula>
    </cfRule>
  </conditionalFormatting>
  <conditionalFormatting pivot="1" sqref="V17">
    <cfRule type="cellIs" dxfId="1096" priority="4" operator="equal">
      <formula>V$5</formula>
    </cfRule>
  </conditionalFormatting>
  <conditionalFormatting pivot="1" sqref="W10">
    <cfRule type="cellIs" dxfId="1095" priority="3" operator="equal">
      <formula>W$5</formula>
    </cfRule>
  </conditionalFormatting>
  <conditionalFormatting pivot="1" sqref="X8">
    <cfRule type="cellIs" dxfId="1094" priority="2" operator="equal">
      <formula>X$5</formula>
    </cfRule>
  </conditionalFormatting>
  <conditionalFormatting pivot="1" sqref="Y61">
    <cfRule type="cellIs" dxfId="1093" priority="1" operator="equal">
      <formula>Y$5</formula>
    </cfRule>
  </conditionalFormatting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AA767"/>
  <sheetViews>
    <sheetView zoomScale="65" zoomScaleNormal="65" workbookViewId="0">
      <selection activeCell="A13" sqref="A13"/>
    </sheetView>
  </sheetViews>
  <sheetFormatPr defaultRowHeight="15" x14ac:dyDescent="0.35"/>
  <cols>
    <col min="1" max="1" width="5.0625" bestFit="1" customWidth="1"/>
    <col min="2" max="2" width="18.5625" bestFit="1" customWidth="1"/>
    <col min="3" max="26" width="27" bestFit="1" customWidth="1"/>
    <col min="27" max="29" width="10.625" bestFit="1" customWidth="1"/>
    <col min="30" max="144" width="27.5625" bestFit="1" customWidth="1"/>
    <col min="145" max="145" width="11.0625" bestFit="1" customWidth="1"/>
  </cols>
  <sheetData>
    <row r="3" spans="1:27" x14ac:dyDescent="0.35">
      <c r="B3" s="6" t="s">
        <v>1428</v>
      </c>
      <c r="C3" t="s">
        <v>1466</v>
      </c>
    </row>
    <row r="4" spans="1:27" x14ac:dyDescent="0.35">
      <c r="B4" s="6" t="s">
        <v>140</v>
      </c>
      <c r="C4" s="19">
        <v>2024</v>
      </c>
    </row>
    <row r="6" spans="1:27" ht="15.45" x14ac:dyDescent="0.4">
      <c r="A6" s="7" t="s">
        <v>1503</v>
      </c>
      <c r="B6" s="9" t="s">
        <v>1435</v>
      </c>
      <c r="C6" s="6" t="s">
        <v>0</v>
      </c>
      <c r="D6" s="6" t="s">
        <v>1</v>
      </c>
    </row>
    <row r="7" spans="1:27" x14ac:dyDescent="0.35">
      <c r="A7">
        <v>1</v>
      </c>
      <c r="B7" s="14"/>
      <c r="C7" t="s">
        <v>109</v>
      </c>
      <c r="F7" t="s">
        <v>263</v>
      </c>
      <c r="N7" t="s">
        <v>68</v>
      </c>
      <c r="S7" t="s">
        <v>8</v>
      </c>
      <c r="W7" t="s">
        <v>2410</v>
      </c>
      <c r="Z7" t="s">
        <v>2654</v>
      </c>
      <c r="AA7" t="s">
        <v>1427</v>
      </c>
    </row>
    <row r="8" spans="1:27" x14ac:dyDescent="0.35">
      <c r="A8">
        <f>A7+1</f>
        <v>2</v>
      </c>
      <c r="B8" s="6" t="s">
        <v>7</v>
      </c>
      <c r="C8" t="s">
        <v>45</v>
      </c>
      <c r="D8" t="s">
        <v>110</v>
      </c>
      <c r="E8" t="s">
        <v>2660</v>
      </c>
      <c r="F8" t="s">
        <v>110</v>
      </c>
      <c r="G8" t="s">
        <v>2690</v>
      </c>
      <c r="H8" t="s">
        <v>2691</v>
      </c>
      <c r="I8" t="s">
        <v>2692</v>
      </c>
      <c r="J8" t="s">
        <v>2698</v>
      </c>
      <c r="K8" t="s">
        <v>2700</v>
      </c>
      <c r="L8" t="s">
        <v>2703</v>
      </c>
      <c r="M8" t="s">
        <v>2704</v>
      </c>
      <c r="N8" t="s">
        <v>2655</v>
      </c>
      <c r="O8" t="s">
        <v>2656</v>
      </c>
      <c r="P8" t="s">
        <v>2657</v>
      </c>
      <c r="Q8" t="s">
        <v>2658</v>
      </c>
      <c r="R8" t="s">
        <v>2659</v>
      </c>
      <c r="S8" t="s">
        <v>557</v>
      </c>
      <c r="T8" t="s">
        <v>45</v>
      </c>
      <c r="U8" t="s">
        <v>348</v>
      </c>
      <c r="V8" t="s">
        <v>2446</v>
      </c>
      <c r="W8" t="s">
        <v>557</v>
      </c>
      <c r="X8" t="s">
        <v>45</v>
      </c>
      <c r="Y8" t="s">
        <v>2661</v>
      </c>
      <c r="Z8" t="s">
        <v>45</v>
      </c>
    </row>
    <row r="9" spans="1:27" x14ac:dyDescent="0.35">
      <c r="A9">
        <f t="shared" ref="A9:A72" si="0">A8+1</f>
        <v>3</v>
      </c>
      <c r="B9" s="27" t="s">
        <v>532</v>
      </c>
      <c r="C9" s="8"/>
      <c r="D9" s="8"/>
      <c r="E9" s="8"/>
      <c r="F9" s="8"/>
      <c r="G9" s="8"/>
      <c r="H9" s="8"/>
      <c r="I9" s="8">
        <v>1732.3937598229686</v>
      </c>
      <c r="J9" s="8">
        <v>1380.2112417116059</v>
      </c>
      <c r="K9" s="8"/>
      <c r="L9" s="8"/>
      <c r="M9" s="8"/>
      <c r="N9" s="8"/>
      <c r="O9" s="8">
        <v>1031.4084642516241</v>
      </c>
      <c r="P9" s="8"/>
      <c r="Q9" s="8"/>
      <c r="R9" s="8">
        <v>1243.0380486862944</v>
      </c>
      <c r="S9" s="8">
        <v>869.23171973097612</v>
      </c>
      <c r="T9" s="8">
        <v>1263.2414347745814</v>
      </c>
      <c r="U9" s="8"/>
      <c r="V9" s="8"/>
      <c r="W9" s="8"/>
      <c r="X9" s="8"/>
      <c r="Y9" s="8"/>
      <c r="Z9" s="8">
        <v>855.31720519594273</v>
      </c>
      <c r="AA9" s="8">
        <v>8374.8418741739915</v>
      </c>
    </row>
    <row r="10" spans="1:27" x14ac:dyDescent="0.35">
      <c r="A10">
        <f t="shared" si="0"/>
        <v>4</v>
      </c>
      <c r="B10" t="s">
        <v>2349</v>
      </c>
      <c r="C10" s="8"/>
      <c r="D10" s="8"/>
      <c r="E10" s="8"/>
      <c r="F10" s="8">
        <v>1591.0646070264991</v>
      </c>
      <c r="G10" s="8"/>
      <c r="H10" s="8"/>
      <c r="I10" s="8">
        <v>1431.3637641589874</v>
      </c>
      <c r="J10" s="8">
        <v>1681.2412373755872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>
        <v>680.86391800879642</v>
      </c>
      <c r="V10" s="8"/>
      <c r="W10" s="8">
        <v>1447.1580313422191</v>
      </c>
      <c r="X10" s="8">
        <v>1518.5139398778874</v>
      </c>
      <c r="Y10" s="8"/>
      <c r="Z10" s="8"/>
      <c r="AA10" s="8">
        <v>8350.205497789977</v>
      </c>
    </row>
    <row r="11" spans="1:27" x14ac:dyDescent="0.35">
      <c r="A11">
        <f t="shared" si="0"/>
        <v>5</v>
      </c>
      <c r="B11" s="27" t="s">
        <v>272</v>
      </c>
      <c r="C11" s="8"/>
      <c r="D11" s="8"/>
      <c r="E11" s="8"/>
      <c r="F11" s="8">
        <v>937.85209325115545</v>
      </c>
      <c r="G11" s="8">
        <v>1361.7278360175928</v>
      </c>
      <c r="H11" s="8">
        <v>801.63234623316646</v>
      </c>
      <c r="I11" s="8"/>
      <c r="J11" s="8">
        <v>1079.1812460476247</v>
      </c>
      <c r="K11" s="8">
        <v>1255.2725051033062</v>
      </c>
      <c r="L11" s="8"/>
      <c r="M11" s="8"/>
      <c r="N11" s="8"/>
      <c r="O11" s="8"/>
      <c r="P11" s="8">
        <v>1204.1199826559248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>
        <v>6639.7860093087702</v>
      </c>
    </row>
    <row r="12" spans="1:27" x14ac:dyDescent="0.35">
      <c r="A12">
        <f t="shared" si="0"/>
        <v>6</v>
      </c>
      <c r="B12" s="27" t="s">
        <v>1526</v>
      </c>
      <c r="C12" s="8"/>
      <c r="D12" s="8"/>
      <c r="E12" s="8"/>
      <c r="F12" s="8"/>
      <c r="G12" s="8"/>
      <c r="H12" s="8"/>
      <c r="I12" s="8"/>
      <c r="J12" s="8"/>
      <c r="K12" s="8">
        <v>887.29571980871185</v>
      </c>
      <c r="L12" s="8"/>
      <c r="M12" s="8">
        <v>826.07480270082647</v>
      </c>
      <c r="N12" s="8"/>
      <c r="O12" s="8">
        <v>1332.4384599156051</v>
      </c>
      <c r="P12" s="8">
        <v>806.17997398388718</v>
      </c>
      <c r="Q12" s="8"/>
      <c r="R12" s="8"/>
      <c r="S12" s="8"/>
      <c r="T12" s="8"/>
      <c r="U12" s="8"/>
      <c r="V12" s="8"/>
      <c r="W12" s="8"/>
      <c r="X12" s="8">
        <v>819.54393554186868</v>
      </c>
      <c r="Y12" s="8">
        <v>1361.7278360175928</v>
      </c>
      <c r="Z12" s="8"/>
      <c r="AA12" s="8">
        <v>6033.2607279684926</v>
      </c>
    </row>
    <row r="13" spans="1:27" x14ac:dyDescent="0.35">
      <c r="A13">
        <f t="shared" si="0"/>
        <v>7</v>
      </c>
      <c r="B13" t="s">
        <v>2321</v>
      </c>
      <c r="C13" s="8"/>
      <c r="D13" s="8"/>
      <c r="E13" s="8"/>
      <c r="F13" s="8">
        <v>1414.9733479708179</v>
      </c>
      <c r="G13" s="8"/>
      <c r="H13" s="8">
        <v>1579.7835966168102</v>
      </c>
      <c r="I13" s="8"/>
      <c r="J13" s="8">
        <v>1204.1199826559248</v>
      </c>
      <c r="K13" s="8"/>
      <c r="L13" s="8"/>
      <c r="M13" s="8">
        <v>1348.9535479811641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>
        <v>5547.8304752247168</v>
      </c>
    </row>
    <row r="14" spans="1:27" x14ac:dyDescent="0.35">
      <c r="A14">
        <f t="shared" si="0"/>
        <v>8</v>
      </c>
      <c r="B14" t="s">
        <v>2643</v>
      </c>
      <c r="C14" s="8"/>
      <c r="D14" s="8"/>
      <c r="E14" s="8"/>
      <c r="F14" s="8"/>
      <c r="G14" s="8"/>
      <c r="H14" s="8"/>
      <c r="I14" s="8"/>
      <c r="J14" s="8"/>
      <c r="K14" s="8"/>
      <c r="L14" s="8">
        <v>1393.5752032695875</v>
      </c>
      <c r="M14" s="8"/>
      <c r="N14" s="8">
        <v>1672.0978579357175</v>
      </c>
      <c r="O14" s="8"/>
      <c r="P14" s="8">
        <v>1505.149978319906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>
        <v>4570.8230395252112</v>
      </c>
    </row>
    <row r="15" spans="1:27" x14ac:dyDescent="0.35">
      <c r="A15">
        <f t="shared" si="0"/>
        <v>9</v>
      </c>
      <c r="B15" s="30" t="s">
        <v>367</v>
      </c>
      <c r="C15" s="31"/>
      <c r="D15" s="31">
        <v>1088.1360887005512</v>
      </c>
      <c r="E15" s="31"/>
      <c r="F15" s="31"/>
      <c r="G15" s="31"/>
      <c r="H15" s="31"/>
      <c r="I15" s="31"/>
      <c r="J15" s="31"/>
      <c r="K15" s="31"/>
      <c r="L15" s="31">
        <v>1518.5139398778874</v>
      </c>
      <c r="M15" s="31"/>
      <c r="N15" s="31"/>
      <c r="O15" s="31"/>
      <c r="P15" s="31"/>
      <c r="Q15" s="31"/>
      <c r="R15" s="31"/>
      <c r="S15" s="31"/>
      <c r="T15" s="31"/>
      <c r="U15" s="31">
        <v>530.34892017680579</v>
      </c>
      <c r="V15" s="31"/>
      <c r="W15" s="31">
        <v>1146.1280356782379</v>
      </c>
      <c r="X15" s="31"/>
      <c r="Y15" s="31"/>
      <c r="Z15" s="31"/>
      <c r="AA15" s="31">
        <v>4283.126984433482</v>
      </c>
    </row>
    <row r="16" spans="1:27" x14ac:dyDescent="0.35">
      <c r="A16">
        <f t="shared" si="0"/>
        <v>10</v>
      </c>
      <c r="B16" s="27" t="s">
        <v>1583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>
        <v>1740.3626894942438</v>
      </c>
      <c r="U16" s="8"/>
      <c r="V16" s="8">
        <v>1230.4489213782738</v>
      </c>
      <c r="W16" s="8"/>
      <c r="X16" s="8">
        <v>1217.4839442139062</v>
      </c>
      <c r="Y16" s="8"/>
      <c r="Z16" s="8"/>
      <c r="AA16" s="8">
        <v>4188.2955550864235</v>
      </c>
    </row>
    <row r="17" spans="1:27" x14ac:dyDescent="0.35">
      <c r="A17">
        <f t="shared" si="0"/>
        <v>11</v>
      </c>
      <c r="B17" s="27" t="s">
        <v>1471</v>
      </c>
      <c r="C17" s="8"/>
      <c r="D17" s="8"/>
      <c r="E17" s="8"/>
      <c r="F17" s="8"/>
      <c r="G17" s="8"/>
      <c r="H17" s="8">
        <v>1278.7536009528289</v>
      </c>
      <c r="I17" s="8"/>
      <c r="J17" s="8"/>
      <c r="K17" s="8">
        <v>954.24250943932498</v>
      </c>
      <c r="L17" s="8"/>
      <c r="M17" s="8">
        <v>922.98481570888293</v>
      </c>
      <c r="N17" s="8"/>
      <c r="O17" s="8"/>
      <c r="P17" s="8"/>
      <c r="Q17" s="8"/>
      <c r="R17" s="8"/>
      <c r="S17" s="8"/>
      <c r="T17" s="8"/>
      <c r="U17" s="8"/>
      <c r="V17" s="8"/>
      <c r="W17" s="8"/>
      <c r="X17" s="8">
        <v>916.45394854992514</v>
      </c>
      <c r="Y17" s="8"/>
      <c r="Z17" s="8"/>
      <c r="AA17" s="8">
        <v>4072.4348746509622</v>
      </c>
    </row>
    <row r="18" spans="1:27" x14ac:dyDescent="0.35">
      <c r="A18">
        <f t="shared" si="0"/>
        <v>12</v>
      </c>
      <c r="B18" s="30" t="s">
        <v>476</v>
      </c>
      <c r="C18" s="31"/>
      <c r="D18" s="31">
        <v>1213.0748253088514</v>
      </c>
      <c r="E18" s="31"/>
      <c r="F18" s="31"/>
      <c r="G18" s="31"/>
      <c r="H18" s="31"/>
      <c r="I18" s="31"/>
      <c r="J18" s="31"/>
      <c r="K18" s="31"/>
      <c r="L18" s="31">
        <v>849.50715891931191</v>
      </c>
      <c r="M18" s="31"/>
      <c r="N18" s="31"/>
      <c r="O18" s="31"/>
      <c r="P18" s="31"/>
      <c r="Q18" s="31"/>
      <c r="R18" s="31">
        <v>1066.9467896306132</v>
      </c>
      <c r="S18" s="31"/>
      <c r="T18" s="31"/>
      <c r="U18" s="31">
        <v>680.86391800879642</v>
      </c>
      <c r="V18" s="31"/>
      <c r="W18" s="31"/>
      <c r="X18" s="31"/>
      <c r="Y18" s="31"/>
      <c r="Z18" s="31"/>
      <c r="AA18" s="31">
        <v>3810.3926918675734</v>
      </c>
    </row>
    <row r="19" spans="1:27" x14ac:dyDescent="0.35">
      <c r="A19">
        <f t="shared" si="0"/>
        <v>13</v>
      </c>
      <c r="B19" s="27" t="s">
        <v>1547</v>
      </c>
      <c r="C19" s="8"/>
      <c r="D19" s="8"/>
      <c r="E19" s="8"/>
      <c r="F19" s="8"/>
      <c r="G19" s="8"/>
      <c r="H19" s="8"/>
      <c r="I19" s="8"/>
      <c r="J19" s="8"/>
      <c r="K19" s="8">
        <v>1431.3637641589874</v>
      </c>
      <c r="L19" s="8">
        <v>1995.6351945975498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>
        <v>3426.9989587565369</v>
      </c>
    </row>
    <row r="20" spans="1:27" x14ac:dyDescent="0.35">
      <c r="A20">
        <f t="shared" si="0"/>
        <v>14</v>
      </c>
      <c r="B20" s="27" t="s">
        <v>613</v>
      </c>
      <c r="C20" s="8"/>
      <c r="D20" s="8"/>
      <c r="E20" s="8">
        <v>763.42799356293722</v>
      </c>
      <c r="F20" s="8"/>
      <c r="G20" s="8"/>
      <c r="H20" s="8"/>
      <c r="I20" s="8">
        <v>1255.2725051033062</v>
      </c>
      <c r="J20" s="8"/>
      <c r="K20" s="8"/>
      <c r="L20" s="8">
        <v>1217.4839442139062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3236.1844428801496</v>
      </c>
    </row>
    <row r="21" spans="1:27" x14ac:dyDescent="0.35">
      <c r="A21">
        <f t="shared" si="0"/>
        <v>15</v>
      </c>
      <c r="B21" s="27" t="s">
        <v>917</v>
      </c>
      <c r="C21" s="8"/>
      <c r="D21" s="8"/>
      <c r="E21" s="8"/>
      <c r="F21" s="8"/>
      <c r="G21" s="8">
        <v>662.75783168157398</v>
      </c>
      <c r="H21" s="8">
        <v>880.81359228079123</v>
      </c>
      <c r="I21" s="8"/>
      <c r="J21" s="8"/>
      <c r="K21" s="8"/>
      <c r="L21" s="8"/>
      <c r="M21" s="8">
        <v>1525.0448070368452</v>
      </c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>
        <v>3068.6162309992105</v>
      </c>
    </row>
    <row r="22" spans="1:27" x14ac:dyDescent="0.35">
      <c r="A22">
        <f t="shared" si="0"/>
        <v>16</v>
      </c>
      <c r="B22" t="s">
        <v>2372</v>
      </c>
      <c r="C22" s="8"/>
      <c r="D22" s="8"/>
      <c r="E22" s="8"/>
      <c r="F22" s="8">
        <v>1892.0946026904803</v>
      </c>
      <c r="G22" s="8"/>
      <c r="H22" s="8"/>
      <c r="I22" s="8"/>
      <c r="J22" s="8"/>
      <c r="K22" s="8">
        <v>1130.3337684950061</v>
      </c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3022.4283711854864</v>
      </c>
    </row>
    <row r="23" spans="1:27" x14ac:dyDescent="0.35">
      <c r="A23">
        <f t="shared" si="0"/>
        <v>17</v>
      </c>
      <c r="B23" s="27" t="s">
        <v>1464</v>
      </c>
      <c r="C23" s="8"/>
      <c r="D23" s="8"/>
      <c r="E23" s="8">
        <v>1462.3979978989562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>
        <v>962.21143911060028</v>
      </c>
      <c r="U23" s="8">
        <v>530.34892017680579</v>
      </c>
      <c r="V23" s="8"/>
      <c r="W23" s="8"/>
      <c r="X23" s="8"/>
      <c r="Y23" s="8"/>
      <c r="Z23" s="8"/>
      <c r="AA23" s="8">
        <v>2954.9583571863623</v>
      </c>
    </row>
    <row r="24" spans="1:27" x14ac:dyDescent="0.35">
      <c r="A24">
        <f t="shared" si="0"/>
        <v>18</v>
      </c>
      <c r="B24" s="27" t="s">
        <v>400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>
        <v>1194.9766032160551</v>
      </c>
      <c r="O24" s="8">
        <v>1633.4684555795864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>
        <v>2828.4450587956417</v>
      </c>
    </row>
    <row r="25" spans="1:27" x14ac:dyDescent="0.35">
      <c r="A25">
        <f t="shared" si="0"/>
        <v>19</v>
      </c>
      <c r="B25" s="27" t="s">
        <v>1560</v>
      </c>
      <c r="C25" s="8"/>
      <c r="D25" s="8"/>
      <c r="E25" s="8"/>
      <c r="F25" s="8">
        <v>1046.9965626762234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>
        <v>1633.4684555795864</v>
      </c>
      <c r="AA25" s="8">
        <v>2680.4650182558098</v>
      </c>
    </row>
    <row r="26" spans="1:27" x14ac:dyDescent="0.35">
      <c r="A26">
        <f t="shared" si="0"/>
        <v>20</v>
      </c>
      <c r="B26" s="27" t="s">
        <v>219</v>
      </c>
      <c r="C26" s="8"/>
      <c r="D26" s="8"/>
      <c r="E26" s="8"/>
      <c r="F26" s="8"/>
      <c r="G26" s="8"/>
      <c r="H26" s="8"/>
      <c r="I26" s="8"/>
      <c r="J26" s="8">
        <v>836.14319736133041</v>
      </c>
      <c r="K26" s="8"/>
      <c r="L26" s="8"/>
      <c r="M26" s="8">
        <v>1826.0748027008265</v>
      </c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>
        <v>2662.218000062157</v>
      </c>
    </row>
    <row r="27" spans="1:27" x14ac:dyDescent="0.35">
      <c r="A27">
        <f t="shared" si="0"/>
        <v>21</v>
      </c>
      <c r="B27" s="27" t="s">
        <v>1173</v>
      </c>
      <c r="C27" s="8"/>
      <c r="D27" s="8"/>
      <c r="E27" s="8"/>
      <c r="F27" s="8"/>
      <c r="G27" s="8">
        <v>759.66784468963044</v>
      </c>
      <c r="H27" s="8"/>
      <c r="I27" s="8"/>
      <c r="J27" s="8">
        <v>836.14319736133041</v>
      </c>
      <c r="K27" s="8"/>
      <c r="L27" s="8"/>
      <c r="M27" s="8">
        <v>1047.9235523171828</v>
      </c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>
        <v>2643.7345943681439</v>
      </c>
    </row>
    <row r="28" spans="1:27" x14ac:dyDescent="0.35">
      <c r="A28">
        <f t="shared" si="0"/>
        <v>22</v>
      </c>
      <c r="B28" s="27" t="s">
        <v>1563</v>
      </c>
      <c r="C28" s="8"/>
      <c r="D28" s="8"/>
      <c r="E28" s="8"/>
      <c r="F28" s="8">
        <v>892.09460269048031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>
        <v>1716.0033436347992</v>
      </c>
      <c r="R28" s="8"/>
      <c r="S28" s="8"/>
      <c r="T28" s="8"/>
      <c r="U28" s="8"/>
      <c r="V28" s="8"/>
      <c r="W28" s="8"/>
      <c r="X28" s="8"/>
      <c r="Y28" s="8"/>
      <c r="Z28" s="8"/>
      <c r="AA28" s="8">
        <v>2608.0979463252797</v>
      </c>
    </row>
    <row r="29" spans="1:27" x14ac:dyDescent="0.35">
      <c r="A29">
        <f t="shared" si="0"/>
        <v>23</v>
      </c>
      <c r="B29" t="s">
        <v>2538</v>
      </c>
      <c r="C29" s="8"/>
      <c r="D29" s="8"/>
      <c r="E29" s="8"/>
      <c r="F29" s="8"/>
      <c r="G29" s="8"/>
      <c r="H29" s="8">
        <v>734.68555660255333</v>
      </c>
      <c r="I29" s="8"/>
      <c r="J29" s="8"/>
      <c r="K29" s="8"/>
      <c r="L29" s="8"/>
      <c r="M29" s="8"/>
      <c r="N29" s="8"/>
      <c r="O29" s="8"/>
      <c r="P29" s="8">
        <v>903.08998699194365</v>
      </c>
      <c r="Q29" s="8"/>
      <c r="R29" s="8"/>
      <c r="S29" s="8"/>
      <c r="T29" s="8">
        <v>895.26464947998704</v>
      </c>
      <c r="U29" s="8"/>
      <c r="V29" s="8"/>
      <c r="W29" s="8"/>
      <c r="X29" s="8"/>
      <c r="Y29" s="8"/>
      <c r="Z29" s="8"/>
      <c r="AA29" s="8">
        <v>2533.0401930744838</v>
      </c>
    </row>
    <row r="30" spans="1:27" x14ac:dyDescent="0.35">
      <c r="A30">
        <f t="shared" si="0"/>
        <v>24</v>
      </c>
      <c r="B30" s="30" t="s">
        <v>427</v>
      </c>
      <c r="C30" s="31"/>
      <c r="D30" s="31"/>
      <c r="E30" s="31"/>
      <c r="F30" s="31"/>
      <c r="G30" s="31"/>
      <c r="H30" s="31"/>
      <c r="I30" s="31"/>
      <c r="J30" s="31"/>
      <c r="K30" s="31"/>
      <c r="L30" s="31">
        <v>1092.5452076056063</v>
      </c>
      <c r="M30" s="31"/>
      <c r="N30" s="31"/>
      <c r="O30" s="31"/>
      <c r="P30" s="31"/>
      <c r="Q30" s="31"/>
      <c r="R30" s="31"/>
      <c r="S30" s="31">
        <v>1267.1717284030137</v>
      </c>
      <c r="T30" s="31"/>
      <c r="U30" s="31"/>
      <c r="V30" s="31"/>
      <c r="W30" s="31"/>
      <c r="X30" s="31"/>
      <c r="Y30" s="31"/>
      <c r="Z30" s="31"/>
      <c r="AA30" s="31">
        <v>2359.71693600862</v>
      </c>
    </row>
    <row r="31" spans="1:27" x14ac:dyDescent="0.35">
      <c r="A31">
        <f t="shared" si="0"/>
        <v>25</v>
      </c>
      <c r="B31" s="27" t="s">
        <v>718</v>
      </c>
      <c r="C31" s="8"/>
      <c r="D31" s="8"/>
      <c r="E31" s="8"/>
      <c r="F31" s="8"/>
      <c r="G31" s="8"/>
      <c r="H31" s="8"/>
      <c r="I31" s="8">
        <v>1130.3337684950061</v>
      </c>
      <c r="J31" s="8"/>
      <c r="K31" s="8"/>
      <c r="L31" s="8"/>
      <c r="M31" s="8">
        <v>1224.014811372864</v>
      </c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>
        <v>2354.3485798678703</v>
      </c>
    </row>
    <row r="32" spans="1:27" x14ac:dyDescent="0.35">
      <c r="A32">
        <f t="shared" si="0"/>
        <v>26</v>
      </c>
      <c r="B32" s="27" t="s">
        <v>228</v>
      </c>
      <c r="C32" s="8"/>
      <c r="D32" s="8"/>
      <c r="E32" s="8"/>
      <c r="F32" s="8">
        <v>1290.0346113625178</v>
      </c>
      <c r="G32" s="8"/>
      <c r="H32" s="8"/>
      <c r="I32" s="8"/>
      <c r="J32" s="8">
        <v>982.2712330395683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>
        <v>2272.3058444020862</v>
      </c>
    </row>
    <row r="33" spans="1:27" x14ac:dyDescent="0.35">
      <c r="A33">
        <f t="shared" si="0"/>
        <v>27</v>
      </c>
      <c r="B33" s="27" t="s">
        <v>1541</v>
      </c>
      <c r="C33" s="8"/>
      <c r="D33" s="8"/>
      <c r="E33" s="8"/>
      <c r="F33" s="8">
        <v>850.70191753225527</v>
      </c>
      <c r="G33" s="8"/>
      <c r="H33" s="8"/>
      <c r="I33" s="8"/>
      <c r="J33" s="8"/>
      <c r="K33" s="8"/>
      <c r="L33" s="8"/>
      <c r="M33" s="8"/>
      <c r="N33" s="8">
        <v>1371.0678622717362</v>
      </c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>
        <v>2221.7697798039917</v>
      </c>
    </row>
    <row r="34" spans="1:27" x14ac:dyDescent="0.35">
      <c r="A34">
        <f t="shared" si="0"/>
        <v>28</v>
      </c>
      <c r="B34" t="s">
        <v>2316</v>
      </c>
      <c r="C34" s="8"/>
      <c r="D34" s="8"/>
      <c r="E34" s="8"/>
      <c r="F34" s="8"/>
      <c r="G34" s="8"/>
      <c r="H34" s="8">
        <v>1102.6623418971478</v>
      </c>
      <c r="I34" s="8"/>
      <c r="J34" s="8">
        <v>903.08998699194353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>
        <v>2005.7523288890914</v>
      </c>
    </row>
    <row r="35" spans="1:27" x14ac:dyDescent="0.35">
      <c r="A35">
        <f t="shared" si="0"/>
        <v>29</v>
      </c>
      <c r="B35" t="s">
        <v>2699</v>
      </c>
      <c r="C35" s="8"/>
      <c r="D35" s="8"/>
      <c r="E35" s="8"/>
      <c r="F35" s="8"/>
      <c r="G35" s="8"/>
      <c r="H35" s="8"/>
      <c r="I35" s="8"/>
      <c r="J35" s="8">
        <v>836.14319736133041</v>
      </c>
      <c r="K35" s="8"/>
      <c r="L35" s="8"/>
      <c r="M35" s="8">
        <v>1127.1047983648077</v>
      </c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>
        <v>1963.247995726138</v>
      </c>
    </row>
    <row r="36" spans="1:27" x14ac:dyDescent="0.35">
      <c r="A36">
        <f t="shared" si="0"/>
        <v>30</v>
      </c>
      <c r="B36" s="27" t="s">
        <v>611</v>
      </c>
      <c r="C36" s="8"/>
      <c r="D36" s="8">
        <v>991.22607569249476</v>
      </c>
      <c r="E36" s="8"/>
      <c r="F36" s="8"/>
      <c r="G36" s="8"/>
      <c r="H36" s="8"/>
      <c r="I36" s="8">
        <v>954.24250943932498</v>
      </c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>
        <v>1945.4685851318197</v>
      </c>
    </row>
    <row r="37" spans="1:27" x14ac:dyDescent="0.35">
      <c r="A37">
        <f t="shared" si="0"/>
        <v>31</v>
      </c>
      <c r="B37" s="27" t="s">
        <v>258</v>
      </c>
      <c r="C37" s="8">
        <v>962.21143911060028</v>
      </c>
      <c r="D37" s="8"/>
      <c r="E37" s="8"/>
      <c r="F37" s="8"/>
      <c r="G37" s="8"/>
      <c r="H37" s="8"/>
      <c r="I37" s="8"/>
      <c r="J37" s="8"/>
      <c r="K37" s="8"/>
      <c r="L37" s="8"/>
      <c r="M37" s="8">
        <v>871.8322932615016</v>
      </c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>
        <v>1834.0437323721019</v>
      </c>
    </row>
    <row r="38" spans="1:27" x14ac:dyDescent="0.35">
      <c r="A38">
        <f t="shared" si="0"/>
        <v>32</v>
      </c>
      <c r="B38" s="27" t="s">
        <v>132</v>
      </c>
      <c r="C38" s="8"/>
      <c r="D38" s="8">
        <v>1389.1660843645325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>
        <v>442.30329064896523</v>
      </c>
      <c r="V38" s="8"/>
      <c r="W38" s="8"/>
      <c r="X38" s="8"/>
      <c r="Y38" s="8"/>
      <c r="Z38" s="8"/>
      <c r="AA38" s="8">
        <v>1831.4693750134977</v>
      </c>
    </row>
    <row r="39" spans="1:27" x14ac:dyDescent="0.35">
      <c r="A39">
        <f t="shared" si="0"/>
        <v>33</v>
      </c>
      <c r="B39" s="27" t="s">
        <v>469</v>
      </c>
      <c r="C39" s="8"/>
      <c r="D39" s="8"/>
      <c r="E39" s="8">
        <v>860.33800657099368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>
        <v>970.03677662255677</v>
      </c>
      <c r="X39" s="8"/>
      <c r="Y39" s="8"/>
      <c r="Z39" s="8"/>
      <c r="AA39" s="8">
        <v>1830.3747831935505</v>
      </c>
    </row>
    <row r="40" spans="1:27" x14ac:dyDescent="0.35">
      <c r="A40">
        <f t="shared" si="0"/>
        <v>34</v>
      </c>
      <c r="B40" t="s">
        <v>2702</v>
      </c>
      <c r="C40" s="8"/>
      <c r="D40" s="8"/>
      <c r="E40" s="8"/>
      <c r="F40" s="8">
        <v>989.00461569853678</v>
      </c>
      <c r="G40" s="8"/>
      <c r="H40" s="8"/>
      <c r="I40" s="8"/>
      <c r="J40" s="8"/>
      <c r="K40" s="8">
        <v>829.30377283102507</v>
      </c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>
        <v>1818.3083885295619</v>
      </c>
    </row>
    <row r="41" spans="1:27" x14ac:dyDescent="0.35">
      <c r="A41">
        <f t="shared" si="0"/>
        <v>35</v>
      </c>
      <c r="B41" s="27" t="s">
        <v>325</v>
      </c>
      <c r="C41" s="8"/>
      <c r="D41" s="8"/>
      <c r="E41" s="8"/>
      <c r="F41" s="8"/>
      <c r="G41" s="8"/>
      <c r="H41" s="8"/>
      <c r="I41" s="8"/>
      <c r="J41" s="8">
        <v>836.14319736133041</v>
      </c>
      <c r="K41" s="8"/>
      <c r="L41" s="8"/>
      <c r="M41" s="8"/>
      <c r="N41" s="8">
        <v>973.12785359969871</v>
      </c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>
        <v>1809.2710509610292</v>
      </c>
    </row>
    <row r="42" spans="1:27" x14ac:dyDescent="0.35">
      <c r="A42">
        <f t="shared" si="0"/>
        <v>36</v>
      </c>
      <c r="B42" s="27" t="s">
        <v>293</v>
      </c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>
        <v>765.91679396663199</v>
      </c>
      <c r="S42" s="8"/>
      <c r="T42" s="8"/>
      <c r="U42" s="8"/>
      <c r="V42" s="8"/>
      <c r="W42" s="8"/>
      <c r="X42" s="8"/>
      <c r="Y42" s="8"/>
      <c r="Z42" s="8">
        <v>1031.4084642516241</v>
      </c>
      <c r="AA42" s="8">
        <v>1797.3252582182561</v>
      </c>
    </row>
    <row r="43" spans="1:27" x14ac:dyDescent="0.35">
      <c r="A43">
        <f t="shared" si="0"/>
        <v>37</v>
      </c>
      <c r="B43" s="27" t="s">
        <v>184</v>
      </c>
      <c r="C43" s="8">
        <v>1740.3626894942438</v>
      </c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>
        <v>1740.3626894942438</v>
      </c>
    </row>
    <row r="44" spans="1:27" x14ac:dyDescent="0.35">
      <c r="A44">
        <f t="shared" si="0"/>
        <v>38</v>
      </c>
      <c r="B44" t="s">
        <v>2701</v>
      </c>
      <c r="C44" s="8"/>
      <c r="D44" s="8"/>
      <c r="E44" s="8"/>
      <c r="F44" s="8"/>
      <c r="G44" s="8"/>
      <c r="H44" s="8"/>
      <c r="I44" s="8"/>
      <c r="J44" s="8"/>
      <c r="K44" s="8">
        <v>1732.3937598229686</v>
      </c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>
        <v>1732.3937598229686</v>
      </c>
    </row>
    <row r="45" spans="1:27" x14ac:dyDescent="0.35">
      <c r="A45">
        <f t="shared" si="0"/>
        <v>39</v>
      </c>
      <c r="B45" s="27" t="s">
        <v>1535</v>
      </c>
      <c r="C45" s="8"/>
      <c r="D45" s="8"/>
      <c r="E45" s="8"/>
      <c r="F45" s="8"/>
      <c r="G45" s="8"/>
      <c r="H45" s="8"/>
      <c r="I45" s="8">
        <v>778.15125038364374</v>
      </c>
      <c r="J45" s="8"/>
      <c r="K45" s="8"/>
      <c r="L45" s="8">
        <v>916.45394854992503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>
        <v>1694.6051989335688</v>
      </c>
    </row>
    <row r="46" spans="1:27" x14ac:dyDescent="0.35">
      <c r="A46">
        <f t="shared" si="0"/>
        <v>40</v>
      </c>
      <c r="B46" s="27" t="s">
        <v>1178</v>
      </c>
      <c r="C46" s="8"/>
      <c r="D46" s="8"/>
      <c r="E46" s="8"/>
      <c r="F46" s="8"/>
      <c r="G46" s="8"/>
      <c r="H46" s="8"/>
      <c r="I46" s="8"/>
      <c r="J46" s="8"/>
      <c r="K46" s="8"/>
      <c r="L46" s="8">
        <v>1694.6051989335685</v>
      </c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>
        <v>1694.6051989335685</v>
      </c>
    </row>
    <row r="47" spans="1:27" x14ac:dyDescent="0.35">
      <c r="A47">
        <f t="shared" si="0"/>
        <v>41</v>
      </c>
      <c r="B47" s="27" t="s">
        <v>120</v>
      </c>
      <c r="C47" s="8"/>
      <c r="D47" s="8">
        <v>1690.1960800285137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>
        <v>1690.1960800285137</v>
      </c>
    </row>
    <row r="48" spans="1:27" x14ac:dyDescent="0.35">
      <c r="A48">
        <f t="shared" si="0"/>
        <v>42</v>
      </c>
      <c r="B48" t="s">
        <v>2675</v>
      </c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>
        <v>1568.201724066995</v>
      </c>
      <c r="T48" s="8"/>
      <c r="U48" s="8"/>
      <c r="V48" s="8"/>
      <c r="W48" s="8"/>
      <c r="X48" s="8"/>
      <c r="Y48" s="8"/>
      <c r="Z48" s="8"/>
      <c r="AA48" s="8">
        <v>1568.201724066995</v>
      </c>
    </row>
    <row r="49" spans="1:27" x14ac:dyDescent="0.35">
      <c r="A49">
        <f t="shared" si="0"/>
        <v>43</v>
      </c>
      <c r="B49" s="27" t="s">
        <v>1107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>
        <v>1544.0680443502756</v>
      </c>
      <c r="S49" s="8"/>
      <c r="T49" s="8"/>
      <c r="U49" s="8"/>
      <c r="V49" s="8"/>
      <c r="W49" s="8"/>
      <c r="X49" s="8"/>
      <c r="Y49" s="8"/>
      <c r="Z49" s="8"/>
      <c r="AA49" s="8">
        <v>1544.0680443502756</v>
      </c>
    </row>
    <row r="50" spans="1:27" x14ac:dyDescent="0.35">
      <c r="A50">
        <f t="shared" si="0"/>
        <v>44</v>
      </c>
      <c r="B50" t="s">
        <v>2682</v>
      </c>
      <c r="C50" s="8">
        <v>1439.3326938302625</v>
      </c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>
        <v>1439.3326938302625</v>
      </c>
    </row>
    <row r="51" spans="1:27" x14ac:dyDescent="0.35">
      <c r="A51">
        <f t="shared" si="0"/>
        <v>45</v>
      </c>
      <c r="B51" s="27" t="s">
        <v>454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>
        <v>1439.3326938302625</v>
      </c>
      <c r="U51" s="8"/>
      <c r="V51" s="8"/>
      <c r="W51" s="8"/>
      <c r="X51" s="8"/>
      <c r="Y51" s="8"/>
      <c r="Z51" s="8"/>
      <c r="AA51" s="8">
        <v>1439.3326938302625</v>
      </c>
    </row>
    <row r="52" spans="1:27" x14ac:dyDescent="0.35">
      <c r="A52">
        <f t="shared" si="0"/>
        <v>46</v>
      </c>
      <c r="B52" s="27" t="s">
        <v>1607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>
        <v>1414.9733479708179</v>
      </c>
      <c r="R52" s="8"/>
      <c r="S52" s="8"/>
      <c r="T52" s="8"/>
      <c r="U52" s="8"/>
      <c r="V52" s="8"/>
      <c r="W52" s="8"/>
      <c r="X52" s="8"/>
      <c r="Y52" s="8"/>
      <c r="Z52" s="8"/>
      <c r="AA52" s="8">
        <v>1414.9733479708179</v>
      </c>
    </row>
    <row r="53" spans="1:27" x14ac:dyDescent="0.35">
      <c r="A53">
        <f t="shared" si="0"/>
        <v>47</v>
      </c>
      <c r="B53" s="27" t="s">
        <v>888</v>
      </c>
      <c r="C53" s="8"/>
      <c r="D53" s="8"/>
      <c r="E53" s="8">
        <v>684.24674751531245</v>
      </c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>
        <v>730.37846858764283</v>
      </c>
      <c r="AA53" s="8">
        <v>1414.6252161029552</v>
      </c>
    </row>
    <row r="54" spans="1:27" x14ac:dyDescent="0.35">
      <c r="A54">
        <f t="shared" si="0"/>
        <v>48</v>
      </c>
      <c r="B54" t="s">
        <v>2676</v>
      </c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>
        <v>1332.4384599156051</v>
      </c>
      <c r="AA54" s="8">
        <v>1332.4384599156051</v>
      </c>
    </row>
    <row r="55" spans="1:27" x14ac:dyDescent="0.35">
      <c r="A55">
        <f t="shared" si="0"/>
        <v>49</v>
      </c>
      <c r="B55" s="27" t="s">
        <v>539</v>
      </c>
      <c r="C55" s="8"/>
      <c r="D55" s="8"/>
      <c r="E55" s="8"/>
      <c r="F55" s="8"/>
      <c r="G55" s="8"/>
      <c r="H55" s="8"/>
      <c r="I55" s="8"/>
      <c r="J55" s="8"/>
      <c r="K55" s="8"/>
      <c r="L55" s="8">
        <v>1296.6651902615308</v>
      </c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1296.6651902615308</v>
      </c>
    </row>
    <row r="56" spans="1:27" x14ac:dyDescent="0.35">
      <c r="A56">
        <f t="shared" si="0"/>
        <v>50</v>
      </c>
      <c r="B56" s="27" t="s">
        <v>242</v>
      </c>
      <c r="C56" s="8">
        <v>1263.2414347745814</v>
      </c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>
        <v>1263.2414347745814</v>
      </c>
    </row>
    <row r="57" spans="1:27" x14ac:dyDescent="0.35">
      <c r="A57">
        <f t="shared" si="0"/>
        <v>51</v>
      </c>
      <c r="B57" s="27" t="s">
        <v>113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>
        <v>1238.8820889151368</v>
      </c>
      <c r="R57" s="8"/>
      <c r="S57" s="8"/>
      <c r="T57" s="8"/>
      <c r="U57" s="8"/>
      <c r="V57" s="8"/>
      <c r="W57" s="8"/>
      <c r="X57" s="8"/>
      <c r="Y57" s="8"/>
      <c r="Z57" s="8"/>
      <c r="AA57" s="8">
        <v>1238.8820889151368</v>
      </c>
    </row>
    <row r="58" spans="1:27" x14ac:dyDescent="0.35">
      <c r="A58">
        <f t="shared" si="0"/>
        <v>52</v>
      </c>
      <c r="B58" s="27" t="s">
        <v>1568</v>
      </c>
      <c r="C58" s="8"/>
      <c r="D58" s="8"/>
      <c r="E58" s="8"/>
      <c r="F58" s="8">
        <v>1193.1245983544616</v>
      </c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>
        <v>1193.1245983544616</v>
      </c>
    </row>
    <row r="59" spans="1:27" x14ac:dyDescent="0.35">
      <c r="A59">
        <f t="shared" si="0"/>
        <v>53</v>
      </c>
      <c r="B59" s="27" t="s">
        <v>1624</v>
      </c>
      <c r="C59" s="8"/>
      <c r="D59" s="8"/>
      <c r="E59" s="8">
        <v>1161.3680022349749</v>
      </c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>
        <v>1161.3680022349749</v>
      </c>
    </row>
    <row r="60" spans="1:27" x14ac:dyDescent="0.35">
      <c r="A60">
        <f t="shared" si="0"/>
        <v>54</v>
      </c>
      <c r="B60" t="s">
        <v>2678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>
        <v>1156.347200859924</v>
      </c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>
        <v>1156.347200859924</v>
      </c>
    </row>
    <row r="61" spans="1:27" x14ac:dyDescent="0.35">
      <c r="A61">
        <f t="shared" si="0"/>
        <v>55</v>
      </c>
      <c r="B61" s="27" t="s">
        <v>147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>
        <v>1156.347200859924</v>
      </c>
      <c r="AA61" s="8">
        <v>1156.347200859924</v>
      </c>
    </row>
    <row r="62" spans="1:27" x14ac:dyDescent="0.35">
      <c r="A62">
        <f t="shared" si="0"/>
        <v>56</v>
      </c>
      <c r="B62" t="s">
        <v>2637</v>
      </c>
      <c r="C62" s="8"/>
      <c r="D62" s="8"/>
      <c r="E62" s="8"/>
      <c r="F62" s="8"/>
      <c r="G62" s="8"/>
      <c r="H62" s="8"/>
      <c r="I62" s="8"/>
      <c r="J62" s="8"/>
      <c r="K62" s="8"/>
      <c r="L62" s="8">
        <v>1150.5371545832932</v>
      </c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>
        <v>1150.5371545832932</v>
      </c>
    </row>
    <row r="63" spans="1:27" x14ac:dyDescent="0.35">
      <c r="A63">
        <f t="shared" si="0"/>
        <v>57</v>
      </c>
      <c r="B63" t="s">
        <v>2683</v>
      </c>
      <c r="C63" s="8">
        <v>1138.3026981662815</v>
      </c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>
        <v>1138.3026981662815</v>
      </c>
    </row>
    <row r="64" spans="1:27" x14ac:dyDescent="0.35">
      <c r="A64">
        <f t="shared" si="0"/>
        <v>58</v>
      </c>
      <c r="B64" s="27" t="s">
        <v>1482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>
        <v>1138.3026981662815</v>
      </c>
      <c r="U64" s="8"/>
      <c r="V64" s="8"/>
      <c r="W64" s="8"/>
      <c r="X64" s="8"/>
      <c r="Y64" s="8"/>
      <c r="Z64" s="8"/>
      <c r="AA64" s="8">
        <v>1138.3026981662815</v>
      </c>
    </row>
    <row r="65" spans="1:27" x14ac:dyDescent="0.35">
      <c r="A65">
        <f t="shared" si="0"/>
        <v>59</v>
      </c>
      <c r="B65" t="s">
        <v>2679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>
        <v>1113.9433523068369</v>
      </c>
      <c r="R65" s="8"/>
      <c r="S65" s="8"/>
      <c r="T65" s="8"/>
      <c r="U65" s="8"/>
      <c r="V65" s="8"/>
      <c r="W65" s="8"/>
      <c r="X65" s="8"/>
      <c r="Y65" s="8"/>
      <c r="Z65" s="8"/>
      <c r="AA65" s="8">
        <v>1113.9433523068369</v>
      </c>
    </row>
    <row r="66" spans="1:27" x14ac:dyDescent="0.35">
      <c r="A66">
        <f t="shared" si="0"/>
        <v>60</v>
      </c>
      <c r="B66" t="s">
        <v>2345</v>
      </c>
      <c r="C66" s="8"/>
      <c r="D66" s="8"/>
      <c r="E66" s="8"/>
      <c r="F66" s="8">
        <v>1113.9433523068367</v>
      </c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>
        <v>1113.9433523068367</v>
      </c>
    </row>
    <row r="67" spans="1:27" x14ac:dyDescent="0.35">
      <c r="A67">
        <f t="shared" si="0"/>
        <v>61</v>
      </c>
      <c r="B67" s="27" t="s">
        <v>456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>
        <v>1091.0804693473326</v>
      </c>
      <c r="T67" s="8"/>
      <c r="U67" s="8"/>
      <c r="V67" s="8"/>
      <c r="W67" s="8"/>
      <c r="X67" s="8"/>
      <c r="Y67" s="8"/>
      <c r="Z67" s="8"/>
      <c r="AA67" s="8">
        <v>1091.0804693473326</v>
      </c>
    </row>
    <row r="68" spans="1:27" x14ac:dyDescent="0.35">
      <c r="A68">
        <f t="shared" si="0"/>
        <v>62</v>
      </c>
      <c r="B68" t="s">
        <v>2554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>
        <v>1070.0378666077549</v>
      </c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>
        <v>1070.0378666077549</v>
      </c>
    </row>
    <row r="69" spans="1:27" x14ac:dyDescent="0.35">
      <c r="A69">
        <f t="shared" si="0"/>
        <v>63</v>
      </c>
      <c r="B69" s="27" t="s">
        <v>845</v>
      </c>
      <c r="C69" s="8"/>
      <c r="D69" s="8"/>
      <c r="E69" s="8"/>
      <c r="F69" s="8"/>
      <c r="G69" s="8">
        <v>1060.6978403536116</v>
      </c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>
        <v>1060.6978403536116</v>
      </c>
    </row>
    <row r="70" spans="1:27" x14ac:dyDescent="0.35">
      <c r="A70">
        <f t="shared" si="0"/>
        <v>64</v>
      </c>
      <c r="B70" t="s">
        <v>2685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>
        <v>1060.6978403536116</v>
      </c>
      <c r="Z70" s="8"/>
      <c r="AA70" s="8">
        <v>1060.6978403536116</v>
      </c>
    </row>
    <row r="71" spans="1:27" x14ac:dyDescent="0.35">
      <c r="A71">
        <f t="shared" si="0"/>
        <v>65</v>
      </c>
      <c r="B71" s="27" t="s">
        <v>1587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>
        <v>1041.392685158225</v>
      </c>
      <c r="Y71" s="8"/>
      <c r="Z71" s="8"/>
      <c r="AA71" s="8">
        <v>1041.392685158225</v>
      </c>
    </row>
    <row r="72" spans="1:27" x14ac:dyDescent="0.35">
      <c r="A72">
        <f t="shared" si="0"/>
        <v>66</v>
      </c>
      <c r="B72" s="27" t="s">
        <v>435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>
        <v>1041.3926851582248</v>
      </c>
      <c r="U72" s="8"/>
      <c r="V72" s="8"/>
      <c r="W72" s="8"/>
      <c r="X72" s="8"/>
      <c r="Y72" s="8"/>
      <c r="Z72" s="8"/>
      <c r="AA72" s="8">
        <v>1041.3926851582248</v>
      </c>
    </row>
    <row r="73" spans="1:27" x14ac:dyDescent="0.35">
      <c r="A73">
        <f t="shared" ref="A73:A136" si="1">A72+1</f>
        <v>67</v>
      </c>
      <c r="B73" s="27" t="s">
        <v>1537</v>
      </c>
      <c r="C73" s="8"/>
      <c r="D73" s="8"/>
      <c r="E73" s="8"/>
      <c r="F73" s="8"/>
      <c r="G73" s="8"/>
      <c r="H73" s="8"/>
      <c r="I73" s="8"/>
      <c r="J73" s="8"/>
      <c r="K73" s="8"/>
      <c r="L73" s="8">
        <v>1041.3926851582248</v>
      </c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>
        <v>1041.3926851582248</v>
      </c>
    </row>
    <row r="74" spans="1:27" x14ac:dyDescent="0.35">
      <c r="A74">
        <f t="shared" si="1"/>
        <v>68</v>
      </c>
      <c r="B74" s="27" t="s">
        <v>1585</v>
      </c>
      <c r="C74" s="8">
        <v>1041.3926851582248</v>
      </c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>
        <v>1041.3926851582248</v>
      </c>
    </row>
    <row r="75" spans="1:27" x14ac:dyDescent="0.35">
      <c r="A75">
        <f t="shared" si="1"/>
        <v>69</v>
      </c>
      <c r="B75" t="s">
        <v>2695</v>
      </c>
      <c r="C75" s="8"/>
      <c r="D75" s="8"/>
      <c r="E75" s="8"/>
      <c r="F75" s="8"/>
      <c r="G75" s="8"/>
      <c r="H75" s="8"/>
      <c r="I75" s="8">
        <v>1033.4237554869499</v>
      </c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>
        <v>1033.4237554869499</v>
      </c>
    </row>
    <row r="76" spans="1:27" x14ac:dyDescent="0.35">
      <c r="A76">
        <f t="shared" si="1"/>
        <v>70</v>
      </c>
      <c r="B76" s="27" t="s">
        <v>1474</v>
      </c>
      <c r="C76" s="8"/>
      <c r="D76" s="8"/>
      <c r="E76" s="8"/>
      <c r="F76" s="8"/>
      <c r="G76" s="8"/>
      <c r="H76" s="8"/>
      <c r="I76" s="8"/>
      <c r="J76" s="8"/>
      <c r="K76" s="8">
        <v>1033.4237554869499</v>
      </c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>
        <v>1033.4237554869499</v>
      </c>
    </row>
    <row r="77" spans="1:27" x14ac:dyDescent="0.35">
      <c r="A77">
        <f t="shared" si="1"/>
        <v>71</v>
      </c>
      <c r="B77" t="s">
        <v>2574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>
        <v>1028.0287236002437</v>
      </c>
      <c r="Q77" s="8"/>
      <c r="R77" s="8"/>
      <c r="S77" s="8"/>
      <c r="T77" s="8"/>
      <c r="U77" s="8"/>
      <c r="V77" s="8"/>
      <c r="W77" s="8"/>
      <c r="X77" s="8"/>
      <c r="Y77" s="8"/>
      <c r="Z77" s="8"/>
      <c r="AA77" s="8">
        <v>1028.0287236002437</v>
      </c>
    </row>
    <row r="78" spans="1:27" x14ac:dyDescent="0.35">
      <c r="A78">
        <f t="shared" si="1"/>
        <v>72</v>
      </c>
      <c r="B78" s="27" t="s">
        <v>312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>
        <v>1017.0333392987802</v>
      </c>
      <c r="R78" s="8"/>
      <c r="S78" s="8"/>
      <c r="T78" s="8"/>
      <c r="U78" s="8"/>
      <c r="V78" s="8"/>
      <c r="W78" s="8"/>
      <c r="X78" s="8"/>
      <c r="Y78" s="8"/>
      <c r="Z78" s="8"/>
      <c r="AA78" s="8">
        <v>1017.0333392987802</v>
      </c>
    </row>
    <row r="79" spans="1:27" x14ac:dyDescent="0.35">
      <c r="A79">
        <f t="shared" si="1"/>
        <v>73</v>
      </c>
      <c r="B79" s="27" t="s">
        <v>301</v>
      </c>
      <c r="C79" s="8"/>
      <c r="D79" s="8"/>
      <c r="E79" s="8"/>
      <c r="F79" s="8"/>
      <c r="G79" s="8"/>
      <c r="H79" s="8"/>
      <c r="I79" s="8"/>
      <c r="J79" s="8"/>
      <c r="K79" s="8"/>
      <c r="L79" s="8">
        <v>995.63519459754991</v>
      </c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>
        <v>995.63519459754991</v>
      </c>
    </row>
    <row r="80" spans="1:27" x14ac:dyDescent="0.35">
      <c r="A80">
        <f t="shared" si="1"/>
        <v>74</v>
      </c>
      <c r="B80" s="30" t="s">
        <v>259</v>
      </c>
      <c r="C80" s="31"/>
      <c r="D80" s="31"/>
      <c r="E80" s="31">
        <v>985.2767431792937</v>
      </c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>
        <v>985.2767431792937</v>
      </c>
    </row>
    <row r="81" spans="1:27" x14ac:dyDescent="0.35">
      <c r="A81">
        <f t="shared" si="1"/>
        <v>75</v>
      </c>
      <c r="B81" t="s">
        <v>2631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>
        <v>980.9767626865696</v>
      </c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>
        <v>980.9767626865696</v>
      </c>
    </row>
    <row r="82" spans="1:27" x14ac:dyDescent="0.35">
      <c r="A82">
        <f t="shared" si="1"/>
        <v>76</v>
      </c>
      <c r="B82" t="s">
        <v>2647</v>
      </c>
      <c r="C82" s="8"/>
      <c r="D82" s="8"/>
      <c r="E82" s="8"/>
      <c r="F82" s="8"/>
      <c r="G82" s="8"/>
      <c r="H82" s="8">
        <v>977.72360528884769</v>
      </c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>
        <v>977.72360528884769</v>
      </c>
    </row>
    <row r="83" spans="1:27" x14ac:dyDescent="0.35">
      <c r="A83">
        <f t="shared" si="1"/>
        <v>77</v>
      </c>
      <c r="B83" s="30" t="s">
        <v>339</v>
      </c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>
        <v>966.14173273903259</v>
      </c>
      <c r="T83" s="31"/>
      <c r="U83" s="31"/>
      <c r="V83" s="31"/>
      <c r="W83" s="31"/>
      <c r="X83" s="31"/>
      <c r="Y83" s="31"/>
      <c r="Z83" s="31"/>
      <c r="AA83" s="31">
        <v>966.14173273903259</v>
      </c>
    </row>
    <row r="84" spans="1:27" x14ac:dyDescent="0.35">
      <c r="A84">
        <f t="shared" si="1"/>
        <v>78</v>
      </c>
      <c r="B84" s="27" t="s">
        <v>535</v>
      </c>
      <c r="C84" s="8"/>
      <c r="D84" s="8"/>
      <c r="E84" s="8"/>
      <c r="F84" s="8"/>
      <c r="G84" s="8"/>
      <c r="H84" s="8"/>
      <c r="I84" s="8"/>
      <c r="J84" s="8"/>
      <c r="K84" s="8"/>
      <c r="L84" s="8">
        <v>954.24250943932475</v>
      </c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>
        <v>954.24250943932475</v>
      </c>
    </row>
    <row r="85" spans="1:27" x14ac:dyDescent="0.35">
      <c r="A85">
        <f t="shared" si="1"/>
        <v>79</v>
      </c>
      <c r="B85" t="s">
        <v>2681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>
        <v>942.00805302231322</v>
      </c>
      <c r="S85" s="8"/>
      <c r="T85" s="8"/>
      <c r="U85" s="8"/>
      <c r="V85" s="8"/>
      <c r="W85" s="8"/>
      <c r="X85" s="8"/>
      <c r="Y85" s="8"/>
      <c r="Z85" s="8"/>
      <c r="AA85" s="8">
        <v>942.00805302231322</v>
      </c>
    </row>
    <row r="86" spans="1:27" x14ac:dyDescent="0.35">
      <c r="A86">
        <f t="shared" si="1"/>
        <v>80</v>
      </c>
      <c r="B86" s="27" t="s">
        <v>233</v>
      </c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>
        <v>937.85209325115557</v>
      </c>
      <c r="R86" s="8"/>
      <c r="S86" s="8"/>
      <c r="T86" s="8"/>
      <c r="U86" s="8"/>
      <c r="V86" s="8"/>
      <c r="W86" s="8"/>
      <c r="X86" s="8"/>
      <c r="Y86" s="8"/>
      <c r="Z86" s="8"/>
      <c r="AA86" s="8">
        <v>937.85209325115557</v>
      </c>
    </row>
    <row r="87" spans="1:27" x14ac:dyDescent="0.35">
      <c r="A87">
        <f t="shared" si="1"/>
        <v>81</v>
      </c>
      <c r="B87" t="s">
        <v>2518</v>
      </c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>
        <v>934.49845124356762</v>
      </c>
      <c r="AA87" s="8">
        <v>934.49845124356762</v>
      </c>
    </row>
    <row r="88" spans="1:27" x14ac:dyDescent="0.35">
      <c r="A88">
        <f t="shared" si="1"/>
        <v>82</v>
      </c>
      <c r="B88" s="27" t="s">
        <v>295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>
        <v>934.49845124356762</v>
      </c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>
        <v>934.49845124356762</v>
      </c>
    </row>
    <row r="89" spans="1:27" x14ac:dyDescent="0.35">
      <c r="A89">
        <f t="shared" si="1"/>
        <v>83</v>
      </c>
      <c r="B89" t="s">
        <v>2537</v>
      </c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929.41892571429264</v>
      </c>
      <c r="W89" s="8"/>
      <c r="X89" s="8"/>
      <c r="Y89" s="8"/>
      <c r="Z89" s="8"/>
      <c r="AA89" s="8">
        <v>929.41892571429264</v>
      </c>
    </row>
    <row r="90" spans="1:27" x14ac:dyDescent="0.35">
      <c r="A90">
        <f t="shared" si="1"/>
        <v>84</v>
      </c>
      <c r="B90" s="27" t="s">
        <v>230</v>
      </c>
      <c r="C90" s="8">
        <v>895.26464947998704</v>
      </c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>
        <v>895.26464947998704</v>
      </c>
    </row>
    <row r="91" spans="1:27" x14ac:dyDescent="0.35">
      <c r="A91">
        <f t="shared" si="1"/>
        <v>85</v>
      </c>
      <c r="B91" s="27" t="s">
        <v>1596</v>
      </c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>
        <v>893.94660755207394</v>
      </c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>
        <v>893.94660755207394</v>
      </c>
    </row>
    <row r="92" spans="1:27" x14ac:dyDescent="0.35">
      <c r="A92">
        <f t="shared" si="1"/>
        <v>86</v>
      </c>
      <c r="B92" t="s">
        <v>2433</v>
      </c>
      <c r="C92" s="8"/>
      <c r="D92" s="8"/>
      <c r="E92" s="8"/>
      <c r="F92" s="8"/>
      <c r="G92" s="8"/>
      <c r="H92" s="8"/>
      <c r="I92" s="8">
        <v>887.29571980871185</v>
      </c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>
        <v>887.29571980871185</v>
      </c>
    </row>
    <row r="93" spans="1:27" x14ac:dyDescent="0.35">
      <c r="A93">
        <f t="shared" si="1"/>
        <v>87</v>
      </c>
      <c r="B93" t="s">
        <v>2686</v>
      </c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>
        <v>884.60658129793046</v>
      </c>
      <c r="Z93" s="8"/>
      <c r="AA93" s="8">
        <v>884.60658129793046</v>
      </c>
    </row>
    <row r="94" spans="1:27" x14ac:dyDescent="0.35">
      <c r="A94">
        <f t="shared" si="1"/>
        <v>88</v>
      </c>
      <c r="B94" s="27" t="s">
        <v>1589</v>
      </c>
      <c r="C94" s="8"/>
      <c r="D94" s="8"/>
      <c r="E94" s="8"/>
      <c r="F94" s="8"/>
      <c r="G94" s="8">
        <v>884.60658129793046</v>
      </c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>
        <v>884.60658129793046</v>
      </c>
    </row>
    <row r="95" spans="1:27" x14ac:dyDescent="0.35">
      <c r="A95">
        <f t="shared" si="1"/>
        <v>89</v>
      </c>
      <c r="B95" t="s">
        <v>2640</v>
      </c>
      <c r="C95" s="8"/>
      <c r="D95" s="8"/>
      <c r="E95" s="8"/>
      <c r="F95" s="8"/>
      <c r="G95" s="8"/>
      <c r="H95" s="8"/>
      <c r="I95" s="8"/>
      <c r="J95" s="8"/>
      <c r="K95" s="8"/>
      <c r="L95" s="8">
        <v>881.69184229071323</v>
      </c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>
        <v>881.69184229071323</v>
      </c>
    </row>
    <row r="96" spans="1:27" x14ac:dyDescent="0.35">
      <c r="A96">
        <f t="shared" si="1"/>
        <v>90</v>
      </c>
      <c r="B96" t="s">
        <v>2680</v>
      </c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>
        <v>870.90530362054244</v>
      </c>
      <c r="R96" s="8"/>
      <c r="S96" s="8"/>
      <c r="T96" s="8"/>
      <c r="U96" s="8"/>
      <c r="V96" s="8"/>
      <c r="W96" s="8"/>
      <c r="X96" s="8"/>
      <c r="Y96" s="8"/>
      <c r="Z96" s="8"/>
      <c r="AA96" s="8">
        <v>870.90530362054244</v>
      </c>
    </row>
    <row r="97" spans="1:27" x14ac:dyDescent="0.35">
      <c r="A97">
        <f t="shared" si="1"/>
        <v>91</v>
      </c>
      <c r="B97" s="27" t="s">
        <v>1581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>
        <v>855.31720519594273</v>
      </c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>
        <v>855.31720519594273</v>
      </c>
    </row>
    <row r="98" spans="1:27" x14ac:dyDescent="0.35">
      <c r="A98">
        <f t="shared" si="1"/>
        <v>92</v>
      </c>
      <c r="B98" t="s">
        <v>2688</v>
      </c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>
        <v>845.09804001425687</v>
      </c>
      <c r="X98" s="8"/>
      <c r="Y98" s="8"/>
      <c r="Z98" s="8"/>
      <c r="AA98" s="8">
        <v>845.09804001425687</v>
      </c>
    </row>
    <row r="99" spans="1:27" x14ac:dyDescent="0.35">
      <c r="A99">
        <f t="shared" si="1"/>
        <v>93</v>
      </c>
      <c r="B99" s="27" t="s">
        <v>914</v>
      </c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>
        <v>845.09804001425687</v>
      </c>
      <c r="S99" s="8"/>
      <c r="T99" s="8"/>
      <c r="U99" s="8"/>
      <c r="V99" s="8"/>
      <c r="W99" s="8"/>
      <c r="X99" s="8"/>
      <c r="Y99" s="8"/>
      <c r="Z99" s="8"/>
      <c r="AA99" s="8">
        <v>845.09804001425687</v>
      </c>
    </row>
    <row r="100" spans="1:27" x14ac:dyDescent="0.35">
      <c r="A100">
        <f t="shared" si="1"/>
        <v>94</v>
      </c>
      <c r="B100" s="27" t="s">
        <v>1612</v>
      </c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>
        <v>837.27270250230038</v>
      </c>
      <c r="U100" s="8"/>
      <c r="V100" s="8"/>
      <c r="W100" s="8"/>
      <c r="X100" s="8"/>
      <c r="Y100" s="8"/>
      <c r="Z100" s="8"/>
      <c r="AA100" s="8">
        <v>837.27270250230038</v>
      </c>
    </row>
    <row r="101" spans="1:27" x14ac:dyDescent="0.35">
      <c r="A101">
        <f t="shared" si="1"/>
        <v>95</v>
      </c>
      <c r="B101" s="30" t="s">
        <v>518</v>
      </c>
      <c r="C101" s="31"/>
      <c r="D101" s="31"/>
      <c r="E101" s="31"/>
      <c r="F101" s="31"/>
      <c r="G101" s="31"/>
      <c r="H101" s="31"/>
      <c r="I101" s="31"/>
      <c r="J101" s="31">
        <v>836.14319736133041</v>
      </c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>
        <v>836.14319736133041</v>
      </c>
    </row>
    <row r="102" spans="1:27" x14ac:dyDescent="0.35">
      <c r="A102">
        <f t="shared" si="1"/>
        <v>96</v>
      </c>
      <c r="B102" s="27" t="s">
        <v>1054</v>
      </c>
      <c r="C102" s="8"/>
      <c r="D102" s="8"/>
      <c r="E102" s="8"/>
      <c r="F102" s="8"/>
      <c r="G102" s="8"/>
      <c r="H102" s="8"/>
      <c r="I102" s="8"/>
      <c r="J102" s="8">
        <v>836.14319736133041</v>
      </c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>
        <v>836.14319736133041</v>
      </c>
    </row>
    <row r="103" spans="1:27" x14ac:dyDescent="0.35">
      <c r="A103">
        <f t="shared" si="1"/>
        <v>97</v>
      </c>
      <c r="B103" t="s">
        <v>2697</v>
      </c>
      <c r="C103" s="8"/>
      <c r="D103" s="8"/>
      <c r="E103" s="8"/>
      <c r="F103" s="8"/>
      <c r="G103" s="8"/>
      <c r="H103" s="8"/>
      <c r="I103" s="8">
        <v>829.30377283102507</v>
      </c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>
        <v>829.30377283102507</v>
      </c>
    </row>
    <row r="104" spans="1:27" x14ac:dyDescent="0.35">
      <c r="A104">
        <f t="shared" si="1"/>
        <v>98</v>
      </c>
      <c r="B104" t="s">
        <v>2477</v>
      </c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>
        <v>826.9998179214607</v>
      </c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>
        <v>826.9998179214607</v>
      </c>
    </row>
    <row r="105" spans="1:27" x14ac:dyDescent="0.35">
      <c r="A105">
        <f t="shared" si="1"/>
        <v>99</v>
      </c>
      <c r="B105" s="27" t="s">
        <v>315</v>
      </c>
      <c r="C105" s="8"/>
      <c r="D105" s="8"/>
      <c r="E105" s="8"/>
      <c r="F105" s="8"/>
      <c r="G105" s="8"/>
      <c r="H105" s="8"/>
      <c r="I105" s="8"/>
      <c r="J105" s="8"/>
      <c r="K105" s="8"/>
      <c r="L105" s="8">
        <v>819.54393554186856</v>
      </c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>
        <v>819.54393554186856</v>
      </c>
    </row>
    <row r="106" spans="1:27" x14ac:dyDescent="0.35">
      <c r="A106">
        <f t="shared" si="1"/>
        <v>100</v>
      </c>
      <c r="B106" s="27" t="s">
        <v>209</v>
      </c>
      <c r="C106" s="8"/>
      <c r="D106" s="8"/>
      <c r="E106" s="8"/>
      <c r="F106" s="8"/>
      <c r="G106" s="8"/>
      <c r="H106" s="8"/>
      <c r="I106" s="8"/>
      <c r="J106" s="8"/>
      <c r="K106" s="8"/>
      <c r="L106" s="8">
        <v>791.51521194162513</v>
      </c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>
        <v>791.51521194162513</v>
      </c>
    </row>
    <row r="107" spans="1:27" x14ac:dyDescent="0.35">
      <c r="A107">
        <f t="shared" si="1"/>
        <v>101</v>
      </c>
      <c r="B107" s="27" t="s">
        <v>2342</v>
      </c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>
        <v>788.37041556532961</v>
      </c>
      <c r="AA107" s="8">
        <v>788.37041556532961</v>
      </c>
    </row>
    <row r="108" spans="1:27" x14ac:dyDescent="0.35">
      <c r="A108">
        <f t="shared" si="1"/>
        <v>102</v>
      </c>
      <c r="B108" s="27" t="s">
        <v>229</v>
      </c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>
        <v>788.37041556532961</v>
      </c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>
        <v>788.37041556532961</v>
      </c>
    </row>
    <row r="109" spans="1:27" x14ac:dyDescent="0.35">
      <c r="A109">
        <f t="shared" si="1"/>
        <v>103</v>
      </c>
      <c r="B109" t="s">
        <v>2674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>
        <v>753.32766665861152</v>
      </c>
      <c r="W109" s="8"/>
      <c r="X109" s="8"/>
      <c r="Y109" s="8"/>
      <c r="Z109" s="8"/>
      <c r="AA109" s="8">
        <v>753.32766665861152</v>
      </c>
    </row>
    <row r="110" spans="1:27" x14ac:dyDescent="0.35">
      <c r="A110">
        <f t="shared" si="1"/>
        <v>104</v>
      </c>
      <c r="B110" s="27" t="s">
        <v>891</v>
      </c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>
        <v>748.1880270062004</v>
      </c>
      <c r="X110" s="8"/>
      <c r="Y110" s="8"/>
      <c r="Z110" s="8"/>
      <c r="AA110" s="8">
        <v>748.1880270062004</v>
      </c>
    </row>
    <row r="111" spans="1:27" x14ac:dyDescent="0.35">
      <c r="A111">
        <f t="shared" si="1"/>
        <v>105</v>
      </c>
      <c r="B111" s="27" t="s">
        <v>223</v>
      </c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>
        <v>698.97000433601886</v>
      </c>
      <c r="S111" s="8"/>
      <c r="T111" s="8"/>
      <c r="U111" s="8"/>
      <c r="V111" s="8"/>
      <c r="W111" s="8"/>
      <c r="X111" s="8"/>
      <c r="Y111" s="8"/>
      <c r="Z111" s="8"/>
      <c r="AA111" s="8">
        <v>698.97000433601886</v>
      </c>
    </row>
    <row r="112" spans="1:27" x14ac:dyDescent="0.35">
      <c r="A112">
        <f t="shared" si="1"/>
        <v>106</v>
      </c>
      <c r="B112" t="s">
        <v>2677</v>
      </c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>
        <v>679.2259461402615</v>
      </c>
      <c r="AA112" s="8">
        <v>679.2259461402615</v>
      </c>
    </row>
    <row r="113" spans="1:27" x14ac:dyDescent="0.35">
      <c r="A113">
        <f t="shared" si="1"/>
        <v>107</v>
      </c>
      <c r="B113" s="27" t="s">
        <v>123</v>
      </c>
      <c r="C113" s="8"/>
      <c r="D113" s="8"/>
      <c r="E113" s="8">
        <v>617.29995788469932</v>
      </c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>
        <v>617.29995788469932</v>
      </c>
    </row>
    <row r="114" spans="1:27" x14ac:dyDescent="0.35">
      <c r="A114">
        <f t="shared" si="1"/>
        <v>108</v>
      </c>
      <c r="B114" t="s">
        <v>2684</v>
      </c>
      <c r="C114" s="8"/>
      <c r="D114" s="8"/>
      <c r="E114" s="8">
        <v>559.30801090701254</v>
      </c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559.30801090701254</v>
      </c>
    </row>
    <row r="115" spans="1:27" x14ac:dyDescent="0.35">
      <c r="A115">
        <f t="shared" si="1"/>
        <v>109</v>
      </c>
      <c r="B115" s="30" t="s">
        <v>284</v>
      </c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>
        <v>442.30329064896523</v>
      </c>
      <c r="V115" s="31"/>
      <c r="W115" s="31"/>
      <c r="X115" s="31"/>
      <c r="Y115" s="31"/>
      <c r="Z115" s="31"/>
      <c r="AA115" s="31">
        <v>442.30329064896523</v>
      </c>
    </row>
    <row r="116" spans="1:27" x14ac:dyDescent="0.35">
      <c r="A116">
        <f t="shared" si="1"/>
        <v>110</v>
      </c>
    </row>
    <row r="117" spans="1:27" x14ac:dyDescent="0.35">
      <c r="A117">
        <f t="shared" si="1"/>
        <v>111</v>
      </c>
    </row>
    <row r="118" spans="1:27" x14ac:dyDescent="0.35">
      <c r="A118">
        <f t="shared" si="1"/>
        <v>112</v>
      </c>
    </row>
    <row r="119" spans="1:27" x14ac:dyDescent="0.35">
      <c r="A119">
        <f t="shared" si="1"/>
        <v>113</v>
      </c>
    </row>
    <row r="120" spans="1:27" x14ac:dyDescent="0.35">
      <c r="A120">
        <f t="shared" si="1"/>
        <v>114</v>
      </c>
    </row>
    <row r="121" spans="1:27" x14ac:dyDescent="0.35">
      <c r="A121">
        <f t="shared" si="1"/>
        <v>115</v>
      </c>
    </row>
    <row r="122" spans="1:27" x14ac:dyDescent="0.35">
      <c r="A122">
        <f t="shared" si="1"/>
        <v>116</v>
      </c>
    </row>
    <row r="123" spans="1:27" x14ac:dyDescent="0.35">
      <c r="A123">
        <f t="shared" si="1"/>
        <v>117</v>
      </c>
    </row>
    <row r="124" spans="1:27" x14ac:dyDescent="0.35">
      <c r="A124">
        <f t="shared" si="1"/>
        <v>118</v>
      </c>
    </row>
    <row r="125" spans="1:27" x14ac:dyDescent="0.35">
      <c r="A125">
        <f t="shared" si="1"/>
        <v>119</v>
      </c>
    </row>
    <row r="126" spans="1:27" x14ac:dyDescent="0.35">
      <c r="A126">
        <f t="shared" si="1"/>
        <v>120</v>
      </c>
    </row>
    <row r="127" spans="1:27" x14ac:dyDescent="0.35">
      <c r="A127">
        <f t="shared" si="1"/>
        <v>121</v>
      </c>
    </row>
    <row r="128" spans="1:27" x14ac:dyDescent="0.35">
      <c r="A128">
        <f t="shared" si="1"/>
        <v>122</v>
      </c>
    </row>
    <row r="129" spans="1:1" x14ac:dyDescent="0.35">
      <c r="A129">
        <f t="shared" si="1"/>
        <v>123</v>
      </c>
    </row>
    <row r="130" spans="1:1" x14ac:dyDescent="0.35">
      <c r="A130">
        <f t="shared" si="1"/>
        <v>124</v>
      </c>
    </row>
    <row r="131" spans="1:1" x14ac:dyDescent="0.35">
      <c r="A131">
        <f t="shared" si="1"/>
        <v>125</v>
      </c>
    </row>
    <row r="132" spans="1:1" x14ac:dyDescent="0.35">
      <c r="A132">
        <f t="shared" si="1"/>
        <v>126</v>
      </c>
    </row>
    <row r="133" spans="1:1" x14ac:dyDescent="0.35">
      <c r="A133">
        <f t="shared" si="1"/>
        <v>127</v>
      </c>
    </row>
    <row r="134" spans="1:1" x14ac:dyDescent="0.35">
      <c r="A134">
        <f t="shared" si="1"/>
        <v>128</v>
      </c>
    </row>
    <row r="135" spans="1:1" x14ac:dyDescent="0.35">
      <c r="A135">
        <f t="shared" si="1"/>
        <v>129</v>
      </c>
    </row>
    <row r="136" spans="1:1" x14ac:dyDescent="0.35">
      <c r="A136">
        <f t="shared" si="1"/>
        <v>130</v>
      </c>
    </row>
    <row r="137" spans="1:1" x14ac:dyDescent="0.35">
      <c r="A137">
        <f t="shared" ref="A137:A200" si="2">A136+1</f>
        <v>131</v>
      </c>
    </row>
    <row r="138" spans="1:1" x14ac:dyDescent="0.35">
      <c r="A138">
        <f t="shared" si="2"/>
        <v>132</v>
      </c>
    </row>
    <row r="139" spans="1:1" x14ac:dyDescent="0.35">
      <c r="A139">
        <f t="shared" si="2"/>
        <v>133</v>
      </c>
    </row>
    <row r="140" spans="1:1" x14ac:dyDescent="0.35">
      <c r="A140">
        <f t="shared" si="2"/>
        <v>134</v>
      </c>
    </row>
    <row r="141" spans="1:1" x14ac:dyDescent="0.35">
      <c r="A141">
        <f t="shared" si="2"/>
        <v>135</v>
      </c>
    </row>
    <row r="142" spans="1:1" x14ac:dyDescent="0.35">
      <c r="A142">
        <f t="shared" si="2"/>
        <v>136</v>
      </c>
    </row>
    <row r="143" spans="1:1" x14ac:dyDescent="0.35">
      <c r="A143">
        <f t="shared" si="2"/>
        <v>137</v>
      </c>
    </row>
    <row r="144" spans="1:1" x14ac:dyDescent="0.35">
      <c r="A144">
        <f t="shared" si="2"/>
        <v>138</v>
      </c>
    </row>
    <row r="145" spans="1:1" x14ac:dyDescent="0.35">
      <c r="A145">
        <f t="shared" si="2"/>
        <v>139</v>
      </c>
    </row>
    <row r="146" spans="1:1" x14ac:dyDescent="0.35">
      <c r="A146">
        <f t="shared" si="2"/>
        <v>140</v>
      </c>
    </row>
    <row r="147" spans="1:1" x14ac:dyDescent="0.35">
      <c r="A147">
        <f t="shared" si="2"/>
        <v>141</v>
      </c>
    </row>
    <row r="148" spans="1:1" x14ac:dyDescent="0.35">
      <c r="A148">
        <f t="shared" si="2"/>
        <v>142</v>
      </c>
    </row>
    <row r="149" spans="1:1" x14ac:dyDescent="0.35">
      <c r="A149">
        <f t="shared" si="2"/>
        <v>143</v>
      </c>
    </row>
    <row r="150" spans="1:1" x14ac:dyDescent="0.35">
      <c r="A150">
        <f t="shared" si="2"/>
        <v>144</v>
      </c>
    </row>
    <row r="151" spans="1:1" x14ac:dyDescent="0.35">
      <c r="A151">
        <f t="shared" si="2"/>
        <v>145</v>
      </c>
    </row>
    <row r="152" spans="1:1" x14ac:dyDescent="0.35">
      <c r="A152">
        <f t="shared" si="2"/>
        <v>146</v>
      </c>
    </row>
    <row r="153" spans="1:1" x14ac:dyDescent="0.35">
      <c r="A153">
        <f t="shared" si="2"/>
        <v>147</v>
      </c>
    </row>
    <row r="154" spans="1:1" x14ac:dyDescent="0.35">
      <c r="A154">
        <f t="shared" si="2"/>
        <v>148</v>
      </c>
    </row>
    <row r="155" spans="1:1" x14ac:dyDescent="0.35">
      <c r="A155">
        <f t="shared" si="2"/>
        <v>149</v>
      </c>
    </row>
    <row r="156" spans="1:1" x14ac:dyDescent="0.35">
      <c r="A156">
        <f t="shared" si="2"/>
        <v>150</v>
      </c>
    </row>
    <row r="157" spans="1:1" x14ac:dyDescent="0.35">
      <c r="A157">
        <f t="shared" si="2"/>
        <v>151</v>
      </c>
    </row>
    <row r="158" spans="1:1" x14ac:dyDescent="0.35">
      <c r="A158">
        <f t="shared" si="2"/>
        <v>152</v>
      </c>
    </row>
    <row r="159" spans="1:1" x14ac:dyDescent="0.35">
      <c r="A159">
        <f t="shared" si="2"/>
        <v>153</v>
      </c>
    </row>
    <row r="160" spans="1:1" x14ac:dyDescent="0.35">
      <c r="A160">
        <f t="shared" si="2"/>
        <v>154</v>
      </c>
    </row>
    <row r="161" spans="1:1" x14ac:dyDescent="0.35">
      <c r="A161">
        <f t="shared" si="2"/>
        <v>155</v>
      </c>
    </row>
    <row r="162" spans="1:1" x14ac:dyDescent="0.35">
      <c r="A162">
        <f t="shared" si="2"/>
        <v>156</v>
      </c>
    </row>
    <row r="163" spans="1:1" x14ac:dyDescent="0.35">
      <c r="A163">
        <f t="shared" si="2"/>
        <v>157</v>
      </c>
    </row>
    <row r="164" spans="1:1" x14ac:dyDescent="0.35">
      <c r="A164">
        <f t="shared" si="2"/>
        <v>158</v>
      </c>
    </row>
    <row r="165" spans="1:1" x14ac:dyDescent="0.35">
      <c r="A165">
        <f t="shared" si="2"/>
        <v>159</v>
      </c>
    </row>
    <row r="166" spans="1:1" x14ac:dyDescent="0.35">
      <c r="A166">
        <f t="shared" si="2"/>
        <v>160</v>
      </c>
    </row>
    <row r="167" spans="1:1" x14ac:dyDescent="0.35">
      <c r="A167">
        <f t="shared" si="2"/>
        <v>161</v>
      </c>
    </row>
    <row r="168" spans="1:1" x14ac:dyDescent="0.35">
      <c r="A168">
        <f t="shared" si="2"/>
        <v>162</v>
      </c>
    </row>
    <row r="169" spans="1:1" x14ac:dyDescent="0.35">
      <c r="A169">
        <f t="shared" si="2"/>
        <v>163</v>
      </c>
    </row>
    <row r="170" spans="1:1" x14ac:dyDescent="0.35">
      <c r="A170">
        <f t="shared" si="2"/>
        <v>164</v>
      </c>
    </row>
    <row r="171" spans="1:1" x14ac:dyDescent="0.35">
      <c r="A171">
        <f t="shared" si="2"/>
        <v>165</v>
      </c>
    </row>
    <row r="172" spans="1:1" x14ac:dyDescent="0.35">
      <c r="A172">
        <f t="shared" si="2"/>
        <v>166</v>
      </c>
    </row>
    <row r="173" spans="1:1" x14ac:dyDescent="0.35">
      <c r="A173">
        <f t="shared" si="2"/>
        <v>167</v>
      </c>
    </row>
    <row r="174" spans="1:1" x14ac:dyDescent="0.35">
      <c r="A174">
        <f t="shared" si="2"/>
        <v>168</v>
      </c>
    </row>
    <row r="175" spans="1:1" x14ac:dyDescent="0.35">
      <c r="A175">
        <f t="shared" si="2"/>
        <v>169</v>
      </c>
    </row>
    <row r="176" spans="1:1" x14ac:dyDescent="0.35">
      <c r="A176">
        <f t="shared" si="2"/>
        <v>170</v>
      </c>
    </row>
    <row r="177" spans="1:1" x14ac:dyDescent="0.35">
      <c r="A177">
        <f t="shared" si="2"/>
        <v>171</v>
      </c>
    </row>
    <row r="178" spans="1:1" x14ac:dyDescent="0.35">
      <c r="A178">
        <f t="shared" si="2"/>
        <v>172</v>
      </c>
    </row>
    <row r="179" spans="1:1" x14ac:dyDescent="0.35">
      <c r="A179">
        <f t="shared" si="2"/>
        <v>173</v>
      </c>
    </row>
    <row r="180" spans="1:1" x14ac:dyDescent="0.35">
      <c r="A180">
        <f t="shared" si="2"/>
        <v>174</v>
      </c>
    </row>
    <row r="181" spans="1:1" x14ac:dyDescent="0.35">
      <c r="A181">
        <f t="shared" si="2"/>
        <v>175</v>
      </c>
    </row>
    <row r="182" spans="1:1" x14ac:dyDescent="0.35">
      <c r="A182">
        <f t="shared" si="2"/>
        <v>176</v>
      </c>
    </row>
    <row r="183" spans="1:1" x14ac:dyDescent="0.35">
      <c r="A183">
        <f t="shared" si="2"/>
        <v>177</v>
      </c>
    </row>
    <row r="184" spans="1:1" x14ac:dyDescent="0.35">
      <c r="A184">
        <f t="shared" si="2"/>
        <v>178</v>
      </c>
    </row>
    <row r="185" spans="1:1" x14ac:dyDescent="0.35">
      <c r="A185">
        <f t="shared" si="2"/>
        <v>179</v>
      </c>
    </row>
    <row r="186" spans="1:1" x14ac:dyDescent="0.35">
      <c r="A186">
        <f t="shared" si="2"/>
        <v>180</v>
      </c>
    </row>
    <row r="187" spans="1:1" x14ac:dyDescent="0.35">
      <c r="A187">
        <f t="shared" si="2"/>
        <v>181</v>
      </c>
    </row>
    <row r="188" spans="1:1" x14ac:dyDescent="0.35">
      <c r="A188">
        <f t="shared" si="2"/>
        <v>182</v>
      </c>
    </row>
    <row r="189" spans="1:1" x14ac:dyDescent="0.35">
      <c r="A189">
        <f t="shared" si="2"/>
        <v>183</v>
      </c>
    </row>
    <row r="190" spans="1:1" x14ac:dyDescent="0.35">
      <c r="A190">
        <f t="shared" si="2"/>
        <v>184</v>
      </c>
    </row>
    <row r="191" spans="1:1" x14ac:dyDescent="0.35">
      <c r="A191">
        <f t="shared" si="2"/>
        <v>185</v>
      </c>
    </row>
    <row r="192" spans="1:1" x14ac:dyDescent="0.35">
      <c r="A192">
        <f t="shared" si="2"/>
        <v>186</v>
      </c>
    </row>
    <row r="193" spans="1:1" x14ac:dyDescent="0.35">
      <c r="A193">
        <f t="shared" si="2"/>
        <v>187</v>
      </c>
    </row>
    <row r="194" spans="1:1" x14ac:dyDescent="0.35">
      <c r="A194">
        <f t="shared" si="2"/>
        <v>188</v>
      </c>
    </row>
    <row r="195" spans="1:1" x14ac:dyDescent="0.35">
      <c r="A195">
        <f t="shared" si="2"/>
        <v>189</v>
      </c>
    </row>
    <row r="196" spans="1:1" x14ac:dyDescent="0.35">
      <c r="A196">
        <f t="shared" si="2"/>
        <v>190</v>
      </c>
    </row>
    <row r="197" spans="1:1" x14ac:dyDescent="0.35">
      <c r="A197">
        <f t="shared" si="2"/>
        <v>191</v>
      </c>
    </row>
    <row r="198" spans="1:1" x14ac:dyDescent="0.35">
      <c r="A198">
        <f t="shared" si="2"/>
        <v>192</v>
      </c>
    </row>
    <row r="199" spans="1:1" x14ac:dyDescent="0.35">
      <c r="A199">
        <f t="shared" si="2"/>
        <v>193</v>
      </c>
    </row>
    <row r="200" spans="1:1" x14ac:dyDescent="0.35">
      <c r="A200">
        <f t="shared" si="2"/>
        <v>194</v>
      </c>
    </row>
    <row r="201" spans="1:1" x14ac:dyDescent="0.35">
      <c r="A201">
        <f t="shared" ref="A201:A264" si="3">A200+1</f>
        <v>195</v>
      </c>
    </row>
    <row r="202" spans="1:1" x14ac:dyDescent="0.35">
      <c r="A202">
        <f t="shared" si="3"/>
        <v>196</v>
      </c>
    </row>
    <row r="203" spans="1:1" x14ac:dyDescent="0.35">
      <c r="A203">
        <f t="shared" si="3"/>
        <v>197</v>
      </c>
    </row>
    <row r="204" spans="1:1" x14ac:dyDescent="0.35">
      <c r="A204">
        <f t="shared" si="3"/>
        <v>198</v>
      </c>
    </row>
    <row r="205" spans="1:1" x14ac:dyDescent="0.35">
      <c r="A205">
        <f t="shared" si="3"/>
        <v>199</v>
      </c>
    </row>
    <row r="206" spans="1:1" x14ac:dyDescent="0.35">
      <c r="A206">
        <f t="shared" si="3"/>
        <v>200</v>
      </c>
    </row>
    <row r="207" spans="1:1" x14ac:dyDescent="0.35">
      <c r="A207">
        <f t="shared" si="3"/>
        <v>201</v>
      </c>
    </row>
    <row r="208" spans="1:1" x14ac:dyDescent="0.35">
      <c r="A208">
        <f t="shared" si="3"/>
        <v>202</v>
      </c>
    </row>
    <row r="209" spans="1:1" x14ac:dyDescent="0.35">
      <c r="A209">
        <f t="shared" si="3"/>
        <v>203</v>
      </c>
    </row>
    <row r="210" spans="1:1" x14ac:dyDescent="0.35">
      <c r="A210">
        <f t="shared" si="3"/>
        <v>204</v>
      </c>
    </row>
    <row r="211" spans="1:1" x14ac:dyDescent="0.35">
      <c r="A211">
        <f t="shared" si="3"/>
        <v>205</v>
      </c>
    </row>
    <row r="212" spans="1:1" x14ac:dyDescent="0.35">
      <c r="A212">
        <f t="shared" si="3"/>
        <v>206</v>
      </c>
    </row>
    <row r="213" spans="1:1" x14ac:dyDescent="0.35">
      <c r="A213">
        <f t="shared" si="3"/>
        <v>207</v>
      </c>
    </row>
    <row r="214" spans="1:1" x14ac:dyDescent="0.35">
      <c r="A214">
        <f t="shared" si="3"/>
        <v>208</v>
      </c>
    </row>
    <row r="215" spans="1:1" x14ac:dyDescent="0.35">
      <c r="A215">
        <f t="shared" si="3"/>
        <v>209</v>
      </c>
    </row>
    <row r="216" spans="1:1" x14ac:dyDescent="0.35">
      <c r="A216">
        <f t="shared" si="3"/>
        <v>210</v>
      </c>
    </row>
    <row r="217" spans="1:1" x14ac:dyDescent="0.35">
      <c r="A217">
        <f t="shared" si="3"/>
        <v>211</v>
      </c>
    </row>
    <row r="218" spans="1:1" x14ac:dyDescent="0.35">
      <c r="A218">
        <f t="shared" si="3"/>
        <v>212</v>
      </c>
    </row>
    <row r="219" spans="1:1" x14ac:dyDescent="0.35">
      <c r="A219">
        <f t="shared" si="3"/>
        <v>213</v>
      </c>
    </row>
    <row r="220" spans="1:1" x14ac:dyDescent="0.35">
      <c r="A220">
        <f t="shared" si="3"/>
        <v>214</v>
      </c>
    </row>
    <row r="221" spans="1:1" x14ac:dyDescent="0.35">
      <c r="A221">
        <f t="shared" si="3"/>
        <v>215</v>
      </c>
    </row>
    <row r="222" spans="1:1" x14ac:dyDescent="0.35">
      <c r="A222">
        <f t="shared" si="3"/>
        <v>216</v>
      </c>
    </row>
    <row r="223" spans="1:1" x14ac:dyDescent="0.35">
      <c r="A223">
        <f t="shared" si="3"/>
        <v>217</v>
      </c>
    </row>
    <row r="224" spans="1:1" x14ac:dyDescent="0.35">
      <c r="A224">
        <f t="shared" si="3"/>
        <v>218</v>
      </c>
    </row>
    <row r="225" spans="1:1" x14ac:dyDescent="0.35">
      <c r="A225">
        <f t="shared" si="3"/>
        <v>219</v>
      </c>
    </row>
    <row r="226" spans="1:1" x14ac:dyDescent="0.35">
      <c r="A226">
        <f t="shared" si="3"/>
        <v>220</v>
      </c>
    </row>
    <row r="227" spans="1:1" x14ac:dyDescent="0.35">
      <c r="A227">
        <f t="shared" si="3"/>
        <v>221</v>
      </c>
    </row>
    <row r="228" spans="1:1" x14ac:dyDescent="0.35">
      <c r="A228">
        <f t="shared" si="3"/>
        <v>222</v>
      </c>
    </row>
    <row r="229" spans="1:1" x14ac:dyDescent="0.35">
      <c r="A229">
        <f t="shared" si="3"/>
        <v>223</v>
      </c>
    </row>
    <row r="230" spans="1:1" x14ac:dyDescent="0.35">
      <c r="A230">
        <f t="shared" si="3"/>
        <v>224</v>
      </c>
    </row>
    <row r="231" spans="1:1" x14ac:dyDescent="0.35">
      <c r="A231">
        <f t="shared" si="3"/>
        <v>225</v>
      </c>
    </row>
    <row r="232" spans="1:1" x14ac:dyDescent="0.35">
      <c r="A232">
        <f t="shared" si="3"/>
        <v>226</v>
      </c>
    </row>
    <row r="233" spans="1:1" x14ac:dyDescent="0.35">
      <c r="A233">
        <f t="shared" si="3"/>
        <v>227</v>
      </c>
    </row>
    <row r="234" spans="1:1" x14ac:dyDescent="0.35">
      <c r="A234">
        <f t="shared" si="3"/>
        <v>228</v>
      </c>
    </row>
    <row r="235" spans="1:1" x14ac:dyDescent="0.35">
      <c r="A235">
        <f t="shared" si="3"/>
        <v>229</v>
      </c>
    </row>
    <row r="236" spans="1:1" x14ac:dyDescent="0.35">
      <c r="A236">
        <f t="shared" si="3"/>
        <v>230</v>
      </c>
    </row>
    <row r="237" spans="1:1" x14ac:dyDescent="0.35">
      <c r="A237">
        <f t="shared" si="3"/>
        <v>231</v>
      </c>
    </row>
    <row r="238" spans="1:1" x14ac:dyDescent="0.35">
      <c r="A238">
        <f t="shared" si="3"/>
        <v>232</v>
      </c>
    </row>
    <row r="239" spans="1:1" x14ac:dyDescent="0.35">
      <c r="A239">
        <f t="shared" si="3"/>
        <v>233</v>
      </c>
    </row>
    <row r="240" spans="1:1" x14ac:dyDescent="0.35">
      <c r="A240">
        <f t="shared" si="3"/>
        <v>234</v>
      </c>
    </row>
    <row r="241" spans="1:1" x14ac:dyDescent="0.35">
      <c r="A241">
        <f t="shared" si="3"/>
        <v>235</v>
      </c>
    </row>
    <row r="242" spans="1:1" x14ac:dyDescent="0.35">
      <c r="A242">
        <f t="shared" si="3"/>
        <v>236</v>
      </c>
    </row>
    <row r="243" spans="1:1" x14ac:dyDescent="0.35">
      <c r="A243">
        <f t="shared" si="3"/>
        <v>237</v>
      </c>
    </row>
    <row r="244" spans="1:1" x14ac:dyDescent="0.35">
      <c r="A244">
        <f t="shared" si="3"/>
        <v>238</v>
      </c>
    </row>
    <row r="245" spans="1:1" x14ac:dyDescent="0.35">
      <c r="A245">
        <f t="shared" si="3"/>
        <v>239</v>
      </c>
    </row>
    <row r="246" spans="1:1" x14ac:dyDescent="0.35">
      <c r="A246">
        <f t="shared" si="3"/>
        <v>240</v>
      </c>
    </row>
    <row r="247" spans="1:1" x14ac:dyDescent="0.35">
      <c r="A247">
        <f t="shared" si="3"/>
        <v>241</v>
      </c>
    </row>
    <row r="248" spans="1:1" x14ac:dyDescent="0.35">
      <c r="A248">
        <f t="shared" si="3"/>
        <v>242</v>
      </c>
    </row>
    <row r="249" spans="1:1" x14ac:dyDescent="0.35">
      <c r="A249">
        <f t="shared" si="3"/>
        <v>243</v>
      </c>
    </row>
    <row r="250" spans="1:1" x14ac:dyDescent="0.35">
      <c r="A250">
        <f t="shared" si="3"/>
        <v>244</v>
      </c>
    </row>
    <row r="251" spans="1:1" x14ac:dyDescent="0.35">
      <c r="A251">
        <f t="shared" si="3"/>
        <v>245</v>
      </c>
    </row>
    <row r="252" spans="1:1" x14ac:dyDescent="0.35">
      <c r="A252">
        <f t="shared" si="3"/>
        <v>246</v>
      </c>
    </row>
    <row r="253" spans="1:1" x14ac:dyDescent="0.35">
      <c r="A253">
        <f t="shared" si="3"/>
        <v>247</v>
      </c>
    </row>
    <row r="254" spans="1:1" x14ac:dyDescent="0.35">
      <c r="A254">
        <f t="shared" si="3"/>
        <v>248</v>
      </c>
    </row>
    <row r="255" spans="1:1" x14ac:dyDescent="0.35">
      <c r="A255">
        <f t="shared" si="3"/>
        <v>249</v>
      </c>
    </row>
    <row r="256" spans="1:1" x14ac:dyDescent="0.35">
      <c r="A256">
        <f t="shared" si="3"/>
        <v>250</v>
      </c>
    </row>
    <row r="257" spans="1:1" x14ac:dyDescent="0.35">
      <c r="A257">
        <f t="shared" si="3"/>
        <v>251</v>
      </c>
    </row>
    <row r="258" spans="1:1" x14ac:dyDescent="0.35">
      <c r="A258">
        <f t="shared" si="3"/>
        <v>252</v>
      </c>
    </row>
    <row r="259" spans="1:1" x14ac:dyDescent="0.35">
      <c r="A259">
        <f t="shared" si="3"/>
        <v>253</v>
      </c>
    </row>
    <row r="260" spans="1:1" x14ac:dyDescent="0.35">
      <c r="A260">
        <f t="shared" si="3"/>
        <v>254</v>
      </c>
    </row>
    <row r="261" spans="1:1" x14ac:dyDescent="0.35">
      <c r="A261">
        <f t="shared" si="3"/>
        <v>255</v>
      </c>
    </row>
    <row r="262" spans="1:1" x14ac:dyDescent="0.35">
      <c r="A262">
        <f t="shared" si="3"/>
        <v>256</v>
      </c>
    </row>
    <row r="263" spans="1:1" x14ac:dyDescent="0.35">
      <c r="A263">
        <f t="shared" si="3"/>
        <v>257</v>
      </c>
    </row>
    <row r="264" spans="1:1" x14ac:dyDescent="0.35">
      <c r="A264">
        <f t="shared" si="3"/>
        <v>258</v>
      </c>
    </row>
    <row r="265" spans="1:1" x14ac:dyDescent="0.35">
      <c r="A265">
        <f t="shared" ref="A265:A328" si="4">A264+1</f>
        <v>259</v>
      </c>
    </row>
    <row r="266" spans="1:1" x14ac:dyDescent="0.35">
      <c r="A266">
        <f t="shared" si="4"/>
        <v>260</v>
      </c>
    </row>
    <row r="267" spans="1:1" x14ac:dyDescent="0.35">
      <c r="A267">
        <f t="shared" si="4"/>
        <v>261</v>
      </c>
    </row>
    <row r="268" spans="1:1" x14ac:dyDescent="0.35">
      <c r="A268">
        <f t="shared" si="4"/>
        <v>262</v>
      </c>
    </row>
    <row r="269" spans="1:1" x14ac:dyDescent="0.35">
      <c r="A269">
        <f t="shared" si="4"/>
        <v>263</v>
      </c>
    </row>
    <row r="270" spans="1:1" x14ac:dyDescent="0.35">
      <c r="A270">
        <f t="shared" si="4"/>
        <v>264</v>
      </c>
    </row>
    <row r="271" spans="1:1" x14ac:dyDescent="0.35">
      <c r="A271">
        <f t="shared" si="4"/>
        <v>265</v>
      </c>
    </row>
    <row r="272" spans="1:1" x14ac:dyDescent="0.35">
      <c r="A272">
        <f t="shared" si="4"/>
        <v>266</v>
      </c>
    </row>
    <row r="273" spans="1:1" x14ac:dyDescent="0.35">
      <c r="A273">
        <f t="shared" si="4"/>
        <v>267</v>
      </c>
    </row>
    <row r="274" spans="1:1" x14ac:dyDescent="0.35">
      <c r="A274">
        <f t="shared" si="4"/>
        <v>268</v>
      </c>
    </row>
    <row r="275" spans="1:1" x14ac:dyDescent="0.35">
      <c r="A275">
        <f t="shared" si="4"/>
        <v>269</v>
      </c>
    </row>
    <row r="276" spans="1:1" x14ac:dyDescent="0.35">
      <c r="A276">
        <f t="shared" si="4"/>
        <v>270</v>
      </c>
    </row>
    <row r="277" spans="1:1" x14ac:dyDescent="0.35">
      <c r="A277">
        <f t="shared" si="4"/>
        <v>271</v>
      </c>
    </row>
    <row r="278" spans="1:1" x14ac:dyDescent="0.35">
      <c r="A278">
        <f t="shared" si="4"/>
        <v>272</v>
      </c>
    </row>
    <row r="279" spans="1:1" x14ac:dyDescent="0.35">
      <c r="A279">
        <f t="shared" si="4"/>
        <v>273</v>
      </c>
    </row>
    <row r="280" spans="1:1" x14ac:dyDescent="0.35">
      <c r="A280">
        <f t="shared" si="4"/>
        <v>274</v>
      </c>
    </row>
    <row r="281" spans="1:1" x14ac:dyDescent="0.35">
      <c r="A281">
        <f t="shared" si="4"/>
        <v>275</v>
      </c>
    </row>
    <row r="282" spans="1:1" x14ac:dyDescent="0.35">
      <c r="A282">
        <f t="shared" si="4"/>
        <v>276</v>
      </c>
    </row>
    <row r="283" spans="1:1" x14ac:dyDescent="0.35">
      <c r="A283">
        <f t="shared" si="4"/>
        <v>277</v>
      </c>
    </row>
    <row r="284" spans="1:1" x14ac:dyDescent="0.35">
      <c r="A284">
        <f t="shared" si="4"/>
        <v>278</v>
      </c>
    </row>
    <row r="285" spans="1:1" x14ac:dyDescent="0.35">
      <c r="A285">
        <f t="shared" si="4"/>
        <v>279</v>
      </c>
    </row>
    <row r="286" spans="1:1" x14ac:dyDescent="0.35">
      <c r="A286">
        <f t="shared" si="4"/>
        <v>280</v>
      </c>
    </row>
    <row r="287" spans="1:1" x14ac:dyDescent="0.35">
      <c r="A287">
        <f t="shared" si="4"/>
        <v>281</v>
      </c>
    </row>
    <row r="288" spans="1:1" x14ac:dyDescent="0.35">
      <c r="A288">
        <f t="shared" si="4"/>
        <v>282</v>
      </c>
    </row>
    <row r="289" spans="1:1" x14ac:dyDescent="0.35">
      <c r="A289">
        <f t="shared" si="4"/>
        <v>283</v>
      </c>
    </row>
    <row r="290" spans="1:1" x14ac:dyDescent="0.35">
      <c r="A290">
        <f t="shared" si="4"/>
        <v>284</v>
      </c>
    </row>
    <row r="291" spans="1:1" x14ac:dyDescent="0.35">
      <c r="A291">
        <f t="shared" si="4"/>
        <v>285</v>
      </c>
    </row>
    <row r="292" spans="1:1" x14ac:dyDescent="0.35">
      <c r="A292">
        <f t="shared" si="4"/>
        <v>286</v>
      </c>
    </row>
    <row r="293" spans="1:1" x14ac:dyDescent="0.35">
      <c r="A293">
        <f t="shared" si="4"/>
        <v>287</v>
      </c>
    </row>
    <row r="294" spans="1:1" x14ac:dyDescent="0.35">
      <c r="A294">
        <f t="shared" si="4"/>
        <v>288</v>
      </c>
    </row>
    <row r="295" spans="1:1" x14ac:dyDescent="0.35">
      <c r="A295">
        <f t="shared" si="4"/>
        <v>289</v>
      </c>
    </row>
    <row r="296" spans="1:1" x14ac:dyDescent="0.35">
      <c r="A296">
        <f t="shared" si="4"/>
        <v>290</v>
      </c>
    </row>
    <row r="297" spans="1:1" x14ac:dyDescent="0.35">
      <c r="A297">
        <f t="shared" si="4"/>
        <v>291</v>
      </c>
    </row>
    <row r="298" spans="1:1" x14ac:dyDescent="0.35">
      <c r="A298">
        <f t="shared" si="4"/>
        <v>292</v>
      </c>
    </row>
    <row r="299" spans="1:1" x14ac:dyDescent="0.35">
      <c r="A299">
        <f t="shared" si="4"/>
        <v>293</v>
      </c>
    </row>
    <row r="300" spans="1:1" x14ac:dyDescent="0.35">
      <c r="A300">
        <f t="shared" si="4"/>
        <v>294</v>
      </c>
    </row>
    <row r="301" spans="1:1" x14ac:dyDescent="0.35">
      <c r="A301">
        <f t="shared" si="4"/>
        <v>295</v>
      </c>
    </row>
    <row r="302" spans="1:1" x14ac:dyDescent="0.35">
      <c r="A302">
        <f t="shared" si="4"/>
        <v>296</v>
      </c>
    </row>
    <row r="303" spans="1:1" x14ac:dyDescent="0.35">
      <c r="A303">
        <f t="shared" si="4"/>
        <v>297</v>
      </c>
    </row>
    <row r="304" spans="1:1" x14ac:dyDescent="0.35">
      <c r="A304">
        <f t="shared" si="4"/>
        <v>298</v>
      </c>
    </row>
    <row r="305" spans="1:1" x14ac:dyDescent="0.35">
      <c r="A305">
        <f t="shared" si="4"/>
        <v>299</v>
      </c>
    </row>
    <row r="306" spans="1:1" x14ac:dyDescent="0.35">
      <c r="A306">
        <f t="shared" si="4"/>
        <v>300</v>
      </c>
    </row>
    <row r="307" spans="1:1" x14ac:dyDescent="0.35">
      <c r="A307">
        <f t="shared" si="4"/>
        <v>301</v>
      </c>
    </row>
    <row r="308" spans="1:1" x14ac:dyDescent="0.35">
      <c r="A308">
        <f t="shared" si="4"/>
        <v>302</v>
      </c>
    </row>
    <row r="309" spans="1:1" x14ac:dyDescent="0.35">
      <c r="A309">
        <f t="shared" si="4"/>
        <v>303</v>
      </c>
    </row>
    <row r="310" spans="1:1" x14ac:dyDescent="0.35">
      <c r="A310">
        <f t="shared" si="4"/>
        <v>304</v>
      </c>
    </row>
    <row r="311" spans="1:1" x14ac:dyDescent="0.35">
      <c r="A311">
        <f t="shared" si="4"/>
        <v>305</v>
      </c>
    </row>
    <row r="312" spans="1:1" x14ac:dyDescent="0.35">
      <c r="A312">
        <f t="shared" si="4"/>
        <v>306</v>
      </c>
    </row>
    <row r="313" spans="1:1" x14ac:dyDescent="0.35">
      <c r="A313">
        <f t="shared" si="4"/>
        <v>307</v>
      </c>
    </row>
    <row r="314" spans="1:1" x14ac:dyDescent="0.35">
      <c r="A314">
        <f t="shared" si="4"/>
        <v>308</v>
      </c>
    </row>
    <row r="315" spans="1:1" x14ac:dyDescent="0.35">
      <c r="A315">
        <f t="shared" si="4"/>
        <v>309</v>
      </c>
    </row>
    <row r="316" spans="1:1" x14ac:dyDescent="0.35">
      <c r="A316">
        <f t="shared" si="4"/>
        <v>310</v>
      </c>
    </row>
    <row r="317" spans="1:1" x14ac:dyDescent="0.35">
      <c r="A317">
        <f t="shared" si="4"/>
        <v>311</v>
      </c>
    </row>
    <row r="318" spans="1:1" x14ac:dyDescent="0.35">
      <c r="A318">
        <f t="shared" si="4"/>
        <v>312</v>
      </c>
    </row>
    <row r="319" spans="1:1" x14ac:dyDescent="0.35">
      <c r="A319">
        <f t="shared" si="4"/>
        <v>313</v>
      </c>
    </row>
    <row r="320" spans="1:1" x14ac:dyDescent="0.35">
      <c r="A320">
        <f t="shared" si="4"/>
        <v>314</v>
      </c>
    </row>
    <row r="321" spans="1:1" x14ac:dyDescent="0.35">
      <c r="A321">
        <f t="shared" si="4"/>
        <v>315</v>
      </c>
    </row>
    <row r="322" spans="1:1" x14ac:dyDescent="0.35">
      <c r="A322">
        <f t="shared" si="4"/>
        <v>316</v>
      </c>
    </row>
    <row r="323" spans="1:1" x14ac:dyDescent="0.35">
      <c r="A323">
        <f t="shared" si="4"/>
        <v>317</v>
      </c>
    </row>
    <row r="324" spans="1:1" x14ac:dyDescent="0.35">
      <c r="A324">
        <f t="shared" si="4"/>
        <v>318</v>
      </c>
    </row>
    <row r="325" spans="1:1" x14ac:dyDescent="0.35">
      <c r="A325">
        <f t="shared" si="4"/>
        <v>319</v>
      </c>
    </row>
    <row r="326" spans="1:1" x14ac:dyDescent="0.35">
      <c r="A326">
        <f t="shared" si="4"/>
        <v>320</v>
      </c>
    </row>
    <row r="327" spans="1:1" x14ac:dyDescent="0.35">
      <c r="A327">
        <f t="shared" si="4"/>
        <v>321</v>
      </c>
    </row>
    <row r="328" spans="1:1" x14ac:dyDescent="0.35">
      <c r="A328">
        <f t="shared" si="4"/>
        <v>322</v>
      </c>
    </row>
    <row r="329" spans="1:1" x14ac:dyDescent="0.35">
      <c r="A329">
        <f t="shared" ref="A329:A392" si="5">A328+1</f>
        <v>323</v>
      </c>
    </row>
    <row r="330" spans="1:1" x14ac:dyDescent="0.35">
      <c r="A330">
        <f t="shared" si="5"/>
        <v>324</v>
      </c>
    </row>
    <row r="331" spans="1:1" x14ac:dyDescent="0.35">
      <c r="A331">
        <f t="shared" si="5"/>
        <v>325</v>
      </c>
    </row>
    <row r="332" spans="1:1" x14ac:dyDescent="0.35">
      <c r="A332">
        <f t="shared" si="5"/>
        <v>326</v>
      </c>
    </row>
    <row r="333" spans="1:1" x14ac:dyDescent="0.35">
      <c r="A333">
        <f t="shared" si="5"/>
        <v>327</v>
      </c>
    </row>
    <row r="334" spans="1:1" x14ac:dyDescent="0.35">
      <c r="A334">
        <f t="shared" si="5"/>
        <v>328</v>
      </c>
    </row>
    <row r="335" spans="1:1" x14ac:dyDescent="0.35">
      <c r="A335">
        <f t="shared" si="5"/>
        <v>329</v>
      </c>
    </row>
    <row r="336" spans="1:1" x14ac:dyDescent="0.35">
      <c r="A336">
        <f t="shared" si="5"/>
        <v>330</v>
      </c>
    </row>
    <row r="337" spans="1:1" x14ac:dyDescent="0.35">
      <c r="A337">
        <f t="shared" si="5"/>
        <v>331</v>
      </c>
    </row>
    <row r="338" spans="1:1" x14ac:dyDescent="0.35">
      <c r="A338">
        <f t="shared" si="5"/>
        <v>332</v>
      </c>
    </row>
    <row r="339" spans="1:1" x14ac:dyDescent="0.35">
      <c r="A339">
        <f t="shared" si="5"/>
        <v>333</v>
      </c>
    </row>
    <row r="340" spans="1:1" x14ac:dyDescent="0.35">
      <c r="A340">
        <f t="shared" si="5"/>
        <v>334</v>
      </c>
    </row>
    <row r="341" spans="1:1" x14ac:dyDescent="0.35">
      <c r="A341">
        <f t="shared" si="5"/>
        <v>335</v>
      </c>
    </row>
    <row r="342" spans="1:1" x14ac:dyDescent="0.35">
      <c r="A342">
        <f t="shared" si="5"/>
        <v>336</v>
      </c>
    </row>
    <row r="343" spans="1:1" x14ac:dyDescent="0.35">
      <c r="A343">
        <f t="shared" si="5"/>
        <v>337</v>
      </c>
    </row>
    <row r="344" spans="1:1" x14ac:dyDescent="0.35">
      <c r="A344">
        <f t="shared" si="5"/>
        <v>338</v>
      </c>
    </row>
    <row r="345" spans="1:1" x14ac:dyDescent="0.35">
      <c r="A345">
        <f t="shared" si="5"/>
        <v>339</v>
      </c>
    </row>
    <row r="346" spans="1:1" x14ac:dyDescent="0.35">
      <c r="A346">
        <f t="shared" si="5"/>
        <v>340</v>
      </c>
    </row>
    <row r="347" spans="1:1" x14ac:dyDescent="0.35">
      <c r="A347">
        <f t="shared" si="5"/>
        <v>341</v>
      </c>
    </row>
    <row r="348" spans="1:1" x14ac:dyDescent="0.35">
      <c r="A348">
        <f t="shared" si="5"/>
        <v>342</v>
      </c>
    </row>
    <row r="349" spans="1:1" x14ac:dyDescent="0.35">
      <c r="A349">
        <f t="shared" si="5"/>
        <v>343</v>
      </c>
    </row>
    <row r="350" spans="1:1" x14ac:dyDescent="0.35">
      <c r="A350">
        <f t="shared" si="5"/>
        <v>344</v>
      </c>
    </row>
    <row r="351" spans="1:1" x14ac:dyDescent="0.35">
      <c r="A351">
        <f t="shared" si="5"/>
        <v>345</v>
      </c>
    </row>
    <row r="352" spans="1:1" x14ac:dyDescent="0.35">
      <c r="A352">
        <f t="shared" si="5"/>
        <v>346</v>
      </c>
    </row>
    <row r="353" spans="1:1" x14ac:dyDescent="0.35">
      <c r="A353">
        <f t="shared" si="5"/>
        <v>347</v>
      </c>
    </row>
    <row r="354" spans="1:1" x14ac:dyDescent="0.35">
      <c r="A354">
        <f t="shared" si="5"/>
        <v>348</v>
      </c>
    </row>
    <row r="355" spans="1:1" x14ac:dyDescent="0.35">
      <c r="A355">
        <f t="shared" si="5"/>
        <v>349</v>
      </c>
    </row>
    <row r="356" spans="1:1" x14ac:dyDescent="0.35">
      <c r="A356">
        <f t="shared" si="5"/>
        <v>350</v>
      </c>
    </row>
    <row r="357" spans="1:1" x14ac:dyDescent="0.35">
      <c r="A357">
        <f t="shared" si="5"/>
        <v>351</v>
      </c>
    </row>
    <row r="358" spans="1:1" x14ac:dyDescent="0.35">
      <c r="A358">
        <f t="shared" si="5"/>
        <v>352</v>
      </c>
    </row>
    <row r="359" spans="1:1" x14ac:dyDescent="0.35">
      <c r="A359">
        <f t="shared" si="5"/>
        <v>353</v>
      </c>
    </row>
    <row r="360" spans="1:1" x14ac:dyDescent="0.35">
      <c r="A360">
        <f t="shared" si="5"/>
        <v>354</v>
      </c>
    </row>
    <row r="361" spans="1:1" x14ac:dyDescent="0.35">
      <c r="A361">
        <f t="shared" si="5"/>
        <v>355</v>
      </c>
    </row>
    <row r="362" spans="1:1" x14ac:dyDescent="0.35">
      <c r="A362">
        <f t="shared" si="5"/>
        <v>356</v>
      </c>
    </row>
    <row r="363" spans="1:1" x14ac:dyDescent="0.35">
      <c r="A363">
        <f t="shared" si="5"/>
        <v>357</v>
      </c>
    </row>
    <row r="364" spans="1:1" x14ac:dyDescent="0.35">
      <c r="A364">
        <f t="shared" si="5"/>
        <v>358</v>
      </c>
    </row>
    <row r="365" spans="1:1" x14ac:dyDescent="0.35">
      <c r="A365">
        <f t="shared" si="5"/>
        <v>359</v>
      </c>
    </row>
    <row r="366" spans="1:1" x14ac:dyDescent="0.35">
      <c r="A366">
        <f t="shared" si="5"/>
        <v>360</v>
      </c>
    </row>
    <row r="367" spans="1:1" x14ac:dyDescent="0.35">
      <c r="A367">
        <f t="shared" si="5"/>
        <v>361</v>
      </c>
    </row>
    <row r="368" spans="1:1" x14ac:dyDescent="0.35">
      <c r="A368">
        <f t="shared" si="5"/>
        <v>362</v>
      </c>
    </row>
    <row r="369" spans="1:1" x14ac:dyDescent="0.35">
      <c r="A369">
        <f t="shared" si="5"/>
        <v>363</v>
      </c>
    </row>
    <row r="370" spans="1:1" x14ac:dyDescent="0.35">
      <c r="A370">
        <f t="shared" si="5"/>
        <v>364</v>
      </c>
    </row>
    <row r="371" spans="1:1" x14ac:dyDescent="0.35">
      <c r="A371">
        <f t="shared" si="5"/>
        <v>365</v>
      </c>
    </row>
    <row r="372" spans="1:1" x14ac:dyDescent="0.35">
      <c r="A372">
        <f t="shared" si="5"/>
        <v>366</v>
      </c>
    </row>
    <row r="373" spans="1:1" x14ac:dyDescent="0.35">
      <c r="A373">
        <f t="shared" si="5"/>
        <v>367</v>
      </c>
    </row>
    <row r="374" spans="1:1" x14ac:dyDescent="0.35">
      <c r="A374">
        <f t="shared" si="5"/>
        <v>368</v>
      </c>
    </row>
    <row r="375" spans="1:1" x14ac:dyDescent="0.35">
      <c r="A375">
        <f t="shared" si="5"/>
        <v>369</v>
      </c>
    </row>
    <row r="376" spans="1:1" x14ac:dyDescent="0.35">
      <c r="A376">
        <f t="shared" si="5"/>
        <v>370</v>
      </c>
    </row>
    <row r="377" spans="1:1" x14ac:dyDescent="0.35">
      <c r="A377">
        <f t="shared" si="5"/>
        <v>371</v>
      </c>
    </row>
    <row r="378" spans="1:1" x14ac:dyDescent="0.35">
      <c r="A378">
        <f t="shared" si="5"/>
        <v>372</v>
      </c>
    </row>
    <row r="379" spans="1:1" x14ac:dyDescent="0.35">
      <c r="A379">
        <f t="shared" si="5"/>
        <v>373</v>
      </c>
    </row>
    <row r="380" spans="1:1" x14ac:dyDescent="0.35">
      <c r="A380">
        <f t="shared" si="5"/>
        <v>374</v>
      </c>
    </row>
    <row r="381" spans="1:1" x14ac:dyDescent="0.35">
      <c r="A381">
        <f t="shared" si="5"/>
        <v>375</v>
      </c>
    </row>
    <row r="382" spans="1:1" x14ac:dyDescent="0.35">
      <c r="A382">
        <f t="shared" si="5"/>
        <v>376</v>
      </c>
    </row>
    <row r="383" spans="1:1" x14ac:dyDescent="0.35">
      <c r="A383">
        <f t="shared" si="5"/>
        <v>377</v>
      </c>
    </row>
    <row r="384" spans="1:1" x14ac:dyDescent="0.35">
      <c r="A384">
        <f t="shared" si="5"/>
        <v>378</v>
      </c>
    </row>
    <row r="385" spans="1:1" x14ac:dyDescent="0.35">
      <c r="A385">
        <f t="shared" si="5"/>
        <v>379</v>
      </c>
    </row>
    <row r="386" spans="1:1" x14ac:dyDescent="0.35">
      <c r="A386">
        <f t="shared" si="5"/>
        <v>380</v>
      </c>
    </row>
    <row r="387" spans="1:1" x14ac:dyDescent="0.35">
      <c r="A387">
        <f t="shared" si="5"/>
        <v>381</v>
      </c>
    </row>
    <row r="388" spans="1:1" x14ac:dyDescent="0.35">
      <c r="A388">
        <f t="shared" si="5"/>
        <v>382</v>
      </c>
    </row>
    <row r="389" spans="1:1" x14ac:dyDescent="0.35">
      <c r="A389">
        <f t="shared" si="5"/>
        <v>383</v>
      </c>
    </row>
    <row r="390" spans="1:1" x14ac:dyDescent="0.35">
      <c r="A390">
        <f t="shared" si="5"/>
        <v>384</v>
      </c>
    </row>
    <row r="391" spans="1:1" x14ac:dyDescent="0.35">
      <c r="A391">
        <f t="shared" si="5"/>
        <v>385</v>
      </c>
    </row>
    <row r="392" spans="1:1" x14ac:dyDescent="0.35">
      <c r="A392">
        <f t="shared" si="5"/>
        <v>386</v>
      </c>
    </row>
    <row r="393" spans="1:1" x14ac:dyDescent="0.35">
      <c r="A393">
        <f t="shared" ref="A393:A456" si="6">A392+1</f>
        <v>387</v>
      </c>
    </row>
    <row r="394" spans="1:1" x14ac:dyDescent="0.35">
      <c r="A394">
        <f t="shared" si="6"/>
        <v>388</v>
      </c>
    </row>
    <row r="395" spans="1:1" x14ac:dyDescent="0.35">
      <c r="A395">
        <f t="shared" si="6"/>
        <v>389</v>
      </c>
    </row>
    <row r="396" spans="1:1" x14ac:dyDescent="0.35">
      <c r="A396">
        <f t="shared" si="6"/>
        <v>390</v>
      </c>
    </row>
    <row r="397" spans="1:1" x14ac:dyDescent="0.35">
      <c r="A397">
        <f t="shared" si="6"/>
        <v>391</v>
      </c>
    </row>
    <row r="398" spans="1:1" x14ac:dyDescent="0.35">
      <c r="A398">
        <f t="shared" si="6"/>
        <v>392</v>
      </c>
    </row>
    <row r="399" spans="1:1" x14ac:dyDescent="0.35">
      <c r="A399">
        <f t="shared" si="6"/>
        <v>393</v>
      </c>
    </row>
    <row r="400" spans="1:1" x14ac:dyDescent="0.35">
      <c r="A400">
        <f t="shared" si="6"/>
        <v>394</v>
      </c>
    </row>
    <row r="401" spans="1:1" x14ac:dyDescent="0.35">
      <c r="A401">
        <f t="shared" si="6"/>
        <v>395</v>
      </c>
    </row>
    <row r="402" spans="1:1" x14ac:dyDescent="0.35">
      <c r="A402">
        <f t="shared" si="6"/>
        <v>396</v>
      </c>
    </row>
    <row r="403" spans="1:1" x14ac:dyDescent="0.35">
      <c r="A403">
        <f t="shared" si="6"/>
        <v>397</v>
      </c>
    </row>
    <row r="404" spans="1:1" x14ac:dyDescent="0.35">
      <c r="A404">
        <f t="shared" si="6"/>
        <v>398</v>
      </c>
    </row>
    <row r="405" spans="1:1" x14ac:dyDescent="0.35">
      <c r="A405">
        <f t="shared" si="6"/>
        <v>399</v>
      </c>
    </row>
    <row r="406" spans="1:1" x14ac:dyDescent="0.35">
      <c r="A406">
        <f t="shared" si="6"/>
        <v>400</v>
      </c>
    </row>
    <row r="407" spans="1:1" x14ac:dyDescent="0.35">
      <c r="A407">
        <f t="shared" si="6"/>
        <v>401</v>
      </c>
    </row>
    <row r="408" spans="1:1" x14ac:dyDescent="0.35">
      <c r="A408">
        <f t="shared" si="6"/>
        <v>402</v>
      </c>
    </row>
    <row r="409" spans="1:1" x14ac:dyDescent="0.35">
      <c r="A409">
        <f t="shared" si="6"/>
        <v>403</v>
      </c>
    </row>
    <row r="410" spans="1:1" x14ac:dyDescent="0.35">
      <c r="A410">
        <f t="shared" si="6"/>
        <v>404</v>
      </c>
    </row>
    <row r="411" spans="1:1" x14ac:dyDescent="0.35">
      <c r="A411">
        <f t="shared" si="6"/>
        <v>405</v>
      </c>
    </row>
    <row r="412" spans="1:1" x14ac:dyDescent="0.35">
      <c r="A412">
        <f t="shared" si="6"/>
        <v>406</v>
      </c>
    </row>
    <row r="413" spans="1:1" x14ac:dyDescent="0.35">
      <c r="A413">
        <f t="shared" si="6"/>
        <v>407</v>
      </c>
    </row>
    <row r="414" spans="1:1" x14ac:dyDescent="0.35">
      <c r="A414">
        <f t="shared" si="6"/>
        <v>408</v>
      </c>
    </row>
    <row r="415" spans="1:1" x14ac:dyDescent="0.35">
      <c r="A415">
        <f t="shared" si="6"/>
        <v>409</v>
      </c>
    </row>
    <row r="416" spans="1:1" x14ac:dyDescent="0.35">
      <c r="A416">
        <f t="shared" si="6"/>
        <v>410</v>
      </c>
    </row>
    <row r="417" spans="1:1" x14ac:dyDescent="0.35">
      <c r="A417">
        <f t="shared" si="6"/>
        <v>411</v>
      </c>
    </row>
    <row r="418" spans="1:1" x14ac:dyDescent="0.35">
      <c r="A418">
        <f t="shared" si="6"/>
        <v>412</v>
      </c>
    </row>
    <row r="419" spans="1:1" x14ac:dyDescent="0.35">
      <c r="A419">
        <f t="shared" si="6"/>
        <v>413</v>
      </c>
    </row>
    <row r="420" spans="1:1" x14ac:dyDescent="0.35">
      <c r="A420">
        <f t="shared" si="6"/>
        <v>414</v>
      </c>
    </row>
    <row r="421" spans="1:1" x14ac:dyDescent="0.35">
      <c r="A421">
        <f t="shared" si="6"/>
        <v>415</v>
      </c>
    </row>
    <row r="422" spans="1:1" x14ac:dyDescent="0.35">
      <c r="A422">
        <f t="shared" si="6"/>
        <v>416</v>
      </c>
    </row>
    <row r="423" spans="1:1" x14ac:dyDescent="0.35">
      <c r="A423">
        <f t="shared" si="6"/>
        <v>417</v>
      </c>
    </row>
    <row r="424" spans="1:1" x14ac:dyDescent="0.35">
      <c r="A424">
        <f t="shared" si="6"/>
        <v>418</v>
      </c>
    </row>
    <row r="425" spans="1:1" x14ac:dyDescent="0.35">
      <c r="A425">
        <f t="shared" si="6"/>
        <v>419</v>
      </c>
    </row>
    <row r="426" spans="1:1" x14ac:dyDescent="0.35">
      <c r="A426">
        <f t="shared" si="6"/>
        <v>420</v>
      </c>
    </row>
    <row r="427" spans="1:1" x14ac:dyDescent="0.35">
      <c r="A427">
        <f t="shared" si="6"/>
        <v>421</v>
      </c>
    </row>
    <row r="428" spans="1:1" x14ac:dyDescent="0.35">
      <c r="A428">
        <f t="shared" si="6"/>
        <v>422</v>
      </c>
    </row>
    <row r="429" spans="1:1" x14ac:dyDescent="0.35">
      <c r="A429">
        <f t="shared" si="6"/>
        <v>423</v>
      </c>
    </row>
    <row r="430" spans="1:1" x14ac:dyDescent="0.35">
      <c r="A430">
        <f t="shared" si="6"/>
        <v>424</v>
      </c>
    </row>
    <row r="431" spans="1:1" x14ac:dyDescent="0.35">
      <c r="A431">
        <f t="shared" si="6"/>
        <v>425</v>
      </c>
    </row>
    <row r="432" spans="1:1" x14ac:dyDescent="0.35">
      <c r="A432">
        <f t="shared" si="6"/>
        <v>426</v>
      </c>
    </row>
    <row r="433" spans="1:1" x14ac:dyDescent="0.35">
      <c r="A433">
        <f t="shared" si="6"/>
        <v>427</v>
      </c>
    </row>
    <row r="434" spans="1:1" x14ac:dyDescent="0.35">
      <c r="A434">
        <f t="shared" si="6"/>
        <v>428</v>
      </c>
    </row>
    <row r="435" spans="1:1" x14ac:dyDescent="0.35">
      <c r="A435">
        <f t="shared" si="6"/>
        <v>429</v>
      </c>
    </row>
    <row r="436" spans="1:1" x14ac:dyDescent="0.35">
      <c r="A436">
        <f t="shared" si="6"/>
        <v>430</v>
      </c>
    </row>
    <row r="437" spans="1:1" x14ac:dyDescent="0.35">
      <c r="A437">
        <f t="shared" si="6"/>
        <v>431</v>
      </c>
    </row>
    <row r="438" spans="1:1" x14ac:dyDescent="0.35">
      <c r="A438">
        <f t="shared" si="6"/>
        <v>432</v>
      </c>
    </row>
    <row r="439" spans="1:1" x14ac:dyDescent="0.35">
      <c r="A439">
        <f t="shared" si="6"/>
        <v>433</v>
      </c>
    </row>
    <row r="440" spans="1:1" x14ac:dyDescent="0.35">
      <c r="A440">
        <f t="shared" si="6"/>
        <v>434</v>
      </c>
    </row>
    <row r="441" spans="1:1" x14ac:dyDescent="0.35">
      <c r="A441">
        <f t="shared" si="6"/>
        <v>435</v>
      </c>
    </row>
    <row r="442" spans="1:1" x14ac:dyDescent="0.35">
      <c r="A442">
        <f t="shared" si="6"/>
        <v>436</v>
      </c>
    </row>
    <row r="443" spans="1:1" x14ac:dyDescent="0.35">
      <c r="A443">
        <f t="shared" si="6"/>
        <v>437</v>
      </c>
    </row>
    <row r="444" spans="1:1" x14ac:dyDescent="0.35">
      <c r="A444">
        <f t="shared" si="6"/>
        <v>438</v>
      </c>
    </row>
    <row r="445" spans="1:1" x14ac:dyDescent="0.35">
      <c r="A445">
        <f t="shared" si="6"/>
        <v>439</v>
      </c>
    </row>
    <row r="446" spans="1:1" x14ac:dyDescent="0.35">
      <c r="A446">
        <f t="shared" si="6"/>
        <v>440</v>
      </c>
    </row>
    <row r="447" spans="1:1" x14ac:dyDescent="0.35">
      <c r="A447">
        <f t="shared" si="6"/>
        <v>441</v>
      </c>
    </row>
    <row r="448" spans="1:1" x14ac:dyDescent="0.35">
      <c r="A448">
        <f t="shared" si="6"/>
        <v>442</v>
      </c>
    </row>
    <row r="449" spans="1:1" x14ac:dyDescent="0.35">
      <c r="A449">
        <f t="shared" si="6"/>
        <v>443</v>
      </c>
    </row>
    <row r="450" spans="1:1" x14ac:dyDescent="0.35">
      <c r="A450">
        <f t="shared" si="6"/>
        <v>444</v>
      </c>
    </row>
    <row r="451" spans="1:1" x14ac:dyDescent="0.35">
      <c r="A451">
        <f t="shared" si="6"/>
        <v>445</v>
      </c>
    </row>
    <row r="452" spans="1:1" x14ac:dyDescent="0.35">
      <c r="A452">
        <f t="shared" si="6"/>
        <v>446</v>
      </c>
    </row>
    <row r="453" spans="1:1" x14ac:dyDescent="0.35">
      <c r="A453">
        <f t="shared" si="6"/>
        <v>447</v>
      </c>
    </row>
    <row r="454" spans="1:1" x14ac:dyDescent="0.35">
      <c r="A454">
        <f t="shared" si="6"/>
        <v>448</v>
      </c>
    </row>
    <row r="455" spans="1:1" x14ac:dyDescent="0.35">
      <c r="A455">
        <f t="shared" si="6"/>
        <v>449</v>
      </c>
    </row>
    <row r="456" spans="1:1" x14ac:dyDescent="0.35">
      <c r="A456">
        <f t="shared" si="6"/>
        <v>450</v>
      </c>
    </row>
    <row r="457" spans="1:1" x14ac:dyDescent="0.35">
      <c r="A457">
        <f t="shared" ref="A457:A520" si="7">A456+1</f>
        <v>451</v>
      </c>
    </row>
    <row r="458" spans="1:1" x14ac:dyDescent="0.35">
      <c r="A458">
        <f t="shared" si="7"/>
        <v>452</v>
      </c>
    </row>
    <row r="459" spans="1:1" x14ac:dyDescent="0.35">
      <c r="A459">
        <f t="shared" si="7"/>
        <v>453</v>
      </c>
    </row>
    <row r="460" spans="1:1" x14ac:dyDescent="0.35">
      <c r="A460">
        <f t="shared" si="7"/>
        <v>454</v>
      </c>
    </row>
    <row r="461" spans="1:1" x14ac:dyDescent="0.35">
      <c r="A461">
        <f t="shared" si="7"/>
        <v>455</v>
      </c>
    </row>
    <row r="462" spans="1:1" x14ac:dyDescent="0.35">
      <c r="A462">
        <f t="shared" si="7"/>
        <v>456</v>
      </c>
    </row>
    <row r="463" spans="1:1" x14ac:dyDescent="0.35">
      <c r="A463">
        <f t="shared" si="7"/>
        <v>457</v>
      </c>
    </row>
    <row r="464" spans="1:1" x14ac:dyDescent="0.35">
      <c r="A464">
        <f t="shared" si="7"/>
        <v>458</v>
      </c>
    </row>
    <row r="465" spans="1:1" x14ac:dyDescent="0.35">
      <c r="A465">
        <f t="shared" si="7"/>
        <v>459</v>
      </c>
    </row>
    <row r="466" spans="1:1" x14ac:dyDescent="0.35">
      <c r="A466">
        <f t="shared" si="7"/>
        <v>460</v>
      </c>
    </row>
    <row r="467" spans="1:1" x14ac:dyDescent="0.35">
      <c r="A467">
        <f t="shared" si="7"/>
        <v>461</v>
      </c>
    </row>
    <row r="468" spans="1:1" x14ac:dyDescent="0.35">
      <c r="A468">
        <f t="shared" si="7"/>
        <v>462</v>
      </c>
    </row>
    <row r="469" spans="1:1" x14ac:dyDescent="0.35">
      <c r="A469">
        <f t="shared" si="7"/>
        <v>463</v>
      </c>
    </row>
    <row r="470" spans="1:1" x14ac:dyDescent="0.35">
      <c r="A470">
        <f t="shared" si="7"/>
        <v>464</v>
      </c>
    </row>
    <row r="471" spans="1:1" x14ac:dyDescent="0.35">
      <c r="A471">
        <f t="shared" si="7"/>
        <v>465</v>
      </c>
    </row>
    <row r="472" spans="1:1" x14ac:dyDescent="0.35">
      <c r="A472">
        <f t="shared" si="7"/>
        <v>466</v>
      </c>
    </row>
    <row r="473" spans="1:1" x14ac:dyDescent="0.35">
      <c r="A473">
        <f t="shared" si="7"/>
        <v>467</v>
      </c>
    </row>
    <row r="474" spans="1:1" x14ac:dyDescent="0.35">
      <c r="A474">
        <f t="shared" si="7"/>
        <v>468</v>
      </c>
    </row>
    <row r="475" spans="1:1" x14ac:dyDescent="0.35">
      <c r="A475">
        <f t="shared" si="7"/>
        <v>469</v>
      </c>
    </row>
    <row r="476" spans="1:1" x14ac:dyDescent="0.35">
      <c r="A476">
        <f t="shared" si="7"/>
        <v>470</v>
      </c>
    </row>
    <row r="477" spans="1:1" x14ac:dyDescent="0.35">
      <c r="A477">
        <f t="shared" si="7"/>
        <v>471</v>
      </c>
    </row>
    <row r="478" spans="1:1" x14ac:dyDescent="0.35">
      <c r="A478">
        <f t="shared" si="7"/>
        <v>472</v>
      </c>
    </row>
    <row r="479" spans="1:1" x14ac:dyDescent="0.35">
      <c r="A479">
        <f t="shared" si="7"/>
        <v>473</v>
      </c>
    </row>
    <row r="480" spans="1:1" x14ac:dyDescent="0.35">
      <c r="A480">
        <f t="shared" si="7"/>
        <v>474</v>
      </c>
    </row>
    <row r="481" spans="1:1" x14ac:dyDescent="0.35">
      <c r="A481">
        <f t="shared" si="7"/>
        <v>475</v>
      </c>
    </row>
    <row r="482" spans="1:1" x14ac:dyDescent="0.35">
      <c r="A482">
        <f t="shared" si="7"/>
        <v>476</v>
      </c>
    </row>
    <row r="483" spans="1:1" x14ac:dyDescent="0.35">
      <c r="A483">
        <f t="shared" si="7"/>
        <v>477</v>
      </c>
    </row>
    <row r="484" spans="1:1" x14ac:dyDescent="0.35">
      <c r="A484">
        <f t="shared" si="7"/>
        <v>478</v>
      </c>
    </row>
    <row r="485" spans="1:1" x14ac:dyDescent="0.35">
      <c r="A485">
        <f t="shared" si="7"/>
        <v>479</v>
      </c>
    </row>
    <row r="486" spans="1:1" x14ac:dyDescent="0.35">
      <c r="A486">
        <f t="shared" si="7"/>
        <v>480</v>
      </c>
    </row>
    <row r="487" spans="1:1" x14ac:dyDescent="0.35">
      <c r="A487">
        <f t="shared" si="7"/>
        <v>481</v>
      </c>
    </row>
    <row r="488" spans="1:1" x14ac:dyDescent="0.35">
      <c r="A488">
        <f t="shared" si="7"/>
        <v>482</v>
      </c>
    </row>
    <row r="489" spans="1:1" x14ac:dyDescent="0.35">
      <c r="A489">
        <f t="shared" si="7"/>
        <v>483</v>
      </c>
    </row>
    <row r="490" spans="1:1" x14ac:dyDescent="0.35">
      <c r="A490">
        <f t="shared" si="7"/>
        <v>484</v>
      </c>
    </row>
    <row r="491" spans="1:1" x14ac:dyDescent="0.35">
      <c r="A491">
        <f t="shared" si="7"/>
        <v>485</v>
      </c>
    </row>
    <row r="492" spans="1:1" x14ac:dyDescent="0.35">
      <c r="A492">
        <f t="shared" si="7"/>
        <v>486</v>
      </c>
    </row>
    <row r="493" spans="1:1" x14ac:dyDescent="0.35">
      <c r="A493">
        <f t="shared" si="7"/>
        <v>487</v>
      </c>
    </row>
    <row r="494" spans="1:1" x14ac:dyDescent="0.35">
      <c r="A494">
        <f t="shared" si="7"/>
        <v>488</v>
      </c>
    </row>
    <row r="495" spans="1:1" x14ac:dyDescent="0.35">
      <c r="A495">
        <f t="shared" si="7"/>
        <v>489</v>
      </c>
    </row>
    <row r="496" spans="1:1" x14ac:dyDescent="0.35">
      <c r="A496">
        <f t="shared" si="7"/>
        <v>490</v>
      </c>
    </row>
    <row r="497" spans="1:1" x14ac:dyDescent="0.35">
      <c r="A497">
        <f t="shared" si="7"/>
        <v>491</v>
      </c>
    </row>
    <row r="498" spans="1:1" x14ac:dyDescent="0.35">
      <c r="A498">
        <f t="shared" si="7"/>
        <v>492</v>
      </c>
    </row>
    <row r="499" spans="1:1" x14ac:dyDescent="0.35">
      <c r="A499">
        <f t="shared" si="7"/>
        <v>493</v>
      </c>
    </row>
    <row r="500" spans="1:1" x14ac:dyDescent="0.35">
      <c r="A500">
        <f t="shared" si="7"/>
        <v>494</v>
      </c>
    </row>
    <row r="501" spans="1:1" x14ac:dyDescent="0.35">
      <c r="A501">
        <f t="shared" si="7"/>
        <v>495</v>
      </c>
    </row>
    <row r="502" spans="1:1" x14ac:dyDescent="0.35">
      <c r="A502">
        <f t="shared" si="7"/>
        <v>496</v>
      </c>
    </row>
    <row r="503" spans="1:1" x14ac:dyDescent="0.35">
      <c r="A503">
        <f t="shared" si="7"/>
        <v>497</v>
      </c>
    </row>
    <row r="504" spans="1:1" x14ac:dyDescent="0.35">
      <c r="A504">
        <f t="shared" si="7"/>
        <v>498</v>
      </c>
    </row>
    <row r="505" spans="1:1" x14ac:dyDescent="0.35">
      <c r="A505">
        <f t="shared" si="7"/>
        <v>499</v>
      </c>
    </row>
    <row r="506" spans="1:1" x14ac:dyDescent="0.35">
      <c r="A506">
        <f t="shared" si="7"/>
        <v>500</v>
      </c>
    </row>
    <row r="507" spans="1:1" x14ac:dyDescent="0.35">
      <c r="A507">
        <f t="shared" si="7"/>
        <v>501</v>
      </c>
    </row>
    <row r="508" spans="1:1" x14ac:dyDescent="0.35">
      <c r="A508">
        <f t="shared" si="7"/>
        <v>502</v>
      </c>
    </row>
    <row r="509" spans="1:1" x14ac:dyDescent="0.35">
      <c r="A509">
        <f t="shared" si="7"/>
        <v>503</v>
      </c>
    </row>
    <row r="510" spans="1:1" x14ac:dyDescent="0.35">
      <c r="A510">
        <f t="shared" si="7"/>
        <v>504</v>
      </c>
    </row>
    <row r="511" spans="1:1" x14ac:dyDescent="0.35">
      <c r="A511">
        <f t="shared" si="7"/>
        <v>505</v>
      </c>
    </row>
    <row r="512" spans="1:1" x14ac:dyDescent="0.35">
      <c r="A512">
        <f t="shared" si="7"/>
        <v>506</v>
      </c>
    </row>
    <row r="513" spans="1:1" x14ac:dyDescent="0.35">
      <c r="A513">
        <f t="shared" si="7"/>
        <v>507</v>
      </c>
    </row>
    <row r="514" spans="1:1" x14ac:dyDescent="0.35">
      <c r="A514">
        <f t="shared" si="7"/>
        <v>508</v>
      </c>
    </row>
    <row r="515" spans="1:1" x14ac:dyDescent="0.35">
      <c r="A515">
        <f t="shared" si="7"/>
        <v>509</v>
      </c>
    </row>
    <row r="516" spans="1:1" x14ac:dyDescent="0.35">
      <c r="A516">
        <f t="shared" si="7"/>
        <v>510</v>
      </c>
    </row>
    <row r="517" spans="1:1" x14ac:dyDescent="0.35">
      <c r="A517">
        <f t="shared" si="7"/>
        <v>511</v>
      </c>
    </row>
    <row r="518" spans="1:1" x14ac:dyDescent="0.35">
      <c r="A518">
        <f t="shared" si="7"/>
        <v>512</v>
      </c>
    </row>
    <row r="519" spans="1:1" x14ac:dyDescent="0.35">
      <c r="A519">
        <f t="shared" si="7"/>
        <v>513</v>
      </c>
    </row>
    <row r="520" spans="1:1" x14ac:dyDescent="0.35">
      <c r="A520">
        <f t="shared" si="7"/>
        <v>514</v>
      </c>
    </row>
    <row r="521" spans="1:1" x14ac:dyDescent="0.35">
      <c r="A521">
        <f t="shared" ref="A521:A584" si="8">A520+1</f>
        <v>515</v>
      </c>
    </row>
    <row r="522" spans="1:1" x14ac:dyDescent="0.35">
      <c r="A522">
        <f t="shared" si="8"/>
        <v>516</v>
      </c>
    </row>
    <row r="523" spans="1:1" x14ac:dyDescent="0.35">
      <c r="A523">
        <f t="shared" si="8"/>
        <v>517</v>
      </c>
    </row>
    <row r="524" spans="1:1" x14ac:dyDescent="0.35">
      <c r="A524">
        <f t="shared" si="8"/>
        <v>518</v>
      </c>
    </row>
    <row r="525" spans="1:1" x14ac:dyDescent="0.35">
      <c r="A525">
        <f t="shared" si="8"/>
        <v>519</v>
      </c>
    </row>
    <row r="526" spans="1:1" x14ac:dyDescent="0.35">
      <c r="A526">
        <f t="shared" si="8"/>
        <v>520</v>
      </c>
    </row>
    <row r="527" spans="1:1" x14ac:dyDescent="0.35">
      <c r="A527">
        <f t="shared" si="8"/>
        <v>521</v>
      </c>
    </row>
    <row r="528" spans="1:1" x14ac:dyDescent="0.35">
      <c r="A528">
        <f t="shared" si="8"/>
        <v>522</v>
      </c>
    </row>
    <row r="529" spans="1:1" x14ac:dyDescent="0.35">
      <c r="A529">
        <f t="shared" si="8"/>
        <v>523</v>
      </c>
    </row>
    <row r="530" spans="1:1" x14ac:dyDescent="0.35">
      <c r="A530">
        <f t="shared" si="8"/>
        <v>524</v>
      </c>
    </row>
    <row r="531" spans="1:1" x14ac:dyDescent="0.35">
      <c r="A531">
        <f t="shared" si="8"/>
        <v>525</v>
      </c>
    </row>
    <row r="532" spans="1:1" x14ac:dyDescent="0.35">
      <c r="A532">
        <f t="shared" si="8"/>
        <v>526</v>
      </c>
    </row>
    <row r="533" spans="1:1" x14ac:dyDescent="0.35">
      <c r="A533">
        <f t="shared" si="8"/>
        <v>527</v>
      </c>
    </row>
    <row r="534" spans="1:1" x14ac:dyDescent="0.35">
      <c r="A534">
        <f t="shared" si="8"/>
        <v>528</v>
      </c>
    </row>
    <row r="535" spans="1:1" x14ac:dyDescent="0.35">
      <c r="A535">
        <f t="shared" si="8"/>
        <v>529</v>
      </c>
    </row>
    <row r="536" spans="1:1" x14ac:dyDescent="0.35">
      <c r="A536">
        <f t="shared" si="8"/>
        <v>530</v>
      </c>
    </row>
    <row r="537" spans="1:1" x14ac:dyDescent="0.35">
      <c r="A537">
        <f t="shared" si="8"/>
        <v>531</v>
      </c>
    </row>
    <row r="538" spans="1:1" x14ac:dyDescent="0.35">
      <c r="A538">
        <f t="shared" si="8"/>
        <v>532</v>
      </c>
    </row>
    <row r="539" spans="1:1" x14ac:dyDescent="0.35">
      <c r="A539">
        <f t="shared" si="8"/>
        <v>533</v>
      </c>
    </row>
    <row r="540" spans="1:1" x14ac:dyDescent="0.35">
      <c r="A540">
        <f t="shared" si="8"/>
        <v>534</v>
      </c>
    </row>
    <row r="541" spans="1:1" x14ac:dyDescent="0.35">
      <c r="A541">
        <f t="shared" si="8"/>
        <v>535</v>
      </c>
    </row>
    <row r="542" spans="1:1" x14ac:dyDescent="0.35">
      <c r="A542">
        <f t="shared" si="8"/>
        <v>536</v>
      </c>
    </row>
    <row r="543" spans="1:1" x14ac:dyDescent="0.35">
      <c r="A543">
        <f t="shared" si="8"/>
        <v>537</v>
      </c>
    </row>
    <row r="544" spans="1:1" x14ac:dyDescent="0.35">
      <c r="A544">
        <f t="shared" si="8"/>
        <v>538</v>
      </c>
    </row>
    <row r="545" spans="1:1" x14ac:dyDescent="0.35">
      <c r="A545">
        <f t="shared" si="8"/>
        <v>539</v>
      </c>
    </row>
    <row r="546" spans="1:1" x14ac:dyDescent="0.35">
      <c r="A546">
        <f t="shared" si="8"/>
        <v>540</v>
      </c>
    </row>
    <row r="547" spans="1:1" x14ac:dyDescent="0.35">
      <c r="A547">
        <f t="shared" si="8"/>
        <v>541</v>
      </c>
    </row>
    <row r="548" spans="1:1" x14ac:dyDescent="0.35">
      <c r="A548">
        <f t="shared" si="8"/>
        <v>542</v>
      </c>
    </row>
    <row r="549" spans="1:1" x14ac:dyDescent="0.35">
      <c r="A549">
        <f t="shared" si="8"/>
        <v>543</v>
      </c>
    </row>
    <row r="550" spans="1:1" x14ac:dyDescent="0.35">
      <c r="A550">
        <f t="shared" si="8"/>
        <v>544</v>
      </c>
    </row>
    <row r="551" spans="1:1" x14ac:dyDescent="0.35">
      <c r="A551">
        <f t="shared" si="8"/>
        <v>545</v>
      </c>
    </row>
    <row r="552" spans="1:1" x14ac:dyDescent="0.35">
      <c r="A552">
        <f t="shared" si="8"/>
        <v>546</v>
      </c>
    </row>
    <row r="553" spans="1:1" x14ac:dyDescent="0.35">
      <c r="A553">
        <f t="shared" si="8"/>
        <v>547</v>
      </c>
    </row>
    <row r="554" spans="1:1" x14ac:dyDescent="0.35">
      <c r="A554">
        <f t="shared" si="8"/>
        <v>548</v>
      </c>
    </row>
    <row r="555" spans="1:1" x14ac:dyDescent="0.35">
      <c r="A555">
        <f t="shared" si="8"/>
        <v>549</v>
      </c>
    </row>
    <row r="556" spans="1:1" x14ac:dyDescent="0.35">
      <c r="A556">
        <f t="shared" si="8"/>
        <v>550</v>
      </c>
    </row>
    <row r="557" spans="1:1" x14ac:dyDescent="0.35">
      <c r="A557">
        <f t="shared" si="8"/>
        <v>551</v>
      </c>
    </row>
    <row r="558" spans="1:1" x14ac:dyDescent="0.35">
      <c r="A558">
        <f t="shared" si="8"/>
        <v>552</v>
      </c>
    </row>
    <row r="559" spans="1:1" x14ac:dyDescent="0.35">
      <c r="A559">
        <f t="shared" si="8"/>
        <v>553</v>
      </c>
    </row>
    <row r="560" spans="1:1" x14ac:dyDescent="0.35">
      <c r="A560">
        <f t="shared" si="8"/>
        <v>554</v>
      </c>
    </row>
    <row r="561" spans="1:1" x14ac:dyDescent="0.35">
      <c r="A561">
        <f t="shared" si="8"/>
        <v>555</v>
      </c>
    </row>
    <row r="562" spans="1:1" x14ac:dyDescent="0.35">
      <c r="A562">
        <f t="shared" si="8"/>
        <v>556</v>
      </c>
    </row>
    <row r="563" spans="1:1" x14ac:dyDescent="0.35">
      <c r="A563">
        <f t="shared" si="8"/>
        <v>557</v>
      </c>
    </row>
    <row r="564" spans="1:1" x14ac:dyDescent="0.35">
      <c r="A564">
        <f t="shared" si="8"/>
        <v>558</v>
      </c>
    </row>
    <row r="565" spans="1:1" x14ac:dyDescent="0.35">
      <c r="A565">
        <f t="shared" si="8"/>
        <v>559</v>
      </c>
    </row>
    <row r="566" spans="1:1" x14ac:dyDescent="0.35">
      <c r="A566">
        <f t="shared" si="8"/>
        <v>560</v>
      </c>
    </row>
    <row r="567" spans="1:1" x14ac:dyDescent="0.35">
      <c r="A567">
        <f t="shared" si="8"/>
        <v>561</v>
      </c>
    </row>
    <row r="568" spans="1:1" x14ac:dyDescent="0.35">
      <c r="A568">
        <f t="shared" si="8"/>
        <v>562</v>
      </c>
    </row>
    <row r="569" spans="1:1" x14ac:dyDescent="0.35">
      <c r="A569">
        <f t="shared" si="8"/>
        <v>563</v>
      </c>
    </row>
    <row r="570" spans="1:1" x14ac:dyDescent="0.35">
      <c r="A570">
        <f t="shared" si="8"/>
        <v>564</v>
      </c>
    </row>
    <row r="571" spans="1:1" x14ac:dyDescent="0.35">
      <c r="A571">
        <f t="shared" si="8"/>
        <v>565</v>
      </c>
    </row>
    <row r="572" spans="1:1" x14ac:dyDescent="0.35">
      <c r="A572">
        <f t="shared" si="8"/>
        <v>566</v>
      </c>
    </row>
    <row r="573" spans="1:1" x14ac:dyDescent="0.35">
      <c r="A573">
        <f t="shared" si="8"/>
        <v>567</v>
      </c>
    </row>
    <row r="574" spans="1:1" x14ac:dyDescent="0.35">
      <c r="A574">
        <f t="shared" si="8"/>
        <v>568</v>
      </c>
    </row>
    <row r="575" spans="1:1" x14ac:dyDescent="0.35">
      <c r="A575">
        <f t="shared" si="8"/>
        <v>569</v>
      </c>
    </row>
    <row r="576" spans="1:1" x14ac:dyDescent="0.35">
      <c r="A576">
        <f t="shared" si="8"/>
        <v>570</v>
      </c>
    </row>
    <row r="577" spans="1:1" x14ac:dyDescent="0.35">
      <c r="A577">
        <f t="shared" si="8"/>
        <v>571</v>
      </c>
    </row>
    <row r="578" spans="1:1" x14ac:dyDescent="0.35">
      <c r="A578">
        <f t="shared" si="8"/>
        <v>572</v>
      </c>
    </row>
    <row r="579" spans="1:1" x14ac:dyDescent="0.35">
      <c r="A579">
        <f t="shared" si="8"/>
        <v>573</v>
      </c>
    </row>
    <row r="580" spans="1:1" x14ac:dyDescent="0.35">
      <c r="A580">
        <f t="shared" si="8"/>
        <v>574</v>
      </c>
    </row>
    <row r="581" spans="1:1" x14ac:dyDescent="0.35">
      <c r="A581">
        <f t="shared" si="8"/>
        <v>575</v>
      </c>
    </row>
    <row r="582" spans="1:1" x14ac:dyDescent="0.35">
      <c r="A582">
        <f t="shared" si="8"/>
        <v>576</v>
      </c>
    </row>
    <row r="583" spans="1:1" x14ac:dyDescent="0.35">
      <c r="A583">
        <f t="shared" si="8"/>
        <v>577</v>
      </c>
    </row>
    <row r="584" spans="1:1" x14ac:dyDescent="0.35">
      <c r="A584">
        <f t="shared" si="8"/>
        <v>578</v>
      </c>
    </row>
    <row r="585" spans="1:1" x14ac:dyDescent="0.35">
      <c r="A585">
        <f t="shared" ref="A585:A648" si="9">A584+1</f>
        <v>579</v>
      </c>
    </row>
    <row r="586" spans="1:1" x14ac:dyDescent="0.35">
      <c r="A586">
        <f t="shared" si="9"/>
        <v>580</v>
      </c>
    </row>
    <row r="587" spans="1:1" x14ac:dyDescent="0.35">
      <c r="A587">
        <f t="shared" si="9"/>
        <v>581</v>
      </c>
    </row>
    <row r="588" spans="1:1" x14ac:dyDescent="0.35">
      <c r="A588">
        <f t="shared" si="9"/>
        <v>582</v>
      </c>
    </row>
    <row r="589" spans="1:1" x14ac:dyDescent="0.35">
      <c r="A589">
        <f t="shared" si="9"/>
        <v>583</v>
      </c>
    </row>
    <row r="590" spans="1:1" x14ac:dyDescent="0.35">
      <c r="A590">
        <f t="shared" si="9"/>
        <v>584</v>
      </c>
    </row>
    <row r="591" spans="1:1" x14ac:dyDescent="0.35">
      <c r="A591">
        <f t="shared" si="9"/>
        <v>585</v>
      </c>
    </row>
    <row r="592" spans="1:1" x14ac:dyDescent="0.35">
      <c r="A592">
        <f t="shared" si="9"/>
        <v>586</v>
      </c>
    </row>
    <row r="593" spans="1:1" x14ac:dyDescent="0.35">
      <c r="A593">
        <f t="shared" si="9"/>
        <v>587</v>
      </c>
    </row>
    <row r="594" spans="1:1" x14ac:dyDescent="0.35">
      <c r="A594">
        <f t="shared" si="9"/>
        <v>588</v>
      </c>
    </row>
    <row r="595" spans="1:1" x14ac:dyDescent="0.35">
      <c r="A595">
        <f t="shared" si="9"/>
        <v>589</v>
      </c>
    </row>
    <row r="596" spans="1:1" x14ac:dyDescent="0.35">
      <c r="A596">
        <f t="shared" si="9"/>
        <v>590</v>
      </c>
    </row>
    <row r="597" spans="1:1" x14ac:dyDescent="0.35">
      <c r="A597">
        <f t="shared" si="9"/>
        <v>591</v>
      </c>
    </row>
    <row r="598" spans="1:1" x14ac:dyDescent="0.35">
      <c r="A598">
        <f t="shared" si="9"/>
        <v>592</v>
      </c>
    </row>
    <row r="599" spans="1:1" x14ac:dyDescent="0.35">
      <c r="A599">
        <f t="shared" si="9"/>
        <v>593</v>
      </c>
    </row>
    <row r="600" spans="1:1" x14ac:dyDescent="0.35">
      <c r="A600">
        <f t="shared" si="9"/>
        <v>594</v>
      </c>
    </row>
    <row r="601" spans="1:1" x14ac:dyDescent="0.35">
      <c r="A601">
        <f t="shared" si="9"/>
        <v>595</v>
      </c>
    </row>
    <row r="602" spans="1:1" x14ac:dyDescent="0.35">
      <c r="A602">
        <f t="shared" si="9"/>
        <v>596</v>
      </c>
    </row>
    <row r="603" spans="1:1" x14ac:dyDescent="0.35">
      <c r="A603">
        <f t="shared" si="9"/>
        <v>597</v>
      </c>
    </row>
    <row r="604" spans="1:1" x14ac:dyDescent="0.35">
      <c r="A604">
        <f t="shared" si="9"/>
        <v>598</v>
      </c>
    </row>
    <row r="605" spans="1:1" x14ac:dyDescent="0.35">
      <c r="A605">
        <f t="shared" si="9"/>
        <v>599</v>
      </c>
    </row>
    <row r="606" spans="1:1" x14ac:dyDescent="0.35">
      <c r="A606">
        <f t="shared" si="9"/>
        <v>600</v>
      </c>
    </row>
    <row r="607" spans="1:1" x14ac:dyDescent="0.35">
      <c r="A607">
        <f t="shared" si="9"/>
        <v>601</v>
      </c>
    </row>
    <row r="608" spans="1:1" x14ac:dyDescent="0.35">
      <c r="A608">
        <f t="shared" si="9"/>
        <v>602</v>
      </c>
    </row>
    <row r="609" spans="1:1" x14ac:dyDescent="0.35">
      <c r="A609">
        <f t="shared" si="9"/>
        <v>603</v>
      </c>
    </row>
    <row r="610" spans="1:1" x14ac:dyDescent="0.35">
      <c r="A610">
        <f t="shared" si="9"/>
        <v>604</v>
      </c>
    </row>
    <row r="611" spans="1:1" x14ac:dyDescent="0.35">
      <c r="A611">
        <f t="shared" si="9"/>
        <v>605</v>
      </c>
    </row>
    <row r="612" spans="1:1" x14ac:dyDescent="0.35">
      <c r="A612">
        <f t="shared" si="9"/>
        <v>606</v>
      </c>
    </row>
    <row r="613" spans="1:1" x14ac:dyDescent="0.35">
      <c r="A613">
        <f t="shared" si="9"/>
        <v>607</v>
      </c>
    </row>
    <row r="614" spans="1:1" x14ac:dyDescent="0.35">
      <c r="A614">
        <f t="shared" si="9"/>
        <v>608</v>
      </c>
    </row>
    <row r="615" spans="1:1" x14ac:dyDescent="0.35">
      <c r="A615">
        <f t="shared" si="9"/>
        <v>609</v>
      </c>
    </row>
    <row r="616" spans="1:1" x14ac:dyDescent="0.35">
      <c r="A616">
        <f t="shared" si="9"/>
        <v>610</v>
      </c>
    </row>
    <row r="617" spans="1:1" x14ac:dyDescent="0.35">
      <c r="A617">
        <f t="shared" si="9"/>
        <v>611</v>
      </c>
    </row>
    <row r="618" spans="1:1" x14ac:dyDescent="0.35">
      <c r="A618">
        <f t="shared" si="9"/>
        <v>612</v>
      </c>
    </row>
    <row r="619" spans="1:1" x14ac:dyDescent="0.35">
      <c r="A619">
        <f t="shared" si="9"/>
        <v>613</v>
      </c>
    </row>
    <row r="620" spans="1:1" x14ac:dyDescent="0.35">
      <c r="A620">
        <f t="shared" si="9"/>
        <v>614</v>
      </c>
    </row>
    <row r="621" spans="1:1" x14ac:dyDescent="0.35">
      <c r="A621">
        <f t="shared" si="9"/>
        <v>615</v>
      </c>
    </row>
    <row r="622" spans="1:1" x14ac:dyDescent="0.35">
      <c r="A622">
        <f t="shared" si="9"/>
        <v>616</v>
      </c>
    </row>
    <row r="623" spans="1:1" x14ac:dyDescent="0.35">
      <c r="A623">
        <f t="shared" si="9"/>
        <v>617</v>
      </c>
    </row>
    <row r="624" spans="1:1" x14ac:dyDescent="0.35">
      <c r="A624">
        <f t="shared" si="9"/>
        <v>618</v>
      </c>
    </row>
    <row r="625" spans="1:1" x14ac:dyDescent="0.35">
      <c r="A625">
        <f t="shared" si="9"/>
        <v>619</v>
      </c>
    </row>
    <row r="626" spans="1:1" x14ac:dyDescent="0.35">
      <c r="A626">
        <f t="shared" si="9"/>
        <v>620</v>
      </c>
    </row>
    <row r="627" spans="1:1" x14ac:dyDescent="0.35">
      <c r="A627">
        <f t="shared" si="9"/>
        <v>621</v>
      </c>
    </row>
    <row r="628" spans="1:1" x14ac:dyDescent="0.35">
      <c r="A628">
        <f t="shared" si="9"/>
        <v>622</v>
      </c>
    </row>
    <row r="629" spans="1:1" x14ac:dyDescent="0.35">
      <c r="A629">
        <f t="shared" si="9"/>
        <v>623</v>
      </c>
    </row>
    <row r="630" spans="1:1" x14ac:dyDescent="0.35">
      <c r="A630">
        <f t="shared" si="9"/>
        <v>624</v>
      </c>
    </row>
    <row r="631" spans="1:1" x14ac:dyDescent="0.35">
      <c r="A631">
        <f t="shared" si="9"/>
        <v>625</v>
      </c>
    </row>
    <row r="632" spans="1:1" x14ac:dyDescent="0.35">
      <c r="A632">
        <f t="shared" si="9"/>
        <v>626</v>
      </c>
    </row>
    <row r="633" spans="1:1" x14ac:dyDescent="0.35">
      <c r="A633">
        <f t="shared" si="9"/>
        <v>627</v>
      </c>
    </row>
    <row r="634" spans="1:1" x14ac:dyDescent="0.35">
      <c r="A634">
        <f t="shared" si="9"/>
        <v>628</v>
      </c>
    </row>
    <row r="635" spans="1:1" x14ac:dyDescent="0.35">
      <c r="A635">
        <f t="shared" si="9"/>
        <v>629</v>
      </c>
    </row>
    <row r="636" spans="1:1" x14ac:dyDescent="0.35">
      <c r="A636">
        <f t="shared" si="9"/>
        <v>630</v>
      </c>
    </row>
    <row r="637" spans="1:1" x14ac:dyDescent="0.35">
      <c r="A637">
        <f t="shared" si="9"/>
        <v>631</v>
      </c>
    </row>
    <row r="638" spans="1:1" x14ac:dyDescent="0.35">
      <c r="A638">
        <f t="shared" si="9"/>
        <v>632</v>
      </c>
    </row>
    <row r="639" spans="1:1" x14ac:dyDescent="0.35">
      <c r="A639">
        <f t="shared" si="9"/>
        <v>633</v>
      </c>
    </row>
    <row r="640" spans="1:1" x14ac:dyDescent="0.35">
      <c r="A640">
        <f t="shared" si="9"/>
        <v>634</v>
      </c>
    </row>
    <row r="641" spans="1:1" x14ac:dyDescent="0.35">
      <c r="A641">
        <f t="shared" si="9"/>
        <v>635</v>
      </c>
    </row>
    <row r="642" spans="1:1" x14ac:dyDescent="0.35">
      <c r="A642">
        <f t="shared" si="9"/>
        <v>636</v>
      </c>
    </row>
    <row r="643" spans="1:1" x14ac:dyDescent="0.35">
      <c r="A643">
        <f t="shared" si="9"/>
        <v>637</v>
      </c>
    </row>
    <row r="644" spans="1:1" x14ac:dyDescent="0.35">
      <c r="A644">
        <f t="shared" si="9"/>
        <v>638</v>
      </c>
    </row>
    <row r="645" spans="1:1" x14ac:dyDescent="0.35">
      <c r="A645">
        <f t="shared" si="9"/>
        <v>639</v>
      </c>
    </row>
    <row r="646" spans="1:1" x14ac:dyDescent="0.35">
      <c r="A646">
        <f t="shared" si="9"/>
        <v>640</v>
      </c>
    </row>
    <row r="647" spans="1:1" x14ac:dyDescent="0.35">
      <c r="A647">
        <f t="shared" si="9"/>
        <v>641</v>
      </c>
    </row>
    <row r="648" spans="1:1" x14ac:dyDescent="0.35">
      <c r="A648">
        <f t="shared" si="9"/>
        <v>642</v>
      </c>
    </row>
    <row r="649" spans="1:1" x14ac:dyDescent="0.35">
      <c r="A649">
        <f t="shared" ref="A649:A712" si="10">A648+1</f>
        <v>643</v>
      </c>
    </row>
    <row r="650" spans="1:1" x14ac:dyDescent="0.35">
      <c r="A650">
        <f t="shared" si="10"/>
        <v>644</v>
      </c>
    </row>
    <row r="651" spans="1:1" x14ac:dyDescent="0.35">
      <c r="A651">
        <f t="shared" si="10"/>
        <v>645</v>
      </c>
    </row>
    <row r="652" spans="1:1" x14ac:dyDescent="0.35">
      <c r="A652">
        <f t="shared" si="10"/>
        <v>646</v>
      </c>
    </row>
    <row r="653" spans="1:1" x14ac:dyDescent="0.35">
      <c r="A653">
        <f t="shared" si="10"/>
        <v>647</v>
      </c>
    </row>
    <row r="654" spans="1:1" x14ac:dyDescent="0.35">
      <c r="A654">
        <f t="shared" si="10"/>
        <v>648</v>
      </c>
    </row>
    <row r="655" spans="1:1" x14ac:dyDescent="0.35">
      <c r="A655">
        <f t="shared" si="10"/>
        <v>649</v>
      </c>
    </row>
    <row r="656" spans="1:1" x14ac:dyDescent="0.35">
      <c r="A656">
        <f t="shared" si="10"/>
        <v>650</v>
      </c>
    </row>
    <row r="657" spans="1:1" x14ac:dyDescent="0.35">
      <c r="A657">
        <f t="shared" si="10"/>
        <v>651</v>
      </c>
    </row>
    <row r="658" spans="1:1" x14ac:dyDescent="0.35">
      <c r="A658">
        <f t="shared" si="10"/>
        <v>652</v>
      </c>
    </row>
    <row r="659" spans="1:1" x14ac:dyDescent="0.35">
      <c r="A659">
        <f t="shared" si="10"/>
        <v>653</v>
      </c>
    </row>
    <row r="660" spans="1:1" x14ac:dyDescent="0.35">
      <c r="A660">
        <f t="shared" si="10"/>
        <v>654</v>
      </c>
    </row>
    <row r="661" spans="1:1" x14ac:dyDescent="0.35">
      <c r="A661">
        <f t="shared" si="10"/>
        <v>655</v>
      </c>
    </row>
    <row r="662" spans="1:1" x14ac:dyDescent="0.35">
      <c r="A662">
        <f t="shared" si="10"/>
        <v>656</v>
      </c>
    </row>
    <row r="663" spans="1:1" x14ac:dyDescent="0.35">
      <c r="A663">
        <f t="shared" si="10"/>
        <v>657</v>
      </c>
    </row>
    <row r="664" spans="1:1" x14ac:dyDescent="0.35">
      <c r="A664">
        <f t="shared" si="10"/>
        <v>658</v>
      </c>
    </row>
    <row r="665" spans="1:1" x14ac:dyDescent="0.35">
      <c r="A665">
        <f t="shared" si="10"/>
        <v>659</v>
      </c>
    </row>
    <row r="666" spans="1:1" x14ac:dyDescent="0.35">
      <c r="A666">
        <f t="shared" si="10"/>
        <v>660</v>
      </c>
    </row>
    <row r="667" spans="1:1" x14ac:dyDescent="0.35">
      <c r="A667">
        <f t="shared" si="10"/>
        <v>661</v>
      </c>
    </row>
    <row r="668" spans="1:1" x14ac:dyDescent="0.35">
      <c r="A668">
        <f t="shared" si="10"/>
        <v>662</v>
      </c>
    </row>
    <row r="669" spans="1:1" x14ac:dyDescent="0.35">
      <c r="A669">
        <f t="shared" si="10"/>
        <v>663</v>
      </c>
    </row>
    <row r="670" spans="1:1" x14ac:dyDescent="0.35">
      <c r="A670">
        <f t="shared" si="10"/>
        <v>664</v>
      </c>
    </row>
    <row r="671" spans="1:1" x14ac:dyDescent="0.35">
      <c r="A671">
        <f t="shared" si="10"/>
        <v>665</v>
      </c>
    </row>
    <row r="672" spans="1:1" x14ac:dyDescent="0.35">
      <c r="A672">
        <f t="shared" si="10"/>
        <v>666</v>
      </c>
    </row>
    <row r="673" spans="1:1" x14ac:dyDescent="0.35">
      <c r="A673">
        <f t="shared" si="10"/>
        <v>667</v>
      </c>
    </row>
    <row r="674" spans="1:1" x14ac:dyDescent="0.35">
      <c r="A674">
        <f t="shared" si="10"/>
        <v>668</v>
      </c>
    </row>
    <row r="675" spans="1:1" x14ac:dyDescent="0.35">
      <c r="A675">
        <f t="shared" si="10"/>
        <v>669</v>
      </c>
    </row>
    <row r="676" spans="1:1" x14ac:dyDescent="0.35">
      <c r="A676">
        <f t="shared" si="10"/>
        <v>670</v>
      </c>
    </row>
    <row r="677" spans="1:1" x14ac:dyDescent="0.35">
      <c r="A677">
        <f t="shared" si="10"/>
        <v>671</v>
      </c>
    </row>
    <row r="678" spans="1:1" x14ac:dyDescent="0.35">
      <c r="A678">
        <f t="shared" si="10"/>
        <v>672</v>
      </c>
    </row>
    <row r="679" spans="1:1" x14ac:dyDescent="0.35">
      <c r="A679">
        <f t="shared" si="10"/>
        <v>673</v>
      </c>
    </row>
    <row r="680" spans="1:1" x14ac:dyDescent="0.35">
      <c r="A680">
        <f t="shared" si="10"/>
        <v>674</v>
      </c>
    </row>
    <row r="681" spans="1:1" x14ac:dyDescent="0.35">
      <c r="A681">
        <f t="shared" si="10"/>
        <v>675</v>
      </c>
    </row>
    <row r="682" spans="1:1" x14ac:dyDescent="0.35">
      <c r="A682">
        <f t="shared" si="10"/>
        <v>676</v>
      </c>
    </row>
    <row r="683" spans="1:1" x14ac:dyDescent="0.35">
      <c r="A683">
        <f t="shared" si="10"/>
        <v>677</v>
      </c>
    </row>
    <row r="684" spans="1:1" x14ac:dyDescent="0.35">
      <c r="A684">
        <f t="shared" si="10"/>
        <v>678</v>
      </c>
    </row>
    <row r="685" spans="1:1" x14ac:dyDescent="0.35">
      <c r="A685">
        <f t="shared" si="10"/>
        <v>679</v>
      </c>
    </row>
    <row r="686" spans="1:1" x14ac:dyDescent="0.35">
      <c r="A686">
        <f t="shared" si="10"/>
        <v>680</v>
      </c>
    </row>
    <row r="687" spans="1:1" x14ac:dyDescent="0.35">
      <c r="A687">
        <f t="shared" si="10"/>
        <v>681</v>
      </c>
    </row>
    <row r="688" spans="1:1" x14ac:dyDescent="0.35">
      <c r="A688">
        <f t="shared" si="10"/>
        <v>682</v>
      </c>
    </row>
    <row r="689" spans="1:1" x14ac:dyDescent="0.35">
      <c r="A689">
        <f t="shared" si="10"/>
        <v>683</v>
      </c>
    </row>
    <row r="690" spans="1:1" x14ac:dyDescent="0.35">
      <c r="A690">
        <f t="shared" si="10"/>
        <v>684</v>
      </c>
    </row>
    <row r="691" spans="1:1" x14ac:dyDescent="0.35">
      <c r="A691">
        <f t="shared" si="10"/>
        <v>685</v>
      </c>
    </row>
    <row r="692" spans="1:1" x14ac:dyDescent="0.35">
      <c r="A692">
        <f t="shared" si="10"/>
        <v>686</v>
      </c>
    </row>
    <row r="693" spans="1:1" x14ac:dyDescent="0.35">
      <c r="A693">
        <f t="shared" si="10"/>
        <v>687</v>
      </c>
    </row>
    <row r="694" spans="1:1" x14ac:dyDescent="0.35">
      <c r="A694">
        <f t="shared" si="10"/>
        <v>688</v>
      </c>
    </row>
    <row r="695" spans="1:1" x14ac:dyDescent="0.35">
      <c r="A695">
        <f t="shared" si="10"/>
        <v>689</v>
      </c>
    </row>
    <row r="696" spans="1:1" x14ac:dyDescent="0.35">
      <c r="A696">
        <f t="shared" si="10"/>
        <v>690</v>
      </c>
    </row>
    <row r="697" spans="1:1" x14ac:dyDescent="0.35">
      <c r="A697">
        <f t="shared" si="10"/>
        <v>691</v>
      </c>
    </row>
    <row r="698" spans="1:1" x14ac:dyDescent="0.35">
      <c r="A698">
        <f t="shared" si="10"/>
        <v>692</v>
      </c>
    </row>
    <row r="699" spans="1:1" x14ac:dyDescent="0.35">
      <c r="A699">
        <f t="shared" si="10"/>
        <v>693</v>
      </c>
    </row>
    <row r="700" spans="1:1" x14ac:dyDescent="0.35">
      <c r="A700">
        <f t="shared" si="10"/>
        <v>694</v>
      </c>
    </row>
    <row r="701" spans="1:1" x14ac:dyDescent="0.35">
      <c r="A701">
        <f t="shared" si="10"/>
        <v>695</v>
      </c>
    </row>
    <row r="702" spans="1:1" x14ac:dyDescent="0.35">
      <c r="A702">
        <f t="shared" si="10"/>
        <v>696</v>
      </c>
    </row>
    <row r="703" spans="1:1" x14ac:dyDescent="0.35">
      <c r="A703">
        <f t="shared" si="10"/>
        <v>697</v>
      </c>
    </row>
    <row r="704" spans="1:1" x14ac:dyDescent="0.35">
      <c r="A704">
        <f t="shared" si="10"/>
        <v>698</v>
      </c>
    </row>
    <row r="705" spans="1:1" x14ac:dyDescent="0.35">
      <c r="A705">
        <f t="shared" si="10"/>
        <v>699</v>
      </c>
    </row>
    <row r="706" spans="1:1" x14ac:dyDescent="0.35">
      <c r="A706">
        <f t="shared" si="10"/>
        <v>700</v>
      </c>
    </row>
    <row r="707" spans="1:1" x14ac:dyDescent="0.35">
      <c r="A707">
        <f t="shared" si="10"/>
        <v>701</v>
      </c>
    </row>
    <row r="708" spans="1:1" x14ac:dyDescent="0.35">
      <c r="A708">
        <f t="shared" si="10"/>
        <v>702</v>
      </c>
    </row>
    <row r="709" spans="1:1" x14ac:dyDescent="0.35">
      <c r="A709">
        <f t="shared" si="10"/>
        <v>703</v>
      </c>
    </row>
    <row r="710" spans="1:1" x14ac:dyDescent="0.35">
      <c r="A710">
        <f t="shared" si="10"/>
        <v>704</v>
      </c>
    </row>
    <row r="711" spans="1:1" x14ac:dyDescent="0.35">
      <c r="A711">
        <f t="shared" si="10"/>
        <v>705</v>
      </c>
    </row>
    <row r="712" spans="1:1" x14ac:dyDescent="0.35">
      <c r="A712">
        <f t="shared" si="10"/>
        <v>706</v>
      </c>
    </row>
    <row r="713" spans="1:1" x14ac:dyDescent="0.35">
      <c r="A713">
        <f t="shared" ref="A713:A767" si="11">A712+1</f>
        <v>707</v>
      </c>
    </row>
    <row r="714" spans="1:1" x14ac:dyDescent="0.35">
      <c r="A714">
        <f t="shared" si="11"/>
        <v>708</v>
      </c>
    </row>
    <row r="715" spans="1:1" x14ac:dyDescent="0.35">
      <c r="A715">
        <f t="shared" si="11"/>
        <v>709</v>
      </c>
    </row>
    <row r="716" spans="1:1" x14ac:dyDescent="0.35">
      <c r="A716">
        <f t="shared" si="11"/>
        <v>710</v>
      </c>
    </row>
    <row r="717" spans="1:1" x14ac:dyDescent="0.35">
      <c r="A717">
        <f t="shared" si="11"/>
        <v>711</v>
      </c>
    </row>
    <row r="718" spans="1:1" x14ac:dyDescent="0.35">
      <c r="A718">
        <f t="shared" si="11"/>
        <v>712</v>
      </c>
    </row>
    <row r="719" spans="1:1" x14ac:dyDescent="0.35">
      <c r="A719">
        <f t="shared" si="11"/>
        <v>713</v>
      </c>
    </row>
    <row r="720" spans="1:1" x14ac:dyDescent="0.35">
      <c r="A720">
        <f t="shared" si="11"/>
        <v>714</v>
      </c>
    </row>
    <row r="721" spans="1:1" x14ac:dyDescent="0.35">
      <c r="A721">
        <f t="shared" si="11"/>
        <v>715</v>
      </c>
    </row>
    <row r="722" spans="1:1" x14ac:dyDescent="0.35">
      <c r="A722">
        <f t="shared" si="11"/>
        <v>716</v>
      </c>
    </row>
    <row r="723" spans="1:1" x14ac:dyDescent="0.35">
      <c r="A723">
        <f t="shared" si="11"/>
        <v>717</v>
      </c>
    </row>
    <row r="724" spans="1:1" x14ac:dyDescent="0.35">
      <c r="A724">
        <f t="shared" si="11"/>
        <v>718</v>
      </c>
    </row>
    <row r="725" spans="1:1" x14ac:dyDescent="0.35">
      <c r="A725">
        <f t="shared" si="11"/>
        <v>719</v>
      </c>
    </row>
    <row r="726" spans="1:1" x14ac:dyDescent="0.35">
      <c r="A726">
        <f t="shared" si="11"/>
        <v>720</v>
      </c>
    </row>
    <row r="727" spans="1:1" x14ac:dyDescent="0.35">
      <c r="A727">
        <f t="shared" si="11"/>
        <v>721</v>
      </c>
    </row>
    <row r="728" spans="1:1" x14ac:dyDescent="0.35">
      <c r="A728">
        <f t="shared" si="11"/>
        <v>722</v>
      </c>
    </row>
    <row r="729" spans="1:1" x14ac:dyDescent="0.35">
      <c r="A729">
        <f t="shared" si="11"/>
        <v>723</v>
      </c>
    </row>
    <row r="730" spans="1:1" x14ac:dyDescent="0.35">
      <c r="A730">
        <f t="shared" si="11"/>
        <v>724</v>
      </c>
    </row>
    <row r="731" spans="1:1" x14ac:dyDescent="0.35">
      <c r="A731">
        <f t="shared" si="11"/>
        <v>725</v>
      </c>
    </row>
    <row r="732" spans="1:1" x14ac:dyDescent="0.35">
      <c r="A732">
        <f t="shared" si="11"/>
        <v>726</v>
      </c>
    </row>
    <row r="733" spans="1:1" x14ac:dyDescent="0.35">
      <c r="A733">
        <f t="shared" si="11"/>
        <v>727</v>
      </c>
    </row>
    <row r="734" spans="1:1" x14ac:dyDescent="0.35">
      <c r="A734">
        <f t="shared" si="11"/>
        <v>728</v>
      </c>
    </row>
    <row r="735" spans="1:1" x14ac:dyDescent="0.35">
      <c r="A735">
        <f t="shared" si="11"/>
        <v>729</v>
      </c>
    </row>
    <row r="736" spans="1:1" x14ac:dyDescent="0.35">
      <c r="A736">
        <f t="shared" si="11"/>
        <v>730</v>
      </c>
    </row>
    <row r="737" spans="1:1" x14ac:dyDescent="0.35">
      <c r="A737">
        <f t="shared" si="11"/>
        <v>731</v>
      </c>
    </row>
    <row r="738" spans="1:1" x14ac:dyDescent="0.35">
      <c r="A738">
        <f t="shared" si="11"/>
        <v>732</v>
      </c>
    </row>
    <row r="739" spans="1:1" x14ac:dyDescent="0.35">
      <c r="A739">
        <f t="shared" si="11"/>
        <v>733</v>
      </c>
    </row>
    <row r="740" spans="1:1" x14ac:dyDescent="0.35">
      <c r="A740">
        <f t="shared" si="11"/>
        <v>734</v>
      </c>
    </row>
    <row r="741" spans="1:1" x14ac:dyDescent="0.35">
      <c r="A741">
        <f t="shared" si="11"/>
        <v>735</v>
      </c>
    </row>
    <row r="742" spans="1:1" x14ac:dyDescent="0.35">
      <c r="A742">
        <f t="shared" si="11"/>
        <v>736</v>
      </c>
    </row>
    <row r="743" spans="1:1" x14ac:dyDescent="0.35">
      <c r="A743">
        <f t="shared" si="11"/>
        <v>737</v>
      </c>
    </row>
    <row r="744" spans="1:1" x14ac:dyDescent="0.35">
      <c r="A744">
        <f t="shared" si="11"/>
        <v>738</v>
      </c>
    </row>
    <row r="745" spans="1:1" x14ac:dyDescent="0.35">
      <c r="A745">
        <f t="shared" si="11"/>
        <v>739</v>
      </c>
    </row>
    <row r="746" spans="1:1" x14ac:dyDescent="0.35">
      <c r="A746">
        <f t="shared" si="11"/>
        <v>740</v>
      </c>
    </row>
    <row r="747" spans="1:1" x14ac:dyDescent="0.35">
      <c r="A747">
        <f t="shared" si="11"/>
        <v>741</v>
      </c>
    </row>
    <row r="748" spans="1:1" x14ac:dyDescent="0.35">
      <c r="A748">
        <f t="shared" si="11"/>
        <v>742</v>
      </c>
    </row>
    <row r="749" spans="1:1" x14ac:dyDescent="0.35">
      <c r="A749">
        <f t="shared" si="11"/>
        <v>743</v>
      </c>
    </row>
    <row r="750" spans="1:1" x14ac:dyDescent="0.35">
      <c r="A750">
        <f t="shared" si="11"/>
        <v>744</v>
      </c>
    </row>
    <row r="751" spans="1:1" x14ac:dyDescent="0.35">
      <c r="A751">
        <f t="shared" si="11"/>
        <v>745</v>
      </c>
    </row>
    <row r="752" spans="1:1" x14ac:dyDescent="0.35">
      <c r="A752">
        <f t="shared" si="11"/>
        <v>746</v>
      </c>
    </row>
    <row r="753" spans="1:1" x14ac:dyDescent="0.35">
      <c r="A753">
        <f t="shared" si="11"/>
        <v>747</v>
      </c>
    </row>
    <row r="754" spans="1:1" x14ac:dyDescent="0.35">
      <c r="A754">
        <f t="shared" si="11"/>
        <v>748</v>
      </c>
    </row>
    <row r="755" spans="1:1" x14ac:dyDescent="0.35">
      <c r="A755">
        <f t="shared" si="11"/>
        <v>749</v>
      </c>
    </row>
    <row r="756" spans="1:1" x14ac:dyDescent="0.35">
      <c r="A756">
        <f t="shared" si="11"/>
        <v>750</v>
      </c>
    </row>
    <row r="757" spans="1:1" x14ac:dyDescent="0.35">
      <c r="A757">
        <f t="shared" si="11"/>
        <v>751</v>
      </c>
    </row>
    <row r="758" spans="1:1" x14ac:dyDescent="0.35">
      <c r="A758">
        <f t="shared" si="11"/>
        <v>752</v>
      </c>
    </row>
    <row r="759" spans="1:1" x14ac:dyDescent="0.35">
      <c r="A759">
        <f t="shared" si="11"/>
        <v>753</v>
      </c>
    </row>
    <row r="760" spans="1:1" x14ac:dyDescent="0.35">
      <c r="A760">
        <f t="shared" si="11"/>
        <v>754</v>
      </c>
    </row>
    <row r="761" spans="1:1" x14ac:dyDescent="0.35">
      <c r="A761">
        <f t="shared" si="11"/>
        <v>755</v>
      </c>
    </row>
    <row r="762" spans="1:1" x14ac:dyDescent="0.35">
      <c r="A762">
        <f t="shared" si="11"/>
        <v>756</v>
      </c>
    </row>
    <row r="763" spans="1:1" x14ac:dyDescent="0.35">
      <c r="A763">
        <f t="shared" si="11"/>
        <v>757</v>
      </c>
    </row>
    <row r="764" spans="1:1" x14ac:dyDescent="0.35">
      <c r="A764">
        <f t="shared" si="11"/>
        <v>758</v>
      </c>
    </row>
    <row r="765" spans="1:1" x14ac:dyDescent="0.35">
      <c r="A765">
        <f t="shared" si="11"/>
        <v>759</v>
      </c>
    </row>
    <row r="766" spans="1:1" x14ac:dyDescent="0.35">
      <c r="A766">
        <f t="shared" si="11"/>
        <v>760</v>
      </c>
    </row>
    <row r="767" spans="1:1" x14ac:dyDescent="0.35">
      <c r="A767">
        <f t="shared" si="11"/>
        <v>761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8"/>
  <sheetViews>
    <sheetView zoomScale="75" zoomScaleNormal="75" workbookViewId="0">
      <selection activeCell="H23" sqref="H23"/>
    </sheetView>
  </sheetViews>
  <sheetFormatPr defaultRowHeight="15" x14ac:dyDescent="0.35"/>
  <cols>
    <col min="1" max="1" width="6.5625" bestFit="1" customWidth="1"/>
    <col min="2" max="2" width="17.625" bestFit="1" customWidth="1"/>
    <col min="3" max="3" width="27.625" customWidth="1"/>
    <col min="4" max="4" width="15" bestFit="1" customWidth="1"/>
    <col min="5" max="5" width="7.25" bestFit="1" customWidth="1"/>
  </cols>
  <sheetData>
    <row r="1" spans="1:6" x14ac:dyDescent="0.35">
      <c r="A1" s="6" t="s">
        <v>7</v>
      </c>
      <c r="B1" t="s">
        <v>532</v>
      </c>
    </row>
    <row r="3" spans="1:6" x14ac:dyDescent="0.35">
      <c r="A3" s="6" t="s">
        <v>1435</v>
      </c>
    </row>
    <row r="4" spans="1:6" x14ac:dyDescent="0.35">
      <c r="A4" s="6" t="s">
        <v>140</v>
      </c>
      <c r="B4" s="6" t="s">
        <v>0</v>
      </c>
      <c r="C4" s="6" t="s">
        <v>1</v>
      </c>
      <c r="D4" s="6" t="s">
        <v>1428</v>
      </c>
      <c r="E4" s="6" t="s">
        <v>3</v>
      </c>
      <c r="F4" t="s">
        <v>1436</v>
      </c>
    </row>
    <row r="5" spans="1:6" x14ac:dyDescent="0.35">
      <c r="A5">
        <v>2004</v>
      </c>
      <c r="B5" t="s">
        <v>263</v>
      </c>
      <c r="C5" t="s">
        <v>45</v>
      </c>
      <c r="D5" t="s">
        <v>1429</v>
      </c>
      <c r="E5">
        <v>3</v>
      </c>
      <c r="F5" s="23">
        <v>1836.7459656494909</v>
      </c>
    </row>
    <row r="6" spans="1:6" x14ac:dyDescent="0.35">
      <c r="A6">
        <v>2008</v>
      </c>
      <c r="B6" t="s">
        <v>263</v>
      </c>
      <c r="C6" t="s">
        <v>838</v>
      </c>
      <c r="D6" t="s">
        <v>1430</v>
      </c>
      <c r="E6">
        <v>4</v>
      </c>
      <c r="F6" s="23">
        <v>1295.5670999624788</v>
      </c>
    </row>
    <row r="7" spans="1:6" x14ac:dyDescent="0.35">
      <c r="A7">
        <v>2011</v>
      </c>
      <c r="B7" t="s">
        <v>263</v>
      </c>
      <c r="C7" t="s">
        <v>110</v>
      </c>
      <c r="D7" t="s">
        <v>1430</v>
      </c>
      <c r="E7">
        <v>6</v>
      </c>
      <c r="F7" s="23">
        <v>1348.9535479811641</v>
      </c>
    </row>
    <row r="8" spans="1:6" x14ac:dyDescent="0.35">
      <c r="A8">
        <v>2015</v>
      </c>
      <c r="B8" t="s">
        <v>263</v>
      </c>
      <c r="C8" t="s">
        <v>110</v>
      </c>
      <c r="D8" t="s">
        <v>1430</v>
      </c>
      <c r="E8">
        <v>8</v>
      </c>
      <c r="F8" s="23">
        <v>1157.6078533616683</v>
      </c>
    </row>
    <row r="9" spans="1:6" x14ac:dyDescent="0.35">
      <c r="A9">
        <v>2016</v>
      </c>
      <c r="B9" t="s">
        <v>263</v>
      </c>
      <c r="C9" t="s">
        <v>110</v>
      </c>
      <c r="D9" t="s">
        <v>1430</v>
      </c>
      <c r="E9">
        <v>6</v>
      </c>
      <c r="F9" s="23">
        <v>1290.034611362518</v>
      </c>
    </row>
    <row r="10" spans="1:6" x14ac:dyDescent="0.35">
      <c r="A10">
        <v>2018</v>
      </c>
      <c r="B10" t="s">
        <v>263</v>
      </c>
      <c r="C10" t="s">
        <v>110</v>
      </c>
      <c r="D10" t="s">
        <v>1430</v>
      </c>
      <c r="E10">
        <v>13</v>
      </c>
      <c r="F10" s="23">
        <v>911.36251295793375</v>
      </c>
    </row>
    <row r="11" spans="1:6" x14ac:dyDescent="0.35">
      <c r="A11">
        <v>2019</v>
      </c>
      <c r="B11" t="s">
        <v>263</v>
      </c>
      <c r="C11" t="s">
        <v>2488</v>
      </c>
      <c r="D11" t="s">
        <v>1429</v>
      </c>
      <c r="E11">
        <v>2</v>
      </c>
      <c r="F11" s="23">
        <v>1802.7737252919756</v>
      </c>
    </row>
    <row r="12" spans="1:6" x14ac:dyDescent="0.35">
      <c r="A12">
        <v>2024</v>
      </c>
      <c r="B12" t="s">
        <v>263</v>
      </c>
      <c r="C12" t="s">
        <v>2692</v>
      </c>
      <c r="D12" t="s">
        <v>1429</v>
      </c>
      <c r="E12">
        <v>1</v>
      </c>
      <c r="F12" s="23">
        <v>1732.3937598229686</v>
      </c>
    </row>
    <row r="13" spans="1:6" x14ac:dyDescent="0.35">
      <c r="C13" t="s">
        <v>2698</v>
      </c>
      <c r="D13" t="s">
        <v>1430</v>
      </c>
      <c r="E13">
        <v>2</v>
      </c>
      <c r="F13" s="23">
        <v>1380.2112417116059</v>
      </c>
    </row>
    <row r="14" spans="1:6" x14ac:dyDescent="0.35">
      <c r="B14" t="s">
        <v>68</v>
      </c>
      <c r="C14" t="s">
        <v>2656</v>
      </c>
      <c r="D14" t="s">
        <v>509</v>
      </c>
      <c r="E14">
        <v>4</v>
      </c>
      <c r="F14" s="23">
        <v>1031.4084642516241</v>
      </c>
    </row>
    <row r="15" spans="1:6" x14ac:dyDescent="0.35">
      <c r="C15" t="s">
        <v>2659</v>
      </c>
      <c r="D15" t="s">
        <v>1430</v>
      </c>
      <c r="E15">
        <v>2</v>
      </c>
      <c r="F15" s="23">
        <v>1243.0380486862944</v>
      </c>
    </row>
    <row r="16" spans="1:6" x14ac:dyDescent="0.35">
      <c r="B16" t="s">
        <v>8</v>
      </c>
      <c r="C16" t="s">
        <v>557</v>
      </c>
      <c r="D16" t="s">
        <v>1430</v>
      </c>
      <c r="E16">
        <v>5</v>
      </c>
      <c r="F16" s="23">
        <v>869.23171973097612</v>
      </c>
    </row>
    <row r="17" spans="2:6" x14ac:dyDescent="0.35">
      <c r="C17" t="s">
        <v>45</v>
      </c>
      <c r="D17" t="s">
        <v>1429</v>
      </c>
      <c r="E17">
        <v>3</v>
      </c>
      <c r="F17" s="23">
        <v>1263.2414347745814</v>
      </c>
    </row>
    <row r="18" spans="2:6" x14ac:dyDescent="0.35">
      <c r="B18" t="s">
        <v>2654</v>
      </c>
      <c r="C18" t="s">
        <v>45</v>
      </c>
      <c r="D18" t="s">
        <v>1429</v>
      </c>
      <c r="E18">
        <v>6</v>
      </c>
      <c r="F18" s="23">
        <v>855.31720519594273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Attendees</vt:lpstr>
      <vt:lpstr>Names</vt:lpstr>
      <vt:lpstr>Data</vt:lpstr>
      <vt:lpstr>Name Check</vt:lpstr>
      <vt:lpstr>LIsts</vt:lpstr>
      <vt:lpstr>Single Year</vt:lpstr>
      <vt:lpstr>Player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SteveDaniel</dc:creator>
  <cp:lastModifiedBy>Stephen Daniel</cp:lastModifiedBy>
  <dcterms:created xsi:type="dcterms:W3CDTF">2015-07-24T21:44:15Z</dcterms:created>
  <dcterms:modified xsi:type="dcterms:W3CDTF">2024-10-10T03:20:55Z</dcterms:modified>
</cp:coreProperties>
</file>